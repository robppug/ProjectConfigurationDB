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drawings/drawing2.xml" ContentType="application/vnd.openxmlformats-officedocument.drawing+xml"/>
  <Override PartName="/xl/tables/table2.xml" ContentType="application/vnd.openxmlformats-officedocument.spreadsheetml.table+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Ex4.xml" ContentType="application/vnd.ms-office.chartex+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documenttasks/documenttask2.xml" ContentType="application/vnd.ms-excel.documenttasks+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harts/chartEx5.xml" ContentType="application/vnd.ms-office.chartex+xml"/>
  <Override PartName="/xl/charts/style5.xml" ContentType="application/vnd.ms-office.chartstyle+xml"/>
  <Override PartName="/xl/charts/colors5.xml" ContentType="application/vnd.ms-office.chartcolorstyle+xml"/>
  <Override PartName="/xl/charts/chartEx6.xml" ContentType="application/vnd.ms-office.chartex+xml"/>
  <Override PartName="/xl/charts/style6.xml" ContentType="application/vnd.ms-office.chartstyle+xml"/>
  <Override PartName="/xl/charts/colors6.xml" ContentType="application/vnd.ms-office.chartcolorstyle+xml"/>
  <Override PartName="/xl/charts/chartEx7.xml" ContentType="application/vnd.ms-office.chartex+xml"/>
  <Override PartName="/xl/charts/style7.xml" ContentType="application/vnd.ms-office.chartstyle+xml"/>
  <Override PartName="/xl/charts/colors7.xml" ContentType="application/vnd.ms-office.chartcolorstyle+xml"/>
  <Override PartName="/xl/charts/chartEx8.xml" ContentType="application/vnd.ms-office.chartex+xml"/>
  <Override PartName="/xl/charts/style8.xml" ContentType="application/vnd.ms-office.chartstyle+xml"/>
  <Override PartName="/xl/charts/colors8.xml" ContentType="application/vnd.ms-office.chartcolorstyle+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00000000-0000-0000-0000-000000000000}"/>
  <workbookPr updateLinks="always" codeName="ThisWorkbook" defaultThemeVersion="166925"/>
  <mc:AlternateContent xmlns:mc="http://schemas.openxmlformats.org/markup-compatibility/2006">
    <mc:Choice Requires="x15">
      <x15ac:absPath xmlns:x15ac="http://schemas.microsoft.com/office/spreadsheetml/2010/11/ac" url="D:\Users\n13as\Downloads\Work\"/>
    </mc:Choice>
  </mc:AlternateContent>
  <xr:revisionPtr revIDLastSave="0" documentId="8_{EA8F7E20-619E-41BB-9BAC-7E871D3D07B2}" xr6:coauthVersionLast="47" xr6:coauthVersionMax="47" xr10:uidLastSave="{00000000-0000-0000-0000-000000000000}"/>
  <bookViews>
    <workbookView xWindow="4080" yWindow="60" windowWidth="38550" windowHeight="20985" tabRatio="833" activeTab="2" xr2:uid="{6524C6F8-D997-4541-8097-DB9C18F03957}"/>
  </bookViews>
  <sheets>
    <sheet name="Cover" sheetId="13" r:id="rId1"/>
    <sheet name="Revision" sheetId="17" r:id="rId2"/>
    <sheet name="Project Configurations" sheetId="23" r:id="rId3"/>
    <sheet name="ProjectsGenTool" sheetId="37" r:id="rId4"/>
    <sheet name="| DATA |" sheetId="30" r:id="rId5"/>
    <sheet name="| METRICS |" sheetId="29" r:id="rId6"/>
    <sheet name="Feature Metrics" sheetId="27" r:id="rId7"/>
    <sheet name="RoadmapData" sheetId="24" r:id="rId8"/>
    <sheet name="Product Metrics" sheetId="28" r:id="rId9"/>
    <sheet name="Sheet1" sheetId="35" state="hidden" r:id="rId10"/>
    <sheet name="| REF |" sheetId="31" r:id="rId11"/>
    <sheet name="Instructions for Use" sheetId="20" r:id="rId12"/>
    <sheet name="Pulldown Data" sheetId="9" r:id="rId13"/>
    <sheet name="ProductTableHeadings" sheetId="34" r:id="rId14"/>
    <sheet name="FROP (Customer)" sheetId="4" state="hidden" r:id="rId15"/>
    <sheet name="Example_VWG001 Calculation" sheetId="21" state="hidden" r:id="rId16"/>
    <sheet name="FROP Checker Summary" sheetId="10" state="hidden" r:id="rId17"/>
    <sheet name="FROP Checker Details" sheetId="12" state="hidden" r:id="rId18"/>
    <sheet name="Instructions_OLD" sheetId="15" state="hidden" r:id="rId19"/>
    <sheet name="Example Filled out" sheetId="16" state="hidden" r:id="rId20"/>
  </sheets>
  <externalReferences>
    <externalReference r:id="rId21"/>
  </externalReferences>
  <definedNames>
    <definedName name="____feb28" localSheetId="19">#REF!</definedName>
    <definedName name="__123Graph_A" hidden="1">#REF!</definedName>
    <definedName name="__123Graph_AGraph1" hidden="1">#REF!</definedName>
    <definedName name="__123Graph_B" hidden="1">#REF!</definedName>
    <definedName name="__123Graph_BGraph1" hidden="1">#REF!</definedName>
    <definedName name="__123Graph_C" hidden="1">#REF!</definedName>
    <definedName name="__123Graph_CGraph1" hidden="1">#REF!</definedName>
    <definedName name="__123Graph_D" hidden="1">#REF!</definedName>
    <definedName name="__123Graph_DGraph1" hidden="1">#REF!</definedName>
    <definedName name="__123Graph_E" hidden="1">#REF!</definedName>
    <definedName name="__123Graph_EGraph1" hidden="1">#REF!</definedName>
    <definedName name="__123Graph_X" hidden="1">#REF!</definedName>
    <definedName name="__123Graph_XGraph1" hidden="1">#REF!</definedName>
    <definedName name="__FDS_HYPERLINK_TOGGLE_STATE__" hidden="1">"ON"</definedName>
    <definedName name="_Fill" hidden="1">#REF!</definedName>
    <definedName name="_xlnm._FilterDatabase" localSheetId="19" hidden="1">'Example Filled out'!$A$21:$CA$76</definedName>
    <definedName name="_xlnm._FilterDatabase" localSheetId="14" hidden="1">'FROP (Customer)'!$A$27:$CB$83</definedName>
    <definedName name="_xlnm._FilterDatabase" localSheetId="2" hidden="1">'Project Configurations'!$1:$1</definedName>
    <definedName name="_fr4" localSheetId="19" hidden="1">{#N/A,#N/A,FALSE,"Table of Contents";#N/A,#N/A,FALSE,"Overview";#N/A,#N/A,FALSE,"Data"}</definedName>
    <definedName name="_fr4" hidden="1">{#N/A,#N/A,FALSE,"Table of Contents";#N/A,#N/A,FALSE,"Overview";#N/A,#N/A,FALSE,"Data"}</definedName>
    <definedName name="_hu89" localSheetId="19" hidden="1">{#N/A,#N/A,FALSE,"Table of Contents";#N/A,#N/A,FALSE,"Overview";#N/A,#N/A,FALSE,"Data"}</definedName>
    <definedName name="_hu89" hidden="1">{#N/A,#N/A,FALSE,"Table of Contents";#N/A,#N/A,FALSE,"Overview";#N/A,#N/A,FALSE,"Data"}</definedName>
    <definedName name="_hu90" localSheetId="19" hidden="1">{#N/A,#N/A,FALSE,"Table of Contents";#N/A,#N/A,FALSE,"Overview";#N/A,#N/A,FALSE,"Data"}</definedName>
    <definedName name="_hu90" hidden="1">{#N/A,#N/A,FALSE,"Table of Contents";#N/A,#N/A,FALSE,"Overview";#N/A,#N/A,FALSE,"Data"}</definedName>
    <definedName name="_kyg867" localSheetId="19" hidden="1">{#N/A,#N/A,FALSE,"Table of Contents";#N/A,#N/A,FALSE,"Overview";#N/A,#N/A,FALSE,"Data"}</definedName>
    <definedName name="_kyg867" hidden="1">{#N/A,#N/A,FALSE,"Table of Contents";#N/A,#N/A,FALSE,"Overview";#N/A,#N/A,FALSE,"Data"}</definedName>
    <definedName name="_kyg868" localSheetId="19" hidden="1">{#N/A,#N/A,FALSE,"Table of Contents";#N/A,#N/A,FALSE,"Overview";#N/A,#N/A,FALSE,"Data"}</definedName>
    <definedName name="_kyg868" hidden="1">{#N/A,#N/A,FALSE,"Table of Contents";#N/A,#N/A,FALSE,"Overview";#N/A,#N/A,FALSE,"Data"}</definedName>
    <definedName name="_Order1" hidden="1">255</definedName>
    <definedName name="_Order2" hidden="1">255</definedName>
    <definedName name="_xlchart.v1.0" hidden="1">'Feature Metrics'!$A$3</definedName>
    <definedName name="_xlchart.v1.1" hidden="1">'Feature Metrics'!$B$1:$CV$1</definedName>
    <definedName name="_xlchart.v1.10" hidden="1">'Feature Metrics'!$B$1:$CV$1</definedName>
    <definedName name="_xlchart.v1.11" hidden="1">'Feature Metrics'!$B$2:$CV$2</definedName>
    <definedName name="_xlchart.v1.12" hidden="1">'Product Metrics'!$U$2</definedName>
    <definedName name="_xlchart.v1.13" hidden="1">'Product Metrics'!$V$1:$Y$1</definedName>
    <definedName name="_xlchart.v1.14" hidden="1">'Product Metrics'!$V$2:$Y$2</definedName>
    <definedName name="_xlchart.v1.15" hidden="1">'Product Metrics'!$AA$2</definedName>
    <definedName name="_xlchart.v1.16" hidden="1">'Product Metrics'!$AB$1:$AI$1</definedName>
    <definedName name="_xlchart.v1.17" hidden="1">'Product Metrics'!$AB$2:$AI$2</definedName>
    <definedName name="_xlchart.v1.18" hidden="1">'Product Metrics'!$AW$2</definedName>
    <definedName name="_xlchart.v1.19" hidden="1">'Product Metrics'!$AX$1:$BP$1</definedName>
    <definedName name="_xlchart.v1.2" hidden="1">'Feature Metrics'!$B$3:$CV$3</definedName>
    <definedName name="_xlchart.v1.20" hidden="1">'Product Metrics'!$AX$2:$BP$2</definedName>
    <definedName name="_xlchart.v1.21" hidden="1">'Product Metrics'!$AK$2</definedName>
    <definedName name="_xlchart.v1.22" hidden="1">'Product Metrics'!$AL$1:$AT$1</definedName>
    <definedName name="_xlchart.v1.23" hidden="1">'Product Metrics'!$AL$2:$AT$2</definedName>
    <definedName name="_xlchart.v1.3" hidden="1">'Feature Metrics'!$A$4</definedName>
    <definedName name="_xlchart.v1.4" hidden="1">'Feature Metrics'!$B$1:$CV$1</definedName>
    <definedName name="_xlchart.v1.5" hidden="1">'Feature Metrics'!$B$4:$CV$4</definedName>
    <definedName name="_xlchart.v1.6" hidden="1">'Feature Metrics'!$A$6</definedName>
    <definedName name="_xlchart.v1.7" hidden="1">'Feature Metrics'!$B$1:$CV$1</definedName>
    <definedName name="_xlchart.v1.8" hidden="1">'Feature Metrics'!$B$6:$CV$6</definedName>
    <definedName name="_xlchart.v1.9" hidden="1">'Feature Metrics'!$A$2</definedName>
    <definedName name="_xleta.COUNTIF" hidden="1" xlm="1">#NAME?</definedName>
    <definedName name="ASILLevels">'Pulldown Data'!$B$2:$B$6</definedName>
    <definedName name="ASPICELevels">'Pulldown Data'!$D$2:$D$7</definedName>
    <definedName name="ASPICEVersions">'Pulldown Data'!$C$2:$C$3</definedName>
    <definedName name="bbbb" localSheetId="19" hidden="1">{#N/A,#N/A,TRUE,"CPRD";#N/A,#N/A,TRUE,"BCCPDR";#N/A,#N/A,TRUE,"EWRD";#N/A,#N/A,TRUE,"5100";#N/A,#N/A,TRUE,"5110"}</definedName>
    <definedName name="bbbb" hidden="1">{#N/A,#N/A,TRUE,"CPRD";#N/A,#N/A,TRUE,"BCCPDR";#N/A,#N/A,TRUE,"EWRD";#N/A,#N/A,TRUE,"5100";#N/A,#N/A,TRUE,"5110"}</definedName>
    <definedName name="cat" localSheetId="19" hidden="1">{#N/A,#N/A,TRUE,"CPRD";#N/A,#N/A,TRUE,"BCCPDR";#N/A,#N/A,TRUE,"EWRD";#N/A,#N/A,TRUE,"5100";#N/A,#N/A,TRUE,"5110"}</definedName>
    <definedName name="cat" hidden="1">{#N/A,#N/A,TRUE,"CPRD";#N/A,#N/A,TRUE,"BCCPDR";#N/A,#N/A,TRUE,"EWRD";#N/A,#N/A,TRUE,"5100";#N/A,#N/A,TRUE,"5110"}</definedName>
    <definedName name="csDesignMode">1</definedName>
    <definedName name="dfbf" localSheetId="19" hidden="1">{#N/A,#N/A,TRUE,"CPRD";#N/A,#N/A,TRUE,"BCCPDR";#N/A,#N/A,TRUE,"EWRD";#N/A,#N/A,TRUE,"5100";#N/A,#N/A,TRUE,"5110"}</definedName>
    <definedName name="dfbf" hidden="1">{#N/A,#N/A,TRUE,"CPRD";#N/A,#N/A,TRUE,"BCCPDR";#N/A,#N/A,TRUE,"EWRD";#N/A,#N/A,TRUE,"5100";#N/A,#N/A,TRUE,"5110"}</definedName>
    <definedName name="distinguished">"Picture 17"</definedName>
    <definedName name="dog" localSheetId="19" hidden="1">{#N/A,#N/A,TRUE,"CPRD";#N/A,#N/A,TRUE,"BCCPDR";#N/A,#N/A,TRUE,"EWRD";#N/A,#N/A,TRUE,"5100";#N/A,#N/A,TRUE,"5110"}</definedName>
    <definedName name="dog" hidden="1">{#N/A,#N/A,TRUE,"CPRD";#N/A,#N/A,TRUE,"BCCPDR";#N/A,#N/A,TRUE,"EWRD";#N/A,#N/A,TRUE,"5100";#N/A,#N/A,TRUE,"5110"}</definedName>
    <definedName name="FeatureRequestTable">'Feature Metrics'!$C$1</definedName>
    <definedName name="fff" localSheetId="19" hidden="1">{#N/A,#N/A,FALSE,"Table of Contents";#N/A,#N/A,FALSE,"Overview";#N/A,#N/A,FALSE,"Data"}</definedName>
    <definedName name="fff" hidden="1">{#N/A,#N/A,FALSE,"Table of Contents";#N/A,#N/A,FALSE,"Overview";#N/A,#N/A,FALSE,"Data"}</definedName>
    <definedName name="fgyu" localSheetId="19" hidden="1">{#N/A,#N/A,TRUE,"CPRD";#N/A,#N/A,TRUE,"BCCPDR";#N/A,#N/A,TRUE,"EWRD";#N/A,#N/A,TRUE,"5100";#N/A,#N/A,TRUE,"5110"}</definedName>
    <definedName name="fgyu" hidden="1">{#N/A,#N/A,TRUE,"CPRD";#N/A,#N/A,TRUE,"BCCPDR";#N/A,#N/A,TRUE,"EWRD";#N/A,#N/A,TRUE,"5100";#N/A,#N/A,TRUE,"5110"}</definedName>
    <definedName name="g" hidden="1">#REF!</definedName>
    <definedName name="gbbf" localSheetId="19" hidden="1">{#N/A,#N/A,FALSE,"Table of Contents";#N/A,#N/A,FALSE,"Overview";#N/A,#N/A,FALSE,"Data"}</definedName>
    <definedName name="gbbf" hidden="1">{#N/A,#N/A,FALSE,"Table of Contents";#N/A,#N/A,FALSE,"Overview";#N/A,#N/A,FALSE,"Data"}</definedName>
    <definedName name="gfd" localSheetId="19" hidden="1">{#N/A,#N/A,TRUE,"CPRD";#N/A,#N/A,TRUE,"BCCPDR";#N/A,#N/A,TRUE,"EWRD";#N/A,#N/A,TRUE,"5100";#N/A,#N/A,TRUE,"5110"}</definedName>
    <definedName name="gfd" hidden="1">{#N/A,#N/A,TRUE,"CPRD";#N/A,#N/A,TRUE,"BCCPDR";#N/A,#N/A,TRUE,"EWRD";#N/A,#N/A,TRUE,"5100";#N/A,#N/A,TRUE,"5110"}</definedName>
    <definedName name="Graph" hidden="1">#REF!</definedName>
    <definedName name="Haynes_adjusted" localSheetId="19" hidden="1">{#N/A,#N/A,TRUE,"CPRD";#N/A,#N/A,TRUE,"BCCPDR";#N/A,#N/A,TRUE,"EWRD";#N/A,#N/A,TRUE,"5100";#N/A,#N/A,TRUE,"5110"}</definedName>
    <definedName name="Haynes_adjusted" hidden="1">{#N/A,#N/A,TRUE,"CPRD";#N/A,#N/A,TRUE,"BCCPDR";#N/A,#N/A,TRUE,"EWRD";#N/A,#N/A,TRUE,"5100";#N/A,#N/A,TRUE,"5110"}</definedName>
    <definedName name="Haynes_adjusted2" localSheetId="19" hidden="1">{#N/A,#N/A,TRUE,"CPRD";#N/A,#N/A,TRUE,"BCCPDR";#N/A,#N/A,TRUE,"EWRD";#N/A,#N/A,TRUE,"5100";#N/A,#N/A,TRUE,"5110"}</definedName>
    <definedName name="Haynes_adjusted2" hidden="1">{#N/A,#N/A,TRUE,"CPRD";#N/A,#N/A,TRUE,"BCCPDR";#N/A,#N/A,TRUE,"EWRD";#N/A,#N/A,TRUE,"5100";#N/A,#N/A,TRUE,"5110"}</definedName>
    <definedName name="HdctTrnd" localSheetId="19" hidden="1">{#N/A,#N/A,TRUE,"CPRD";#N/A,#N/A,TRUE,"BCCPDR";#N/A,#N/A,TRUE,"EWRD";#N/A,#N/A,TRUE,"5100";#N/A,#N/A,TRUE,"5110"}</definedName>
    <definedName name="HdctTrnd" hidden="1">{#N/A,#N/A,TRUE,"CPRD";#N/A,#N/A,TRUE,"BCCPDR";#N/A,#N/A,TRUE,"EWRD";#N/A,#N/A,TRUE,"5100";#N/A,#N/A,TRUE,"5110"}</definedName>
    <definedName name="hhjkg78" localSheetId="19" hidden="1">{#N/A,#N/A,FALSE,"Table of Contents";#N/A,#N/A,FALSE,"Overview";#N/A,#N/A,FALSE,"Data"}</definedName>
    <definedName name="hhjkg78" hidden="1">{#N/A,#N/A,FALSE,"Table of Contents";#N/A,#N/A,FALSE,"Overview";#N/A,#N/A,FALSE,"Data"}</definedName>
    <definedName name="HTML_CodePage" hidden="1">1252</definedName>
    <definedName name="HTML_Control" localSheetId="19" hidden="1">{"'Sheet1'!$A$11:$F$42"}</definedName>
    <definedName name="HTML_Control" hidden="1">{"'Sheet1'!$A$11:$F$42"}</definedName>
    <definedName name="HTML_Description" hidden="1">""</definedName>
    <definedName name="HTML_Email" hidden="1">""</definedName>
    <definedName name="HTML_Header" hidden="1">"Sheet1"</definedName>
    <definedName name="HTML_LastUpdate" hidden="1">"11/3/00"</definedName>
    <definedName name="HTML_LineAfter" hidden="1">FALSE</definedName>
    <definedName name="HTML_LineBefore" hidden="1">FALSE</definedName>
    <definedName name="HTML_Name" hidden="1">"Anne Ren"</definedName>
    <definedName name="HTML_OBDlg2" hidden="1">TRUE</definedName>
    <definedName name="HTML_OBDlg3" hidden="1">TRUE</definedName>
    <definedName name="HTML_OBDlg4" hidden="1">TRUE</definedName>
    <definedName name="HTML_OS" hidden="1">0</definedName>
    <definedName name="HTML_PathFile" hidden="1">"W:\Exchange_Rate\MyHTML.htm"</definedName>
    <definedName name="HTML_PathTemplate" hidden="1">"L:\Intrate\intrate.htm"</definedName>
    <definedName name="HTML_Title" hidden="1">"Nov Exchange Rate"</definedName>
    <definedName name="ISO26262Versions">'Pulldown Data'!$A$2:$A$3</definedName>
    <definedName name="jhjkk78" localSheetId="19" hidden="1">{#N/A,#N/A,FALSE,"Table of Contents";#N/A,#N/A,FALSE,"Overview";#N/A,#N/A,FALSE,"Data"}</definedName>
    <definedName name="jhjkk78" hidden="1">{#N/A,#N/A,FALSE,"Table of Contents";#N/A,#N/A,FALSE,"Overview";#N/A,#N/A,FALSE,"Data"}</definedName>
    <definedName name="kjk7i" localSheetId="19" hidden="1">{#N/A,#N/A,FALSE,"Table of Contents";#N/A,#N/A,FALSE,"Overview";#N/A,#N/A,FALSE,"Data"}</definedName>
    <definedName name="kjk7i" hidden="1">{#N/A,#N/A,FALSE,"Table of Contents";#N/A,#N/A,FALSE,"Overview";#N/A,#N/A,FALSE,"Data"}</definedName>
    <definedName name="lffml98" localSheetId="19" hidden="1">{#N/A,#N/A,FALSE,"Table of Contents";#N/A,#N/A,FALSE,"Overview";#N/A,#N/A,FALSE,"Data"}</definedName>
    <definedName name="lffml98" hidden="1">{#N/A,#N/A,FALSE,"Table of Contents";#N/A,#N/A,FALSE,"Overview";#N/A,#N/A,FALSE,"Data"}</definedName>
    <definedName name="lhjku78" localSheetId="19" hidden="1">{#N/A,#N/A,FALSE,"Table of Contents";#N/A,#N/A,FALSE,"Overview";#N/A,#N/A,FALSE,"Data"}</definedName>
    <definedName name="lhjku78" hidden="1">{#N/A,#N/A,FALSE,"Table of Contents";#N/A,#N/A,FALSE,"Overview";#N/A,#N/A,FALSE,"Data"}</definedName>
    <definedName name="llkkj" localSheetId="19" hidden="1">{#N/A,#N/A,TRUE,"CPRD";#N/A,#N/A,TRUE,"BCCPDR";#N/A,#N/A,TRUE,"EWRD";#N/A,#N/A,TRUE,"5100";#N/A,#N/A,TRUE,"5110"}</definedName>
    <definedName name="llkkj" hidden="1">{#N/A,#N/A,TRUE,"CPRD";#N/A,#N/A,TRUE,"BCCPDR";#N/A,#N/A,TRUE,"EWRD";#N/A,#N/A,TRUE,"5100";#N/A,#N/A,TRUE,"5110"}</definedName>
    <definedName name="luhdbv85645" localSheetId="19" hidden="1">{#N/A,#N/A,FALSE,"Table of Contents";#N/A,#N/A,FALSE,"Overview";#N/A,#N/A,FALSE,"Data"}</definedName>
    <definedName name="luhdbv85645" hidden="1">{#N/A,#N/A,FALSE,"Table of Contents";#N/A,#N/A,FALSE,"Overview";#N/A,#N/A,FALSE,"Data"}</definedName>
    <definedName name="MFiles_PG3E2BB7EBC49E4C8C825CCAE0AEBA9A06">"SM-PAENG-PRM-TEM-38 - Feature Rollout Plan (FROP) Template"</definedName>
    <definedName name="MFiles_PG492A908E02F747D19ECB2C5D8F8D0142">"13/05/2021"</definedName>
    <definedName name="MFiles_PG9520DD9258AF4AB2A0539EC662B3BA04">"Kapeel Deo"</definedName>
    <definedName name="MFiles_PGA0629A6F581B4BE58F6A4B5969DB5666">"INTERNAL USE ONLY"</definedName>
    <definedName name="MFiles_PGBF1AF0BF5C2F484484376909A06B860B" localSheetId="11">2</definedName>
    <definedName name="MFiles_PGBF1AF0BF5C2F484484376909A06B860B">2</definedName>
    <definedName name="MFiles_PGF49EB5761BF24F80A9DE87E871E70811">0</definedName>
    <definedName name="Modified" localSheetId="19" hidden="1">{#N/A,#N/A,TRUE,"CPRD";#N/A,#N/A,TRUE,"BCCPDR";#N/A,#N/A,TRUE,"EWRD";#N/A,#N/A,TRUE,"5100";#N/A,#N/A,TRUE,"5110"}</definedName>
    <definedName name="Modified" hidden="1">{#N/A,#N/A,TRUE,"CPRD";#N/A,#N/A,TRUE,"BCCPDR";#N/A,#N/A,TRUE,"EWRD";#N/A,#N/A,TRUE,"5100";#N/A,#N/A,TRUE,"5110"}</definedName>
    <definedName name="notused" localSheetId="19" hidden="1">{#N/A,#N/A,TRUE,"CPRD";#N/A,#N/A,TRUE,"BCCPDR";#N/A,#N/A,TRUE,"EWRD";#N/A,#N/A,TRUE,"5100";#N/A,#N/A,TRUE,"5110"}</definedName>
    <definedName name="notused" hidden="1">{#N/A,#N/A,TRUE,"CPRD";#N/A,#N/A,TRUE,"BCCPDR";#N/A,#N/A,TRUE,"EWRD";#N/A,#N/A,TRUE,"5100";#N/A,#N/A,TRUE,"5110"}</definedName>
    <definedName name="notused2" localSheetId="19" hidden="1">{#N/A,#N/A,TRUE,"CPRD";#N/A,#N/A,TRUE,"BCCPDR";#N/A,#N/A,TRUE,"EWRD";#N/A,#N/A,TRUE,"5100";#N/A,#N/A,TRUE,"5110"}</definedName>
    <definedName name="notused2" hidden="1">{#N/A,#N/A,TRUE,"CPRD";#N/A,#N/A,TRUE,"BCCPDR";#N/A,#N/A,TRUE,"EWRD";#N/A,#N/A,TRUE,"5100";#N/A,#N/A,TRUE,"5110"}</definedName>
    <definedName name="OperatingSystems">'Pulldown Data'!$E$2:$E$9</definedName>
    <definedName name="_xlnm.Print_Area" localSheetId="0">Cover!$A$1:$D$17</definedName>
    <definedName name="_xlnm.Print_Area" localSheetId="19">'Example Filled out'!$A$1:$BS$89</definedName>
    <definedName name="_xlnm.Print_Area" localSheetId="14">'FROP (Customer)'!$A$1:$AP$94</definedName>
    <definedName name="_xlnm.Print_Area" localSheetId="11">'Instructions for Use'!$A$1:$E$19</definedName>
    <definedName name="_xlnm.Print_Area" localSheetId="1">Revision!$A$1:$M$32</definedName>
    <definedName name="PRJGENAlgos">ProjectsGenTool!$C$1:$BQ$1</definedName>
    <definedName name="PRJGENAlgosMapped">ProjectsGenTool!$C$2:$BQ$2</definedName>
    <definedName name="PRJGENProjects">ProjectsGenTool!$A$3:$A$43</definedName>
    <definedName name="PRJGENVersions">ProjectsGenTool!$C$3:$BQ$43</definedName>
    <definedName name="ProdData_SoC">'Project Configurations'!$EF$2:$EX$220</definedName>
    <definedName name="ProductCfgHeader">ProductTableHeadings!$A$2:$EW$2</definedName>
    <definedName name="ProductCfgHeader_Prefixed">ProductTableHeadings!$A$3:$EX$3</definedName>
    <definedName name="RoadmapData">RoadmapData!$D$2:$BW$101</definedName>
    <definedName name="RoadmapDataFeatures">RoadmapData!$B$2:$B$101</definedName>
    <definedName name="RoadmapDataProjects">RoadmapData!$D$1:$BZ$1</definedName>
    <definedName name="sapbex" hidden="1">"3TZ271MOJ403JHVICA18IP9JB"</definedName>
    <definedName name="SAPBEXdnldView" hidden="1">"3X1BQ8N5W3FQCAE4GX3N59VN5"</definedName>
    <definedName name="SAPBEXsysID" hidden="1">"BWP"</definedName>
    <definedName name="sdfd" localSheetId="19" hidden="1">{#N/A,#N/A,TRUE,"CPRD";#N/A,#N/A,TRUE,"BCCPDR";#N/A,#N/A,TRUE,"EWRD";#N/A,#N/A,TRUE,"5100";#N/A,#N/A,TRUE,"5110"}</definedName>
    <definedName name="sdfd" hidden="1">{#N/A,#N/A,TRUE,"CPRD";#N/A,#N/A,TRUE,"BCCPDR";#N/A,#N/A,TRUE,"EWRD";#N/A,#N/A,TRUE,"5100";#N/A,#N/A,TRUE,"5110"}</definedName>
    <definedName name="SeatPosEncoding">'Pulldown Data'!$H$2:$H$10</definedName>
    <definedName name="SeatPosEncodingName">'Pulldown Data'!$G$2:$G$10</definedName>
    <definedName name="sjdklfj" hidden="1">#REF!</definedName>
    <definedName name="TableName">"Dummy"</definedName>
    <definedName name="test" hidden="1">#REF!</definedName>
    <definedName name="uihjyn" localSheetId="19" hidden="1">{#N/A,#N/A,TRUE,"CPRD";#N/A,#N/A,TRUE,"BCCPDR";#N/A,#N/A,TRUE,"EWRD";#N/A,#N/A,TRUE,"5100";#N/A,#N/A,TRUE,"5110"}</definedName>
    <definedName name="uihjyn" hidden="1">{#N/A,#N/A,TRUE,"CPRD";#N/A,#N/A,TRUE,"BCCPDR";#N/A,#N/A,TRUE,"EWRD";#N/A,#N/A,TRUE,"5100";#N/A,#N/A,TRUE,"5110"}</definedName>
    <definedName name="V" localSheetId="19" hidden="1">{#N/A,#N/A,TRUE,"CPRD";#N/A,#N/A,TRUE,"BCCPDR";#N/A,#N/A,TRUE,"EWRD";#N/A,#N/A,TRUE,"5100";#N/A,#N/A,TRUE,"5110"}</definedName>
    <definedName name="V" hidden="1">{#N/A,#N/A,TRUE,"CPRD";#N/A,#N/A,TRUE,"BCCPDR";#N/A,#N/A,TRUE,"EWRD";#N/A,#N/A,TRUE,"5100";#N/A,#N/A,TRUE,"5110"}</definedName>
    <definedName name="vcxb" localSheetId="19" hidden="1">{#N/A,#N/A,FALSE,"Table of Contents";#N/A,#N/A,FALSE,"Overview";#N/A,#N/A,FALSE,"Data"}</definedName>
    <definedName name="vcxb" hidden="1">{#N/A,#N/A,FALSE,"Table of Contents";#N/A,#N/A,FALSE,"Overview";#N/A,#N/A,FALSE,"Data"}</definedName>
    <definedName name="VersionNumber" hidden="1">"4.10.7354"</definedName>
    <definedName name="w" localSheetId="19" hidden="1">{#N/A,#N/A,TRUE,"CPRD";#N/A,#N/A,TRUE,"BCCPDR";#N/A,#N/A,TRUE,"EWRD";#N/A,#N/A,TRUE,"5100";#N/A,#N/A,TRUE,"5110"}</definedName>
    <definedName name="w" hidden="1">{#N/A,#N/A,TRUE,"CPRD";#N/A,#N/A,TRUE,"BCCPDR";#N/A,#N/A,TRUE,"EWRD";#N/A,#N/A,TRUE,"5100";#N/A,#N/A,TRUE,"5110"}</definedName>
    <definedName name="wer" localSheetId="19" hidden="1">{#N/A,#N/A,TRUE,"CPRD";#N/A,#N/A,TRUE,"BCCPDR";#N/A,#N/A,TRUE,"EWRD";#N/A,#N/A,TRUE,"5100";#N/A,#N/A,TRUE,"5110"}</definedName>
    <definedName name="wer" hidden="1">{#N/A,#N/A,TRUE,"CPRD";#N/A,#N/A,TRUE,"BCCPDR";#N/A,#N/A,TRUE,"EWRD";#N/A,#N/A,TRUE,"5100";#N/A,#N/A,TRUE,"5110"}</definedName>
    <definedName name="wesdfgf" localSheetId="19" hidden="1">{#N/A,#N/A,TRUE,"CPRD";#N/A,#N/A,TRUE,"BCCPDR";#N/A,#N/A,TRUE,"EWRD";#N/A,#N/A,TRUE,"5100";#N/A,#N/A,TRUE,"5110"}</definedName>
    <definedName name="wesdfgf" hidden="1">{#N/A,#N/A,TRUE,"CPRD";#N/A,#N/A,TRUE,"BCCPDR";#N/A,#N/A,TRUE,"EWRD";#N/A,#N/A,TRUE,"5100";#N/A,#N/A,TRUE,"5110"}</definedName>
    <definedName name="wrn.Deptartment._.Expenses." localSheetId="19" hidden="1">{#N/A,#N/A,TRUE,"CPRD";#N/A,#N/A,TRUE,"BCCPDR";#N/A,#N/A,TRUE,"EWRD";#N/A,#N/A,TRUE,"5100";#N/A,#N/A,TRUE,"5110"}</definedName>
    <definedName name="wrn.Deptartment._.Expenses." hidden="1">{#N/A,#N/A,TRUE,"CPRD";#N/A,#N/A,TRUE,"BCCPDR";#N/A,#N/A,TRUE,"EWRD";#N/A,#N/A,TRUE,"5100";#N/A,#N/A,TRUE,"5110"}</definedName>
    <definedName name="wrn.WSTS._.Trade._.Statistics." localSheetId="19" hidden="1">{#N/A,#N/A,FALSE,"Table of Contents";#N/A,#N/A,FALSE,"Overview";#N/A,#N/A,FALSE,"Data"}</definedName>
    <definedName name="wrn.WSTS._.Trade._.Statistics." hidden="1">{#N/A,#N/A,FALSE,"Table of Contents";#N/A,#N/A,FALSE,"Overview";#N/A,#N/A,FALSE,"Data"}</definedName>
    <definedName name="ww" hidden="1">#REF!</definedName>
  </definedNames>
  <calcPr calcId="191028" calcMode="autoNoTable"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20" l="1"/>
  <c r="E217" i="23"/>
  <c r="F217" i="23"/>
  <c r="G217" i="23"/>
  <c r="H217" i="23"/>
  <c r="I217" i="23"/>
  <c r="J217" i="23"/>
  <c r="K217" i="23"/>
  <c r="L217" i="23"/>
  <c r="M217" i="23"/>
  <c r="N217" i="23"/>
  <c r="O217" i="23"/>
  <c r="P217" i="23"/>
  <c r="Q217" i="23"/>
  <c r="R217" i="23"/>
  <c r="S217" i="23"/>
  <c r="T217" i="23"/>
  <c r="U217" i="23"/>
  <c r="V217" i="23"/>
  <c r="W217" i="23"/>
  <c r="X217" i="23"/>
  <c r="Y217" i="23"/>
  <c r="Z217" i="23"/>
  <c r="AA217" i="23"/>
  <c r="AB217" i="23"/>
  <c r="AC217" i="23"/>
  <c r="AD217" i="23"/>
  <c r="AE217" i="23"/>
  <c r="AF217" i="23"/>
  <c r="AG217" i="23"/>
  <c r="AH217" i="23"/>
  <c r="AI217" i="23"/>
  <c r="AJ217" i="23"/>
  <c r="AK217" i="23"/>
  <c r="AL217" i="23"/>
  <c r="AM217" i="23"/>
  <c r="AN217" i="23"/>
  <c r="AO217" i="23"/>
  <c r="AP217" i="23"/>
  <c r="AQ217" i="23"/>
  <c r="AR217" i="23"/>
  <c r="AS217" i="23"/>
  <c r="AT217" i="23"/>
  <c r="AU217" i="23"/>
  <c r="AV217" i="23"/>
  <c r="AW217" i="23"/>
  <c r="AX217" i="23"/>
  <c r="AY217" i="23"/>
  <c r="AZ217" i="23"/>
  <c r="BA217" i="23"/>
  <c r="BB217" i="23"/>
  <c r="BC217" i="23"/>
  <c r="BD217" i="23"/>
  <c r="BE217" i="23"/>
  <c r="BF217" i="23"/>
  <c r="BG217" i="23"/>
  <c r="BH217" i="23"/>
  <c r="E218" i="23"/>
  <c r="F218" i="23"/>
  <c r="G218" i="23"/>
  <c r="H218" i="23"/>
  <c r="I218" i="23"/>
  <c r="J218" i="23"/>
  <c r="K218" i="23"/>
  <c r="L218" i="23"/>
  <c r="M218" i="23"/>
  <c r="N218" i="23"/>
  <c r="O218" i="23"/>
  <c r="P218" i="23"/>
  <c r="Q218" i="23"/>
  <c r="R218" i="23"/>
  <c r="S218" i="23"/>
  <c r="T218" i="23"/>
  <c r="U218" i="23"/>
  <c r="V218" i="23"/>
  <c r="W218" i="23"/>
  <c r="X218" i="23"/>
  <c r="Y218" i="23"/>
  <c r="Z218" i="23"/>
  <c r="AA218" i="23"/>
  <c r="AB218" i="23"/>
  <c r="AC218" i="23"/>
  <c r="AD218" i="23"/>
  <c r="AE218" i="23"/>
  <c r="AF218" i="23"/>
  <c r="AG218" i="23"/>
  <c r="AH218" i="23"/>
  <c r="AI218" i="23"/>
  <c r="AJ218" i="23"/>
  <c r="AK218" i="23"/>
  <c r="AL218" i="23"/>
  <c r="AM218" i="23"/>
  <c r="AN218" i="23"/>
  <c r="AO218" i="23"/>
  <c r="AP218" i="23"/>
  <c r="AQ218" i="23"/>
  <c r="AR218" i="23"/>
  <c r="AS218" i="23"/>
  <c r="AT218" i="23"/>
  <c r="AU218" i="23"/>
  <c r="AV218" i="23"/>
  <c r="AW218" i="23"/>
  <c r="AX218" i="23"/>
  <c r="AY218" i="23"/>
  <c r="AZ218" i="23"/>
  <c r="BA218" i="23"/>
  <c r="BB218" i="23"/>
  <c r="BC218" i="23"/>
  <c r="BD218" i="23"/>
  <c r="BE218" i="23"/>
  <c r="BF218" i="23"/>
  <c r="BG218" i="23"/>
  <c r="BH218" i="23"/>
  <c r="BJ217" i="23"/>
  <c r="BK217" i="23"/>
  <c r="BL217" i="23"/>
  <c r="BM217" i="23"/>
  <c r="BN217" i="23"/>
  <c r="BO217" i="23"/>
  <c r="BP217" i="23"/>
  <c r="BQ217" i="23"/>
  <c r="BR217" i="23"/>
  <c r="BS217" i="23"/>
  <c r="BT217" i="23"/>
  <c r="BU217" i="23"/>
  <c r="BV217" i="23"/>
  <c r="BW217" i="23"/>
  <c r="BX217" i="23"/>
  <c r="BY217" i="23"/>
  <c r="BZ217" i="23"/>
  <c r="CA217" i="23"/>
  <c r="CB217" i="23"/>
  <c r="CC217" i="23"/>
  <c r="CD217" i="23"/>
  <c r="CE217" i="23"/>
  <c r="CF217" i="23"/>
  <c r="CG217" i="23"/>
  <c r="CH217" i="23"/>
  <c r="CI217" i="23"/>
  <c r="CJ217" i="23"/>
  <c r="CK217" i="23"/>
  <c r="CL217" i="23"/>
  <c r="CM217" i="23"/>
  <c r="CN217" i="23"/>
  <c r="CO217" i="23"/>
  <c r="CP217" i="23"/>
  <c r="CQ217" i="23"/>
  <c r="CR217" i="23"/>
  <c r="CS217" i="23"/>
  <c r="CT217" i="23"/>
  <c r="CU217" i="23"/>
  <c r="CV217" i="23"/>
  <c r="CW217" i="23"/>
  <c r="CX217" i="23"/>
  <c r="CY217" i="23"/>
  <c r="CZ217" i="23"/>
  <c r="BJ218" i="23"/>
  <c r="BK218" i="23"/>
  <c r="BL218" i="23"/>
  <c r="BM218" i="23"/>
  <c r="BN218" i="23"/>
  <c r="BO218" i="23"/>
  <c r="BP218" i="23"/>
  <c r="BQ218" i="23"/>
  <c r="BR218" i="23"/>
  <c r="BS218" i="23"/>
  <c r="BT218" i="23"/>
  <c r="BU218" i="23"/>
  <c r="BV218" i="23"/>
  <c r="BW218" i="23"/>
  <c r="BX218" i="23"/>
  <c r="BY218" i="23"/>
  <c r="BZ218" i="23"/>
  <c r="CA218" i="23"/>
  <c r="CB218" i="23"/>
  <c r="CC218" i="23"/>
  <c r="CD218" i="23"/>
  <c r="CE218" i="23"/>
  <c r="CF218" i="23"/>
  <c r="CG218" i="23"/>
  <c r="CH218" i="23"/>
  <c r="CI218" i="23"/>
  <c r="CJ218" i="23"/>
  <c r="CK218" i="23"/>
  <c r="CL218" i="23"/>
  <c r="CM218" i="23"/>
  <c r="CN218" i="23"/>
  <c r="CO218" i="23"/>
  <c r="CP218" i="23"/>
  <c r="CQ218" i="23"/>
  <c r="CR218" i="23"/>
  <c r="CS218" i="23"/>
  <c r="CT218" i="23"/>
  <c r="CU218" i="23"/>
  <c r="CV218" i="23"/>
  <c r="CW218" i="23"/>
  <c r="CX218" i="23"/>
  <c r="CY218" i="23"/>
  <c r="CZ218" i="23"/>
  <c r="D2" i="37" a="1"/>
  <c r="D2" i="37" s="1"/>
  <c r="E2" i="37" a="1"/>
  <c r="E2" i="37" s="1"/>
  <c r="F2" i="37" a="1"/>
  <c r="F2" i="37" s="1"/>
  <c r="G2" i="37" a="1"/>
  <c r="G2" i="37" s="1"/>
  <c r="H2" i="37" a="1"/>
  <c r="H2" i="37" s="1"/>
  <c r="I2" i="37" a="1"/>
  <c r="I2" i="37" s="1"/>
  <c r="J2" i="37" a="1"/>
  <c r="J2" i="37" s="1"/>
  <c r="K2" i="37" a="1"/>
  <c r="K2" i="37" s="1"/>
  <c r="L2" i="37" a="1"/>
  <c r="L2" i="37" s="1"/>
  <c r="M2" i="37" a="1"/>
  <c r="M2" i="37" s="1"/>
  <c r="N2" i="37" a="1"/>
  <c r="N2" i="37" s="1"/>
  <c r="O2" i="37" a="1"/>
  <c r="O2" i="37" s="1"/>
  <c r="P2" i="37" a="1"/>
  <c r="P2" i="37" s="1"/>
  <c r="Q2" i="37" a="1"/>
  <c r="Q2" i="37" s="1"/>
  <c r="R2" i="37" a="1"/>
  <c r="R2" i="37" s="1"/>
  <c r="S2" i="37" a="1"/>
  <c r="S2" i="37" s="1"/>
  <c r="T2" i="37" a="1"/>
  <c r="T2" i="37" s="1"/>
  <c r="U2" i="37" a="1"/>
  <c r="U2" i="37" s="1"/>
  <c r="V2" i="37" a="1"/>
  <c r="V2" i="37" s="1"/>
  <c r="W2" i="37" a="1"/>
  <c r="W2" i="37" s="1"/>
  <c r="X2" i="37" a="1"/>
  <c r="X2" i="37" s="1"/>
  <c r="Y2" i="37" a="1"/>
  <c r="Y2" i="37" s="1"/>
  <c r="Z2" i="37" a="1"/>
  <c r="Z2" i="37" s="1"/>
  <c r="AA2" i="37" a="1"/>
  <c r="AA2" i="37" s="1"/>
  <c r="AB2" i="37" a="1"/>
  <c r="AB2" i="37" s="1"/>
  <c r="AC2" i="37" a="1"/>
  <c r="AC2" i="37" s="1"/>
  <c r="AD2" i="37" a="1"/>
  <c r="AD2" i="37" s="1"/>
  <c r="AE2" i="37" a="1"/>
  <c r="AE2" i="37" s="1"/>
  <c r="AF2" i="37" a="1"/>
  <c r="AF2" i="37" s="1"/>
  <c r="AG2" i="37" a="1"/>
  <c r="AG2" i="37" s="1"/>
  <c r="AH2" i="37" a="1"/>
  <c r="AH2" i="37" s="1"/>
  <c r="AI2" i="37" a="1"/>
  <c r="AI2" i="37" s="1"/>
  <c r="AJ2" i="37" a="1"/>
  <c r="AJ2" i="37" s="1"/>
  <c r="AK2" i="37" a="1"/>
  <c r="AK2" i="37" s="1"/>
  <c r="AL2" i="37" a="1"/>
  <c r="AL2" i="37" s="1"/>
  <c r="AM2" i="37" a="1"/>
  <c r="AM2" i="37" s="1"/>
  <c r="AN2" i="37" a="1"/>
  <c r="AN2" i="37" s="1"/>
  <c r="AO2" i="37" a="1"/>
  <c r="AO2" i="37" s="1"/>
  <c r="AP2" i="37" a="1"/>
  <c r="AP2" i="37" s="1"/>
  <c r="AQ2" i="37" a="1"/>
  <c r="AQ2" i="37" s="1"/>
  <c r="AR2" i="37" a="1"/>
  <c r="AR2" i="37" s="1"/>
  <c r="AS2" i="37" a="1"/>
  <c r="AS2" i="37" s="1"/>
  <c r="AT2" i="37" a="1"/>
  <c r="AT2" i="37" s="1"/>
  <c r="AU2" i="37" a="1"/>
  <c r="AU2" i="37" s="1"/>
  <c r="AV2" i="37" a="1"/>
  <c r="AV2" i="37" s="1"/>
  <c r="AW2" i="37" a="1"/>
  <c r="AW2" i="37" s="1"/>
  <c r="AX2" i="37" a="1"/>
  <c r="AX2" i="37" s="1"/>
  <c r="AY2" i="37" a="1"/>
  <c r="AY2" i="37" s="1"/>
  <c r="AZ2" i="37" a="1"/>
  <c r="AZ2" i="37" s="1"/>
  <c r="BA2" i="37" a="1"/>
  <c r="BA2" i="37" s="1"/>
  <c r="BB2" i="37" a="1"/>
  <c r="BB2" i="37" s="1"/>
  <c r="BC2" i="37" a="1"/>
  <c r="BC2" i="37" s="1"/>
  <c r="BD2" i="37" a="1"/>
  <c r="BD2" i="37" s="1"/>
  <c r="BE2" i="37" a="1"/>
  <c r="BE2" i="37" s="1"/>
  <c r="BF2" i="37" a="1"/>
  <c r="BF2" i="37" s="1"/>
  <c r="BG2" i="37" a="1"/>
  <c r="BG2" i="37" s="1"/>
  <c r="BH2" i="37" a="1"/>
  <c r="BH2" i="37" s="1"/>
  <c r="BI2" i="37" a="1"/>
  <c r="BI2" i="37" s="1"/>
  <c r="BJ2" i="37" a="1"/>
  <c r="BJ2" i="37" s="1"/>
  <c r="BK2" i="37" a="1"/>
  <c r="BK2" i="37" s="1"/>
  <c r="BL2" i="37" a="1"/>
  <c r="BL2" i="37" s="1"/>
  <c r="BM2" i="37" a="1"/>
  <c r="BM2" i="37" s="1"/>
  <c r="BN2" i="37" a="1"/>
  <c r="BN2" i="37" s="1"/>
  <c r="BO2" i="37" a="1"/>
  <c r="BO2" i="37" s="1"/>
  <c r="BP2" i="37" a="1"/>
  <c r="BP2" i="37" s="1"/>
  <c r="BQ2" i="37" a="1"/>
  <c r="BQ2" i="37" s="1"/>
  <c r="C2" i="37" a="1"/>
  <c r="C2" i="37" s="1"/>
  <c r="BH220" i="23"/>
  <c r="BG220" i="23"/>
  <c r="BF220" i="23"/>
  <c r="BE220" i="23"/>
  <c r="BD220" i="23"/>
  <c r="BC220" i="23"/>
  <c r="BB220" i="23"/>
  <c r="BA220" i="23"/>
  <c r="AZ220" i="23"/>
  <c r="AY220" i="23"/>
  <c r="AX220" i="23"/>
  <c r="AW220" i="23"/>
  <c r="AV220" i="23"/>
  <c r="AU220" i="23"/>
  <c r="AT220" i="23"/>
  <c r="AS220" i="23"/>
  <c r="AR220" i="23"/>
  <c r="AQ220" i="23"/>
  <c r="AP220" i="23"/>
  <c r="AO220" i="23"/>
  <c r="AN220" i="23"/>
  <c r="AM220" i="23"/>
  <c r="AL220" i="23"/>
  <c r="AK220" i="23"/>
  <c r="AJ220" i="23"/>
  <c r="AI220" i="23"/>
  <c r="AH220" i="23"/>
  <c r="AG220" i="23"/>
  <c r="AF220" i="23"/>
  <c r="AE220" i="23"/>
  <c r="AD220" i="23"/>
  <c r="AC220" i="23"/>
  <c r="AB220" i="23"/>
  <c r="AA220" i="23"/>
  <c r="Z220" i="23"/>
  <c r="Y220" i="23"/>
  <c r="X220" i="23"/>
  <c r="W220" i="23"/>
  <c r="V220" i="23"/>
  <c r="U220" i="23"/>
  <c r="T220" i="23"/>
  <c r="S220" i="23"/>
  <c r="R220" i="23"/>
  <c r="Q220" i="23"/>
  <c r="P220" i="23"/>
  <c r="O220" i="23"/>
  <c r="N220" i="23"/>
  <c r="M220" i="23"/>
  <c r="L220" i="23"/>
  <c r="K220" i="23"/>
  <c r="J220" i="23"/>
  <c r="I220" i="23"/>
  <c r="H220" i="23"/>
  <c r="G220" i="23"/>
  <c r="F220" i="23"/>
  <c r="E220" i="23"/>
  <c r="BH219" i="23"/>
  <c r="BG219" i="23"/>
  <c r="BF219" i="23"/>
  <c r="BE219" i="23"/>
  <c r="BD219" i="23"/>
  <c r="BC219" i="23"/>
  <c r="BB219" i="23"/>
  <c r="BA219" i="23"/>
  <c r="AZ219" i="23"/>
  <c r="AY219" i="23"/>
  <c r="AX219" i="23"/>
  <c r="AW219" i="23"/>
  <c r="AV219" i="23"/>
  <c r="AU219" i="23"/>
  <c r="AT219" i="23"/>
  <c r="AS219" i="23"/>
  <c r="AR219" i="23"/>
  <c r="AQ219" i="23"/>
  <c r="AP219" i="23"/>
  <c r="AO219" i="23"/>
  <c r="AN219" i="23"/>
  <c r="AM219" i="23"/>
  <c r="AL219" i="23"/>
  <c r="AK219" i="23"/>
  <c r="AJ219" i="23"/>
  <c r="AI219" i="23"/>
  <c r="AH219" i="23"/>
  <c r="AG219" i="23"/>
  <c r="AF219" i="23"/>
  <c r="AE219" i="23"/>
  <c r="AD219" i="23"/>
  <c r="AC219" i="23"/>
  <c r="AB219" i="23"/>
  <c r="AA219" i="23"/>
  <c r="Z219" i="23"/>
  <c r="Y219" i="23"/>
  <c r="X219" i="23"/>
  <c r="W219" i="23"/>
  <c r="V219" i="23"/>
  <c r="U219" i="23"/>
  <c r="T219" i="23"/>
  <c r="S219" i="23"/>
  <c r="R219" i="23"/>
  <c r="Q219" i="23"/>
  <c r="P219" i="23"/>
  <c r="O219" i="23"/>
  <c r="N219" i="23"/>
  <c r="M219" i="23"/>
  <c r="L219" i="23"/>
  <c r="K219" i="23"/>
  <c r="J219" i="23"/>
  <c r="I219" i="23"/>
  <c r="H219" i="23"/>
  <c r="G219" i="23"/>
  <c r="F219" i="23"/>
  <c r="E219" i="23"/>
  <c r="BH216" i="23"/>
  <c r="BG216" i="23"/>
  <c r="BF216" i="23"/>
  <c r="BE216" i="23"/>
  <c r="BD216" i="23"/>
  <c r="BC216" i="23"/>
  <c r="BB216" i="23"/>
  <c r="BA216" i="23"/>
  <c r="AZ216" i="23"/>
  <c r="AY216" i="23"/>
  <c r="AX216" i="23"/>
  <c r="AW216" i="23"/>
  <c r="AV216" i="23"/>
  <c r="AU216" i="23"/>
  <c r="AT216" i="23"/>
  <c r="AS216" i="23"/>
  <c r="AR216" i="23"/>
  <c r="AQ216" i="23"/>
  <c r="AP216" i="23"/>
  <c r="AO216" i="23"/>
  <c r="AN216" i="23"/>
  <c r="AM216" i="23"/>
  <c r="AL216" i="23"/>
  <c r="AK216" i="23"/>
  <c r="AJ216" i="23"/>
  <c r="AI216" i="23"/>
  <c r="AH216" i="23"/>
  <c r="AG216" i="23"/>
  <c r="AF216" i="23"/>
  <c r="AE216" i="23"/>
  <c r="AD216" i="23"/>
  <c r="AC216" i="23"/>
  <c r="AB216" i="23"/>
  <c r="AA216" i="23"/>
  <c r="Z216" i="23"/>
  <c r="Y216" i="23"/>
  <c r="X216" i="23"/>
  <c r="W216" i="23"/>
  <c r="V216" i="23"/>
  <c r="U216" i="23"/>
  <c r="T216" i="23"/>
  <c r="S216" i="23"/>
  <c r="R216" i="23"/>
  <c r="Q216" i="23"/>
  <c r="P216" i="23"/>
  <c r="O216" i="23"/>
  <c r="N216" i="23"/>
  <c r="M216" i="23"/>
  <c r="L216" i="23"/>
  <c r="K216" i="23"/>
  <c r="J216" i="23"/>
  <c r="I216" i="23"/>
  <c r="H216" i="23"/>
  <c r="G216" i="23"/>
  <c r="F216" i="23"/>
  <c r="E216" i="23"/>
  <c r="BH215" i="23"/>
  <c r="BG215" i="23"/>
  <c r="BF215" i="23"/>
  <c r="BE215" i="23"/>
  <c r="BD215" i="23"/>
  <c r="BC215" i="23"/>
  <c r="BB215" i="23"/>
  <c r="BA215" i="23"/>
  <c r="AZ215" i="23"/>
  <c r="AY215" i="23"/>
  <c r="AX215" i="23"/>
  <c r="AW215" i="23"/>
  <c r="AV215" i="23"/>
  <c r="AU215" i="23"/>
  <c r="AT215" i="23"/>
  <c r="AS215" i="23"/>
  <c r="AR215" i="23"/>
  <c r="AQ215" i="23"/>
  <c r="AP215" i="23"/>
  <c r="AO215" i="23"/>
  <c r="AN215" i="23"/>
  <c r="AM215" i="23"/>
  <c r="AL215" i="23"/>
  <c r="AK215" i="23"/>
  <c r="AJ215" i="23"/>
  <c r="AI215" i="23"/>
  <c r="AH215" i="23"/>
  <c r="AG215" i="23"/>
  <c r="AF215" i="23"/>
  <c r="AE215" i="23"/>
  <c r="AD215" i="23"/>
  <c r="AC215" i="23"/>
  <c r="AB215" i="23"/>
  <c r="AA215" i="23"/>
  <c r="Z215" i="23"/>
  <c r="Y215" i="23"/>
  <c r="X215" i="23"/>
  <c r="W215" i="23"/>
  <c r="V215" i="23"/>
  <c r="U215" i="23"/>
  <c r="T215" i="23"/>
  <c r="S215" i="23"/>
  <c r="R215" i="23"/>
  <c r="Q215" i="23"/>
  <c r="P215" i="23"/>
  <c r="O215" i="23"/>
  <c r="N215" i="23"/>
  <c r="M215" i="23"/>
  <c r="L215" i="23"/>
  <c r="K215" i="23"/>
  <c r="J215" i="23"/>
  <c r="I215" i="23"/>
  <c r="H215" i="23"/>
  <c r="G215" i="23"/>
  <c r="F215" i="23"/>
  <c r="E215" i="23"/>
  <c r="BH214" i="23"/>
  <c r="BG214" i="23"/>
  <c r="BF214" i="23"/>
  <c r="BE214" i="23"/>
  <c r="BD214" i="23"/>
  <c r="BC214" i="23"/>
  <c r="BB214" i="23"/>
  <c r="BA214" i="23"/>
  <c r="AZ214" i="23"/>
  <c r="AY214" i="23"/>
  <c r="AX214" i="23"/>
  <c r="AW214" i="23"/>
  <c r="AV214" i="23"/>
  <c r="AU214" i="23"/>
  <c r="AT214" i="23"/>
  <c r="AS214" i="23"/>
  <c r="AR214" i="23"/>
  <c r="AQ214" i="23"/>
  <c r="AP214" i="23"/>
  <c r="AO214" i="23"/>
  <c r="AN214" i="23"/>
  <c r="AM214" i="23"/>
  <c r="AL214" i="23"/>
  <c r="AK214" i="23"/>
  <c r="AJ214" i="23"/>
  <c r="AI214" i="23"/>
  <c r="AH214" i="23"/>
  <c r="AG214" i="23"/>
  <c r="AF214" i="23"/>
  <c r="AE214" i="23"/>
  <c r="AD214" i="23"/>
  <c r="AC214" i="23"/>
  <c r="AB214" i="23"/>
  <c r="AA214" i="23"/>
  <c r="Z214" i="23"/>
  <c r="Y214" i="23"/>
  <c r="X214" i="23"/>
  <c r="W214" i="23"/>
  <c r="V214" i="23"/>
  <c r="U214" i="23"/>
  <c r="T214" i="23"/>
  <c r="S214" i="23"/>
  <c r="R214" i="23"/>
  <c r="Q214" i="23"/>
  <c r="P214" i="23"/>
  <c r="O214" i="23"/>
  <c r="N214" i="23"/>
  <c r="M214" i="23"/>
  <c r="L214" i="23"/>
  <c r="K214" i="23"/>
  <c r="J214" i="23"/>
  <c r="I214" i="23"/>
  <c r="H214" i="23"/>
  <c r="G214" i="23"/>
  <c r="F214" i="23"/>
  <c r="E214" i="23"/>
  <c r="BH213" i="23"/>
  <c r="BG213" i="23"/>
  <c r="BF213" i="23"/>
  <c r="BE213" i="23"/>
  <c r="BD213" i="23"/>
  <c r="BC213" i="23"/>
  <c r="BB213" i="23"/>
  <c r="BA213" i="23"/>
  <c r="AZ213" i="23"/>
  <c r="AY213" i="23"/>
  <c r="AX213" i="23"/>
  <c r="AW213" i="23"/>
  <c r="AV213" i="23"/>
  <c r="AU213" i="23"/>
  <c r="AT213" i="23"/>
  <c r="AS213" i="23"/>
  <c r="AR213" i="23"/>
  <c r="AQ213" i="23"/>
  <c r="AP213" i="23"/>
  <c r="AO213" i="23"/>
  <c r="AN213" i="23"/>
  <c r="AM213" i="23"/>
  <c r="AL213" i="23"/>
  <c r="AK213" i="23"/>
  <c r="AJ213" i="23"/>
  <c r="AI213" i="23"/>
  <c r="AH213" i="23"/>
  <c r="AG213" i="23"/>
  <c r="AF213" i="23"/>
  <c r="AE213" i="23"/>
  <c r="AD213" i="23"/>
  <c r="AC213" i="23"/>
  <c r="AB213" i="23"/>
  <c r="AA213" i="23"/>
  <c r="Z213" i="23"/>
  <c r="Y213" i="23"/>
  <c r="X213" i="23"/>
  <c r="W213" i="23"/>
  <c r="V213" i="23"/>
  <c r="U213" i="23"/>
  <c r="T213" i="23"/>
  <c r="S213" i="23"/>
  <c r="R213" i="23"/>
  <c r="Q213" i="23"/>
  <c r="P213" i="23"/>
  <c r="O213" i="23"/>
  <c r="N213" i="23"/>
  <c r="M213" i="23"/>
  <c r="L213" i="23"/>
  <c r="K213" i="23"/>
  <c r="J213" i="23"/>
  <c r="I213" i="23"/>
  <c r="H213" i="23"/>
  <c r="G213" i="23"/>
  <c r="F213" i="23"/>
  <c r="E213" i="23"/>
  <c r="BH212" i="23"/>
  <c r="BG212" i="23"/>
  <c r="BF212" i="23"/>
  <c r="BE212" i="23"/>
  <c r="BD212" i="23"/>
  <c r="BC212" i="23"/>
  <c r="BB212" i="23"/>
  <c r="BA212" i="23"/>
  <c r="AZ212" i="23"/>
  <c r="AY212" i="23"/>
  <c r="AX212" i="23"/>
  <c r="AW212" i="23"/>
  <c r="AV212" i="23"/>
  <c r="AU212" i="23"/>
  <c r="AT212" i="23"/>
  <c r="AS212" i="23"/>
  <c r="AR212" i="23"/>
  <c r="AQ212" i="23"/>
  <c r="AP212" i="23"/>
  <c r="AO212" i="23"/>
  <c r="AN212" i="23"/>
  <c r="AM212" i="23"/>
  <c r="AL212" i="23"/>
  <c r="AK212" i="23"/>
  <c r="AJ212" i="23"/>
  <c r="AI212" i="23"/>
  <c r="AH212" i="23"/>
  <c r="AG212" i="23"/>
  <c r="AF212" i="23"/>
  <c r="AE212" i="23"/>
  <c r="AD212" i="23"/>
  <c r="AC212" i="23"/>
  <c r="AB212" i="23"/>
  <c r="AA212" i="23"/>
  <c r="Z212" i="23"/>
  <c r="Y212" i="23"/>
  <c r="X212" i="23"/>
  <c r="W212" i="23"/>
  <c r="V212" i="23"/>
  <c r="U212" i="23"/>
  <c r="T212" i="23"/>
  <c r="S212" i="23"/>
  <c r="R212" i="23"/>
  <c r="Q212" i="23"/>
  <c r="P212" i="23"/>
  <c r="O212" i="23"/>
  <c r="N212" i="23"/>
  <c r="M212" i="23"/>
  <c r="L212" i="23"/>
  <c r="K212" i="23"/>
  <c r="J212" i="23"/>
  <c r="I212" i="23"/>
  <c r="H212" i="23"/>
  <c r="G212" i="23"/>
  <c r="F212" i="23"/>
  <c r="E212" i="23"/>
  <c r="BH211" i="23"/>
  <c r="BG211" i="23"/>
  <c r="BF211" i="23"/>
  <c r="BE211" i="23"/>
  <c r="BD211" i="23"/>
  <c r="BC211" i="23"/>
  <c r="BB211" i="23"/>
  <c r="BA211" i="23"/>
  <c r="AZ211" i="23"/>
  <c r="AY211" i="23"/>
  <c r="AX211" i="23"/>
  <c r="AW211" i="23"/>
  <c r="AV211" i="23"/>
  <c r="AU211" i="23"/>
  <c r="AT211" i="23"/>
  <c r="AS211" i="23"/>
  <c r="AR211" i="23"/>
  <c r="AQ211" i="23"/>
  <c r="AP211" i="23"/>
  <c r="AO211" i="23"/>
  <c r="AN211" i="23"/>
  <c r="AM211" i="23"/>
  <c r="AL211" i="23"/>
  <c r="AK211" i="23"/>
  <c r="AJ211" i="23"/>
  <c r="AI211" i="23"/>
  <c r="AH211" i="23"/>
  <c r="AG211" i="23"/>
  <c r="AF211" i="23"/>
  <c r="AE211" i="23"/>
  <c r="AD211" i="23"/>
  <c r="AC211" i="23"/>
  <c r="AB211" i="23"/>
  <c r="AA211" i="23"/>
  <c r="Z211" i="23"/>
  <c r="Y211" i="23"/>
  <c r="X211" i="23"/>
  <c r="W211" i="23"/>
  <c r="V211" i="23"/>
  <c r="U211" i="23"/>
  <c r="T211" i="23"/>
  <c r="S211" i="23"/>
  <c r="R211" i="23"/>
  <c r="Q211" i="23"/>
  <c r="P211" i="23"/>
  <c r="O211" i="23"/>
  <c r="N211" i="23"/>
  <c r="M211" i="23"/>
  <c r="L211" i="23"/>
  <c r="K211" i="23"/>
  <c r="J211" i="23"/>
  <c r="I211" i="23"/>
  <c r="H211" i="23"/>
  <c r="G211" i="23"/>
  <c r="F211" i="23"/>
  <c r="E211" i="23"/>
  <c r="BH210" i="23"/>
  <c r="BG210" i="23"/>
  <c r="BF210" i="23"/>
  <c r="BE210" i="23"/>
  <c r="BD210" i="23"/>
  <c r="BC210" i="23"/>
  <c r="BB210" i="23"/>
  <c r="BA210" i="23"/>
  <c r="AZ210" i="23"/>
  <c r="AY210" i="23"/>
  <c r="AX210" i="23"/>
  <c r="AW210" i="23"/>
  <c r="AV210" i="23"/>
  <c r="AU210" i="23"/>
  <c r="AT210" i="23"/>
  <c r="AS210" i="23"/>
  <c r="AR210" i="23"/>
  <c r="AQ210" i="23"/>
  <c r="AP210" i="23"/>
  <c r="AO210" i="23"/>
  <c r="AN210" i="23"/>
  <c r="AM210" i="23"/>
  <c r="AL210" i="23"/>
  <c r="AK210" i="23"/>
  <c r="AJ210" i="23"/>
  <c r="AI210" i="23"/>
  <c r="AH210" i="23"/>
  <c r="AG210" i="23"/>
  <c r="AF210" i="23"/>
  <c r="AE210" i="23"/>
  <c r="AD210" i="23"/>
  <c r="AC210" i="23"/>
  <c r="AB210" i="23"/>
  <c r="AA210" i="23"/>
  <c r="Z210" i="23"/>
  <c r="Y210" i="23"/>
  <c r="X210" i="23"/>
  <c r="W210" i="23"/>
  <c r="V210" i="23"/>
  <c r="U210" i="23"/>
  <c r="T210" i="23"/>
  <c r="S210" i="23"/>
  <c r="R210" i="23"/>
  <c r="Q210" i="23"/>
  <c r="P210" i="23"/>
  <c r="O210" i="23"/>
  <c r="N210" i="23"/>
  <c r="M210" i="23"/>
  <c r="L210" i="23"/>
  <c r="K210" i="23"/>
  <c r="J210" i="23"/>
  <c r="I210" i="23"/>
  <c r="H210" i="23"/>
  <c r="G210" i="23"/>
  <c r="F210" i="23"/>
  <c r="E210" i="23"/>
  <c r="BH209" i="23"/>
  <c r="BG209" i="23"/>
  <c r="BF209" i="23"/>
  <c r="BE209" i="23"/>
  <c r="BD209" i="23"/>
  <c r="BC209" i="23"/>
  <c r="BB209" i="23"/>
  <c r="BA209" i="23"/>
  <c r="AZ209" i="23"/>
  <c r="AY209" i="23"/>
  <c r="AX209" i="23"/>
  <c r="AW209" i="23"/>
  <c r="AV209" i="23"/>
  <c r="AU209" i="23"/>
  <c r="AT209" i="23"/>
  <c r="AS209" i="23"/>
  <c r="AR209" i="23"/>
  <c r="AQ209" i="23"/>
  <c r="AP209" i="23"/>
  <c r="AO209" i="23"/>
  <c r="AN209" i="23"/>
  <c r="AM209" i="23"/>
  <c r="AL209" i="23"/>
  <c r="AK209" i="23"/>
  <c r="AJ209" i="23"/>
  <c r="AI209" i="23"/>
  <c r="AH209" i="23"/>
  <c r="AG209" i="23"/>
  <c r="AF209" i="23"/>
  <c r="AE209" i="23"/>
  <c r="AD209" i="23"/>
  <c r="AC209" i="23"/>
  <c r="AB209" i="23"/>
  <c r="AA209" i="23"/>
  <c r="Z209" i="23"/>
  <c r="Y209" i="23"/>
  <c r="X209" i="23"/>
  <c r="W209" i="23"/>
  <c r="V209" i="23"/>
  <c r="U209" i="23"/>
  <c r="T209" i="23"/>
  <c r="S209" i="23"/>
  <c r="R209" i="23"/>
  <c r="Q209" i="23"/>
  <c r="P209" i="23"/>
  <c r="O209" i="23"/>
  <c r="N209" i="23"/>
  <c r="M209" i="23"/>
  <c r="L209" i="23"/>
  <c r="K209" i="23"/>
  <c r="J209" i="23"/>
  <c r="I209" i="23"/>
  <c r="H209" i="23"/>
  <c r="G209" i="23"/>
  <c r="F209" i="23"/>
  <c r="E209" i="23"/>
  <c r="BH208" i="23"/>
  <c r="BG208" i="23"/>
  <c r="BF208" i="23"/>
  <c r="BE208" i="23"/>
  <c r="BD208" i="23"/>
  <c r="BC208" i="23"/>
  <c r="BB208" i="23"/>
  <c r="BA208" i="23"/>
  <c r="AZ208" i="23"/>
  <c r="AY208" i="23"/>
  <c r="AX208" i="23"/>
  <c r="AW208" i="23"/>
  <c r="AV208" i="23"/>
  <c r="AU208" i="23"/>
  <c r="AT208" i="23"/>
  <c r="AS208" i="23"/>
  <c r="AR208" i="23"/>
  <c r="AQ208" i="23"/>
  <c r="AP208" i="23"/>
  <c r="AO208" i="23"/>
  <c r="AN208" i="23"/>
  <c r="AM208" i="23"/>
  <c r="AL208" i="23"/>
  <c r="AK208" i="23"/>
  <c r="AJ208" i="23"/>
  <c r="AI208" i="23"/>
  <c r="AH208" i="23"/>
  <c r="AG208" i="23"/>
  <c r="AF208" i="23"/>
  <c r="AE208" i="23"/>
  <c r="AD208" i="23"/>
  <c r="AC208" i="23"/>
  <c r="AB208" i="23"/>
  <c r="AA208" i="23"/>
  <c r="Z208" i="23"/>
  <c r="Y208" i="23"/>
  <c r="X208" i="23"/>
  <c r="W208" i="23"/>
  <c r="V208" i="23"/>
  <c r="U208" i="23"/>
  <c r="T208" i="23"/>
  <c r="S208" i="23"/>
  <c r="R208" i="23"/>
  <c r="Q208" i="23"/>
  <c r="P208" i="23"/>
  <c r="O208" i="23"/>
  <c r="N208" i="23"/>
  <c r="M208" i="23"/>
  <c r="L208" i="23"/>
  <c r="K208" i="23"/>
  <c r="J208" i="23"/>
  <c r="I208" i="23"/>
  <c r="H208" i="23"/>
  <c r="G208" i="23"/>
  <c r="F208" i="23"/>
  <c r="E208" i="23"/>
  <c r="BH207" i="23"/>
  <c r="BG207" i="23"/>
  <c r="BF207" i="23"/>
  <c r="BE207" i="23"/>
  <c r="BD207" i="23"/>
  <c r="BC207" i="23"/>
  <c r="BB207" i="23"/>
  <c r="BA207" i="23"/>
  <c r="AZ207" i="23"/>
  <c r="AY207" i="23"/>
  <c r="AX207" i="23"/>
  <c r="AW207" i="23"/>
  <c r="AV207" i="23"/>
  <c r="AU207" i="23"/>
  <c r="AT207" i="23"/>
  <c r="AS207" i="23"/>
  <c r="AR207" i="23"/>
  <c r="AQ207" i="23"/>
  <c r="AP207" i="23"/>
  <c r="AO207" i="23"/>
  <c r="AN207" i="23"/>
  <c r="AM207" i="23"/>
  <c r="AL207" i="23"/>
  <c r="AK207" i="23"/>
  <c r="AJ207" i="23"/>
  <c r="AI207" i="23"/>
  <c r="AH207" i="23"/>
  <c r="AG207" i="23"/>
  <c r="AF207" i="23"/>
  <c r="AE207" i="23"/>
  <c r="AD207" i="23"/>
  <c r="AC207" i="23"/>
  <c r="AB207" i="23"/>
  <c r="AA207" i="23"/>
  <c r="Z207" i="23"/>
  <c r="Y207" i="23"/>
  <c r="X207" i="23"/>
  <c r="W207" i="23"/>
  <c r="V207" i="23"/>
  <c r="U207" i="23"/>
  <c r="T207" i="23"/>
  <c r="S207" i="23"/>
  <c r="R207" i="23"/>
  <c r="Q207" i="23"/>
  <c r="P207" i="23"/>
  <c r="O207" i="23"/>
  <c r="N207" i="23"/>
  <c r="M207" i="23"/>
  <c r="L207" i="23"/>
  <c r="K207" i="23"/>
  <c r="J207" i="23"/>
  <c r="I207" i="23"/>
  <c r="H207" i="23"/>
  <c r="G207" i="23"/>
  <c r="F207" i="23"/>
  <c r="E207" i="23"/>
  <c r="BH206" i="23"/>
  <c r="BG206" i="23"/>
  <c r="BF206" i="23"/>
  <c r="BE206" i="23"/>
  <c r="BD206" i="23"/>
  <c r="BC206" i="23"/>
  <c r="BB206" i="23"/>
  <c r="BA206" i="23"/>
  <c r="AZ206" i="23"/>
  <c r="AY206" i="23"/>
  <c r="AX206" i="23"/>
  <c r="AW206" i="23"/>
  <c r="AV206" i="23"/>
  <c r="AU206" i="23"/>
  <c r="AT206" i="23"/>
  <c r="AS206" i="23"/>
  <c r="AR206" i="23"/>
  <c r="AQ206" i="23"/>
  <c r="AP206" i="23"/>
  <c r="AO206" i="23"/>
  <c r="AN206" i="23"/>
  <c r="AM206" i="23"/>
  <c r="AL206" i="23"/>
  <c r="AK206" i="23"/>
  <c r="AJ206" i="23"/>
  <c r="AI206" i="23"/>
  <c r="AH206" i="23"/>
  <c r="AG206" i="23"/>
  <c r="AF206" i="23"/>
  <c r="AE206" i="23"/>
  <c r="AD206" i="23"/>
  <c r="AC206" i="23"/>
  <c r="AB206" i="23"/>
  <c r="AA206" i="23"/>
  <c r="Z206" i="23"/>
  <c r="Y206" i="23"/>
  <c r="X206" i="23"/>
  <c r="W206" i="23"/>
  <c r="V206" i="23"/>
  <c r="U206" i="23"/>
  <c r="T206" i="23"/>
  <c r="S206" i="23"/>
  <c r="R206" i="23"/>
  <c r="Q206" i="23"/>
  <c r="P206" i="23"/>
  <c r="O206" i="23"/>
  <c r="N206" i="23"/>
  <c r="M206" i="23"/>
  <c r="L206" i="23"/>
  <c r="K206" i="23"/>
  <c r="J206" i="23"/>
  <c r="I206" i="23"/>
  <c r="H206" i="23"/>
  <c r="G206" i="23"/>
  <c r="F206" i="23"/>
  <c r="E206" i="23"/>
  <c r="BH205" i="23"/>
  <c r="BG205" i="23"/>
  <c r="BF205" i="23"/>
  <c r="BE205" i="23"/>
  <c r="BD205" i="23"/>
  <c r="BC205" i="23"/>
  <c r="BB205" i="23"/>
  <c r="BA205" i="23"/>
  <c r="AZ205" i="23"/>
  <c r="AY205" i="23"/>
  <c r="AX205" i="23"/>
  <c r="AW205" i="23"/>
  <c r="AV205" i="23"/>
  <c r="AU205" i="23"/>
  <c r="AT205" i="23"/>
  <c r="AS205" i="23"/>
  <c r="AR205" i="23"/>
  <c r="AQ205" i="23"/>
  <c r="AP205" i="23"/>
  <c r="AO205" i="23"/>
  <c r="AN205" i="23"/>
  <c r="AM205" i="23"/>
  <c r="AL205" i="23"/>
  <c r="AK205" i="23"/>
  <c r="AJ205" i="23"/>
  <c r="AI205" i="23"/>
  <c r="AH205" i="23"/>
  <c r="AG205" i="23"/>
  <c r="AF205" i="23"/>
  <c r="AE205" i="23"/>
  <c r="AD205" i="23"/>
  <c r="AC205" i="23"/>
  <c r="AB205" i="23"/>
  <c r="AA205" i="23"/>
  <c r="Z205" i="23"/>
  <c r="Y205" i="23"/>
  <c r="X205" i="23"/>
  <c r="W205" i="23"/>
  <c r="V205" i="23"/>
  <c r="U205" i="23"/>
  <c r="T205" i="23"/>
  <c r="S205" i="23"/>
  <c r="R205" i="23"/>
  <c r="Q205" i="23"/>
  <c r="P205" i="23"/>
  <c r="O205" i="23"/>
  <c r="N205" i="23"/>
  <c r="M205" i="23"/>
  <c r="L205" i="23"/>
  <c r="K205" i="23"/>
  <c r="J205" i="23"/>
  <c r="I205" i="23"/>
  <c r="H205" i="23"/>
  <c r="G205" i="23"/>
  <c r="F205" i="23"/>
  <c r="E205" i="23"/>
  <c r="BH204" i="23"/>
  <c r="BG204" i="23"/>
  <c r="BF204" i="23"/>
  <c r="BE204" i="23"/>
  <c r="BD204" i="23"/>
  <c r="BC204" i="23"/>
  <c r="BB204" i="23"/>
  <c r="BA204" i="23"/>
  <c r="AZ204" i="23"/>
  <c r="AY204" i="23"/>
  <c r="AX204" i="23"/>
  <c r="AW204" i="23"/>
  <c r="AV204" i="23"/>
  <c r="AU204" i="23"/>
  <c r="AT204" i="23"/>
  <c r="AS204" i="23"/>
  <c r="AR204" i="23"/>
  <c r="AQ204" i="23"/>
  <c r="AP204" i="23"/>
  <c r="AO204" i="23"/>
  <c r="AN204" i="23"/>
  <c r="AM204" i="23"/>
  <c r="AL204" i="23"/>
  <c r="AK204" i="23"/>
  <c r="AJ204" i="23"/>
  <c r="AI204" i="23"/>
  <c r="AH204" i="23"/>
  <c r="AG204" i="23"/>
  <c r="AF204" i="23"/>
  <c r="AE204" i="23"/>
  <c r="AD204" i="23"/>
  <c r="AC204" i="23"/>
  <c r="AB204" i="23"/>
  <c r="AA204" i="23"/>
  <c r="Z204" i="23"/>
  <c r="Y204" i="23"/>
  <c r="X204" i="23"/>
  <c r="W204" i="23"/>
  <c r="V204" i="23"/>
  <c r="U204" i="23"/>
  <c r="T204" i="23"/>
  <c r="S204" i="23"/>
  <c r="R204" i="23"/>
  <c r="Q204" i="23"/>
  <c r="P204" i="23"/>
  <c r="O204" i="23"/>
  <c r="N204" i="23"/>
  <c r="M204" i="23"/>
  <c r="L204" i="23"/>
  <c r="K204" i="23"/>
  <c r="J204" i="23"/>
  <c r="I204" i="23"/>
  <c r="H204" i="23"/>
  <c r="G204" i="23"/>
  <c r="F204" i="23"/>
  <c r="E204" i="23"/>
  <c r="BH203" i="23"/>
  <c r="BG203" i="23"/>
  <c r="BF203" i="23"/>
  <c r="BE203" i="23"/>
  <c r="BD203" i="23"/>
  <c r="BC203" i="23"/>
  <c r="BB203" i="23"/>
  <c r="BA203" i="23"/>
  <c r="AZ203" i="23"/>
  <c r="AY203" i="23"/>
  <c r="AX203" i="23"/>
  <c r="AW203" i="23"/>
  <c r="AV203" i="23"/>
  <c r="AU203" i="23"/>
  <c r="AT203" i="23"/>
  <c r="AS203" i="23"/>
  <c r="AR203" i="23"/>
  <c r="AQ203" i="23"/>
  <c r="AP203" i="23"/>
  <c r="AO203" i="23"/>
  <c r="AN203" i="23"/>
  <c r="AM203" i="23"/>
  <c r="AL203" i="23"/>
  <c r="AK203" i="23"/>
  <c r="AJ203" i="23"/>
  <c r="AI203" i="23"/>
  <c r="AH203" i="23"/>
  <c r="AG203" i="23"/>
  <c r="AF203" i="23"/>
  <c r="AE203" i="23"/>
  <c r="AD203" i="23"/>
  <c r="AC203" i="23"/>
  <c r="AB203" i="23"/>
  <c r="AA203" i="23"/>
  <c r="Z203" i="23"/>
  <c r="Y203" i="23"/>
  <c r="X203" i="23"/>
  <c r="W203" i="23"/>
  <c r="V203" i="23"/>
  <c r="U203" i="23"/>
  <c r="T203" i="23"/>
  <c r="S203" i="23"/>
  <c r="R203" i="23"/>
  <c r="Q203" i="23"/>
  <c r="P203" i="23"/>
  <c r="O203" i="23"/>
  <c r="N203" i="23"/>
  <c r="M203" i="23"/>
  <c r="L203" i="23"/>
  <c r="K203" i="23"/>
  <c r="J203" i="23"/>
  <c r="I203" i="23"/>
  <c r="H203" i="23"/>
  <c r="G203" i="23"/>
  <c r="F203" i="23"/>
  <c r="E203" i="23"/>
  <c r="BH202" i="23"/>
  <c r="BG202" i="23"/>
  <c r="BF202" i="23"/>
  <c r="BE202" i="23"/>
  <c r="BD202" i="23"/>
  <c r="BC202" i="23"/>
  <c r="BB202" i="23"/>
  <c r="BA202" i="23"/>
  <c r="AZ202" i="23"/>
  <c r="AY202" i="23"/>
  <c r="AX202" i="23"/>
  <c r="AW202" i="23"/>
  <c r="AV202" i="23"/>
  <c r="AU202" i="23"/>
  <c r="AT202" i="23"/>
  <c r="AS202" i="23"/>
  <c r="AR202" i="23"/>
  <c r="AQ202" i="23"/>
  <c r="AP202" i="23"/>
  <c r="AO202" i="23"/>
  <c r="AN202" i="23"/>
  <c r="AM202" i="23"/>
  <c r="AL202" i="23"/>
  <c r="AK202" i="23"/>
  <c r="AJ202" i="23"/>
  <c r="AI202" i="23"/>
  <c r="AH202" i="23"/>
  <c r="AG202" i="23"/>
  <c r="AF202" i="23"/>
  <c r="AE202" i="23"/>
  <c r="AD202" i="23"/>
  <c r="AC202" i="23"/>
  <c r="AB202" i="23"/>
  <c r="AA202" i="23"/>
  <c r="Z202" i="23"/>
  <c r="Y202" i="23"/>
  <c r="X202" i="23"/>
  <c r="W202" i="23"/>
  <c r="V202" i="23"/>
  <c r="U202" i="23"/>
  <c r="T202" i="23"/>
  <c r="S202" i="23"/>
  <c r="R202" i="23"/>
  <c r="Q202" i="23"/>
  <c r="P202" i="23"/>
  <c r="O202" i="23"/>
  <c r="N202" i="23"/>
  <c r="M202" i="23"/>
  <c r="L202" i="23"/>
  <c r="K202" i="23"/>
  <c r="J202" i="23"/>
  <c r="I202" i="23"/>
  <c r="H202" i="23"/>
  <c r="G202" i="23"/>
  <c r="F202" i="23"/>
  <c r="E202" i="23"/>
  <c r="BH201" i="23"/>
  <c r="BG201" i="23"/>
  <c r="BF201" i="23"/>
  <c r="BE201" i="23"/>
  <c r="BD201" i="23"/>
  <c r="BC201" i="23"/>
  <c r="BB201" i="23"/>
  <c r="BA201" i="23"/>
  <c r="AZ201" i="23"/>
  <c r="AY201" i="23"/>
  <c r="AX201" i="23"/>
  <c r="AW201" i="23"/>
  <c r="AV201" i="23"/>
  <c r="AU201" i="23"/>
  <c r="AT201" i="23"/>
  <c r="AS201" i="23"/>
  <c r="AR201" i="23"/>
  <c r="AQ201" i="23"/>
  <c r="AP201" i="23"/>
  <c r="AO201" i="23"/>
  <c r="AN201" i="23"/>
  <c r="AM201" i="23"/>
  <c r="AL201" i="23"/>
  <c r="AK201" i="23"/>
  <c r="AJ201" i="23"/>
  <c r="AI201" i="23"/>
  <c r="AH201" i="23"/>
  <c r="AG201" i="23"/>
  <c r="AF201" i="23"/>
  <c r="AE201" i="23"/>
  <c r="AD201" i="23"/>
  <c r="AC201" i="23"/>
  <c r="AB201" i="23"/>
  <c r="AA201" i="23"/>
  <c r="Z201" i="23"/>
  <c r="Y201" i="23"/>
  <c r="X201" i="23"/>
  <c r="W201" i="23"/>
  <c r="V201" i="23"/>
  <c r="U201" i="23"/>
  <c r="T201" i="23"/>
  <c r="S201" i="23"/>
  <c r="R201" i="23"/>
  <c r="Q201" i="23"/>
  <c r="P201" i="23"/>
  <c r="O201" i="23"/>
  <c r="N201" i="23"/>
  <c r="M201" i="23"/>
  <c r="L201" i="23"/>
  <c r="K201" i="23"/>
  <c r="J201" i="23"/>
  <c r="I201" i="23"/>
  <c r="H201" i="23"/>
  <c r="G201" i="23"/>
  <c r="F201" i="23"/>
  <c r="E201" i="23"/>
  <c r="BH200" i="23"/>
  <c r="BG200" i="23"/>
  <c r="BF200" i="23"/>
  <c r="BE200" i="23"/>
  <c r="BD200" i="23"/>
  <c r="BC200" i="23"/>
  <c r="BB200" i="23"/>
  <c r="BA200" i="23"/>
  <c r="AZ200" i="23"/>
  <c r="AY200" i="23"/>
  <c r="AX200" i="23"/>
  <c r="AW200" i="23"/>
  <c r="AV200" i="23"/>
  <c r="AU200" i="23"/>
  <c r="AT200" i="23"/>
  <c r="AS200" i="23"/>
  <c r="AR200" i="23"/>
  <c r="AQ200" i="23"/>
  <c r="AP200" i="23"/>
  <c r="AO200" i="23"/>
  <c r="AN200" i="23"/>
  <c r="AM200" i="23"/>
  <c r="AL200" i="23"/>
  <c r="AK200" i="23"/>
  <c r="AJ200" i="23"/>
  <c r="AI200" i="23"/>
  <c r="AH200" i="23"/>
  <c r="AG200" i="23"/>
  <c r="AF200" i="23"/>
  <c r="AE200" i="23"/>
  <c r="AD200" i="23"/>
  <c r="AC200" i="23"/>
  <c r="AB200" i="23"/>
  <c r="AA200" i="23"/>
  <c r="Z200" i="23"/>
  <c r="Y200" i="23"/>
  <c r="X200" i="23"/>
  <c r="W200" i="23"/>
  <c r="V200" i="23"/>
  <c r="U200" i="23"/>
  <c r="T200" i="23"/>
  <c r="S200" i="23"/>
  <c r="R200" i="23"/>
  <c r="Q200" i="23"/>
  <c r="P200" i="23"/>
  <c r="O200" i="23"/>
  <c r="N200" i="23"/>
  <c r="M200" i="23"/>
  <c r="L200" i="23"/>
  <c r="K200" i="23"/>
  <c r="J200" i="23"/>
  <c r="I200" i="23"/>
  <c r="H200" i="23"/>
  <c r="G200" i="23"/>
  <c r="F200" i="23"/>
  <c r="E200" i="23"/>
  <c r="BH199" i="23"/>
  <c r="BG199" i="23"/>
  <c r="BF199" i="23"/>
  <c r="BE199" i="23"/>
  <c r="BD199" i="23"/>
  <c r="BC199" i="23"/>
  <c r="BB199" i="23"/>
  <c r="BA199" i="23"/>
  <c r="AZ199" i="23"/>
  <c r="AY199" i="23"/>
  <c r="AX199" i="23"/>
  <c r="AW199" i="23"/>
  <c r="AV199" i="23"/>
  <c r="AU199" i="23"/>
  <c r="AT199" i="23"/>
  <c r="AS199" i="23"/>
  <c r="AR199" i="23"/>
  <c r="AQ199" i="23"/>
  <c r="AP199" i="23"/>
  <c r="AO199" i="23"/>
  <c r="AN199" i="23"/>
  <c r="AM199" i="23"/>
  <c r="AL199" i="23"/>
  <c r="AK199" i="23"/>
  <c r="AJ199" i="23"/>
  <c r="AI199" i="23"/>
  <c r="AH199" i="23"/>
  <c r="AG199" i="23"/>
  <c r="AF199" i="23"/>
  <c r="AE199" i="23"/>
  <c r="AD199" i="23"/>
  <c r="AC199" i="23"/>
  <c r="AB199" i="23"/>
  <c r="AA199" i="23"/>
  <c r="Z199" i="23"/>
  <c r="Y199" i="23"/>
  <c r="X199" i="23"/>
  <c r="W199" i="23"/>
  <c r="V199" i="23"/>
  <c r="U199" i="23"/>
  <c r="T199" i="23"/>
  <c r="S199" i="23"/>
  <c r="R199" i="23"/>
  <c r="Q199" i="23"/>
  <c r="P199" i="23"/>
  <c r="O199" i="23"/>
  <c r="N199" i="23"/>
  <c r="M199" i="23"/>
  <c r="L199" i="23"/>
  <c r="K199" i="23"/>
  <c r="J199" i="23"/>
  <c r="I199" i="23"/>
  <c r="H199" i="23"/>
  <c r="G199" i="23"/>
  <c r="F199" i="23"/>
  <c r="E199" i="23"/>
  <c r="BH198" i="23"/>
  <c r="BG198" i="23"/>
  <c r="BF198" i="23"/>
  <c r="BE198" i="23"/>
  <c r="BD198" i="23"/>
  <c r="BC198" i="23"/>
  <c r="BB198" i="23"/>
  <c r="BA198" i="23"/>
  <c r="AZ198" i="23"/>
  <c r="AY198" i="23"/>
  <c r="AX198" i="23"/>
  <c r="AW198" i="23"/>
  <c r="AV198" i="23"/>
  <c r="AU198" i="23"/>
  <c r="AT198" i="23"/>
  <c r="AS198" i="23"/>
  <c r="AR198" i="23"/>
  <c r="AQ198" i="23"/>
  <c r="AP198" i="23"/>
  <c r="AO198" i="23"/>
  <c r="AN198" i="23"/>
  <c r="AM198" i="23"/>
  <c r="AL198" i="23"/>
  <c r="AK198" i="23"/>
  <c r="AJ198" i="23"/>
  <c r="AI198" i="23"/>
  <c r="AH198" i="23"/>
  <c r="AG198" i="23"/>
  <c r="AF198" i="23"/>
  <c r="AE198" i="23"/>
  <c r="AD198" i="23"/>
  <c r="AC198" i="23"/>
  <c r="AB198" i="23"/>
  <c r="AA198" i="23"/>
  <c r="Z198" i="23"/>
  <c r="Y198" i="23"/>
  <c r="X198" i="23"/>
  <c r="W198" i="23"/>
  <c r="V198" i="23"/>
  <c r="U198" i="23"/>
  <c r="T198" i="23"/>
  <c r="S198" i="23"/>
  <c r="R198" i="23"/>
  <c r="Q198" i="23"/>
  <c r="P198" i="23"/>
  <c r="O198" i="23"/>
  <c r="N198" i="23"/>
  <c r="M198" i="23"/>
  <c r="L198" i="23"/>
  <c r="K198" i="23"/>
  <c r="J198" i="23"/>
  <c r="I198" i="23"/>
  <c r="H198" i="23"/>
  <c r="G198" i="23"/>
  <c r="F198" i="23"/>
  <c r="E198" i="23"/>
  <c r="BH197" i="23"/>
  <c r="BG197" i="23"/>
  <c r="BF197" i="23"/>
  <c r="BE197" i="23"/>
  <c r="BD197" i="23"/>
  <c r="BC197" i="23"/>
  <c r="BB197" i="23"/>
  <c r="BA197" i="23"/>
  <c r="AZ197" i="23"/>
  <c r="AY197" i="23"/>
  <c r="AX197" i="23"/>
  <c r="AW197" i="23"/>
  <c r="AV197" i="23"/>
  <c r="AU197" i="23"/>
  <c r="AT197" i="23"/>
  <c r="AS197" i="23"/>
  <c r="AR197" i="23"/>
  <c r="AQ197" i="23"/>
  <c r="AP197" i="23"/>
  <c r="AO197" i="23"/>
  <c r="AN197" i="23"/>
  <c r="AM197" i="23"/>
  <c r="AL197" i="23"/>
  <c r="AK197" i="23"/>
  <c r="AJ197" i="23"/>
  <c r="AI197" i="23"/>
  <c r="AH197" i="23"/>
  <c r="AG197" i="23"/>
  <c r="AF197" i="23"/>
  <c r="AE197" i="23"/>
  <c r="AD197" i="23"/>
  <c r="AC197" i="23"/>
  <c r="AB197" i="23"/>
  <c r="AA197" i="23"/>
  <c r="Z197" i="23"/>
  <c r="Y197" i="23"/>
  <c r="X197" i="23"/>
  <c r="W197" i="23"/>
  <c r="V197" i="23"/>
  <c r="U197" i="23"/>
  <c r="T197" i="23"/>
  <c r="S197" i="23"/>
  <c r="R197" i="23"/>
  <c r="Q197" i="23"/>
  <c r="P197" i="23"/>
  <c r="O197" i="23"/>
  <c r="N197" i="23"/>
  <c r="M197" i="23"/>
  <c r="L197" i="23"/>
  <c r="K197" i="23"/>
  <c r="J197" i="23"/>
  <c r="I197" i="23"/>
  <c r="H197" i="23"/>
  <c r="G197" i="23"/>
  <c r="F197" i="23"/>
  <c r="E197" i="23"/>
  <c r="BH196" i="23"/>
  <c r="BG196" i="23"/>
  <c r="BF196" i="23"/>
  <c r="BE196" i="23"/>
  <c r="BD196" i="23"/>
  <c r="BC196" i="23"/>
  <c r="BB196" i="23"/>
  <c r="BA196" i="23"/>
  <c r="AZ196" i="23"/>
  <c r="AY196" i="23"/>
  <c r="AX196" i="23"/>
  <c r="AW196" i="23"/>
  <c r="AV196" i="23"/>
  <c r="AU196" i="23"/>
  <c r="AT196" i="23"/>
  <c r="AS196" i="23"/>
  <c r="AR196" i="23"/>
  <c r="AQ196" i="23"/>
  <c r="AP196" i="23"/>
  <c r="AO196" i="23"/>
  <c r="AN196" i="23"/>
  <c r="AM196" i="23"/>
  <c r="AL196" i="23"/>
  <c r="AK196" i="23"/>
  <c r="AJ196" i="23"/>
  <c r="AI196" i="23"/>
  <c r="AH196" i="23"/>
  <c r="AG196" i="23"/>
  <c r="AF196" i="23"/>
  <c r="AE196" i="23"/>
  <c r="AD196" i="23"/>
  <c r="AC196" i="23"/>
  <c r="AB196" i="23"/>
  <c r="AA196" i="23"/>
  <c r="Z196" i="23"/>
  <c r="Y196" i="23"/>
  <c r="X196" i="23"/>
  <c r="W196" i="23"/>
  <c r="V196" i="23"/>
  <c r="U196" i="23"/>
  <c r="T196" i="23"/>
  <c r="S196" i="23"/>
  <c r="R196" i="23"/>
  <c r="Q196" i="23"/>
  <c r="P196" i="23"/>
  <c r="O196" i="23"/>
  <c r="N196" i="23"/>
  <c r="M196" i="23"/>
  <c r="L196" i="23"/>
  <c r="K196" i="23"/>
  <c r="J196" i="23"/>
  <c r="I196" i="23"/>
  <c r="H196" i="23"/>
  <c r="G196" i="23"/>
  <c r="F196" i="23"/>
  <c r="E196" i="23"/>
  <c r="BJ193" i="23"/>
  <c r="BK193" i="23"/>
  <c r="BL193" i="23"/>
  <c r="BM193" i="23"/>
  <c r="BN193" i="23"/>
  <c r="BO193" i="23"/>
  <c r="BP193" i="23"/>
  <c r="BQ193" i="23"/>
  <c r="BR193" i="23"/>
  <c r="BS193" i="23"/>
  <c r="BT193" i="23"/>
  <c r="BU193" i="23"/>
  <c r="BV193" i="23"/>
  <c r="BW193" i="23"/>
  <c r="BX193" i="23"/>
  <c r="BY193" i="23"/>
  <c r="BZ193" i="23"/>
  <c r="CA193" i="23"/>
  <c r="CB193" i="23"/>
  <c r="CC193" i="23"/>
  <c r="CD193" i="23"/>
  <c r="CE193" i="23"/>
  <c r="CF193" i="23"/>
  <c r="CG193" i="23"/>
  <c r="CH193" i="23"/>
  <c r="CI193" i="23"/>
  <c r="CJ193" i="23"/>
  <c r="CK193" i="23"/>
  <c r="CL193" i="23"/>
  <c r="CM193" i="23"/>
  <c r="CN193" i="23"/>
  <c r="CO193" i="23"/>
  <c r="CP193" i="23"/>
  <c r="CQ193" i="23"/>
  <c r="CR193" i="23"/>
  <c r="CS193" i="23"/>
  <c r="CT193" i="23"/>
  <c r="CU193" i="23"/>
  <c r="CV193" i="23"/>
  <c r="CW193" i="23"/>
  <c r="CX193" i="23"/>
  <c r="CY193" i="23"/>
  <c r="CZ193" i="23"/>
  <c r="BJ194" i="23"/>
  <c r="BK194" i="23"/>
  <c r="BL194" i="23"/>
  <c r="BM194" i="23"/>
  <c r="BN194" i="23"/>
  <c r="BO194" i="23"/>
  <c r="BP194" i="23"/>
  <c r="BQ194" i="23"/>
  <c r="BR194" i="23"/>
  <c r="BS194" i="23"/>
  <c r="BT194" i="23"/>
  <c r="BU194" i="23"/>
  <c r="BV194" i="23"/>
  <c r="BW194" i="23"/>
  <c r="BX194" i="23"/>
  <c r="BY194" i="23"/>
  <c r="BZ194" i="23"/>
  <c r="CA194" i="23"/>
  <c r="CB194" i="23"/>
  <c r="CC194" i="23"/>
  <c r="CD194" i="23"/>
  <c r="CE194" i="23"/>
  <c r="CF194" i="23"/>
  <c r="CG194" i="23"/>
  <c r="CH194" i="23"/>
  <c r="CI194" i="23"/>
  <c r="CJ194" i="23"/>
  <c r="CK194" i="23"/>
  <c r="CL194" i="23"/>
  <c r="CM194" i="23"/>
  <c r="CN194" i="23"/>
  <c r="CO194" i="23"/>
  <c r="CP194" i="23"/>
  <c r="CQ194" i="23"/>
  <c r="CR194" i="23"/>
  <c r="CS194" i="23"/>
  <c r="CT194" i="23"/>
  <c r="CU194" i="23"/>
  <c r="CV194" i="23"/>
  <c r="CW194" i="23"/>
  <c r="CX194" i="23"/>
  <c r="CY194" i="23"/>
  <c r="CZ194" i="23"/>
  <c r="BJ195" i="23"/>
  <c r="BK195" i="23"/>
  <c r="BL195" i="23"/>
  <c r="BM195" i="23"/>
  <c r="BN195" i="23"/>
  <c r="BO195" i="23"/>
  <c r="BP195" i="23"/>
  <c r="BQ195" i="23"/>
  <c r="BR195" i="23"/>
  <c r="BS195" i="23"/>
  <c r="BT195" i="23"/>
  <c r="BU195" i="23"/>
  <c r="BV195" i="23"/>
  <c r="BW195" i="23"/>
  <c r="BX195" i="23"/>
  <c r="BY195" i="23"/>
  <c r="BZ195" i="23"/>
  <c r="CA195" i="23"/>
  <c r="CB195" i="23"/>
  <c r="CC195" i="23"/>
  <c r="CD195" i="23"/>
  <c r="CE195" i="23"/>
  <c r="CF195" i="23"/>
  <c r="CG195" i="23"/>
  <c r="CH195" i="23"/>
  <c r="CI195" i="23"/>
  <c r="CJ195" i="23"/>
  <c r="CK195" i="23"/>
  <c r="CL195" i="23"/>
  <c r="CM195" i="23"/>
  <c r="CN195" i="23"/>
  <c r="CO195" i="23"/>
  <c r="CP195" i="23"/>
  <c r="CQ195" i="23"/>
  <c r="CR195" i="23"/>
  <c r="CS195" i="23"/>
  <c r="CT195" i="23"/>
  <c r="CU195" i="23"/>
  <c r="CV195" i="23"/>
  <c r="CW195" i="23"/>
  <c r="CX195" i="23"/>
  <c r="CY195" i="23"/>
  <c r="CZ195" i="23"/>
  <c r="BJ190" i="23"/>
  <c r="BK190" i="23"/>
  <c r="BL190" i="23"/>
  <c r="BM190" i="23"/>
  <c r="BN190" i="23"/>
  <c r="BO190" i="23"/>
  <c r="BP190" i="23"/>
  <c r="BQ190" i="23"/>
  <c r="BR190" i="23"/>
  <c r="BS190" i="23"/>
  <c r="BT190" i="23"/>
  <c r="BU190" i="23"/>
  <c r="BV190" i="23"/>
  <c r="BW190" i="23"/>
  <c r="BX190" i="23"/>
  <c r="BY190" i="23"/>
  <c r="BZ190" i="23"/>
  <c r="CA190" i="23"/>
  <c r="CB190" i="23"/>
  <c r="CC190" i="23"/>
  <c r="CD190" i="23"/>
  <c r="CE190" i="23"/>
  <c r="CF190" i="23"/>
  <c r="CG190" i="23"/>
  <c r="CH190" i="23"/>
  <c r="CI190" i="23"/>
  <c r="CJ190" i="23"/>
  <c r="CK190" i="23"/>
  <c r="CL190" i="23"/>
  <c r="CM190" i="23"/>
  <c r="CN190" i="23"/>
  <c r="CO190" i="23"/>
  <c r="CP190" i="23"/>
  <c r="CQ190" i="23"/>
  <c r="CR190" i="23"/>
  <c r="CS190" i="23"/>
  <c r="CT190" i="23"/>
  <c r="CU190" i="23"/>
  <c r="CV190" i="23"/>
  <c r="CW190" i="23"/>
  <c r="CX190" i="23"/>
  <c r="CY190" i="23"/>
  <c r="CZ190" i="23"/>
  <c r="BJ191" i="23"/>
  <c r="BK191" i="23"/>
  <c r="BL191" i="23"/>
  <c r="BM191" i="23"/>
  <c r="BN191" i="23"/>
  <c r="BO191" i="23"/>
  <c r="BP191" i="23"/>
  <c r="BQ191" i="23"/>
  <c r="BR191" i="23"/>
  <c r="BS191" i="23"/>
  <c r="BT191" i="23"/>
  <c r="BU191" i="23"/>
  <c r="BV191" i="23"/>
  <c r="BW191" i="23"/>
  <c r="BX191" i="23"/>
  <c r="BY191" i="23"/>
  <c r="BZ191" i="23"/>
  <c r="CA191" i="23"/>
  <c r="CB191" i="23"/>
  <c r="CC191" i="23"/>
  <c r="CD191" i="23"/>
  <c r="CE191" i="23"/>
  <c r="CF191" i="23"/>
  <c r="CG191" i="23"/>
  <c r="CH191" i="23"/>
  <c r="CI191" i="23"/>
  <c r="CJ191" i="23"/>
  <c r="CK191" i="23"/>
  <c r="CL191" i="23"/>
  <c r="CM191" i="23"/>
  <c r="CN191" i="23"/>
  <c r="CO191" i="23"/>
  <c r="CP191" i="23"/>
  <c r="CQ191" i="23"/>
  <c r="CR191" i="23"/>
  <c r="CS191" i="23"/>
  <c r="CT191" i="23"/>
  <c r="CU191" i="23"/>
  <c r="CV191" i="23"/>
  <c r="CW191" i="23"/>
  <c r="CX191" i="23"/>
  <c r="CY191" i="23"/>
  <c r="CZ191" i="23"/>
  <c r="BJ192" i="23"/>
  <c r="BK192" i="23"/>
  <c r="BL192" i="23"/>
  <c r="BM192" i="23"/>
  <c r="BN192" i="23"/>
  <c r="BO192" i="23"/>
  <c r="BP192" i="23"/>
  <c r="BQ192" i="23"/>
  <c r="BR192" i="23"/>
  <c r="BS192" i="23"/>
  <c r="BT192" i="23"/>
  <c r="BU192" i="23"/>
  <c r="BV192" i="23"/>
  <c r="BW192" i="23"/>
  <c r="BX192" i="23"/>
  <c r="BY192" i="23"/>
  <c r="BZ192" i="23"/>
  <c r="CA192" i="23"/>
  <c r="CB192" i="23"/>
  <c r="CC192" i="23"/>
  <c r="CD192" i="23"/>
  <c r="CE192" i="23"/>
  <c r="CF192" i="23"/>
  <c r="CG192" i="23"/>
  <c r="CH192" i="23"/>
  <c r="CI192" i="23"/>
  <c r="CJ192" i="23"/>
  <c r="CK192" i="23"/>
  <c r="CL192" i="23"/>
  <c r="CM192" i="23"/>
  <c r="CN192" i="23"/>
  <c r="CO192" i="23"/>
  <c r="CP192" i="23"/>
  <c r="CQ192" i="23"/>
  <c r="CR192" i="23"/>
  <c r="CS192" i="23"/>
  <c r="CT192" i="23"/>
  <c r="CU192" i="23"/>
  <c r="CV192" i="23"/>
  <c r="CW192" i="23"/>
  <c r="CX192" i="23"/>
  <c r="CY192" i="23"/>
  <c r="CZ192" i="23"/>
  <c r="Y2" i="28"/>
  <c r="AC2" i="28"/>
  <c r="AD2" i="28"/>
  <c r="AE2" i="28"/>
  <c r="AF2" i="28"/>
  <c r="AG2" i="28"/>
  <c r="AH2" i="28"/>
  <c r="AI2" i="28"/>
  <c r="AB2" i="28"/>
  <c r="W2" i="28"/>
  <c r="X2" i="28"/>
  <c r="V2" i="28"/>
  <c r="O2" i="28"/>
  <c r="P2" i="28"/>
  <c r="Q2" i="28"/>
  <c r="R2" i="28"/>
  <c r="S2" i="28"/>
  <c r="N2" i="28"/>
  <c r="AM2" i="28" a="1"/>
  <c r="AM2" i="28" s="1"/>
  <c r="AN2" i="28" a="1"/>
  <c r="AN2" i="28" s="1"/>
  <c r="AO2" i="28" a="1"/>
  <c r="AO2" i="28" s="1"/>
  <c r="AP2" i="28" a="1"/>
  <c r="AP2" i="28" s="1"/>
  <c r="AQ2" i="28" a="1"/>
  <c r="AQ2" i="28" s="1"/>
  <c r="AR2" i="28" a="1"/>
  <c r="AR2" i="28" s="1"/>
  <c r="AS2" i="28" a="1"/>
  <c r="AS2" i="28" s="1"/>
  <c r="AT2" i="28" a="1"/>
  <c r="AT2" i="28" s="1"/>
  <c r="AL2" i="28" a="1"/>
  <c r="AL2" i="28" s="1"/>
  <c r="BJ3" i="23"/>
  <c r="BK3" i="23"/>
  <c r="BL3" i="23"/>
  <c r="BM3" i="23"/>
  <c r="BN3" i="23"/>
  <c r="BO3" i="23"/>
  <c r="BP3" i="23"/>
  <c r="BQ3" i="23"/>
  <c r="BR3" i="23"/>
  <c r="BS3" i="23"/>
  <c r="BT3" i="23"/>
  <c r="BU3" i="23"/>
  <c r="BV3" i="23"/>
  <c r="BW3" i="23"/>
  <c r="BX3" i="23"/>
  <c r="BY3" i="23"/>
  <c r="BZ3" i="23"/>
  <c r="CA3" i="23"/>
  <c r="CB3" i="23"/>
  <c r="CC3" i="23"/>
  <c r="CD3" i="23"/>
  <c r="CE3" i="23"/>
  <c r="CF3" i="23"/>
  <c r="CG3" i="23"/>
  <c r="CH3" i="23"/>
  <c r="CI3" i="23"/>
  <c r="CJ3" i="23"/>
  <c r="CK3" i="23"/>
  <c r="CL3" i="23"/>
  <c r="CM3" i="23"/>
  <c r="CN3" i="23"/>
  <c r="CO3" i="23"/>
  <c r="CP3" i="23"/>
  <c r="CQ3" i="23"/>
  <c r="CR3" i="23"/>
  <c r="CS3" i="23"/>
  <c r="CT3" i="23"/>
  <c r="CU3" i="23"/>
  <c r="CV3" i="23"/>
  <c r="CW3" i="23"/>
  <c r="CX3" i="23"/>
  <c r="CY3" i="23"/>
  <c r="CZ3" i="23"/>
  <c r="BJ4" i="23"/>
  <c r="BK4" i="23"/>
  <c r="BL4" i="23"/>
  <c r="BM4" i="23"/>
  <c r="BN4" i="23"/>
  <c r="BO4" i="23"/>
  <c r="BP4" i="23"/>
  <c r="BQ4" i="23"/>
  <c r="BR4" i="23"/>
  <c r="BS4" i="23"/>
  <c r="BT4" i="23"/>
  <c r="BU4" i="23"/>
  <c r="BV4" i="23"/>
  <c r="BW4" i="23"/>
  <c r="BX4" i="23"/>
  <c r="BY4" i="23"/>
  <c r="BZ4" i="23"/>
  <c r="CA4" i="23"/>
  <c r="CB4" i="23"/>
  <c r="CC4" i="23"/>
  <c r="CD4" i="23"/>
  <c r="CE4" i="23"/>
  <c r="CF4" i="23"/>
  <c r="CG4" i="23"/>
  <c r="CH4" i="23"/>
  <c r="CI4" i="23"/>
  <c r="CJ4" i="23"/>
  <c r="CK4" i="23"/>
  <c r="CL4" i="23"/>
  <c r="CM4" i="23"/>
  <c r="CN4" i="23"/>
  <c r="CO4" i="23"/>
  <c r="CP4" i="23"/>
  <c r="CQ4" i="23"/>
  <c r="CR4" i="23"/>
  <c r="CS4" i="23"/>
  <c r="CT4" i="23"/>
  <c r="CU4" i="23"/>
  <c r="CV4" i="23"/>
  <c r="CW4" i="23"/>
  <c r="CX4" i="23"/>
  <c r="CY4" i="23"/>
  <c r="CZ4" i="23"/>
  <c r="BJ5" i="23"/>
  <c r="BK5" i="23"/>
  <c r="BL5" i="23"/>
  <c r="BM5" i="23"/>
  <c r="BN5" i="23"/>
  <c r="BO5" i="23"/>
  <c r="BP5" i="23"/>
  <c r="BQ5" i="23"/>
  <c r="BR5" i="23"/>
  <c r="BS5" i="23"/>
  <c r="BT5" i="23"/>
  <c r="BU5" i="23"/>
  <c r="BV5" i="23"/>
  <c r="BW5" i="23"/>
  <c r="BX5" i="23"/>
  <c r="BY5" i="23"/>
  <c r="BZ5" i="23"/>
  <c r="CA5" i="23"/>
  <c r="CB5" i="23"/>
  <c r="CC5" i="23"/>
  <c r="CD5" i="23"/>
  <c r="CE5" i="23"/>
  <c r="CF5" i="23"/>
  <c r="CG5" i="23"/>
  <c r="CH5" i="23"/>
  <c r="CI5" i="23"/>
  <c r="CJ5" i="23"/>
  <c r="CK5" i="23"/>
  <c r="CL5" i="23"/>
  <c r="CM5" i="23"/>
  <c r="CN5" i="23"/>
  <c r="CO5" i="23"/>
  <c r="CP5" i="23"/>
  <c r="CQ5" i="23"/>
  <c r="CR5" i="23"/>
  <c r="CS5" i="23"/>
  <c r="CT5" i="23"/>
  <c r="CU5" i="23"/>
  <c r="CV5" i="23"/>
  <c r="CW5" i="23"/>
  <c r="CX5" i="23"/>
  <c r="CY5" i="23"/>
  <c r="CZ5" i="23"/>
  <c r="BJ6" i="23"/>
  <c r="BK6" i="23"/>
  <c r="BL6" i="23"/>
  <c r="BM6" i="23"/>
  <c r="BN6" i="23"/>
  <c r="BO6" i="23"/>
  <c r="BP6" i="23"/>
  <c r="BQ6" i="23"/>
  <c r="BR6" i="23"/>
  <c r="BS6" i="23"/>
  <c r="BT6" i="23"/>
  <c r="BU6" i="23"/>
  <c r="BV6" i="23"/>
  <c r="BW6" i="23"/>
  <c r="BX6" i="23"/>
  <c r="BY6" i="23"/>
  <c r="BZ6" i="23"/>
  <c r="CA6" i="23"/>
  <c r="CB6" i="23"/>
  <c r="CC6" i="23"/>
  <c r="CD6" i="23"/>
  <c r="CE6" i="23"/>
  <c r="CF6" i="23"/>
  <c r="CG6" i="23"/>
  <c r="CH6" i="23"/>
  <c r="CI6" i="23"/>
  <c r="CJ6" i="23"/>
  <c r="CK6" i="23"/>
  <c r="CL6" i="23"/>
  <c r="CM6" i="23"/>
  <c r="CN6" i="23"/>
  <c r="CO6" i="23"/>
  <c r="CP6" i="23"/>
  <c r="CQ6" i="23"/>
  <c r="CR6" i="23"/>
  <c r="CS6" i="23"/>
  <c r="CT6" i="23"/>
  <c r="CU6" i="23"/>
  <c r="CV6" i="23"/>
  <c r="CW6" i="23"/>
  <c r="CX6" i="23"/>
  <c r="CY6" i="23"/>
  <c r="CZ6" i="23"/>
  <c r="BJ7" i="23"/>
  <c r="BK7" i="23"/>
  <c r="BL7" i="23"/>
  <c r="BM7" i="23"/>
  <c r="BN7" i="23"/>
  <c r="BO7" i="23"/>
  <c r="BP7" i="23"/>
  <c r="BQ7" i="23"/>
  <c r="BR7" i="23"/>
  <c r="BS7" i="23"/>
  <c r="BT7" i="23"/>
  <c r="BU7" i="23"/>
  <c r="BV7" i="23"/>
  <c r="BW7" i="23"/>
  <c r="BX7" i="23"/>
  <c r="BY7" i="23"/>
  <c r="BZ7" i="23"/>
  <c r="CA7" i="23"/>
  <c r="CB7" i="23"/>
  <c r="CC7" i="23"/>
  <c r="CD7" i="23"/>
  <c r="CE7" i="23"/>
  <c r="CF7" i="23"/>
  <c r="CG7" i="23"/>
  <c r="CH7" i="23"/>
  <c r="CI7" i="23"/>
  <c r="CJ7" i="23"/>
  <c r="CK7" i="23"/>
  <c r="CL7" i="23"/>
  <c r="CM7" i="23"/>
  <c r="CN7" i="23"/>
  <c r="CO7" i="23"/>
  <c r="CP7" i="23"/>
  <c r="CQ7" i="23"/>
  <c r="CR7" i="23"/>
  <c r="CS7" i="23"/>
  <c r="CT7" i="23"/>
  <c r="CU7" i="23"/>
  <c r="CV7" i="23"/>
  <c r="CW7" i="23"/>
  <c r="CX7" i="23"/>
  <c r="CY7" i="23"/>
  <c r="CZ7" i="23"/>
  <c r="BJ8" i="23"/>
  <c r="BK8" i="23"/>
  <c r="BL8" i="23"/>
  <c r="BM8" i="23"/>
  <c r="BN8" i="23"/>
  <c r="BO8" i="23"/>
  <c r="BP8" i="23"/>
  <c r="BQ8" i="23"/>
  <c r="BR8" i="23"/>
  <c r="BS8" i="23"/>
  <c r="BT8" i="23"/>
  <c r="BU8" i="23"/>
  <c r="BV8" i="23"/>
  <c r="BW8" i="23"/>
  <c r="BX8" i="23"/>
  <c r="BY8" i="23"/>
  <c r="BZ8" i="23"/>
  <c r="CA8" i="23"/>
  <c r="CB8" i="23"/>
  <c r="CC8" i="23"/>
  <c r="CD8" i="23"/>
  <c r="CE8" i="23"/>
  <c r="CF8" i="23"/>
  <c r="CG8" i="23"/>
  <c r="CH8" i="23"/>
  <c r="CI8" i="23"/>
  <c r="CJ8" i="23"/>
  <c r="CK8" i="23"/>
  <c r="CL8" i="23"/>
  <c r="CM8" i="23"/>
  <c r="CN8" i="23"/>
  <c r="CO8" i="23"/>
  <c r="CP8" i="23"/>
  <c r="CQ8" i="23"/>
  <c r="CR8" i="23"/>
  <c r="CS8" i="23"/>
  <c r="CT8" i="23"/>
  <c r="CU8" i="23"/>
  <c r="CV8" i="23"/>
  <c r="CW8" i="23"/>
  <c r="CX8" i="23"/>
  <c r="CY8" i="23"/>
  <c r="CZ8" i="23"/>
  <c r="BJ9" i="23"/>
  <c r="BK9" i="23"/>
  <c r="BL9" i="23"/>
  <c r="BM9" i="23"/>
  <c r="BN9" i="23"/>
  <c r="BO9" i="23"/>
  <c r="BP9" i="23"/>
  <c r="BQ9" i="23"/>
  <c r="BR9" i="23"/>
  <c r="BS9" i="23"/>
  <c r="BT9" i="23"/>
  <c r="BU9" i="23"/>
  <c r="BV9" i="23"/>
  <c r="BW9" i="23"/>
  <c r="BX9" i="23"/>
  <c r="BY9" i="23"/>
  <c r="BZ9" i="23"/>
  <c r="CA9" i="23"/>
  <c r="CB9" i="23"/>
  <c r="CC9" i="23"/>
  <c r="CD9" i="23"/>
  <c r="CE9" i="23"/>
  <c r="CF9" i="23"/>
  <c r="CG9" i="23"/>
  <c r="CH9" i="23"/>
  <c r="CI9" i="23"/>
  <c r="CJ9" i="23"/>
  <c r="CK9" i="23"/>
  <c r="CL9" i="23"/>
  <c r="CM9" i="23"/>
  <c r="CN9" i="23"/>
  <c r="CO9" i="23"/>
  <c r="CP9" i="23"/>
  <c r="CQ9" i="23"/>
  <c r="CR9" i="23"/>
  <c r="CS9" i="23"/>
  <c r="CT9" i="23"/>
  <c r="CU9" i="23"/>
  <c r="CV9" i="23"/>
  <c r="CW9" i="23"/>
  <c r="CX9" i="23"/>
  <c r="CY9" i="23"/>
  <c r="CZ9" i="23"/>
  <c r="BJ10" i="23"/>
  <c r="BK10" i="23"/>
  <c r="BL10" i="23"/>
  <c r="BM10" i="23"/>
  <c r="BN10" i="23"/>
  <c r="BO10" i="23"/>
  <c r="BP10" i="23"/>
  <c r="BQ10" i="23"/>
  <c r="BR10" i="23"/>
  <c r="BS10" i="23"/>
  <c r="BT10" i="23"/>
  <c r="BU10" i="23"/>
  <c r="BV10" i="23"/>
  <c r="BW10" i="23"/>
  <c r="BX10" i="23"/>
  <c r="BY10" i="23"/>
  <c r="BZ10" i="23"/>
  <c r="CA10" i="23"/>
  <c r="CB10" i="23"/>
  <c r="CC10" i="23"/>
  <c r="CD10" i="23"/>
  <c r="CE10" i="23"/>
  <c r="CF10" i="23"/>
  <c r="CG10" i="23"/>
  <c r="CH10" i="23"/>
  <c r="CI10" i="23"/>
  <c r="CJ10" i="23"/>
  <c r="CK10" i="23"/>
  <c r="CL10" i="23"/>
  <c r="CM10" i="23"/>
  <c r="CN10" i="23"/>
  <c r="CO10" i="23"/>
  <c r="CP10" i="23"/>
  <c r="CQ10" i="23"/>
  <c r="CR10" i="23"/>
  <c r="CS10" i="23"/>
  <c r="CT10" i="23"/>
  <c r="CU10" i="23"/>
  <c r="CV10" i="23"/>
  <c r="CW10" i="23"/>
  <c r="CX10" i="23"/>
  <c r="CY10" i="23"/>
  <c r="CZ10" i="23"/>
  <c r="BJ11" i="23"/>
  <c r="BK11" i="23"/>
  <c r="BL11" i="23"/>
  <c r="BM11" i="23"/>
  <c r="BN11" i="23"/>
  <c r="BO11" i="23"/>
  <c r="BP11" i="23"/>
  <c r="BQ11" i="23"/>
  <c r="BR11" i="23"/>
  <c r="BS11" i="23"/>
  <c r="BT11" i="23"/>
  <c r="BU11" i="23"/>
  <c r="BV11" i="23"/>
  <c r="BW11" i="23"/>
  <c r="BX11" i="23"/>
  <c r="BY11" i="23"/>
  <c r="BZ11" i="23"/>
  <c r="CA11" i="23"/>
  <c r="CB11" i="23"/>
  <c r="CC11" i="23"/>
  <c r="CD11" i="23"/>
  <c r="CE11" i="23"/>
  <c r="CF11" i="23"/>
  <c r="CG11" i="23"/>
  <c r="CH11" i="23"/>
  <c r="CI11" i="23"/>
  <c r="CJ11" i="23"/>
  <c r="CK11" i="23"/>
  <c r="CL11" i="23"/>
  <c r="CM11" i="23"/>
  <c r="CN11" i="23"/>
  <c r="CO11" i="23"/>
  <c r="CP11" i="23"/>
  <c r="CQ11" i="23"/>
  <c r="CR11" i="23"/>
  <c r="CS11" i="23"/>
  <c r="CT11" i="23"/>
  <c r="CU11" i="23"/>
  <c r="CV11" i="23"/>
  <c r="CW11" i="23"/>
  <c r="CX11" i="23"/>
  <c r="CY11" i="23"/>
  <c r="CZ11" i="23"/>
  <c r="BJ12" i="23"/>
  <c r="BK12" i="23"/>
  <c r="BL12" i="23"/>
  <c r="BM12" i="23"/>
  <c r="BN12" i="23"/>
  <c r="BO12" i="23"/>
  <c r="BP12" i="23"/>
  <c r="BQ12" i="23"/>
  <c r="BR12" i="23"/>
  <c r="BS12" i="23"/>
  <c r="BT12" i="23"/>
  <c r="BU12" i="23"/>
  <c r="BV12" i="23"/>
  <c r="BW12" i="23"/>
  <c r="BX12" i="23"/>
  <c r="BY12" i="23"/>
  <c r="BZ12" i="23"/>
  <c r="CA12" i="23"/>
  <c r="CB12" i="23"/>
  <c r="CC12" i="23"/>
  <c r="CD12" i="23"/>
  <c r="CE12" i="23"/>
  <c r="CF12" i="23"/>
  <c r="CG12" i="23"/>
  <c r="CH12" i="23"/>
  <c r="CI12" i="23"/>
  <c r="CJ12" i="23"/>
  <c r="CK12" i="23"/>
  <c r="CL12" i="23"/>
  <c r="CM12" i="23"/>
  <c r="CN12" i="23"/>
  <c r="CO12" i="23"/>
  <c r="CP12" i="23"/>
  <c r="CQ12" i="23"/>
  <c r="CR12" i="23"/>
  <c r="CS12" i="23"/>
  <c r="CT12" i="23"/>
  <c r="CU12" i="23"/>
  <c r="CV12" i="23"/>
  <c r="CW12" i="23"/>
  <c r="CX12" i="23"/>
  <c r="CY12" i="23"/>
  <c r="CZ12" i="23"/>
  <c r="BJ13" i="23"/>
  <c r="BK13" i="23"/>
  <c r="BL13" i="23"/>
  <c r="BM13" i="23"/>
  <c r="BN13" i="23"/>
  <c r="BO13" i="23"/>
  <c r="BP13" i="23"/>
  <c r="BQ13" i="23"/>
  <c r="BR13" i="23"/>
  <c r="BS13" i="23"/>
  <c r="BT13" i="23"/>
  <c r="BU13" i="23"/>
  <c r="BV13" i="23"/>
  <c r="BW13" i="23"/>
  <c r="BX13" i="23"/>
  <c r="BY13" i="23"/>
  <c r="BZ13" i="23"/>
  <c r="CA13" i="23"/>
  <c r="CB13" i="23"/>
  <c r="CC13" i="23"/>
  <c r="CD13" i="23"/>
  <c r="CE13" i="23"/>
  <c r="CF13" i="23"/>
  <c r="CG13" i="23"/>
  <c r="CH13" i="23"/>
  <c r="CI13" i="23"/>
  <c r="CJ13" i="23"/>
  <c r="CK13" i="23"/>
  <c r="CL13" i="23"/>
  <c r="CM13" i="23"/>
  <c r="CN13" i="23"/>
  <c r="CO13" i="23"/>
  <c r="CP13" i="23"/>
  <c r="CQ13" i="23"/>
  <c r="CR13" i="23"/>
  <c r="CS13" i="23"/>
  <c r="CT13" i="23"/>
  <c r="CU13" i="23"/>
  <c r="CV13" i="23"/>
  <c r="CW13" i="23"/>
  <c r="CX13" i="23"/>
  <c r="CY13" i="23"/>
  <c r="CZ13" i="23"/>
  <c r="BJ14" i="23"/>
  <c r="BK14" i="23"/>
  <c r="BL14" i="23"/>
  <c r="BM14" i="23"/>
  <c r="BN14" i="23"/>
  <c r="BO14" i="23"/>
  <c r="BP14" i="23"/>
  <c r="BQ14" i="23"/>
  <c r="BR14" i="23"/>
  <c r="BS14" i="23"/>
  <c r="BT14" i="23"/>
  <c r="BU14" i="23"/>
  <c r="BV14" i="23"/>
  <c r="BW14" i="23"/>
  <c r="BX14" i="23"/>
  <c r="BY14" i="23"/>
  <c r="BZ14" i="23"/>
  <c r="CA14" i="23"/>
  <c r="CB14" i="23"/>
  <c r="CC14" i="23"/>
  <c r="CD14" i="23"/>
  <c r="CE14" i="23"/>
  <c r="CF14" i="23"/>
  <c r="CG14" i="23"/>
  <c r="CH14" i="23"/>
  <c r="CI14" i="23"/>
  <c r="CJ14" i="23"/>
  <c r="CK14" i="23"/>
  <c r="CL14" i="23"/>
  <c r="CM14" i="23"/>
  <c r="CN14" i="23"/>
  <c r="CO14" i="23"/>
  <c r="CP14" i="23"/>
  <c r="CQ14" i="23"/>
  <c r="CR14" i="23"/>
  <c r="CS14" i="23"/>
  <c r="CT14" i="23"/>
  <c r="CU14" i="23"/>
  <c r="CV14" i="23"/>
  <c r="CW14" i="23"/>
  <c r="CX14" i="23"/>
  <c r="CY14" i="23"/>
  <c r="CZ14" i="23"/>
  <c r="BJ15" i="23"/>
  <c r="BK15" i="23"/>
  <c r="BL15" i="23"/>
  <c r="BM15" i="23"/>
  <c r="BN15" i="23"/>
  <c r="BO15" i="23"/>
  <c r="BP15" i="23"/>
  <c r="BQ15" i="23"/>
  <c r="BR15" i="23"/>
  <c r="BS15" i="23"/>
  <c r="BT15" i="23"/>
  <c r="BU15" i="23"/>
  <c r="BV15" i="23"/>
  <c r="BW15" i="23"/>
  <c r="BX15" i="23"/>
  <c r="BY15" i="23"/>
  <c r="BZ15" i="23"/>
  <c r="CA15" i="23"/>
  <c r="CB15" i="23"/>
  <c r="CC15" i="23"/>
  <c r="CD15" i="23"/>
  <c r="CE15" i="23"/>
  <c r="CF15" i="23"/>
  <c r="CG15" i="23"/>
  <c r="CH15" i="23"/>
  <c r="CI15" i="23"/>
  <c r="CJ15" i="23"/>
  <c r="CK15" i="23"/>
  <c r="CL15" i="23"/>
  <c r="CM15" i="23"/>
  <c r="CN15" i="23"/>
  <c r="CO15" i="23"/>
  <c r="CP15" i="23"/>
  <c r="CQ15" i="23"/>
  <c r="CR15" i="23"/>
  <c r="CS15" i="23"/>
  <c r="CT15" i="23"/>
  <c r="CU15" i="23"/>
  <c r="CV15" i="23"/>
  <c r="CW15" i="23"/>
  <c r="CX15" i="23"/>
  <c r="CY15" i="23"/>
  <c r="CZ15" i="23"/>
  <c r="BJ16" i="23"/>
  <c r="BK16" i="23"/>
  <c r="BL16" i="23"/>
  <c r="BM16" i="23"/>
  <c r="BN16" i="23"/>
  <c r="BO16" i="23"/>
  <c r="BP16" i="23"/>
  <c r="BQ16" i="23"/>
  <c r="BR16" i="23"/>
  <c r="BS16" i="23"/>
  <c r="BT16" i="23"/>
  <c r="BU16" i="23"/>
  <c r="BV16" i="23"/>
  <c r="BW16" i="23"/>
  <c r="BX16" i="23"/>
  <c r="BY16" i="23"/>
  <c r="BZ16" i="23"/>
  <c r="CA16" i="23"/>
  <c r="CB16" i="23"/>
  <c r="CC16" i="23"/>
  <c r="CD16" i="23"/>
  <c r="CE16" i="23"/>
  <c r="CF16" i="23"/>
  <c r="CG16" i="23"/>
  <c r="CH16" i="23"/>
  <c r="CI16" i="23"/>
  <c r="CJ16" i="23"/>
  <c r="CK16" i="23"/>
  <c r="CL16" i="23"/>
  <c r="CM16" i="23"/>
  <c r="CN16" i="23"/>
  <c r="CO16" i="23"/>
  <c r="CP16" i="23"/>
  <c r="CQ16" i="23"/>
  <c r="CR16" i="23"/>
  <c r="CS16" i="23"/>
  <c r="CT16" i="23"/>
  <c r="CU16" i="23"/>
  <c r="CV16" i="23"/>
  <c r="CW16" i="23"/>
  <c r="CX16" i="23"/>
  <c r="CY16" i="23"/>
  <c r="CZ16" i="23"/>
  <c r="BJ17" i="23"/>
  <c r="BK17" i="23"/>
  <c r="BL17" i="23"/>
  <c r="BM17" i="23"/>
  <c r="BN17" i="23"/>
  <c r="BO17" i="23"/>
  <c r="BP17" i="23"/>
  <c r="BQ17" i="23"/>
  <c r="BR17" i="23"/>
  <c r="BS17" i="23"/>
  <c r="BT17" i="23"/>
  <c r="BU17" i="23"/>
  <c r="BV17" i="23"/>
  <c r="BW17" i="23"/>
  <c r="BX17" i="23"/>
  <c r="BY17" i="23"/>
  <c r="BZ17" i="23"/>
  <c r="CA17" i="23"/>
  <c r="CB17" i="23"/>
  <c r="CC17" i="23"/>
  <c r="CD17" i="23"/>
  <c r="CE17" i="23"/>
  <c r="CF17" i="23"/>
  <c r="CG17" i="23"/>
  <c r="CH17" i="23"/>
  <c r="CI17" i="23"/>
  <c r="CJ17" i="23"/>
  <c r="CK17" i="23"/>
  <c r="CL17" i="23"/>
  <c r="CM17" i="23"/>
  <c r="CN17" i="23"/>
  <c r="CO17" i="23"/>
  <c r="CP17" i="23"/>
  <c r="CQ17" i="23"/>
  <c r="CR17" i="23"/>
  <c r="CS17" i="23"/>
  <c r="CT17" i="23"/>
  <c r="CU17" i="23"/>
  <c r="CV17" i="23"/>
  <c r="CW17" i="23"/>
  <c r="CX17" i="23"/>
  <c r="CY17" i="23"/>
  <c r="CZ17" i="23"/>
  <c r="BJ18" i="23"/>
  <c r="BK18" i="23"/>
  <c r="BL18" i="23"/>
  <c r="BM18" i="23"/>
  <c r="BN18" i="23"/>
  <c r="BO18" i="23"/>
  <c r="BP18" i="23"/>
  <c r="BQ18" i="23"/>
  <c r="BR18" i="23"/>
  <c r="BS18" i="23"/>
  <c r="BT18" i="23"/>
  <c r="BU18" i="23"/>
  <c r="BV18" i="23"/>
  <c r="BW18" i="23"/>
  <c r="BX18" i="23"/>
  <c r="BY18" i="23"/>
  <c r="BZ18" i="23"/>
  <c r="CA18" i="23"/>
  <c r="CB18" i="23"/>
  <c r="CC18" i="23"/>
  <c r="CD18" i="23"/>
  <c r="CE18" i="23"/>
  <c r="CF18" i="23"/>
  <c r="CG18" i="23"/>
  <c r="CH18" i="23"/>
  <c r="CI18" i="23"/>
  <c r="CJ18" i="23"/>
  <c r="CK18" i="23"/>
  <c r="CL18" i="23"/>
  <c r="CM18" i="23"/>
  <c r="CN18" i="23"/>
  <c r="CO18" i="23"/>
  <c r="CP18" i="23"/>
  <c r="CQ18" i="23"/>
  <c r="CR18" i="23"/>
  <c r="CS18" i="23"/>
  <c r="CT18" i="23"/>
  <c r="CU18" i="23"/>
  <c r="CV18" i="23"/>
  <c r="CW18" i="23"/>
  <c r="CX18" i="23"/>
  <c r="CY18" i="23"/>
  <c r="CZ18" i="23"/>
  <c r="BJ19" i="23"/>
  <c r="BK19" i="23"/>
  <c r="BL19" i="23"/>
  <c r="BM19" i="23"/>
  <c r="BN19" i="23"/>
  <c r="BO19" i="23"/>
  <c r="BP19" i="23"/>
  <c r="BQ19" i="23"/>
  <c r="BR19" i="23"/>
  <c r="BS19" i="23"/>
  <c r="BT19" i="23"/>
  <c r="BU19" i="23"/>
  <c r="BV19" i="23"/>
  <c r="BW19" i="23"/>
  <c r="BX19" i="23"/>
  <c r="BY19" i="23"/>
  <c r="BZ19" i="23"/>
  <c r="CA19" i="23"/>
  <c r="CB19" i="23"/>
  <c r="CC19" i="23"/>
  <c r="CD19" i="23"/>
  <c r="CE19" i="23"/>
  <c r="CF19" i="23"/>
  <c r="CG19" i="23"/>
  <c r="CH19" i="23"/>
  <c r="CI19" i="23"/>
  <c r="CJ19" i="23"/>
  <c r="CK19" i="23"/>
  <c r="CL19" i="23"/>
  <c r="CM19" i="23"/>
  <c r="CN19" i="23"/>
  <c r="CO19" i="23"/>
  <c r="CP19" i="23"/>
  <c r="CQ19" i="23"/>
  <c r="CR19" i="23"/>
  <c r="CS19" i="23"/>
  <c r="CT19" i="23"/>
  <c r="CU19" i="23"/>
  <c r="CV19" i="23"/>
  <c r="CW19" i="23"/>
  <c r="CX19" i="23"/>
  <c r="CY19" i="23"/>
  <c r="CZ19" i="23"/>
  <c r="BJ20" i="23"/>
  <c r="BK20" i="23"/>
  <c r="BL20" i="23"/>
  <c r="BM20" i="23"/>
  <c r="BN20" i="23"/>
  <c r="BO20" i="23"/>
  <c r="BP20" i="23"/>
  <c r="BQ20" i="23"/>
  <c r="BR20" i="23"/>
  <c r="BS20" i="23"/>
  <c r="BT20" i="23"/>
  <c r="BU20" i="23"/>
  <c r="BV20" i="23"/>
  <c r="BW20" i="23"/>
  <c r="BX20" i="23"/>
  <c r="BY20" i="23"/>
  <c r="BZ20" i="23"/>
  <c r="CA20" i="23"/>
  <c r="CB20" i="23"/>
  <c r="CC20" i="23"/>
  <c r="CD20" i="23"/>
  <c r="CE20" i="23"/>
  <c r="CF20" i="23"/>
  <c r="CG20" i="23"/>
  <c r="CH20" i="23"/>
  <c r="CI20" i="23"/>
  <c r="CJ20" i="23"/>
  <c r="CK20" i="23"/>
  <c r="CL20" i="23"/>
  <c r="CM20" i="23"/>
  <c r="CN20" i="23"/>
  <c r="CO20" i="23"/>
  <c r="CP20" i="23"/>
  <c r="CQ20" i="23"/>
  <c r="CR20" i="23"/>
  <c r="CS20" i="23"/>
  <c r="CT20" i="23"/>
  <c r="CU20" i="23"/>
  <c r="CV20" i="23"/>
  <c r="CW20" i="23"/>
  <c r="CX20" i="23"/>
  <c r="CY20" i="23"/>
  <c r="CZ20" i="23"/>
  <c r="BJ21" i="23"/>
  <c r="BK21" i="23"/>
  <c r="BL21" i="23"/>
  <c r="BM21" i="23"/>
  <c r="BN21" i="23"/>
  <c r="BO21" i="23"/>
  <c r="BP21" i="23"/>
  <c r="BQ21" i="23"/>
  <c r="BR21" i="23"/>
  <c r="BS21" i="23"/>
  <c r="BT21" i="23"/>
  <c r="BU21" i="23"/>
  <c r="BV21" i="23"/>
  <c r="BW21" i="23"/>
  <c r="BX21" i="23"/>
  <c r="BY21" i="23"/>
  <c r="BZ21" i="23"/>
  <c r="CA21" i="23"/>
  <c r="CB21" i="23"/>
  <c r="CC21" i="23"/>
  <c r="CD21" i="23"/>
  <c r="CE21" i="23"/>
  <c r="CF21" i="23"/>
  <c r="CG21" i="23"/>
  <c r="CH21" i="23"/>
  <c r="CI21" i="23"/>
  <c r="CJ21" i="23"/>
  <c r="CK21" i="23"/>
  <c r="CL21" i="23"/>
  <c r="CM21" i="23"/>
  <c r="CN21" i="23"/>
  <c r="CO21" i="23"/>
  <c r="CP21" i="23"/>
  <c r="CQ21" i="23"/>
  <c r="CR21" i="23"/>
  <c r="CS21" i="23"/>
  <c r="CT21" i="23"/>
  <c r="CU21" i="23"/>
  <c r="CV21" i="23"/>
  <c r="CW21" i="23"/>
  <c r="CX21" i="23"/>
  <c r="CY21" i="23"/>
  <c r="CZ21" i="23"/>
  <c r="BJ22" i="23"/>
  <c r="BK22" i="23"/>
  <c r="BL22" i="23"/>
  <c r="BM22" i="23"/>
  <c r="BN22" i="23"/>
  <c r="BO22" i="23"/>
  <c r="BP22" i="23"/>
  <c r="BQ22" i="23"/>
  <c r="BR22" i="23"/>
  <c r="BS22" i="23"/>
  <c r="BT22" i="23"/>
  <c r="BU22" i="23"/>
  <c r="BV22" i="23"/>
  <c r="BW22" i="23"/>
  <c r="BX22" i="23"/>
  <c r="BY22" i="23"/>
  <c r="BZ22" i="23"/>
  <c r="CA22" i="23"/>
  <c r="CB22" i="23"/>
  <c r="CC22" i="23"/>
  <c r="CD22" i="23"/>
  <c r="CE22" i="23"/>
  <c r="CF22" i="23"/>
  <c r="CG22" i="23"/>
  <c r="CH22" i="23"/>
  <c r="CI22" i="23"/>
  <c r="CJ22" i="23"/>
  <c r="CK22" i="23"/>
  <c r="CL22" i="23"/>
  <c r="CM22" i="23"/>
  <c r="CN22" i="23"/>
  <c r="CO22" i="23"/>
  <c r="CP22" i="23"/>
  <c r="CQ22" i="23"/>
  <c r="CR22" i="23"/>
  <c r="CS22" i="23"/>
  <c r="CT22" i="23"/>
  <c r="CU22" i="23"/>
  <c r="CV22" i="23"/>
  <c r="CW22" i="23"/>
  <c r="CX22" i="23"/>
  <c r="CY22" i="23"/>
  <c r="CZ22" i="23"/>
  <c r="BJ23" i="23"/>
  <c r="BK23" i="23"/>
  <c r="BL23" i="23"/>
  <c r="BM23" i="23"/>
  <c r="BN23" i="23"/>
  <c r="BO23" i="23"/>
  <c r="BP23" i="23"/>
  <c r="BQ23" i="23"/>
  <c r="BR23" i="23"/>
  <c r="BS23" i="23"/>
  <c r="BT23" i="23"/>
  <c r="BU23" i="23"/>
  <c r="BV23" i="23"/>
  <c r="BW23" i="23"/>
  <c r="BX23" i="23"/>
  <c r="BY23" i="23"/>
  <c r="BZ23" i="23"/>
  <c r="CA23" i="23"/>
  <c r="CB23" i="23"/>
  <c r="CC23" i="23"/>
  <c r="CD23" i="23"/>
  <c r="CE23" i="23"/>
  <c r="CF23" i="23"/>
  <c r="CG23" i="23"/>
  <c r="CH23" i="23"/>
  <c r="CI23" i="23"/>
  <c r="CJ23" i="23"/>
  <c r="CK23" i="23"/>
  <c r="CL23" i="23"/>
  <c r="CM23" i="23"/>
  <c r="CN23" i="23"/>
  <c r="CO23" i="23"/>
  <c r="CP23" i="23"/>
  <c r="CQ23" i="23"/>
  <c r="CR23" i="23"/>
  <c r="CS23" i="23"/>
  <c r="CT23" i="23"/>
  <c r="CU23" i="23"/>
  <c r="CV23" i="23"/>
  <c r="CW23" i="23"/>
  <c r="CX23" i="23"/>
  <c r="CY23" i="23"/>
  <c r="CZ23" i="23"/>
  <c r="BJ24" i="23"/>
  <c r="BK24" i="23"/>
  <c r="BL24" i="23"/>
  <c r="BM24" i="23"/>
  <c r="BN24" i="23"/>
  <c r="BO24" i="23"/>
  <c r="BP24" i="23"/>
  <c r="BQ24" i="23"/>
  <c r="BR24" i="23"/>
  <c r="BS24" i="23"/>
  <c r="BT24" i="23"/>
  <c r="BU24" i="23"/>
  <c r="BV24" i="23"/>
  <c r="BW24" i="23"/>
  <c r="BX24" i="23"/>
  <c r="BY24" i="23"/>
  <c r="BZ24" i="23"/>
  <c r="CA24" i="23"/>
  <c r="CB24" i="23"/>
  <c r="CC24" i="23"/>
  <c r="CD24" i="23"/>
  <c r="CE24" i="23"/>
  <c r="CF24" i="23"/>
  <c r="CG24" i="23"/>
  <c r="CH24" i="23"/>
  <c r="CI24" i="23"/>
  <c r="CJ24" i="23"/>
  <c r="CK24" i="23"/>
  <c r="CL24" i="23"/>
  <c r="CM24" i="23"/>
  <c r="CN24" i="23"/>
  <c r="CO24" i="23"/>
  <c r="CP24" i="23"/>
  <c r="CQ24" i="23"/>
  <c r="CR24" i="23"/>
  <c r="CS24" i="23"/>
  <c r="CT24" i="23"/>
  <c r="CU24" i="23"/>
  <c r="CV24" i="23"/>
  <c r="CW24" i="23"/>
  <c r="CX24" i="23"/>
  <c r="CY24" i="23"/>
  <c r="CZ24" i="23"/>
  <c r="BJ25" i="23"/>
  <c r="BK25" i="23"/>
  <c r="BL25" i="23"/>
  <c r="BM25" i="23"/>
  <c r="BN25" i="23"/>
  <c r="BO25" i="23"/>
  <c r="BP25" i="23"/>
  <c r="BQ25" i="23"/>
  <c r="BR25" i="23"/>
  <c r="BS25" i="23"/>
  <c r="BT25" i="23"/>
  <c r="BU25" i="23"/>
  <c r="BV25" i="23"/>
  <c r="BW25" i="23"/>
  <c r="BX25" i="23"/>
  <c r="BY25" i="23"/>
  <c r="BZ25" i="23"/>
  <c r="CA25" i="23"/>
  <c r="CB25" i="23"/>
  <c r="CC25" i="23"/>
  <c r="CD25" i="23"/>
  <c r="CE25" i="23"/>
  <c r="CF25" i="23"/>
  <c r="CG25" i="23"/>
  <c r="CH25" i="23"/>
  <c r="CI25" i="23"/>
  <c r="CJ25" i="23"/>
  <c r="CK25" i="23"/>
  <c r="CL25" i="23"/>
  <c r="CM25" i="23"/>
  <c r="CN25" i="23"/>
  <c r="CO25" i="23"/>
  <c r="CP25" i="23"/>
  <c r="CQ25" i="23"/>
  <c r="CR25" i="23"/>
  <c r="CS25" i="23"/>
  <c r="CT25" i="23"/>
  <c r="CU25" i="23"/>
  <c r="CV25" i="23"/>
  <c r="CW25" i="23"/>
  <c r="CX25" i="23"/>
  <c r="CY25" i="23"/>
  <c r="CZ25" i="23"/>
  <c r="BJ26" i="23"/>
  <c r="BK26" i="23"/>
  <c r="BL26" i="23"/>
  <c r="BM26" i="23"/>
  <c r="BN26" i="23"/>
  <c r="BO26" i="23"/>
  <c r="BP26" i="23"/>
  <c r="BQ26" i="23"/>
  <c r="BR26" i="23"/>
  <c r="BS26" i="23"/>
  <c r="BT26" i="23"/>
  <c r="BU26" i="23"/>
  <c r="BV26" i="23"/>
  <c r="BW26" i="23"/>
  <c r="BX26" i="23"/>
  <c r="BY26" i="23"/>
  <c r="BZ26" i="23"/>
  <c r="CA26" i="23"/>
  <c r="CB26" i="23"/>
  <c r="CC26" i="23"/>
  <c r="CD26" i="23"/>
  <c r="CE26" i="23"/>
  <c r="CF26" i="23"/>
  <c r="CG26" i="23"/>
  <c r="CH26" i="23"/>
  <c r="CI26" i="23"/>
  <c r="CJ26" i="23"/>
  <c r="CK26" i="23"/>
  <c r="CL26" i="23"/>
  <c r="CM26" i="23"/>
  <c r="CN26" i="23"/>
  <c r="CO26" i="23"/>
  <c r="CP26" i="23"/>
  <c r="CQ26" i="23"/>
  <c r="CR26" i="23"/>
  <c r="CS26" i="23"/>
  <c r="CT26" i="23"/>
  <c r="CU26" i="23"/>
  <c r="CV26" i="23"/>
  <c r="CW26" i="23"/>
  <c r="CX26" i="23"/>
  <c r="CY26" i="23"/>
  <c r="CZ26" i="23"/>
  <c r="BJ27" i="23"/>
  <c r="BK27" i="23"/>
  <c r="BL27" i="23"/>
  <c r="BM27" i="23"/>
  <c r="BN27" i="23"/>
  <c r="BO27" i="23"/>
  <c r="BP27" i="23"/>
  <c r="BQ27" i="23"/>
  <c r="BR27" i="23"/>
  <c r="BS27" i="23"/>
  <c r="BT27" i="23"/>
  <c r="BU27" i="23"/>
  <c r="BV27" i="23"/>
  <c r="BW27" i="23"/>
  <c r="BX27" i="23"/>
  <c r="BY27" i="23"/>
  <c r="BZ27" i="23"/>
  <c r="CA27" i="23"/>
  <c r="CB27" i="23"/>
  <c r="CC27" i="23"/>
  <c r="CD27" i="23"/>
  <c r="CE27" i="23"/>
  <c r="CF27" i="23"/>
  <c r="CG27" i="23"/>
  <c r="CH27" i="23"/>
  <c r="CI27" i="23"/>
  <c r="CJ27" i="23"/>
  <c r="CK27" i="23"/>
  <c r="CL27" i="23"/>
  <c r="CM27" i="23"/>
  <c r="CN27" i="23"/>
  <c r="CO27" i="23"/>
  <c r="CP27" i="23"/>
  <c r="CQ27" i="23"/>
  <c r="CR27" i="23"/>
  <c r="CS27" i="23"/>
  <c r="CT27" i="23"/>
  <c r="CU27" i="23"/>
  <c r="CV27" i="23"/>
  <c r="CW27" i="23"/>
  <c r="CX27" i="23"/>
  <c r="CY27" i="23"/>
  <c r="CZ27" i="23"/>
  <c r="BJ28" i="23"/>
  <c r="BK28" i="23"/>
  <c r="BL28" i="23"/>
  <c r="BM28" i="23"/>
  <c r="BN28" i="23"/>
  <c r="BO28" i="23"/>
  <c r="BP28" i="23"/>
  <c r="BQ28" i="23"/>
  <c r="BR28" i="23"/>
  <c r="BS28" i="23"/>
  <c r="BT28" i="23"/>
  <c r="BU28" i="23"/>
  <c r="BV28" i="23"/>
  <c r="BW28" i="23"/>
  <c r="BX28" i="23"/>
  <c r="BY28" i="23"/>
  <c r="BZ28" i="23"/>
  <c r="CA28" i="23"/>
  <c r="CB28" i="23"/>
  <c r="CC28" i="23"/>
  <c r="CD28" i="23"/>
  <c r="CE28" i="23"/>
  <c r="CF28" i="23"/>
  <c r="CG28" i="23"/>
  <c r="CH28" i="23"/>
  <c r="CI28" i="23"/>
  <c r="CJ28" i="23"/>
  <c r="CK28" i="23"/>
  <c r="CL28" i="23"/>
  <c r="CM28" i="23"/>
  <c r="CN28" i="23"/>
  <c r="CO28" i="23"/>
  <c r="CP28" i="23"/>
  <c r="CQ28" i="23"/>
  <c r="CR28" i="23"/>
  <c r="CS28" i="23"/>
  <c r="CT28" i="23"/>
  <c r="CU28" i="23"/>
  <c r="CV28" i="23"/>
  <c r="CW28" i="23"/>
  <c r="CX28" i="23"/>
  <c r="CY28" i="23"/>
  <c r="CZ28" i="23"/>
  <c r="BJ29" i="23"/>
  <c r="BK29" i="23"/>
  <c r="BL29" i="23"/>
  <c r="BM29" i="23"/>
  <c r="BN29" i="23"/>
  <c r="BO29" i="23"/>
  <c r="BP29" i="23"/>
  <c r="BQ29" i="23"/>
  <c r="BR29" i="23"/>
  <c r="BS29" i="23"/>
  <c r="BT29" i="23"/>
  <c r="BU29" i="23"/>
  <c r="BV29" i="23"/>
  <c r="BW29" i="23"/>
  <c r="BX29" i="23"/>
  <c r="BY29" i="23"/>
  <c r="BZ29" i="23"/>
  <c r="CA29" i="23"/>
  <c r="CB29" i="23"/>
  <c r="CC29" i="23"/>
  <c r="CD29" i="23"/>
  <c r="CE29" i="23"/>
  <c r="CF29" i="23"/>
  <c r="CG29" i="23"/>
  <c r="CH29" i="23"/>
  <c r="CI29" i="23"/>
  <c r="CJ29" i="23"/>
  <c r="CK29" i="23"/>
  <c r="CL29" i="23"/>
  <c r="CM29" i="23"/>
  <c r="CN29" i="23"/>
  <c r="CO29" i="23"/>
  <c r="CP29" i="23"/>
  <c r="CQ29" i="23"/>
  <c r="CR29" i="23"/>
  <c r="CS29" i="23"/>
  <c r="CT29" i="23"/>
  <c r="CU29" i="23"/>
  <c r="CV29" i="23"/>
  <c r="CW29" i="23"/>
  <c r="CX29" i="23"/>
  <c r="CY29" i="23"/>
  <c r="CZ29" i="23"/>
  <c r="BJ30" i="23"/>
  <c r="BK30" i="23"/>
  <c r="BL30" i="23"/>
  <c r="BM30" i="23"/>
  <c r="BN30" i="23"/>
  <c r="BO30" i="23"/>
  <c r="BP30" i="23"/>
  <c r="BQ30" i="23"/>
  <c r="BR30" i="23"/>
  <c r="BS30" i="23"/>
  <c r="BT30" i="23"/>
  <c r="BU30" i="23"/>
  <c r="BV30" i="23"/>
  <c r="BW30" i="23"/>
  <c r="BX30" i="23"/>
  <c r="BY30" i="23"/>
  <c r="BZ30" i="23"/>
  <c r="CA30" i="23"/>
  <c r="CB30" i="23"/>
  <c r="CC30" i="23"/>
  <c r="CD30" i="23"/>
  <c r="CE30" i="23"/>
  <c r="CF30" i="23"/>
  <c r="CG30" i="23"/>
  <c r="CH30" i="23"/>
  <c r="CI30" i="23"/>
  <c r="CJ30" i="23"/>
  <c r="CK30" i="23"/>
  <c r="CL30" i="23"/>
  <c r="CM30" i="23"/>
  <c r="CN30" i="23"/>
  <c r="CO30" i="23"/>
  <c r="CP30" i="23"/>
  <c r="CQ30" i="23"/>
  <c r="CR30" i="23"/>
  <c r="CS30" i="23"/>
  <c r="CT30" i="23"/>
  <c r="CU30" i="23"/>
  <c r="CV30" i="23"/>
  <c r="CW30" i="23"/>
  <c r="CX30" i="23"/>
  <c r="CY30" i="23"/>
  <c r="CZ30" i="23"/>
  <c r="BJ31" i="23"/>
  <c r="BK31" i="23"/>
  <c r="BL31" i="23"/>
  <c r="BM31" i="23"/>
  <c r="BN31" i="23"/>
  <c r="BO31" i="23"/>
  <c r="BP31" i="23"/>
  <c r="BQ31" i="23"/>
  <c r="BR31" i="23"/>
  <c r="BS31" i="23"/>
  <c r="BT31" i="23"/>
  <c r="BU31" i="23"/>
  <c r="BV31" i="23"/>
  <c r="BW31" i="23"/>
  <c r="BX31" i="23"/>
  <c r="BY31" i="23"/>
  <c r="BZ31" i="23"/>
  <c r="CA31" i="23"/>
  <c r="CB31" i="23"/>
  <c r="CC31" i="23"/>
  <c r="CD31" i="23"/>
  <c r="CE31" i="23"/>
  <c r="CF31" i="23"/>
  <c r="CG31" i="23"/>
  <c r="CH31" i="23"/>
  <c r="CI31" i="23"/>
  <c r="CJ31" i="23"/>
  <c r="CK31" i="23"/>
  <c r="CL31" i="23"/>
  <c r="CM31" i="23"/>
  <c r="CN31" i="23"/>
  <c r="CO31" i="23"/>
  <c r="CP31" i="23"/>
  <c r="CQ31" i="23"/>
  <c r="CR31" i="23"/>
  <c r="CS31" i="23"/>
  <c r="CT31" i="23"/>
  <c r="CU31" i="23"/>
  <c r="CV31" i="23"/>
  <c r="CW31" i="23"/>
  <c r="CX31" i="23"/>
  <c r="CY31" i="23"/>
  <c r="CZ31" i="23"/>
  <c r="BJ32" i="23"/>
  <c r="BK32" i="23"/>
  <c r="BL32" i="23"/>
  <c r="BM32" i="23"/>
  <c r="BN32" i="23"/>
  <c r="BO32" i="23"/>
  <c r="BP32" i="23"/>
  <c r="BQ32" i="23"/>
  <c r="BR32" i="23"/>
  <c r="BS32" i="23"/>
  <c r="BT32" i="23"/>
  <c r="BU32" i="23"/>
  <c r="BV32" i="23"/>
  <c r="BW32" i="23"/>
  <c r="BX32" i="23"/>
  <c r="BY32" i="23"/>
  <c r="BZ32" i="23"/>
  <c r="CA32" i="23"/>
  <c r="CB32" i="23"/>
  <c r="CC32" i="23"/>
  <c r="CD32" i="23"/>
  <c r="CE32" i="23"/>
  <c r="CF32" i="23"/>
  <c r="CG32" i="23"/>
  <c r="CH32" i="23"/>
  <c r="CI32" i="23"/>
  <c r="CJ32" i="23"/>
  <c r="CK32" i="23"/>
  <c r="CL32" i="23"/>
  <c r="CM32" i="23"/>
  <c r="CN32" i="23"/>
  <c r="CO32" i="23"/>
  <c r="CP32" i="23"/>
  <c r="CQ32" i="23"/>
  <c r="CR32" i="23"/>
  <c r="CS32" i="23"/>
  <c r="CT32" i="23"/>
  <c r="CU32" i="23"/>
  <c r="CV32" i="23"/>
  <c r="CW32" i="23"/>
  <c r="CX32" i="23"/>
  <c r="CY32" i="23"/>
  <c r="CZ32" i="23"/>
  <c r="BJ33" i="23"/>
  <c r="BK33" i="23"/>
  <c r="BL33" i="23"/>
  <c r="BM33" i="23"/>
  <c r="BN33" i="23"/>
  <c r="BO33" i="23"/>
  <c r="BP33" i="23"/>
  <c r="BQ33" i="23"/>
  <c r="BR33" i="23"/>
  <c r="BS33" i="23"/>
  <c r="BT33" i="23"/>
  <c r="BU33" i="23"/>
  <c r="BV33" i="23"/>
  <c r="BW33" i="23"/>
  <c r="BX33" i="23"/>
  <c r="BY33" i="23"/>
  <c r="BZ33" i="23"/>
  <c r="CA33" i="23"/>
  <c r="CB33" i="23"/>
  <c r="CC33" i="23"/>
  <c r="CD33" i="23"/>
  <c r="CE33" i="23"/>
  <c r="CF33" i="23"/>
  <c r="CG33" i="23"/>
  <c r="CH33" i="23"/>
  <c r="CI33" i="23"/>
  <c r="CJ33" i="23"/>
  <c r="CK33" i="23"/>
  <c r="CL33" i="23"/>
  <c r="CM33" i="23"/>
  <c r="CN33" i="23"/>
  <c r="CO33" i="23"/>
  <c r="CP33" i="23"/>
  <c r="CQ33" i="23"/>
  <c r="CR33" i="23"/>
  <c r="CS33" i="23"/>
  <c r="CT33" i="23"/>
  <c r="CU33" i="23"/>
  <c r="CV33" i="23"/>
  <c r="CW33" i="23"/>
  <c r="CX33" i="23"/>
  <c r="CY33" i="23"/>
  <c r="CZ33" i="23"/>
  <c r="BJ34" i="23"/>
  <c r="BK34" i="23"/>
  <c r="BL34" i="23"/>
  <c r="BM34" i="23"/>
  <c r="BN34" i="23"/>
  <c r="BO34" i="23"/>
  <c r="BP34" i="23"/>
  <c r="BQ34" i="23"/>
  <c r="BR34" i="23"/>
  <c r="BS34" i="23"/>
  <c r="BT34" i="23"/>
  <c r="BU34" i="23"/>
  <c r="BV34" i="23"/>
  <c r="BW34" i="23"/>
  <c r="BX34" i="23"/>
  <c r="BY34" i="23"/>
  <c r="BZ34" i="23"/>
  <c r="CA34" i="23"/>
  <c r="CB34" i="23"/>
  <c r="CC34" i="23"/>
  <c r="CD34" i="23"/>
  <c r="CE34" i="23"/>
  <c r="CF34" i="23"/>
  <c r="CG34" i="23"/>
  <c r="CH34" i="23"/>
  <c r="CI34" i="23"/>
  <c r="CJ34" i="23"/>
  <c r="CK34" i="23"/>
  <c r="CL34" i="23"/>
  <c r="CM34" i="23"/>
  <c r="CN34" i="23"/>
  <c r="CO34" i="23"/>
  <c r="CP34" i="23"/>
  <c r="CQ34" i="23"/>
  <c r="CR34" i="23"/>
  <c r="CS34" i="23"/>
  <c r="CT34" i="23"/>
  <c r="CU34" i="23"/>
  <c r="CV34" i="23"/>
  <c r="CW34" i="23"/>
  <c r="CX34" i="23"/>
  <c r="CY34" i="23"/>
  <c r="CZ34" i="23"/>
  <c r="BJ35" i="23"/>
  <c r="BK35" i="23"/>
  <c r="BL35" i="23"/>
  <c r="BM35" i="23"/>
  <c r="BN35" i="23"/>
  <c r="BO35" i="23"/>
  <c r="BP35" i="23"/>
  <c r="BQ35" i="23"/>
  <c r="BR35" i="23"/>
  <c r="BS35" i="23"/>
  <c r="BT35" i="23"/>
  <c r="BU35" i="23"/>
  <c r="BV35" i="23"/>
  <c r="BW35" i="23"/>
  <c r="BX35" i="23"/>
  <c r="BY35" i="23"/>
  <c r="BZ35" i="23"/>
  <c r="CA35" i="23"/>
  <c r="CB35" i="23"/>
  <c r="CC35" i="23"/>
  <c r="CD35" i="23"/>
  <c r="CE35" i="23"/>
  <c r="CF35" i="23"/>
  <c r="CG35" i="23"/>
  <c r="CH35" i="23"/>
  <c r="CI35" i="23"/>
  <c r="CJ35" i="23"/>
  <c r="CK35" i="23"/>
  <c r="CL35" i="23"/>
  <c r="CM35" i="23"/>
  <c r="CN35" i="23"/>
  <c r="CO35" i="23"/>
  <c r="CP35" i="23"/>
  <c r="CQ35" i="23"/>
  <c r="CR35" i="23"/>
  <c r="CS35" i="23"/>
  <c r="CT35" i="23"/>
  <c r="CU35" i="23"/>
  <c r="CV35" i="23"/>
  <c r="CW35" i="23"/>
  <c r="CX35" i="23"/>
  <c r="CY35" i="23"/>
  <c r="CZ35" i="23"/>
  <c r="BJ36" i="23"/>
  <c r="BK36" i="23"/>
  <c r="BL36" i="23"/>
  <c r="BM36" i="23"/>
  <c r="BN36" i="23"/>
  <c r="BO36" i="23"/>
  <c r="BP36" i="23"/>
  <c r="BQ36" i="23"/>
  <c r="BR36" i="23"/>
  <c r="BS36" i="23"/>
  <c r="BT36" i="23"/>
  <c r="BU36" i="23"/>
  <c r="BV36" i="23"/>
  <c r="BW36" i="23"/>
  <c r="BX36" i="23"/>
  <c r="BY36" i="23"/>
  <c r="BZ36" i="23"/>
  <c r="CA36" i="23"/>
  <c r="CB36" i="23"/>
  <c r="CC36" i="23"/>
  <c r="CD36" i="23"/>
  <c r="CE36" i="23"/>
  <c r="CF36" i="23"/>
  <c r="CG36" i="23"/>
  <c r="CH36" i="23"/>
  <c r="CI36" i="23"/>
  <c r="CJ36" i="23"/>
  <c r="CK36" i="23"/>
  <c r="CL36" i="23"/>
  <c r="CM36" i="23"/>
  <c r="CN36" i="23"/>
  <c r="CO36" i="23"/>
  <c r="CP36" i="23"/>
  <c r="CQ36" i="23"/>
  <c r="CR36" i="23"/>
  <c r="CS36" i="23"/>
  <c r="CT36" i="23"/>
  <c r="CU36" i="23"/>
  <c r="CV36" i="23"/>
  <c r="CW36" i="23"/>
  <c r="CX36" i="23"/>
  <c r="CY36" i="23"/>
  <c r="CZ36" i="23"/>
  <c r="BJ37" i="23"/>
  <c r="BK37" i="23"/>
  <c r="BL37" i="23"/>
  <c r="BM37" i="23"/>
  <c r="BN37" i="23"/>
  <c r="BO37" i="23"/>
  <c r="BP37" i="23"/>
  <c r="BQ37" i="23"/>
  <c r="BR37" i="23"/>
  <c r="BS37" i="23"/>
  <c r="BT37" i="23"/>
  <c r="BU37" i="23"/>
  <c r="BV37" i="23"/>
  <c r="BW37" i="23"/>
  <c r="BX37" i="23"/>
  <c r="BY37" i="23"/>
  <c r="BZ37" i="23"/>
  <c r="CA37" i="23"/>
  <c r="CB37" i="23"/>
  <c r="CC37" i="23"/>
  <c r="CD37" i="23"/>
  <c r="CE37" i="23"/>
  <c r="CF37" i="23"/>
  <c r="CG37" i="23"/>
  <c r="CH37" i="23"/>
  <c r="CI37" i="23"/>
  <c r="CJ37" i="23"/>
  <c r="CK37" i="23"/>
  <c r="CL37" i="23"/>
  <c r="CM37" i="23"/>
  <c r="CN37" i="23"/>
  <c r="CO37" i="23"/>
  <c r="CP37" i="23"/>
  <c r="CQ37" i="23"/>
  <c r="CR37" i="23"/>
  <c r="CS37" i="23"/>
  <c r="CT37" i="23"/>
  <c r="CU37" i="23"/>
  <c r="CV37" i="23"/>
  <c r="CW37" i="23"/>
  <c r="CX37" i="23"/>
  <c r="CY37" i="23"/>
  <c r="CZ37" i="23"/>
  <c r="BJ38" i="23"/>
  <c r="BK38" i="23"/>
  <c r="BL38" i="23"/>
  <c r="BM38" i="23"/>
  <c r="BN38" i="23"/>
  <c r="BO38" i="23"/>
  <c r="BP38" i="23"/>
  <c r="BQ38" i="23"/>
  <c r="BR38" i="23"/>
  <c r="BS38" i="23"/>
  <c r="BT38" i="23"/>
  <c r="BU38" i="23"/>
  <c r="BV38" i="23"/>
  <c r="BW38" i="23"/>
  <c r="BX38" i="23"/>
  <c r="BY38" i="23"/>
  <c r="BZ38" i="23"/>
  <c r="CA38" i="23"/>
  <c r="CB38" i="23"/>
  <c r="CC38" i="23"/>
  <c r="CD38" i="23"/>
  <c r="CE38" i="23"/>
  <c r="CF38" i="23"/>
  <c r="CG38" i="23"/>
  <c r="CH38" i="23"/>
  <c r="CI38" i="23"/>
  <c r="CJ38" i="23"/>
  <c r="CK38" i="23"/>
  <c r="CL38" i="23"/>
  <c r="CM38" i="23"/>
  <c r="CN38" i="23"/>
  <c r="CO38" i="23"/>
  <c r="CP38" i="23"/>
  <c r="CQ38" i="23"/>
  <c r="CR38" i="23"/>
  <c r="CS38" i="23"/>
  <c r="CT38" i="23"/>
  <c r="CU38" i="23"/>
  <c r="CV38" i="23"/>
  <c r="CW38" i="23"/>
  <c r="CX38" i="23"/>
  <c r="CY38" i="23"/>
  <c r="CZ38" i="23"/>
  <c r="BJ39" i="23"/>
  <c r="BK39" i="23"/>
  <c r="BL39" i="23"/>
  <c r="BM39" i="23"/>
  <c r="BN39" i="23"/>
  <c r="BO39" i="23"/>
  <c r="BP39" i="23"/>
  <c r="BQ39" i="23"/>
  <c r="BR39" i="23"/>
  <c r="BS39" i="23"/>
  <c r="BT39" i="23"/>
  <c r="BU39" i="23"/>
  <c r="BV39" i="23"/>
  <c r="BW39" i="23"/>
  <c r="BX39" i="23"/>
  <c r="BY39" i="23"/>
  <c r="BZ39" i="23"/>
  <c r="CA39" i="23"/>
  <c r="CB39" i="23"/>
  <c r="CC39" i="23"/>
  <c r="CD39" i="23"/>
  <c r="CE39" i="23"/>
  <c r="CF39" i="23"/>
  <c r="CG39" i="23"/>
  <c r="CH39" i="23"/>
  <c r="CI39" i="23"/>
  <c r="CJ39" i="23"/>
  <c r="CK39" i="23"/>
  <c r="CL39" i="23"/>
  <c r="CM39" i="23"/>
  <c r="CN39" i="23"/>
  <c r="CO39" i="23"/>
  <c r="CP39" i="23"/>
  <c r="CQ39" i="23"/>
  <c r="CR39" i="23"/>
  <c r="CS39" i="23"/>
  <c r="CT39" i="23"/>
  <c r="CU39" i="23"/>
  <c r="CV39" i="23"/>
  <c r="CW39" i="23"/>
  <c r="CX39" i="23"/>
  <c r="CY39" i="23"/>
  <c r="CZ39" i="23"/>
  <c r="BJ40" i="23"/>
  <c r="BK40" i="23"/>
  <c r="BL40" i="23"/>
  <c r="BM40" i="23"/>
  <c r="BN40" i="23"/>
  <c r="BO40" i="23"/>
  <c r="BP40" i="23"/>
  <c r="BQ40" i="23"/>
  <c r="BR40" i="23"/>
  <c r="BS40" i="23"/>
  <c r="BT40" i="23"/>
  <c r="BU40" i="23"/>
  <c r="BV40" i="23"/>
  <c r="BW40" i="23"/>
  <c r="BX40" i="23"/>
  <c r="BY40" i="23"/>
  <c r="BZ40" i="23"/>
  <c r="CA40" i="23"/>
  <c r="CB40" i="23"/>
  <c r="CC40" i="23"/>
  <c r="CD40" i="23"/>
  <c r="CE40" i="23"/>
  <c r="CF40" i="23"/>
  <c r="CG40" i="23"/>
  <c r="CH40" i="23"/>
  <c r="CI40" i="23"/>
  <c r="CJ40" i="23"/>
  <c r="CK40" i="23"/>
  <c r="CL40" i="23"/>
  <c r="CM40" i="23"/>
  <c r="CN40" i="23"/>
  <c r="CO40" i="23"/>
  <c r="CP40" i="23"/>
  <c r="CQ40" i="23"/>
  <c r="CR40" i="23"/>
  <c r="CS40" i="23"/>
  <c r="CT40" i="23"/>
  <c r="CU40" i="23"/>
  <c r="CV40" i="23"/>
  <c r="CW40" i="23"/>
  <c r="CX40" i="23"/>
  <c r="CY40" i="23"/>
  <c r="CZ40" i="23"/>
  <c r="BJ41" i="23"/>
  <c r="BK41" i="23"/>
  <c r="BL41" i="23"/>
  <c r="BM41" i="23"/>
  <c r="BN41" i="23"/>
  <c r="BO41" i="23"/>
  <c r="BP41" i="23"/>
  <c r="BQ41" i="23"/>
  <c r="BR41" i="23"/>
  <c r="BS41" i="23"/>
  <c r="BT41" i="23"/>
  <c r="BU41" i="23"/>
  <c r="BV41" i="23"/>
  <c r="BW41" i="23"/>
  <c r="BX41" i="23"/>
  <c r="BY41" i="23"/>
  <c r="BZ41" i="23"/>
  <c r="CA41" i="23"/>
  <c r="CB41" i="23"/>
  <c r="CC41" i="23"/>
  <c r="CD41" i="23"/>
  <c r="CE41" i="23"/>
  <c r="CF41" i="23"/>
  <c r="CG41" i="23"/>
  <c r="CH41" i="23"/>
  <c r="CI41" i="23"/>
  <c r="CJ41" i="23"/>
  <c r="CK41" i="23"/>
  <c r="CL41" i="23"/>
  <c r="CM41" i="23"/>
  <c r="CN41" i="23"/>
  <c r="CO41" i="23"/>
  <c r="CP41" i="23"/>
  <c r="CQ41" i="23"/>
  <c r="CR41" i="23"/>
  <c r="CS41" i="23"/>
  <c r="CT41" i="23"/>
  <c r="CU41" i="23"/>
  <c r="CV41" i="23"/>
  <c r="CW41" i="23"/>
  <c r="CX41" i="23"/>
  <c r="CY41" i="23"/>
  <c r="CZ41" i="23"/>
  <c r="BJ42" i="23"/>
  <c r="BK42" i="23"/>
  <c r="BL42" i="23"/>
  <c r="BM42" i="23"/>
  <c r="BN42" i="23"/>
  <c r="BO42" i="23"/>
  <c r="BP42" i="23"/>
  <c r="BQ42" i="23"/>
  <c r="BR42" i="23"/>
  <c r="BS42" i="23"/>
  <c r="BT42" i="23"/>
  <c r="BU42" i="23"/>
  <c r="BV42" i="23"/>
  <c r="BW42" i="23"/>
  <c r="BX42" i="23"/>
  <c r="BY42" i="23"/>
  <c r="BZ42" i="23"/>
  <c r="CA42" i="23"/>
  <c r="CB42" i="23"/>
  <c r="CC42" i="23"/>
  <c r="CD42" i="23"/>
  <c r="CE42" i="23"/>
  <c r="CF42" i="23"/>
  <c r="CG42" i="23"/>
  <c r="CH42" i="23"/>
  <c r="CI42" i="23"/>
  <c r="CJ42" i="23"/>
  <c r="CK42" i="23"/>
  <c r="CL42" i="23"/>
  <c r="CM42" i="23"/>
  <c r="CN42" i="23"/>
  <c r="CO42" i="23"/>
  <c r="CP42" i="23"/>
  <c r="CQ42" i="23"/>
  <c r="CR42" i="23"/>
  <c r="CS42" i="23"/>
  <c r="CT42" i="23"/>
  <c r="CU42" i="23"/>
  <c r="CV42" i="23"/>
  <c r="CW42" i="23"/>
  <c r="CX42" i="23"/>
  <c r="CY42" i="23"/>
  <c r="CZ42" i="23"/>
  <c r="BJ43" i="23"/>
  <c r="BK43" i="23"/>
  <c r="BL43" i="23"/>
  <c r="BM43" i="23"/>
  <c r="BN43" i="23"/>
  <c r="BO43" i="23"/>
  <c r="BP43" i="23"/>
  <c r="BQ43" i="23"/>
  <c r="BR43" i="23"/>
  <c r="BS43" i="23"/>
  <c r="BT43" i="23"/>
  <c r="BU43" i="23"/>
  <c r="BV43" i="23"/>
  <c r="BW43" i="23"/>
  <c r="BX43" i="23"/>
  <c r="BY43" i="23"/>
  <c r="BZ43" i="23"/>
  <c r="CA43" i="23"/>
  <c r="CB43" i="23"/>
  <c r="CC43" i="23"/>
  <c r="CD43" i="23"/>
  <c r="CE43" i="23"/>
  <c r="CF43" i="23"/>
  <c r="CG43" i="23"/>
  <c r="CH43" i="23"/>
  <c r="CI43" i="23"/>
  <c r="CJ43" i="23"/>
  <c r="CK43" i="23"/>
  <c r="CL43" i="23"/>
  <c r="CM43" i="23"/>
  <c r="CN43" i="23"/>
  <c r="CO43" i="23"/>
  <c r="CP43" i="23"/>
  <c r="CQ43" i="23"/>
  <c r="CR43" i="23"/>
  <c r="CS43" i="23"/>
  <c r="CT43" i="23"/>
  <c r="CU43" i="23"/>
  <c r="CV43" i="23"/>
  <c r="CW43" i="23"/>
  <c r="CX43" i="23"/>
  <c r="CY43" i="23"/>
  <c r="CZ43" i="23"/>
  <c r="BJ44" i="23"/>
  <c r="BK44" i="23"/>
  <c r="BL44" i="23"/>
  <c r="BM44" i="23"/>
  <c r="BN44" i="23"/>
  <c r="BO44" i="23"/>
  <c r="BP44" i="23"/>
  <c r="BQ44" i="23"/>
  <c r="BR44" i="23"/>
  <c r="BS44" i="23"/>
  <c r="BT44" i="23"/>
  <c r="BU44" i="23"/>
  <c r="BV44" i="23"/>
  <c r="BW44" i="23"/>
  <c r="BX44" i="23"/>
  <c r="BY44" i="23"/>
  <c r="BZ44" i="23"/>
  <c r="CA44" i="23"/>
  <c r="CB44" i="23"/>
  <c r="CC44" i="23"/>
  <c r="CD44" i="23"/>
  <c r="CE44" i="23"/>
  <c r="CF44" i="23"/>
  <c r="CG44" i="23"/>
  <c r="CH44" i="23"/>
  <c r="CI44" i="23"/>
  <c r="CJ44" i="23"/>
  <c r="CK44" i="23"/>
  <c r="CL44" i="23"/>
  <c r="CM44" i="23"/>
  <c r="CN44" i="23"/>
  <c r="CO44" i="23"/>
  <c r="CP44" i="23"/>
  <c r="CQ44" i="23"/>
  <c r="CR44" i="23"/>
  <c r="CS44" i="23"/>
  <c r="CT44" i="23"/>
  <c r="CU44" i="23"/>
  <c r="CV44" i="23"/>
  <c r="CW44" i="23"/>
  <c r="CX44" i="23"/>
  <c r="CY44" i="23"/>
  <c r="CZ44" i="23"/>
  <c r="BJ45" i="23"/>
  <c r="BK45" i="23"/>
  <c r="BL45" i="23"/>
  <c r="BM45" i="23"/>
  <c r="BN45" i="23"/>
  <c r="BO45" i="23"/>
  <c r="BP45" i="23"/>
  <c r="BQ45" i="23"/>
  <c r="BR45" i="23"/>
  <c r="BS45" i="23"/>
  <c r="BT45" i="23"/>
  <c r="BU45" i="23"/>
  <c r="BV45" i="23"/>
  <c r="BW45" i="23"/>
  <c r="BX45" i="23"/>
  <c r="BY45" i="23"/>
  <c r="BZ45" i="23"/>
  <c r="CA45" i="23"/>
  <c r="CB45" i="23"/>
  <c r="CC45" i="23"/>
  <c r="CD45" i="23"/>
  <c r="CE45" i="23"/>
  <c r="CF45" i="23"/>
  <c r="CG45" i="23"/>
  <c r="CH45" i="23"/>
  <c r="CI45" i="23"/>
  <c r="CJ45" i="23"/>
  <c r="CK45" i="23"/>
  <c r="CL45" i="23"/>
  <c r="CM45" i="23"/>
  <c r="CN45" i="23"/>
  <c r="CO45" i="23"/>
  <c r="CP45" i="23"/>
  <c r="CQ45" i="23"/>
  <c r="CR45" i="23"/>
  <c r="CS45" i="23"/>
  <c r="CT45" i="23"/>
  <c r="CU45" i="23"/>
  <c r="CV45" i="23"/>
  <c r="CW45" i="23"/>
  <c r="CX45" i="23"/>
  <c r="CY45" i="23"/>
  <c r="CZ45" i="23"/>
  <c r="BJ46" i="23"/>
  <c r="BK46" i="23"/>
  <c r="BL46" i="23"/>
  <c r="BM46" i="23"/>
  <c r="BN46" i="23"/>
  <c r="BO46" i="23"/>
  <c r="BP46" i="23"/>
  <c r="BQ46" i="23"/>
  <c r="BR46" i="23"/>
  <c r="BS46" i="23"/>
  <c r="BT46" i="23"/>
  <c r="BU46" i="23"/>
  <c r="BV46" i="23"/>
  <c r="BW46" i="23"/>
  <c r="BX46" i="23"/>
  <c r="BY46" i="23"/>
  <c r="BZ46" i="23"/>
  <c r="CA46" i="23"/>
  <c r="CB46" i="23"/>
  <c r="CC46" i="23"/>
  <c r="CD46" i="23"/>
  <c r="CE46" i="23"/>
  <c r="CF46" i="23"/>
  <c r="CG46" i="23"/>
  <c r="CH46" i="23"/>
  <c r="CI46" i="23"/>
  <c r="CJ46" i="23"/>
  <c r="CK46" i="23"/>
  <c r="CL46" i="23"/>
  <c r="CM46" i="23"/>
  <c r="CN46" i="23"/>
  <c r="CO46" i="23"/>
  <c r="CP46" i="23"/>
  <c r="CQ46" i="23"/>
  <c r="CR46" i="23"/>
  <c r="CS46" i="23"/>
  <c r="CT46" i="23"/>
  <c r="CU46" i="23"/>
  <c r="CV46" i="23"/>
  <c r="CW46" i="23"/>
  <c r="CX46" i="23"/>
  <c r="CY46" i="23"/>
  <c r="CZ46" i="23"/>
  <c r="BJ47" i="23"/>
  <c r="BK47" i="23"/>
  <c r="BL47" i="23"/>
  <c r="BM47" i="23"/>
  <c r="BN47" i="23"/>
  <c r="BO47" i="23"/>
  <c r="BP47" i="23"/>
  <c r="BQ47" i="23"/>
  <c r="BR47" i="23"/>
  <c r="BS47" i="23"/>
  <c r="BT47" i="23"/>
  <c r="BU47" i="23"/>
  <c r="BV47" i="23"/>
  <c r="BW47" i="23"/>
  <c r="BX47" i="23"/>
  <c r="BY47" i="23"/>
  <c r="BZ47" i="23"/>
  <c r="CA47" i="23"/>
  <c r="CB47" i="23"/>
  <c r="CC47" i="23"/>
  <c r="CD47" i="23"/>
  <c r="CE47" i="23"/>
  <c r="CF47" i="23"/>
  <c r="CG47" i="23"/>
  <c r="CH47" i="23"/>
  <c r="CI47" i="23"/>
  <c r="CJ47" i="23"/>
  <c r="CK47" i="23"/>
  <c r="CL47" i="23"/>
  <c r="CM47" i="23"/>
  <c r="CN47" i="23"/>
  <c r="CO47" i="23"/>
  <c r="CP47" i="23"/>
  <c r="CQ47" i="23"/>
  <c r="CR47" i="23"/>
  <c r="CS47" i="23"/>
  <c r="CT47" i="23"/>
  <c r="CU47" i="23"/>
  <c r="CV47" i="23"/>
  <c r="CW47" i="23"/>
  <c r="CX47" i="23"/>
  <c r="CY47" i="23"/>
  <c r="CZ47" i="23"/>
  <c r="BJ48" i="23"/>
  <c r="BK48" i="23"/>
  <c r="BL48" i="23"/>
  <c r="BM48" i="23"/>
  <c r="BN48" i="23"/>
  <c r="BO48" i="23"/>
  <c r="BP48" i="23"/>
  <c r="BQ48" i="23"/>
  <c r="BR48" i="23"/>
  <c r="BS48" i="23"/>
  <c r="BT48" i="23"/>
  <c r="BU48" i="23"/>
  <c r="BV48" i="23"/>
  <c r="BW48" i="23"/>
  <c r="BX48" i="23"/>
  <c r="BY48" i="23"/>
  <c r="BZ48" i="23"/>
  <c r="CA48" i="23"/>
  <c r="CB48" i="23"/>
  <c r="CC48" i="23"/>
  <c r="CD48" i="23"/>
  <c r="CE48" i="23"/>
  <c r="CF48" i="23"/>
  <c r="CG48" i="23"/>
  <c r="CH48" i="23"/>
  <c r="CI48" i="23"/>
  <c r="CJ48" i="23"/>
  <c r="CK48" i="23"/>
  <c r="CL48" i="23"/>
  <c r="CM48" i="23"/>
  <c r="CN48" i="23"/>
  <c r="CO48" i="23"/>
  <c r="CP48" i="23"/>
  <c r="CQ48" i="23"/>
  <c r="CR48" i="23"/>
  <c r="CS48" i="23"/>
  <c r="CT48" i="23"/>
  <c r="CU48" i="23"/>
  <c r="CV48" i="23"/>
  <c r="CW48" i="23"/>
  <c r="CX48" i="23"/>
  <c r="CY48" i="23"/>
  <c r="CZ48" i="23"/>
  <c r="BJ49" i="23"/>
  <c r="BK49" i="23"/>
  <c r="BL49" i="23"/>
  <c r="BM49" i="23"/>
  <c r="BN49" i="23"/>
  <c r="BO49" i="23"/>
  <c r="BP49" i="23"/>
  <c r="BQ49" i="23"/>
  <c r="BR49" i="23"/>
  <c r="BS49" i="23"/>
  <c r="BT49" i="23"/>
  <c r="BU49" i="23"/>
  <c r="BV49" i="23"/>
  <c r="BW49" i="23"/>
  <c r="BX49" i="23"/>
  <c r="BY49" i="23"/>
  <c r="BZ49" i="23"/>
  <c r="CA49" i="23"/>
  <c r="CB49" i="23"/>
  <c r="CC49" i="23"/>
  <c r="CD49" i="23"/>
  <c r="CE49" i="23"/>
  <c r="CF49" i="23"/>
  <c r="CG49" i="23"/>
  <c r="CH49" i="23"/>
  <c r="CI49" i="23"/>
  <c r="CJ49" i="23"/>
  <c r="CK49" i="23"/>
  <c r="CL49" i="23"/>
  <c r="CM49" i="23"/>
  <c r="CN49" i="23"/>
  <c r="CO49" i="23"/>
  <c r="CP49" i="23"/>
  <c r="CQ49" i="23"/>
  <c r="CR49" i="23"/>
  <c r="CS49" i="23"/>
  <c r="CT49" i="23"/>
  <c r="CU49" i="23"/>
  <c r="CV49" i="23"/>
  <c r="CW49" i="23"/>
  <c r="CX49" i="23"/>
  <c r="CY49" i="23"/>
  <c r="CZ49" i="23"/>
  <c r="BJ50" i="23"/>
  <c r="BK50" i="23"/>
  <c r="BL50" i="23"/>
  <c r="BM50" i="23"/>
  <c r="BN50" i="23"/>
  <c r="BO50" i="23"/>
  <c r="BP50" i="23"/>
  <c r="BQ50" i="23"/>
  <c r="BR50" i="23"/>
  <c r="BS50" i="23"/>
  <c r="BT50" i="23"/>
  <c r="BU50" i="23"/>
  <c r="BV50" i="23"/>
  <c r="BW50" i="23"/>
  <c r="BX50" i="23"/>
  <c r="BY50" i="23"/>
  <c r="BZ50" i="23"/>
  <c r="CA50" i="23"/>
  <c r="CB50" i="23"/>
  <c r="CC50" i="23"/>
  <c r="CD50" i="23"/>
  <c r="CE50" i="23"/>
  <c r="CF50" i="23"/>
  <c r="CG50" i="23"/>
  <c r="CH50" i="23"/>
  <c r="CI50" i="23"/>
  <c r="CJ50" i="23"/>
  <c r="CK50" i="23"/>
  <c r="CL50" i="23"/>
  <c r="CM50" i="23"/>
  <c r="CN50" i="23"/>
  <c r="CO50" i="23"/>
  <c r="CP50" i="23"/>
  <c r="CQ50" i="23"/>
  <c r="CR50" i="23"/>
  <c r="CS50" i="23"/>
  <c r="CT50" i="23"/>
  <c r="CU50" i="23"/>
  <c r="CV50" i="23"/>
  <c r="CW50" i="23"/>
  <c r="CX50" i="23"/>
  <c r="CY50" i="23"/>
  <c r="CZ50" i="23"/>
  <c r="BJ51" i="23"/>
  <c r="BK51" i="23"/>
  <c r="BL51" i="23"/>
  <c r="BM51" i="23"/>
  <c r="BN51" i="23"/>
  <c r="BO51" i="23"/>
  <c r="BP51" i="23"/>
  <c r="BQ51" i="23"/>
  <c r="BR51" i="23"/>
  <c r="BS51" i="23"/>
  <c r="BT51" i="23"/>
  <c r="BU51" i="23"/>
  <c r="BV51" i="23"/>
  <c r="BW51" i="23"/>
  <c r="BX51" i="23"/>
  <c r="BY51" i="23"/>
  <c r="BZ51" i="23"/>
  <c r="CA51" i="23"/>
  <c r="CB51" i="23"/>
  <c r="CC51" i="23"/>
  <c r="CD51" i="23"/>
  <c r="CE51" i="23"/>
  <c r="CF51" i="23"/>
  <c r="CG51" i="23"/>
  <c r="CH51" i="23"/>
  <c r="CI51" i="23"/>
  <c r="CJ51" i="23"/>
  <c r="CK51" i="23"/>
  <c r="CL51" i="23"/>
  <c r="CM51" i="23"/>
  <c r="CN51" i="23"/>
  <c r="CO51" i="23"/>
  <c r="CP51" i="23"/>
  <c r="CQ51" i="23"/>
  <c r="CR51" i="23"/>
  <c r="CS51" i="23"/>
  <c r="CT51" i="23"/>
  <c r="CU51" i="23"/>
  <c r="CV51" i="23"/>
  <c r="CW51" i="23"/>
  <c r="CX51" i="23"/>
  <c r="CY51" i="23"/>
  <c r="CZ51" i="23"/>
  <c r="BJ52" i="23"/>
  <c r="BK52" i="23"/>
  <c r="BL52" i="23"/>
  <c r="BM52" i="23"/>
  <c r="BN52" i="23"/>
  <c r="BO52" i="23"/>
  <c r="BP52" i="23"/>
  <c r="BQ52" i="23"/>
  <c r="BR52" i="23"/>
  <c r="BS52" i="23"/>
  <c r="BT52" i="23"/>
  <c r="BU52" i="23"/>
  <c r="BV52" i="23"/>
  <c r="BW52" i="23"/>
  <c r="BX52" i="23"/>
  <c r="BY52" i="23"/>
  <c r="BZ52" i="23"/>
  <c r="CA52" i="23"/>
  <c r="CB52" i="23"/>
  <c r="CC52" i="23"/>
  <c r="CD52" i="23"/>
  <c r="CE52" i="23"/>
  <c r="CF52" i="23"/>
  <c r="CG52" i="23"/>
  <c r="CH52" i="23"/>
  <c r="CI52" i="23"/>
  <c r="CJ52" i="23"/>
  <c r="CK52" i="23"/>
  <c r="CL52" i="23"/>
  <c r="CM52" i="23"/>
  <c r="CN52" i="23"/>
  <c r="CO52" i="23"/>
  <c r="CP52" i="23"/>
  <c r="CQ52" i="23"/>
  <c r="CR52" i="23"/>
  <c r="CS52" i="23"/>
  <c r="CT52" i="23"/>
  <c r="CU52" i="23"/>
  <c r="CV52" i="23"/>
  <c r="CW52" i="23"/>
  <c r="CX52" i="23"/>
  <c r="CY52" i="23"/>
  <c r="CZ52" i="23"/>
  <c r="BJ53" i="23"/>
  <c r="BK53" i="23"/>
  <c r="BL53" i="23"/>
  <c r="BM53" i="23"/>
  <c r="BN53" i="23"/>
  <c r="BO53" i="23"/>
  <c r="BP53" i="23"/>
  <c r="BQ53" i="23"/>
  <c r="BR53" i="23"/>
  <c r="BS53" i="23"/>
  <c r="BT53" i="23"/>
  <c r="BU53" i="23"/>
  <c r="BV53" i="23"/>
  <c r="BW53" i="23"/>
  <c r="BX53" i="23"/>
  <c r="BY53" i="23"/>
  <c r="BZ53" i="23"/>
  <c r="CA53" i="23"/>
  <c r="CB53" i="23"/>
  <c r="CC53" i="23"/>
  <c r="CD53" i="23"/>
  <c r="CE53" i="23"/>
  <c r="CF53" i="23"/>
  <c r="CG53" i="23"/>
  <c r="CH53" i="23"/>
  <c r="CI53" i="23"/>
  <c r="CJ53" i="23"/>
  <c r="CK53" i="23"/>
  <c r="CL53" i="23"/>
  <c r="CM53" i="23"/>
  <c r="CN53" i="23"/>
  <c r="CO53" i="23"/>
  <c r="CP53" i="23"/>
  <c r="CQ53" i="23"/>
  <c r="CR53" i="23"/>
  <c r="CS53" i="23"/>
  <c r="CT53" i="23"/>
  <c r="CU53" i="23"/>
  <c r="CV53" i="23"/>
  <c r="CW53" i="23"/>
  <c r="CX53" i="23"/>
  <c r="CY53" i="23"/>
  <c r="CZ53" i="23"/>
  <c r="BJ54" i="23"/>
  <c r="BK54" i="23"/>
  <c r="BL54" i="23"/>
  <c r="BM54" i="23"/>
  <c r="BN54" i="23"/>
  <c r="BO54" i="23"/>
  <c r="BP54" i="23"/>
  <c r="BQ54" i="23"/>
  <c r="BR54" i="23"/>
  <c r="BS54" i="23"/>
  <c r="BT54" i="23"/>
  <c r="BU54" i="23"/>
  <c r="BV54" i="23"/>
  <c r="BW54" i="23"/>
  <c r="BX54" i="23"/>
  <c r="BY54" i="23"/>
  <c r="BZ54" i="23"/>
  <c r="CA54" i="23"/>
  <c r="CB54" i="23"/>
  <c r="CC54" i="23"/>
  <c r="CD54" i="23"/>
  <c r="CE54" i="23"/>
  <c r="CF54" i="23"/>
  <c r="CG54" i="23"/>
  <c r="CH54" i="23"/>
  <c r="CI54" i="23"/>
  <c r="CJ54" i="23"/>
  <c r="CK54" i="23"/>
  <c r="CL54" i="23"/>
  <c r="CM54" i="23"/>
  <c r="CN54" i="23"/>
  <c r="CO54" i="23"/>
  <c r="CP54" i="23"/>
  <c r="CQ54" i="23"/>
  <c r="CR54" i="23"/>
  <c r="CS54" i="23"/>
  <c r="CT54" i="23"/>
  <c r="CU54" i="23"/>
  <c r="CV54" i="23"/>
  <c r="CW54" i="23"/>
  <c r="CX54" i="23"/>
  <c r="CY54" i="23"/>
  <c r="CZ54" i="23"/>
  <c r="BJ55" i="23"/>
  <c r="BK55" i="23"/>
  <c r="BL55" i="23"/>
  <c r="BM55" i="23"/>
  <c r="BN55" i="23"/>
  <c r="BO55" i="23"/>
  <c r="BP55" i="23"/>
  <c r="BQ55" i="23"/>
  <c r="BR55" i="23"/>
  <c r="BS55" i="23"/>
  <c r="BT55" i="23"/>
  <c r="BU55" i="23"/>
  <c r="BV55" i="23"/>
  <c r="BW55" i="23"/>
  <c r="BX55" i="23"/>
  <c r="BY55" i="23"/>
  <c r="BZ55" i="23"/>
  <c r="CA55" i="23"/>
  <c r="CB55" i="23"/>
  <c r="CC55" i="23"/>
  <c r="CD55" i="23"/>
  <c r="CE55" i="23"/>
  <c r="CF55" i="23"/>
  <c r="CG55" i="23"/>
  <c r="CH55" i="23"/>
  <c r="CI55" i="23"/>
  <c r="CJ55" i="23"/>
  <c r="CK55" i="23"/>
  <c r="CL55" i="23"/>
  <c r="CM55" i="23"/>
  <c r="CN55" i="23"/>
  <c r="CO55" i="23"/>
  <c r="CP55" i="23"/>
  <c r="CQ55" i="23"/>
  <c r="CR55" i="23"/>
  <c r="CS55" i="23"/>
  <c r="CT55" i="23"/>
  <c r="CU55" i="23"/>
  <c r="CV55" i="23"/>
  <c r="CW55" i="23"/>
  <c r="CX55" i="23"/>
  <c r="CY55" i="23"/>
  <c r="CZ55" i="23"/>
  <c r="BJ56" i="23"/>
  <c r="BK56" i="23"/>
  <c r="BL56" i="23"/>
  <c r="BM56" i="23"/>
  <c r="BN56" i="23"/>
  <c r="BO56" i="23"/>
  <c r="BP56" i="23"/>
  <c r="BQ56" i="23"/>
  <c r="BR56" i="23"/>
  <c r="BS56" i="23"/>
  <c r="BT56" i="23"/>
  <c r="BU56" i="23"/>
  <c r="BV56" i="23"/>
  <c r="BW56" i="23"/>
  <c r="BX56" i="23"/>
  <c r="BY56" i="23"/>
  <c r="BZ56" i="23"/>
  <c r="CA56" i="23"/>
  <c r="CB56" i="23"/>
  <c r="CC56" i="23"/>
  <c r="CD56" i="23"/>
  <c r="CE56" i="23"/>
  <c r="CF56" i="23"/>
  <c r="CG56" i="23"/>
  <c r="CH56" i="23"/>
  <c r="CI56" i="23"/>
  <c r="CJ56" i="23"/>
  <c r="CK56" i="23"/>
  <c r="CL56" i="23"/>
  <c r="CM56" i="23"/>
  <c r="CN56" i="23"/>
  <c r="CO56" i="23"/>
  <c r="CP56" i="23"/>
  <c r="CQ56" i="23"/>
  <c r="CR56" i="23"/>
  <c r="CS56" i="23"/>
  <c r="CT56" i="23"/>
  <c r="CU56" i="23"/>
  <c r="CV56" i="23"/>
  <c r="CW56" i="23"/>
  <c r="CX56" i="23"/>
  <c r="CY56" i="23"/>
  <c r="CZ56" i="23"/>
  <c r="BJ57" i="23"/>
  <c r="BK57" i="23"/>
  <c r="BL57" i="23"/>
  <c r="BM57" i="23"/>
  <c r="BN57" i="23"/>
  <c r="BO57" i="23"/>
  <c r="BP57" i="23"/>
  <c r="BQ57" i="23"/>
  <c r="BR57" i="23"/>
  <c r="BS57" i="23"/>
  <c r="BT57" i="23"/>
  <c r="BU57" i="23"/>
  <c r="BV57" i="23"/>
  <c r="BW57" i="23"/>
  <c r="BX57" i="23"/>
  <c r="BY57" i="23"/>
  <c r="BZ57" i="23"/>
  <c r="CA57" i="23"/>
  <c r="CB57" i="23"/>
  <c r="CC57" i="23"/>
  <c r="CD57" i="23"/>
  <c r="CE57" i="23"/>
  <c r="CF57" i="23"/>
  <c r="CG57" i="23"/>
  <c r="CH57" i="23"/>
  <c r="CI57" i="23"/>
  <c r="CJ57" i="23"/>
  <c r="CK57" i="23"/>
  <c r="CL57" i="23"/>
  <c r="CM57" i="23"/>
  <c r="CN57" i="23"/>
  <c r="CO57" i="23"/>
  <c r="CP57" i="23"/>
  <c r="CQ57" i="23"/>
  <c r="CR57" i="23"/>
  <c r="CS57" i="23"/>
  <c r="CT57" i="23"/>
  <c r="CU57" i="23"/>
  <c r="CV57" i="23"/>
  <c r="CW57" i="23"/>
  <c r="CX57" i="23"/>
  <c r="CY57" i="23"/>
  <c r="CZ57" i="23"/>
  <c r="BJ58" i="23"/>
  <c r="BK58" i="23"/>
  <c r="BL58" i="23"/>
  <c r="BM58" i="23"/>
  <c r="BN58" i="23"/>
  <c r="BO58" i="23"/>
  <c r="BP58" i="23"/>
  <c r="BQ58" i="23"/>
  <c r="BR58" i="23"/>
  <c r="BS58" i="23"/>
  <c r="BT58" i="23"/>
  <c r="BU58" i="23"/>
  <c r="BV58" i="23"/>
  <c r="BW58" i="23"/>
  <c r="BX58" i="23"/>
  <c r="BY58" i="23"/>
  <c r="BZ58" i="23"/>
  <c r="CA58" i="23"/>
  <c r="CB58" i="23"/>
  <c r="CC58" i="23"/>
  <c r="CD58" i="23"/>
  <c r="CE58" i="23"/>
  <c r="CF58" i="23"/>
  <c r="CG58" i="23"/>
  <c r="CH58" i="23"/>
  <c r="CI58" i="23"/>
  <c r="CJ58" i="23"/>
  <c r="CK58" i="23"/>
  <c r="CL58" i="23"/>
  <c r="CM58" i="23"/>
  <c r="CN58" i="23"/>
  <c r="CO58" i="23"/>
  <c r="CP58" i="23"/>
  <c r="CQ58" i="23"/>
  <c r="CR58" i="23"/>
  <c r="CS58" i="23"/>
  <c r="CT58" i="23"/>
  <c r="CU58" i="23"/>
  <c r="CV58" i="23"/>
  <c r="CW58" i="23"/>
  <c r="CX58" i="23"/>
  <c r="CY58" i="23"/>
  <c r="CZ58" i="23"/>
  <c r="BJ59" i="23"/>
  <c r="BK59" i="23"/>
  <c r="BL59" i="23"/>
  <c r="BM59" i="23"/>
  <c r="BN59" i="23"/>
  <c r="BO59" i="23"/>
  <c r="BP59" i="23"/>
  <c r="BQ59" i="23"/>
  <c r="BR59" i="23"/>
  <c r="BS59" i="23"/>
  <c r="BT59" i="23"/>
  <c r="BU59" i="23"/>
  <c r="BV59" i="23"/>
  <c r="BW59" i="23"/>
  <c r="BX59" i="23"/>
  <c r="BY59" i="23"/>
  <c r="BZ59" i="23"/>
  <c r="CA59" i="23"/>
  <c r="CB59" i="23"/>
  <c r="CC59" i="23"/>
  <c r="CD59" i="23"/>
  <c r="CE59" i="23"/>
  <c r="CF59" i="23"/>
  <c r="CG59" i="23"/>
  <c r="CH59" i="23"/>
  <c r="CI59" i="23"/>
  <c r="CJ59" i="23"/>
  <c r="CK59" i="23"/>
  <c r="CL59" i="23"/>
  <c r="CM59" i="23"/>
  <c r="CN59" i="23"/>
  <c r="CO59" i="23"/>
  <c r="CP59" i="23"/>
  <c r="CQ59" i="23"/>
  <c r="CR59" i="23"/>
  <c r="CS59" i="23"/>
  <c r="CT59" i="23"/>
  <c r="CU59" i="23"/>
  <c r="CV59" i="23"/>
  <c r="CW59" i="23"/>
  <c r="CX59" i="23"/>
  <c r="CY59" i="23"/>
  <c r="CZ59" i="23"/>
  <c r="BJ60" i="23"/>
  <c r="BK60" i="23"/>
  <c r="BL60" i="23"/>
  <c r="BM60" i="23"/>
  <c r="BN60" i="23"/>
  <c r="BO60" i="23"/>
  <c r="BP60" i="23"/>
  <c r="BQ60" i="23"/>
  <c r="BR60" i="23"/>
  <c r="BS60" i="23"/>
  <c r="BT60" i="23"/>
  <c r="BU60" i="23"/>
  <c r="BV60" i="23"/>
  <c r="BW60" i="23"/>
  <c r="BX60" i="23"/>
  <c r="BY60" i="23"/>
  <c r="BZ60" i="23"/>
  <c r="CA60" i="23"/>
  <c r="CB60" i="23"/>
  <c r="CC60" i="23"/>
  <c r="CD60" i="23"/>
  <c r="CE60" i="23"/>
  <c r="CF60" i="23"/>
  <c r="CG60" i="23"/>
  <c r="CH60" i="23"/>
  <c r="CI60" i="23"/>
  <c r="CJ60" i="23"/>
  <c r="CK60" i="23"/>
  <c r="CL60" i="23"/>
  <c r="CM60" i="23"/>
  <c r="CN60" i="23"/>
  <c r="CO60" i="23"/>
  <c r="CP60" i="23"/>
  <c r="CQ60" i="23"/>
  <c r="CR60" i="23"/>
  <c r="CS60" i="23"/>
  <c r="CT60" i="23"/>
  <c r="CU60" i="23"/>
  <c r="CV60" i="23"/>
  <c r="CW60" i="23"/>
  <c r="CX60" i="23"/>
  <c r="CY60" i="23"/>
  <c r="CZ60" i="23"/>
  <c r="BJ61" i="23"/>
  <c r="BK61" i="23"/>
  <c r="BL61" i="23"/>
  <c r="BM61" i="23"/>
  <c r="BN61" i="23"/>
  <c r="BO61" i="23"/>
  <c r="BP61" i="23"/>
  <c r="BQ61" i="23"/>
  <c r="BR61" i="23"/>
  <c r="BS61" i="23"/>
  <c r="BT61" i="23"/>
  <c r="BU61" i="23"/>
  <c r="BV61" i="23"/>
  <c r="BW61" i="23"/>
  <c r="BX61" i="23"/>
  <c r="BY61" i="23"/>
  <c r="BZ61" i="23"/>
  <c r="CA61" i="23"/>
  <c r="CB61" i="23"/>
  <c r="CC61" i="23"/>
  <c r="CD61" i="23"/>
  <c r="CE61" i="23"/>
  <c r="CF61" i="23"/>
  <c r="CG61" i="23"/>
  <c r="CH61" i="23"/>
  <c r="CI61" i="23"/>
  <c r="CJ61" i="23"/>
  <c r="CK61" i="23"/>
  <c r="CL61" i="23"/>
  <c r="CM61" i="23"/>
  <c r="CN61" i="23"/>
  <c r="CO61" i="23"/>
  <c r="CP61" i="23"/>
  <c r="CQ61" i="23"/>
  <c r="CR61" i="23"/>
  <c r="CS61" i="23"/>
  <c r="CT61" i="23"/>
  <c r="CU61" i="23"/>
  <c r="CV61" i="23"/>
  <c r="CW61" i="23"/>
  <c r="CX61" i="23"/>
  <c r="CY61" i="23"/>
  <c r="CZ61" i="23"/>
  <c r="BJ62" i="23"/>
  <c r="BK62" i="23"/>
  <c r="BL62" i="23"/>
  <c r="BM62" i="23"/>
  <c r="BN62" i="23"/>
  <c r="BO62" i="23"/>
  <c r="BP62" i="23"/>
  <c r="BQ62" i="23"/>
  <c r="BR62" i="23"/>
  <c r="BS62" i="23"/>
  <c r="BT62" i="23"/>
  <c r="BU62" i="23"/>
  <c r="BV62" i="23"/>
  <c r="BW62" i="23"/>
  <c r="BX62" i="23"/>
  <c r="BY62" i="23"/>
  <c r="BZ62" i="23"/>
  <c r="CA62" i="23"/>
  <c r="CB62" i="23"/>
  <c r="CC62" i="23"/>
  <c r="CD62" i="23"/>
  <c r="CE62" i="23"/>
  <c r="CF62" i="23"/>
  <c r="CG62" i="23"/>
  <c r="CH62" i="23"/>
  <c r="CI62" i="23"/>
  <c r="CJ62" i="23"/>
  <c r="CK62" i="23"/>
  <c r="CL62" i="23"/>
  <c r="CM62" i="23"/>
  <c r="CN62" i="23"/>
  <c r="CO62" i="23"/>
  <c r="CP62" i="23"/>
  <c r="CQ62" i="23"/>
  <c r="CR62" i="23"/>
  <c r="CS62" i="23"/>
  <c r="CT62" i="23"/>
  <c r="CU62" i="23"/>
  <c r="CV62" i="23"/>
  <c r="CW62" i="23"/>
  <c r="CX62" i="23"/>
  <c r="CY62" i="23"/>
  <c r="CZ62" i="23"/>
  <c r="BJ63" i="23"/>
  <c r="BK63" i="23"/>
  <c r="BL63" i="23"/>
  <c r="BM63" i="23"/>
  <c r="BN63" i="23"/>
  <c r="BO63" i="23"/>
  <c r="BP63" i="23"/>
  <c r="BQ63" i="23"/>
  <c r="BR63" i="23"/>
  <c r="BS63" i="23"/>
  <c r="BT63" i="23"/>
  <c r="BU63" i="23"/>
  <c r="BV63" i="23"/>
  <c r="BW63" i="23"/>
  <c r="BX63" i="23"/>
  <c r="BY63" i="23"/>
  <c r="BZ63" i="23"/>
  <c r="CA63" i="23"/>
  <c r="CB63" i="23"/>
  <c r="CC63" i="23"/>
  <c r="CD63" i="23"/>
  <c r="CE63" i="23"/>
  <c r="CF63" i="23"/>
  <c r="CG63" i="23"/>
  <c r="CH63" i="23"/>
  <c r="CI63" i="23"/>
  <c r="CJ63" i="23"/>
  <c r="CK63" i="23"/>
  <c r="CL63" i="23"/>
  <c r="CM63" i="23"/>
  <c r="CN63" i="23"/>
  <c r="CO63" i="23"/>
  <c r="CP63" i="23"/>
  <c r="CQ63" i="23"/>
  <c r="CR63" i="23"/>
  <c r="CS63" i="23"/>
  <c r="CT63" i="23"/>
  <c r="CU63" i="23"/>
  <c r="CV63" i="23"/>
  <c r="CW63" i="23"/>
  <c r="CX63" i="23"/>
  <c r="CY63" i="23"/>
  <c r="CZ63" i="23"/>
  <c r="BJ64" i="23"/>
  <c r="BK64" i="23"/>
  <c r="BL64" i="23"/>
  <c r="BM64" i="23"/>
  <c r="BN64" i="23"/>
  <c r="BO64" i="23"/>
  <c r="BP64" i="23"/>
  <c r="BQ64" i="23"/>
  <c r="BR64" i="23"/>
  <c r="BS64" i="23"/>
  <c r="BT64" i="23"/>
  <c r="BU64" i="23"/>
  <c r="BV64" i="23"/>
  <c r="BW64" i="23"/>
  <c r="BX64" i="23"/>
  <c r="BY64" i="23"/>
  <c r="BZ64" i="23"/>
  <c r="CA64" i="23"/>
  <c r="CB64" i="23"/>
  <c r="CC64" i="23"/>
  <c r="CD64" i="23"/>
  <c r="CE64" i="23"/>
  <c r="CF64" i="23"/>
  <c r="CG64" i="23"/>
  <c r="CH64" i="23"/>
  <c r="CI64" i="23"/>
  <c r="CJ64" i="23"/>
  <c r="CK64" i="23"/>
  <c r="CL64" i="23"/>
  <c r="CM64" i="23"/>
  <c r="CN64" i="23"/>
  <c r="CO64" i="23"/>
  <c r="CP64" i="23"/>
  <c r="CQ64" i="23"/>
  <c r="CR64" i="23"/>
  <c r="CS64" i="23"/>
  <c r="CT64" i="23"/>
  <c r="CU64" i="23"/>
  <c r="CV64" i="23"/>
  <c r="CW64" i="23"/>
  <c r="CX64" i="23"/>
  <c r="CY64" i="23"/>
  <c r="CZ64" i="23"/>
  <c r="BJ65" i="23"/>
  <c r="BK65" i="23"/>
  <c r="BL65" i="23"/>
  <c r="BM65" i="23"/>
  <c r="BN65" i="23"/>
  <c r="BO65" i="23"/>
  <c r="BP65" i="23"/>
  <c r="BQ65" i="23"/>
  <c r="BR65" i="23"/>
  <c r="BS65" i="23"/>
  <c r="BT65" i="23"/>
  <c r="BU65" i="23"/>
  <c r="BV65" i="23"/>
  <c r="BW65" i="23"/>
  <c r="BX65" i="23"/>
  <c r="BY65" i="23"/>
  <c r="BZ65" i="23"/>
  <c r="CA65" i="23"/>
  <c r="CB65" i="23"/>
  <c r="CC65" i="23"/>
  <c r="CD65" i="23"/>
  <c r="CE65" i="23"/>
  <c r="CF65" i="23"/>
  <c r="CG65" i="23"/>
  <c r="CH65" i="23"/>
  <c r="CI65" i="23"/>
  <c r="CJ65" i="23"/>
  <c r="CK65" i="23"/>
  <c r="CL65" i="23"/>
  <c r="CM65" i="23"/>
  <c r="CN65" i="23"/>
  <c r="CO65" i="23"/>
  <c r="CP65" i="23"/>
  <c r="CQ65" i="23"/>
  <c r="CR65" i="23"/>
  <c r="CS65" i="23"/>
  <c r="CT65" i="23"/>
  <c r="CU65" i="23"/>
  <c r="CV65" i="23"/>
  <c r="CW65" i="23"/>
  <c r="CX65" i="23"/>
  <c r="CY65" i="23"/>
  <c r="CZ65" i="23"/>
  <c r="BJ66" i="23"/>
  <c r="BK66" i="23"/>
  <c r="BL66" i="23"/>
  <c r="BM66" i="23"/>
  <c r="BN66" i="23"/>
  <c r="BO66" i="23"/>
  <c r="BP66" i="23"/>
  <c r="BQ66" i="23"/>
  <c r="BR66" i="23"/>
  <c r="BS66" i="23"/>
  <c r="BT66" i="23"/>
  <c r="BU66" i="23"/>
  <c r="BV66" i="23"/>
  <c r="BW66" i="23"/>
  <c r="BX66" i="23"/>
  <c r="BY66" i="23"/>
  <c r="BZ66" i="23"/>
  <c r="CA66" i="23"/>
  <c r="CB66" i="23"/>
  <c r="CC66" i="23"/>
  <c r="CD66" i="23"/>
  <c r="CE66" i="23"/>
  <c r="CF66" i="23"/>
  <c r="CG66" i="23"/>
  <c r="CH66" i="23"/>
  <c r="CI66" i="23"/>
  <c r="CJ66" i="23"/>
  <c r="CK66" i="23"/>
  <c r="CL66" i="23"/>
  <c r="CM66" i="23"/>
  <c r="CN66" i="23"/>
  <c r="CO66" i="23"/>
  <c r="CP66" i="23"/>
  <c r="CQ66" i="23"/>
  <c r="CR66" i="23"/>
  <c r="CS66" i="23"/>
  <c r="CT66" i="23"/>
  <c r="CU66" i="23"/>
  <c r="CV66" i="23"/>
  <c r="CW66" i="23"/>
  <c r="CX66" i="23"/>
  <c r="CY66" i="23"/>
  <c r="CZ66" i="23"/>
  <c r="BJ67" i="23"/>
  <c r="BK67" i="23"/>
  <c r="BL67" i="23"/>
  <c r="BM67" i="23"/>
  <c r="BN67" i="23"/>
  <c r="BO67" i="23"/>
  <c r="BP67" i="23"/>
  <c r="BQ67" i="23"/>
  <c r="BR67" i="23"/>
  <c r="BS67" i="23"/>
  <c r="BT67" i="23"/>
  <c r="BU67" i="23"/>
  <c r="BV67" i="23"/>
  <c r="BW67" i="23"/>
  <c r="BX67" i="23"/>
  <c r="BY67" i="23"/>
  <c r="BZ67" i="23"/>
  <c r="CA67" i="23"/>
  <c r="CB67" i="23"/>
  <c r="CC67" i="23"/>
  <c r="CD67" i="23"/>
  <c r="CE67" i="23"/>
  <c r="CF67" i="23"/>
  <c r="CG67" i="23"/>
  <c r="CH67" i="23"/>
  <c r="CI67" i="23"/>
  <c r="CJ67" i="23"/>
  <c r="CK67" i="23"/>
  <c r="CL67" i="23"/>
  <c r="CM67" i="23"/>
  <c r="CN67" i="23"/>
  <c r="CO67" i="23"/>
  <c r="CP67" i="23"/>
  <c r="CQ67" i="23"/>
  <c r="CR67" i="23"/>
  <c r="CS67" i="23"/>
  <c r="CT67" i="23"/>
  <c r="CU67" i="23"/>
  <c r="CV67" i="23"/>
  <c r="CW67" i="23"/>
  <c r="CX67" i="23"/>
  <c r="CY67" i="23"/>
  <c r="CZ67" i="23"/>
  <c r="BJ68" i="23"/>
  <c r="BK68" i="23"/>
  <c r="BL68" i="23"/>
  <c r="BM68" i="23"/>
  <c r="BN68" i="23"/>
  <c r="BO68" i="23"/>
  <c r="BP68" i="23"/>
  <c r="BQ68" i="23"/>
  <c r="BR68" i="23"/>
  <c r="BS68" i="23"/>
  <c r="BT68" i="23"/>
  <c r="BU68" i="23"/>
  <c r="BV68" i="23"/>
  <c r="BW68" i="23"/>
  <c r="BX68" i="23"/>
  <c r="BY68" i="23"/>
  <c r="BZ68" i="23"/>
  <c r="CA68" i="23"/>
  <c r="CB68" i="23"/>
  <c r="CC68" i="23"/>
  <c r="CD68" i="23"/>
  <c r="CE68" i="23"/>
  <c r="CF68" i="23"/>
  <c r="CG68" i="23"/>
  <c r="CH68" i="23"/>
  <c r="CI68" i="23"/>
  <c r="CJ68" i="23"/>
  <c r="CK68" i="23"/>
  <c r="CL68" i="23"/>
  <c r="CM68" i="23"/>
  <c r="CN68" i="23"/>
  <c r="CO68" i="23"/>
  <c r="CP68" i="23"/>
  <c r="CQ68" i="23"/>
  <c r="CR68" i="23"/>
  <c r="CS68" i="23"/>
  <c r="CT68" i="23"/>
  <c r="CU68" i="23"/>
  <c r="CV68" i="23"/>
  <c r="CW68" i="23"/>
  <c r="CX68" i="23"/>
  <c r="CY68" i="23"/>
  <c r="CZ68" i="23"/>
  <c r="BJ69" i="23"/>
  <c r="BK69" i="23"/>
  <c r="BL69" i="23"/>
  <c r="BM69" i="23"/>
  <c r="BN69" i="23"/>
  <c r="BO69" i="23"/>
  <c r="BP69" i="23"/>
  <c r="BQ69" i="23"/>
  <c r="BR69" i="23"/>
  <c r="BS69" i="23"/>
  <c r="BT69" i="23"/>
  <c r="BU69" i="23"/>
  <c r="BV69" i="23"/>
  <c r="BW69" i="23"/>
  <c r="BX69" i="23"/>
  <c r="BY69" i="23"/>
  <c r="BZ69" i="23"/>
  <c r="CA69" i="23"/>
  <c r="CB69" i="23"/>
  <c r="CC69" i="23"/>
  <c r="CD69" i="23"/>
  <c r="CE69" i="23"/>
  <c r="CF69" i="23"/>
  <c r="CG69" i="23"/>
  <c r="CH69" i="23"/>
  <c r="CI69" i="23"/>
  <c r="CJ69" i="23"/>
  <c r="CK69" i="23"/>
  <c r="CL69" i="23"/>
  <c r="CM69" i="23"/>
  <c r="CN69" i="23"/>
  <c r="CO69" i="23"/>
  <c r="CP69" i="23"/>
  <c r="CQ69" i="23"/>
  <c r="CR69" i="23"/>
  <c r="CS69" i="23"/>
  <c r="CT69" i="23"/>
  <c r="CU69" i="23"/>
  <c r="CV69" i="23"/>
  <c r="CW69" i="23"/>
  <c r="CX69" i="23"/>
  <c r="CY69" i="23"/>
  <c r="CZ69" i="23"/>
  <c r="BJ70" i="23"/>
  <c r="BK70" i="23"/>
  <c r="BL70" i="23"/>
  <c r="BM70" i="23"/>
  <c r="BN70" i="23"/>
  <c r="BO70" i="23"/>
  <c r="BP70" i="23"/>
  <c r="BQ70" i="23"/>
  <c r="BR70" i="23"/>
  <c r="BS70" i="23"/>
  <c r="BT70" i="23"/>
  <c r="BU70" i="23"/>
  <c r="BV70" i="23"/>
  <c r="BW70" i="23"/>
  <c r="BX70" i="23"/>
  <c r="BY70" i="23"/>
  <c r="BZ70" i="23"/>
  <c r="CA70" i="23"/>
  <c r="CB70" i="23"/>
  <c r="CC70" i="23"/>
  <c r="CD70" i="23"/>
  <c r="CE70" i="23"/>
  <c r="CF70" i="23"/>
  <c r="CG70" i="23"/>
  <c r="CH70" i="23"/>
  <c r="CI70" i="23"/>
  <c r="CJ70" i="23"/>
  <c r="CK70" i="23"/>
  <c r="CL70" i="23"/>
  <c r="CM70" i="23"/>
  <c r="CN70" i="23"/>
  <c r="CO70" i="23"/>
  <c r="CP70" i="23"/>
  <c r="CQ70" i="23"/>
  <c r="CR70" i="23"/>
  <c r="CS70" i="23"/>
  <c r="CT70" i="23"/>
  <c r="CU70" i="23"/>
  <c r="CV70" i="23"/>
  <c r="CW70" i="23"/>
  <c r="CX70" i="23"/>
  <c r="CY70" i="23"/>
  <c r="CZ70" i="23"/>
  <c r="BJ71" i="23"/>
  <c r="BK71" i="23"/>
  <c r="BL71" i="23"/>
  <c r="BM71" i="23"/>
  <c r="BN71" i="23"/>
  <c r="BO71" i="23"/>
  <c r="BP71" i="23"/>
  <c r="BQ71" i="23"/>
  <c r="BR71" i="23"/>
  <c r="BS71" i="23"/>
  <c r="BT71" i="23"/>
  <c r="BU71" i="23"/>
  <c r="BV71" i="23"/>
  <c r="BW71" i="23"/>
  <c r="BX71" i="23"/>
  <c r="BY71" i="23"/>
  <c r="BZ71" i="23"/>
  <c r="CA71" i="23"/>
  <c r="CB71" i="23"/>
  <c r="CC71" i="23"/>
  <c r="CD71" i="23"/>
  <c r="CE71" i="23"/>
  <c r="CF71" i="23"/>
  <c r="CG71" i="23"/>
  <c r="CH71" i="23"/>
  <c r="CI71" i="23"/>
  <c r="CJ71" i="23"/>
  <c r="CK71" i="23"/>
  <c r="CL71" i="23"/>
  <c r="CM71" i="23"/>
  <c r="CN71" i="23"/>
  <c r="CO71" i="23"/>
  <c r="CP71" i="23"/>
  <c r="CQ71" i="23"/>
  <c r="CR71" i="23"/>
  <c r="CS71" i="23"/>
  <c r="CT71" i="23"/>
  <c r="CU71" i="23"/>
  <c r="CV71" i="23"/>
  <c r="CW71" i="23"/>
  <c r="CX71" i="23"/>
  <c r="CY71" i="23"/>
  <c r="CZ71" i="23"/>
  <c r="BJ72" i="23"/>
  <c r="BK72" i="23"/>
  <c r="BL72" i="23"/>
  <c r="BM72" i="23"/>
  <c r="BN72" i="23"/>
  <c r="BO72" i="23"/>
  <c r="BP72" i="23"/>
  <c r="BQ72" i="23"/>
  <c r="BR72" i="23"/>
  <c r="BS72" i="23"/>
  <c r="BT72" i="23"/>
  <c r="BU72" i="23"/>
  <c r="BV72" i="23"/>
  <c r="BW72" i="23"/>
  <c r="BX72" i="23"/>
  <c r="BY72" i="23"/>
  <c r="BZ72" i="23"/>
  <c r="CA72" i="23"/>
  <c r="CB72" i="23"/>
  <c r="CC72" i="23"/>
  <c r="CD72" i="23"/>
  <c r="CE72" i="23"/>
  <c r="CF72" i="23"/>
  <c r="CG72" i="23"/>
  <c r="CH72" i="23"/>
  <c r="CI72" i="23"/>
  <c r="CJ72" i="23"/>
  <c r="CK72" i="23"/>
  <c r="CL72" i="23"/>
  <c r="CM72" i="23"/>
  <c r="CN72" i="23"/>
  <c r="CO72" i="23"/>
  <c r="CP72" i="23"/>
  <c r="CQ72" i="23"/>
  <c r="CR72" i="23"/>
  <c r="CS72" i="23"/>
  <c r="CT72" i="23"/>
  <c r="CU72" i="23"/>
  <c r="CV72" i="23"/>
  <c r="CW72" i="23"/>
  <c r="CX72" i="23"/>
  <c r="CY72" i="23"/>
  <c r="CZ72" i="23"/>
  <c r="BJ73" i="23"/>
  <c r="BK73" i="23"/>
  <c r="BL73" i="23"/>
  <c r="BM73" i="23"/>
  <c r="BN73" i="23"/>
  <c r="BO73" i="23"/>
  <c r="BP73" i="23"/>
  <c r="BQ73" i="23"/>
  <c r="BR73" i="23"/>
  <c r="BS73" i="23"/>
  <c r="BT73" i="23"/>
  <c r="BU73" i="23"/>
  <c r="BV73" i="23"/>
  <c r="BW73" i="23"/>
  <c r="BX73" i="23"/>
  <c r="BY73" i="23"/>
  <c r="BZ73" i="23"/>
  <c r="CA73" i="23"/>
  <c r="CB73" i="23"/>
  <c r="CC73" i="23"/>
  <c r="CD73" i="23"/>
  <c r="CE73" i="23"/>
  <c r="CF73" i="23"/>
  <c r="CG73" i="23"/>
  <c r="CH73" i="23"/>
  <c r="CI73" i="23"/>
  <c r="CJ73" i="23"/>
  <c r="CK73" i="23"/>
  <c r="CL73" i="23"/>
  <c r="CM73" i="23"/>
  <c r="CN73" i="23"/>
  <c r="CO73" i="23"/>
  <c r="CP73" i="23"/>
  <c r="CQ73" i="23"/>
  <c r="CR73" i="23"/>
  <c r="CS73" i="23"/>
  <c r="CT73" i="23"/>
  <c r="CU73" i="23"/>
  <c r="CV73" i="23"/>
  <c r="CW73" i="23"/>
  <c r="CX73" i="23"/>
  <c r="CY73" i="23"/>
  <c r="CZ73" i="23"/>
  <c r="BJ74" i="23"/>
  <c r="BK74" i="23"/>
  <c r="BL74" i="23"/>
  <c r="BM74" i="23"/>
  <c r="BN74" i="23"/>
  <c r="BO74" i="23"/>
  <c r="BP74" i="23"/>
  <c r="BQ74" i="23"/>
  <c r="BR74" i="23"/>
  <c r="BS74" i="23"/>
  <c r="BT74" i="23"/>
  <c r="BU74" i="23"/>
  <c r="BV74" i="23"/>
  <c r="BW74" i="23"/>
  <c r="BX74" i="23"/>
  <c r="BY74" i="23"/>
  <c r="BZ74" i="23"/>
  <c r="CA74" i="23"/>
  <c r="CB74" i="23"/>
  <c r="CC74" i="23"/>
  <c r="CD74" i="23"/>
  <c r="CE74" i="23"/>
  <c r="CF74" i="23"/>
  <c r="CG74" i="23"/>
  <c r="CH74" i="23"/>
  <c r="CI74" i="23"/>
  <c r="CJ74" i="23"/>
  <c r="CK74" i="23"/>
  <c r="CL74" i="23"/>
  <c r="CM74" i="23"/>
  <c r="CN74" i="23"/>
  <c r="CO74" i="23"/>
  <c r="CP74" i="23"/>
  <c r="CQ74" i="23"/>
  <c r="CR74" i="23"/>
  <c r="CS74" i="23"/>
  <c r="CT74" i="23"/>
  <c r="CU74" i="23"/>
  <c r="CV74" i="23"/>
  <c r="CW74" i="23"/>
  <c r="CX74" i="23"/>
  <c r="CY74" i="23"/>
  <c r="CZ74" i="23"/>
  <c r="BJ75" i="23"/>
  <c r="BK75" i="23"/>
  <c r="BL75" i="23"/>
  <c r="BM75" i="23"/>
  <c r="BN75" i="23"/>
  <c r="BO75" i="23"/>
  <c r="BP75" i="23"/>
  <c r="BQ75" i="23"/>
  <c r="BR75" i="23"/>
  <c r="BS75" i="23"/>
  <c r="BT75" i="23"/>
  <c r="BU75" i="23"/>
  <c r="BV75" i="23"/>
  <c r="BW75" i="23"/>
  <c r="BX75" i="23"/>
  <c r="BY75" i="23"/>
  <c r="BZ75" i="23"/>
  <c r="CA75" i="23"/>
  <c r="CB75" i="23"/>
  <c r="CC75" i="23"/>
  <c r="CD75" i="23"/>
  <c r="CE75" i="23"/>
  <c r="CF75" i="23"/>
  <c r="CG75" i="23"/>
  <c r="CH75" i="23"/>
  <c r="CI75" i="23"/>
  <c r="CJ75" i="23"/>
  <c r="CK75" i="23"/>
  <c r="CL75" i="23"/>
  <c r="CM75" i="23"/>
  <c r="CN75" i="23"/>
  <c r="CO75" i="23"/>
  <c r="CP75" i="23"/>
  <c r="CQ75" i="23"/>
  <c r="CR75" i="23"/>
  <c r="CS75" i="23"/>
  <c r="CT75" i="23"/>
  <c r="CU75" i="23"/>
  <c r="CV75" i="23"/>
  <c r="CW75" i="23"/>
  <c r="CX75" i="23"/>
  <c r="CY75" i="23"/>
  <c r="CZ75" i="23"/>
  <c r="BJ76" i="23"/>
  <c r="BK76" i="23"/>
  <c r="BL76" i="23"/>
  <c r="BM76" i="23"/>
  <c r="BN76" i="23"/>
  <c r="BO76" i="23"/>
  <c r="BP76" i="23"/>
  <c r="BQ76" i="23"/>
  <c r="BR76" i="23"/>
  <c r="BS76" i="23"/>
  <c r="BT76" i="23"/>
  <c r="BU76" i="23"/>
  <c r="BV76" i="23"/>
  <c r="BW76" i="23"/>
  <c r="BX76" i="23"/>
  <c r="BY76" i="23"/>
  <c r="BZ76" i="23"/>
  <c r="CA76" i="23"/>
  <c r="CB76" i="23"/>
  <c r="CC76" i="23"/>
  <c r="CD76" i="23"/>
  <c r="CE76" i="23"/>
  <c r="CF76" i="23"/>
  <c r="CG76" i="23"/>
  <c r="CH76" i="23"/>
  <c r="CI76" i="23"/>
  <c r="CJ76" i="23"/>
  <c r="CK76" i="23"/>
  <c r="CL76" i="23"/>
  <c r="CM76" i="23"/>
  <c r="CN76" i="23"/>
  <c r="CO76" i="23"/>
  <c r="CP76" i="23"/>
  <c r="CQ76" i="23"/>
  <c r="CR76" i="23"/>
  <c r="CS76" i="23"/>
  <c r="CT76" i="23"/>
  <c r="CU76" i="23"/>
  <c r="CV76" i="23"/>
  <c r="CW76" i="23"/>
  <c r="CX76" i="23"/>
  <c r="CY76" i="23"/>
  <c r="CZ76" i="23"/>
  <c r="BJ77" i="23"/>
  <c r="BK77" i="23"/>
  <c r="BL77" i="23"/>
  <c r="BM77" i="23"/>
  <c r="BN77" i="23"/>
  <c r="BO77" i="23"/>
  <c r="BP77" i="23"/>
  <c r="BQ77" i="23"/>
  <c r="BR77" i="23"/>
  <c r="BS77" i="23"/>
  <c r="BT77" i="23"/>
  <c r="BU77" i="23"/>
  <c r="BV77" i="23"/>
  <c r="BW77" i="23"/>
  <c r="BX77" i="23"/>
  <c r="BY77" i="23"/>
  <c r="BZ77" i="23"/>
  <c r="CA77" i="23"/>
  <c r="CB77" i="23"/>
  <c r="CC77" i="23"/>
  <c r="CD77" i="23"/>
  <c r="CE77" i="23"/>
  <c r="CF77" i="23"/>
  <c r="CG77" i="23"/>
  <c r="CH77" i="23"/>
  <c r="CI77" i="23"/>
  <c r="CJ77" i="23"/>
  <c r="CK77" i="23"/>
  <c r="CL77" i="23"/>
  <c r="CM77" i="23"/>
  <c r="CN77" i="23"/>
  <c r="CO77" i="23"/>
  <c r="CP77" i="23"/>
  <c r="CQ77" i="23"/>
  <c r="CR77" i="23"/>
  <c r="CS77" i="23"/>
  <c r="CT77" i="23"/>
  <c r="CU77" i="23"/>
  <c r="CV77" i="23"/>
  <c r="CW77" i="23"/>
  <c r="CX77" i="23"/>
  <c r="CY77" i="23"/>
  <c r="CZ77" i="23"/>
  <c r="BJ78" i="23"/>
  <c r="BK78" i="23"/>
  <c r="BL78" i="23"/>
  <c r="BM78" i="23"/>
  <c r="BN78" i="23"/>
  <c r="BO78" i="23"/>
  <c r="BP78" i="23"/>
  <c r="BQ78" i="23"/>
  <c r="BR78" i="23"/>
  <c r="BS78" i="23"/>
  <c r="BT78" i="23"/>
  <c r="BU78" i="23"/>
  <c r="BV78" i="23"/>
  <c r="BW78" i="23"/>
  <c r="BX78" i="23"/>
  <c r="BY78" i="23"/>
  <c r="BZ78" i="23"/>
  <c r="CA78" i="23"/>
  <c r="CB78" i="23"/>
  <c r="CC78" i="23"/>
  <c r="CD78" i="23"/>
  <c r="CE78" i="23"/>
  <c r="CF78" i="23"/>
  <c r="CG78" i="23"/>
  <c r="CH78" i="23"/>
  <c r="CI78" i="23"/>
  <c r="CJ78" i="23"/>
  <c r="CK78" i="23"/>
  <c r="CL78" i="23"/>
  <c r="CM78" i="23"/>
  <c r="CN78" i="23"/>
  <c r="CO78" i="23"/>
  <c r="CP78" i="23"/>
  <c r="CQ78" i="23"/>
  <c r="CR78" i="23"/>
  <c r="CS78" i="23"/>
  <c r="CT78" i="23"/>
  <c r="CU78" i="23"/>
  <c r="CV78" i="23"/>
  <c r="CW78" i="23"/>
  <c r="CX78" i="23"/>
  <c r="CY78" i="23"/>
  <c r="CZ78" i="23"/>
  <c r="BJ79" i="23"/>
  <c r="BK79" i="23"/>
  <c r="BL79" i="23"/>
  <c r="BM79" i="23"/>
  <c r="BN79" i="23"/>
  <c r="BO79" i="23"/>
  <c r="BP79" i="23"/>
  <c r="BQ79" i="23"/>
  <c r="BR79" i="23"/>
  <c r="BS79" i="23"/>
  <c r="BT79" i="23"/>
  <c r="BU79" i="23"/>
  <c r="BV79" i="23"/>
  <c r="BW79" i="23"/>
  <c r="BX79" i="23"/>
  <c r="BY79" i="23"/>
  <c r="BZ79" i="23"/>
  <c r="CA79" i="23"/>
  <c r="CB79" i="23"/>
  <c r="CC79" i="23"/>
  <c r="CD79" i="23"/>
  <c r="CE79" i="23"/>
  <c r="CF79" i="23"/>
  <c r="CG79" i="23"/>
  <c r="CH79" i="23"/>
  <c r="CI79" i="23"/>
  <c r="CJ79" i="23"/>
  <c r="CK79" i="23"/>
  <c r="CL79" i="23"/>
  <c r="CM79" i="23"/>
  <c r="CN79" i="23"/>
  <c r="CO79" i="23"/>
  <c r="CP79" i="23"/>
  <c r="CQ79" i="23"/>
  <c r="CR79" i="23"/>
  <c r="CS79" i="23"/>
  <c r="CT79" i="23"/>
  <c r="CU79" i="23"/>
  <c r="CV79" i="23"/>
  <c r="CW79" i="23"/>
  <c r="CX79" i="23"/>
  <c r="CY79" i="23"/>
  <c r="CZ79" i="23"/>
  <c r="BJ80" i="23"/>
  <c r="BK80" i="23"/>
  <c r="BL80" i="23"/>
  <c r="BM80" i="23"/>
  <c r="BN80" i="23"/>
  <c r="BO80" i="23"/>
  <c r="BP80" i="23"/>
  <c r="BQ80" i="23"/>
  <c r="BR80" i="23"/>
  <c r="BS80" i="23"/>
  <c r="BT80" i="23"/>
  <c r="BU80" i="23"/>
  <c r="BV80" i="23"/>
  <c r="BW80" i="23"/>
  <c r="BX80" i="23"/>
  <c r="BY80" i="23"/>
  <c r="BZ80" i="23"/>
  <c r="CA80" i="23"/>
  <c r="CB80" i="23"/>
  <c r="CC80" i="23"/>
  <c r="CD80" i="23"/>
  <c r="CE80" i="23"/>
  <c r="CF80" i="23"/>
  <c r="CG80" i="23"/>
  <c r="CH80" i="23"/>
  <c r="CI80" i="23"/>
  <c r="CJ80" i="23"/>
  <c r="CK80" i="23"/>
  <c r="CL80" i="23"/>
  <c r="CM80" i="23"/>
  <c r="CN80" i="23"/>
  <c r="CO80" i="23"/>
  <c r="CP80" i="23"/>
  <c r="CQ80" i="23"/>
  <c r="CR80" i="23"/>
  <c r="CS80" i="23"/>
  <c r="CT80" i="23"/>
  <c r="CU80" i="23"/>
  <c r="CV80" i="23"/>
  <c r="CW80" i="23"/>
  <c r="CX80" i="23"/>
  <c r="CY80" i="23"/>
  <c r="CZ80" i="23"/>
  <c r="BJ81" i="23"/>
  <c r="BK81" i="23"/>
  <c r="BL81" i="23"/>
  <c r="BM81" i="23"/>
  <c r="BN81" i="23"/>
  <c r="BO81" i="23"/>
  <c r="BP81" i="23"/>
  <c r="BQ81" i="23"/>
  <c r="BR81" i="23"/>
  <c r="BS81" i="23"/>
  <c r="BT81" i="23"/>
  <c r="BU81" i="23"/>
  <c r="BV81" i="23"/>
  <c r="BW81" i="23"/>
  <c r="BX81" i="23"/>
  <c r="BY81" i="23"/>
  <c r="BZ81" i="23"/>
  <c r="CA81" i="23"/>
  <c r="CB81" i="23"/>
  <c r="CC81" i="23"/>
  <c r="CD81" i="23"/>
  <c r="CE81" i="23"/>
  <c r="CF81" i="23"/>
  <c r="CG81" i="23"/>
  <c r="CH81" i="23"/>
  <c r="CI81" i="23"/>
  <c r="CJ81" i="23"/>
  <c r="CK81" i="23"/>
  <c r="CL81" i="23"/>
  <c r="CM81" i="23"/>
  <c r="CN81" i="23"/>
  <c r="CO81" i="23"/>
  <c r="CP81" i="23"/>
  <c r="CQ81" i="23"/>
  <c r="CR81" i="23"/>
  <c r="CS81" i="23"/>
  <c r="CT81" i="23"/>
  <c r="CU81" i="23"/>
  <c r="CV81" i="23"/>
  <c r="CW81" i="23"/>
  <c r="CX81" i="23"/>
  <c r="CY81" i="23"/>
  <c r="CZ81" i="23"/>
  <c r="BJ82" i="23"/>
  <c r="BK82" i="23"/>
  <c r="BL82" i="23"/>
  <c r="BM82" i="23"/>
  <c r="BN82" i="23"/>
  <c r="BO82" i="23"/>
  <c r="BP82" i="23"/>
  <c r="BQ82" i="23"/>
  <c r="BR82" i="23"/>
  <c r="BS82" i="23"/>
  <c r="BT82" i="23"/>
  <c r="BU82" i="23"/>
  <c r="BV82" i="23"/>
  <c r="BW82" i="23"/>
  <c r="BX82" i="23"/>
  <c r="BY82" i="23"/>
  <c r="BZ82" i="23"/>
  <c r="CA82" i="23"/>
  <c r="CB82" i="23"/>
  <c r="CC82" i="23"/>
  <c r="CD82" i="23"/>
  <c r="CE82" i="23"/>
  <c r="CF82" i="23"/>
  <c r="CG82" i="23"/>
  <c r="CH82" i="23"/>
  <c r="CI82" i="23"/>
  <c r="CJ82" i="23"/>
  <c r="CK82" i="23"/>
  <c r="CL82" i="23"/>
  <c r="CM82" i="23"/>
  <c r="CN82" i="23"/>
  <c r="CO82" i="23"/>
  <c r="CP82" i="23"/>
  <c r="CQ82" i="23"/>
  <c r="CR82" i="23"/>
  <c r="CS82" i="23"/>
  <c r="CT82" i="23"/>
  <c r="CU82" i="23"/>
  <c r="CV82" i="23"/>
  <c r="CW82" i="23"/>
  <c r="CX82" i="23"/>
  <c r="CY82" i="23"/>
  <c r="CZ82" i="23"/>
  <c r="BJ83" i="23"/>
  <c r="BK83" i="23"/>
  <c r="BL83" i="23"/>
  <c r="BM83" i="23"/>
  <c r="BN83" i="23"/>
  <c r="BO83" i="23"/>
  <c r="BP83" i="23"/>
  <c r="BQ83" i="23"/>
  <c r="BR83" i="23"/>
  <c r="BS83" i="23"/>
  <c r="BT83" i="23"/>
  <c r="BU83" i="23"/>
  <c r="BV83" i="23"/>
  <c r="BW83" i="23"/>
  <c r="BX83" i="23"/>
  <c r="BY83" i="23"/>
  <c r="BZ83" i="23"/>
  <c r="CA83" i="23"/>
  <c r="CB83" i="23"/>
  <c r="CC83" i="23"/>
  <c r="CD83" i="23"/>
  <c r="CE83" i="23"/>
  <c r="CF83" i="23"/>
  <c r="CG83" i="23"/>
  <c r="CH83" i="23"/>
  <c r="CI83" i="23"/>
  <c r="CJ83" i="23"/>
  <c r="CK83" i="23"/>
  <c r="CL83" i="23"/>
  <c r="CM83" i="23"/>
  <c r="CN83" i="23"/>
  <c r="CO83" i="23"/>
  <c r="CP83" i="23"/>
  <c r="CQ83" i="23"/>
  <c r="CR83" i="23"/>
  <c r="CS83" i="23"/>
  <c r="CT83" i="23"/>
  <c r="CU83" i="23"/>
  <c r="CV83" i="23"/>
  <c r="CW83" i="23"/>
  <c r="CX83" i="23"/>
  <c r="CY83" i="23"/>
  <c r="CZ83" i="23"/>
  <c r="BJ84" i="23"/>
  <c r="BK84" i="23"/>
  <c r="BL84" i="23"/>
  <c r="BM84" i="23"/>
  <c r="BN84" i="23"/>
  <c r="BO84" i="23"/>
  <c r="BP84" i="23"/>
  <c r="BQ84" i="23"/>
  <c r="BR84" i="23"/>
  <c r="BS84" i="23"/>
  <c r="BT84" i="23"/>
  <c r="BU84" i="23"/>
  <c r="BV84" i="23"/>
  <c r="BW84" i="23"/>
  <c r="BX84" i="23"/>
  <c r="BY84" i="23"/>
  <c r="BZ84" i="23"/>
  <c r="CA84" i="23"/>
  <c r="CB84" i="23"/>
  <c r="CC84" i="23"/>
  <c r="CD84" i="23"/>
  <c r="CE84" i="23"/>
  <c r="CF84" i="23"/>
  <c r="CG84" i="23"/>
  <c r="CH84" i="23"/>
  <c r="CI84" i="23"/>
  <c r="CJ84" i="23"/>
  <c r="CK84" i="23"/>
  <c r="CL84" i="23"/>
  <c r="CM84" i="23"/>
  <c r="CN84" i="23"/>
  <c r="CO84" i="23"/>
  <c r="CP84" i="23"/>
  <c r="CQ84" i="23"/>
  <c r="CR84" i="23"/>
  <c r="CS84" i="23"/>
  <c r="CT84" i="23"/>
  <c r="CU84" i="23"/>
  <c r="CV84" i="23"/>
  <c r="CW84" i="23"/>
  <c r="CX84" i="23"/>
  <c r="CY84" i="23"/>
  <c r="CZ84" i="23"/>
  <c r="BJ85" i="23"/>
  <c r="BK85" i="23"/>
  <c r="BL85" i="23"/>
  <c r="BM85" i="23"/>
  <c r="BN85" i="23"/>
  <c r="BO85" i="23"/>
  <c r="BP85" i="23"/>
  <c r="BQ85" i="23"/>
  <c r="BR85" i="23"/>
  <c r="BS85" i="23"/>
  <c r="BT85" i="23"/>
  <c r="BU85" i="23"/>
  <c r="BV85" i="23"/>
  <c r="BW85" i="23"/>
  <c r="BX85" i="23"/>
  <c r="BY85" i="23"/>
  <c r="BZ85" i="23"/>
  <c r="CA85" i="23"/>
  <c r="CB85" i="23"/>
  <c r="CC85" i="23"/>
  <c r="CD85" i="23"/>
  <c r="CE85" i="23"/>
  <c r="CF85" i="23"/>
  <c r="CG85" i="23"/>
  <c r="CH85" i="23"/>
  <c r="CI85" i="23"/>
  <c r="CJ85" i="23"/>
  <c r="CK85" i="23"/>
  <c r="CL85" i="23"/>
  <c r="CM85" i="23"/>
  <c r="CN85" i="23"/>
  <c r="CO85" i="23"/>
  <c r="CP85" i="23"/>
  <c r="CQ85" i="23"/>
  <c r="CR85" i="23"/>
  <c r="CS85" i="23"/>
  <c r="CT85" i="23"/>
  <c r="CU85" i="23"/>
  <c r="CV85" i="23"/>
  <c r="CW85" i="23"/>
  <c r="CX85" i="23"/>
  <c r="CY85" i="23"/>
  <c r="CZ85" i="23"/>
  <c r="BJ86" i="23"/>
  <c r="BK86" i="23"/>
  <c r="BL86" i="23"/>
  <c r="BM86" i="23"/>
  <c r="BN86" i="23"/>
  <c r="BO86" i="23"/>
  <c r="BP86" i="23"/>
  <c r="BQ86" i="23"/>
  <c r="BR86" i="23"/>
  <c r="BS86" i="23"/>
  <c r="BT86" i="23"/>
  <c r="BU86" i="23"/>
  <c r="BV86" i="23"/>
  <c r="BW86" i="23"/>
  <c r="BX86" i="23"/>
  <c r="BY86" i="23"/>
  <c r="BZ86" i="23"/>
  <c r="CA86" i="23"/>
  <c r="CB86" i="23"/>
  <c r="CC86" i="23"/>
  <c r="CD86" i="23"/>
  <c r="CE86" i="23"/>
  <c r="CF86" i="23"/>
  <c r="CG86" i="23"/>
  <c r="CH86" i="23"/>
  <c r="CI86" i="23"/>
  <c r="CJ86" i="23"/>
  <c r="CK86" i="23"/>
  <c r="CL86" i="23"/>
  <c r="CM86" i="23"/>
  <c r="CN86" i="23"/>
  <c r="CO86" i="23"/>
  <c r="CP86" i="23"/>
  <c r="CQ86" i="23"/>
  <c r="CR86" i="23"/>
  <c r="CS86" i="23"/>
  <c r="CT86" i="23"/>
  <c r="CU86" i="23"/>
  <c r="CV86" i="23"/>
  <c r="CW86" i="23"/>
  <c r="CX86" i="23"/>
  <c r="CY86" i="23"/>
  <c r="CZ86" i="23"/>
  <c r="BJ87" i="23"/>
  <c r="BK87" i="23"/>
  <c r="BL87" i="23"/>
  <c r="BM87" i="23"/>
  <c r="BN87" i="23"/>
  <c r="BO87" i="23"/>
  <c r="BP87" i="23"/>
  <c r="BQ87" i="23"/>
  <c r="BR87" i="23"/>
  <c r="BS87" i="23"/>
  <c r="BT87" i="23"/>
  <c r="BU87" i="23"/>
  <c r="BV87" i="23"/>
  <c r="BW87" i="23"/>
  <c r="BX87" i="23"/>
  <c r="BY87" i="23"/>
  <c r="BZ87" i="23"/>
  <c r="CA87" i="23"/>
  <c r="CB87" i="23"/>
  <c r="CC87" i="23"/>
  <c r="CD87" i="23"/>
  <c r="CE87" i="23"/>
  <c r="CF87" i="23"/>
  <c r="CG87" i="23"/>
  <c r="CH87" i="23"/>
  <c r="CI87" i="23"/>
  <c r="CJ87" i="23"/>
  <c r="CK87" i="23"/>
  <c r="CL87" i="23"/>
  <c r="CM87" i="23"/>
  <c r="CN87" i="23"/>
  <c r="CO87" i="23"/>
  <c r="CP87" i="23"/>
  <c r="CQ87" i="23"/>
  <c r="CR87" i="23"/>
  <c r="CS87" i="23"/>
  <c r="CT87" i="23"/>
  <c r="CU87" i="23"/>
  <c r="CV87" i="23"/>
  <c r="CW87" i="23"/>
  <c r="CX87" i="23"/>
  <c r="CY87" i="23"/>
  <c r="CZ87" i="23"/>
  <c r="BJ88" i="23"/>
  <c r="BK88" i="23"/>
  <c r="BL88" i="23"/>
  <c r="BM88" i="23"/>
  <c r="BN88" i="23"/>
  <c r="BO88" i="23"/>
  <c r="BP88" i="23"/>
  <c r="BQ88" i="23"/>
  <c r="BR88" i="23"/>
  <c r="BS88" i="23"/>
  <c r="BT88" i="23"/>
  <c r="BU88" i="23"/>
  <c r="BV88" i="23"/>
  <c r="BW88" i="23"/>
  <c r="BX88" i="23"/>
  <c r="BY88" i="23"/>
  <c r="BZ88" i="23"/>
  <c r="CA88" i="23"/>
  <c r="CB88" i="23"/>
  <c r="CC88" i="23"/>
  <c r="CD88" i="23"/>
  <c r="CE88" i="23"/>
  <c r="CF88" i="23"/>
  <c r="CG88" i="23"/>
  <c r="CH88" i="23"/>
  <c r="CI88" i="23"/>
  <c r="CJ88" i="23"/>
  <c r="CK88" i="23"/>
  <c r="CL88" i="23"/>
  <c r="CM88" i="23"/>
  <c r="CN88" i="23"/>
  <c r="CO88" i="23"/>
  <c r="CP88" i="23"/>
  <c r="CQ88" i="23"/>
  <c r="CR88" i="23"/>
  <c r="CS88" i="23"/>
  <c r="CT88" i="23"/>
  <c r="CU88" i="23"/>
  <c r="CV88" i="23"/>
  <c r="CW88" i="23"/>
  <c r="CX88" i="23"/>
  <c r="CY88" i="23"/>
  <c r="CZ88" i="23"/>
  <c r="BJ89" i="23"/>
  <c r="BK89" i="23"/>
  <c r="BL89" i="23"/>
  <c r="BM89" i="23"/>
  <c r="BN89" i="23"/>
  <c r="BO89" i="23"/>
  <c r="BP89" i="23"/>
  <c r="BQ89" i="23"/>
  <c r="BR89" i="23"/>
  <c r="BS89" i="23"/>
  <c r="BT89" i="23"/>
  <c r="BU89" i="23"/>
  <c r="BV89" i="23"/>
  <c r="BW89" i="23"/>
  <c r="BX89" i="23"/>
  <c r="BY89" i="23"/>
  <c r="BZ89" i="23"/>
  <c r="CA89" i="23"/>
  <c r="CB89" i="23"/>
  <c r="CC89" i="23"/>
  <c r="CD89" i="23"/>
  <c r="CE89" i="23"/>
  <c r="CF89" i="23"/>
  <c r="CG89" i="23"/>
  <c r="CH89" i="23"/>
  <c r="CI89" i="23"/>
  <c r="CJ89" i="23"/>
  <c r="CK89" i="23"/>
  <c r="CL89" i="23"/>
  <c r="CM89" i="23"/>
  <c r="CN89" i="23"/>
  <c r="CO89" i="23"/>
  <c r="CP89" i="23"/>
  <c r="CQ89" i="23"/>
  <c r="CR89" i="23"/>
  <c r="CS89" i="23"/>
  <c r="CT89" i="23"/>
  <c r="CU89" i="23"/>
  <c r="CV89" i="23"/>
  <c r="CW89" i="23"/>
  <c r="CX89" i="23"/>
  <c r="CY89" i="23"/>
  <c r="CZ89" i="23"/>
  <c r="BJ90" i="23"/>
  <c r="BK90" i="23"/>
  <c r="BL90" i="23"/>
  <c r="BM90" i="23"/>
  <c r="BN90" i="23"/>
  <c r="BO90" i="23"/>
  <c r="BP90" i="23"/>
  <c r="BQ90" i="23"/>
  <c r="BR90" i="23"/>
  <c r="BS90" i="23"/>
  <c r="BT90" i="23"/>
  <c r="BU90" i="23"/>
  <c r="BV90" i="23"/>
  <c r="BW90" i="23"/>
  <c r="BX90" i="23"/>
  <c r="BY90" i="23"/>
  <c r="BZ90" i="23"/>
  <c r="CA90" i="23"/>
  <c r="CB90" i="23"/>
  <c r="CC90" i="23"/>
  <c r="CD90" i="23"/>
  <c r="CE90" i="23"/>
  <c r="CF90" i="23"/>
  <c r="CG90" i="23"/>
  <c r="CH90" i="23"/>
  <c r="CI90" i="23"/>
  <c r="CJ90" i="23"/>
  <c r="CK90" i="23"/>
  <c r="CL90" i="23"/>
  <c r="CM90" i="23"/>
  <c r="CN90" i="23"/>
  <c r="CO90" i="23"/>
  <c r="CP90" i="23"/>
  <c r="CQ90" i="23"/>
  <c r="CR90" i="23"/>
  <c r="CS90" i="23"/>
  <c r="CT90" i="23"/>
  <c r="CU90" i="23"/>
  <c r="CV90" i="23"/>
  <c r="CW90" i="23"/>
  <c r="CX90" i="23"/>
  <c r="CY90" i="23"/>
  <c r="CZ90" i="23"/>
  <c r="BJ91" i="23"/>
  <c r="BK91" i="23"/>
  <c r="BL91" i="23"/>
  <c r="BM91" i="23"/>
  <c r="BN91" i="23"/>
  <c r="BO91" i="23"/>
  <c r="BP91" i="23"/>
  <c r="BQ91" i="23"/>
  <c r="BR91" i="23"/>
  <c r="BS91" i="23"/>
  <c r="BT91" i="23"/>
  <c r="BU91" i="23"/>
  <c r="BV91" i="23"/>
  <c r="BW91" i="23"/>
  <c r="BX91" i="23"/>
  <c r="BY91" i="23"/>
  <c r="BZ91" i="23"/>
  <c r="CA91" i="23"/>
  <c r="CB91" i="23"/>
  <c r="CC91" i="23"/>
  <c r="CD91" i="23"/>
  <c r="CE91" i="23"/>
  <c r="CF91" i="23"/>
  <c r="CG91" i="23"/>
  <c r="CH91" i="23"/>
  <c r="CI91" i="23"/>
  <c r="CJ91" i="23"/>
  <c r="CK91" i="23"/>
  <c r="CL91" i="23"/>
  <c r="CM91" i="23"/>
  <c r="CN91" i="23"/>
  <c r="CO91" i="23"/>
  <c r="CP91" i="23"/>
  <c r="CQ91" i="23"/>
  <c r="CR91" i="23"/>
  <c r="CS91" i="23"/>
  <c r="CT91" i="23"/>
  <c r="CU91" i="23"/>
  <c r="CV91" i="23"/>
  <c r="CW91" i="23"/>
  <c r="CX91" i="23"/>
  <c r="CY91" i="23"/>
  <c r="CZ91" i="23"/>
  <c r="BJ92" i="23"/>
  <c r="BK92" i="23"/>
  <c r="BL92" i="23"/>
  <c r="BM92" i="23"/>
  <c r="BN92" i="23"/>
  <c r="BO92" i="23"/>
  <c r="BP92" i="23"/>
  <c r="BQ92" i="23"/>
  <c r="BR92" i="23"/>
  <c r="BS92" i="23"/>
  <c r="BT92" i="23"/>
  <c r="BU92" i="23"/>
  <c r="BV92" i="23"/>
  <c r="BW92" i="23"/>
  <c r="BX92" i="23"/>
  <c r="BY92" i="23"/>
  <c r="BZ92" i="23"/>
  <c r="CA92" i="23"/>
  <c r="CB92" i="23"/>
  <c r="CC92" i="23"/>
  <c r="CD92" i="23"/>
  <c r="CE92" i="23"/>
  <c r="CF92" i="23"/>
  <c r="CG92" i="23"/>
  <c r="CH92" i="23"/>
  <c r="CI92" i="23"/>
  <c r="CJ92" i="23"/>
  <c r="CK92" i="23"/>
  <c r="CL92" i="23"/>
  <c r="CM92" i="23"/>
  <c r="CN92" i="23"/>
  <c r="CO92" i="23"/>
  <c r="CP92" i="23"/>
  <c r="CQ92" i="23"/>
  <c r="CR92" i="23"/>
  <c r="CS92" i="23"/>
  <c r="CT92" i="23"/>
  <c r="CU92" i="23"/>
  <c r="CV92" i="23"/>
  <c r="CW92" i="23"/>
  <c r="CX92" i="23"/>
  <c r="CY92" i="23"/>
  <c r="CZ92" i="23"/>
  <c r="BJ93" i="23"/>
  <c r="BK93" i="23"/>
  <c r="BL93" i="23"/>
  <c r="BM93" i="23"/>
  <c r="BN93" i="23"/>
  <c r="BO93" i="23"/>
  <c r="BP93" i="23"/>
  <c r="BQ93" i="23"/>
  <c r="BR93" i="23"/>
  <c r="BS93" i="23"/>
  <c r="BT93" i="23"/>
  <c r="BU93" i="23"/>
  <c r="BV93" i="23"/>
  <c r="BW93" i="23"/>
  <c r="BX93" i="23"/>
  <c r="BY93" i="23"/>
  <c r="BZ93" i="23"/>
  <c r="CA93" i="23"/>
  <c r="CB93" i="23"/>
  <c r="CC93" i="23"/>
  <c r="CD93" i="23"/>
  <c r="CE93" i="23"/>
  <c r="CF93" i="23"/>
  <c r="CG93" i="23"/>
  <c r="CH93" i="23"/>
  <c r="CI93" i="23"/>
  <c r="CJ93" i="23"/>
  <c r="CK93" i="23"/>
  <c r="CL93" i="23"/>
  <c r="CM93" i="23"/>
  <c r="CN93" i="23"/>
  <c r="CO93" i="23"/>
  <c r="CP93" i="23"/>
  <c r="CQ93" i="23"/>
  <c r="CR93" i="23"/>
  <c r="CS93" i="23"/>
  <c r="CT93" i="23"/>
  <c r="CU93" i="23"/>
  <c r="CV93" i="23"/>
  <c r="CW93" i="23"/>
  <c r="CX93" i="23"/>
  <c r="CY93" i="23"/>
  <c r="CZ93" i="23"/>
  <c r="BJ94" i="23"/>
  <c r="BK94" i="23"/>
  <c r="BL94" i="23"/>
  <c r="BM94" i="23"/>
  <c r="BN94" i="23"/>
  <c r="BO94" i="23"/>
  <c r="BP94" i="23"/>
  <c r="BQ94" i="23"/>
  <c r="BR94" i="23"/>
  <c r="BS94" i="23"/>
  <c r="BT94" i="23"/>
  <c r="BU94" i="23"/>
  <c r="BV94" i="23"/>
  <c r="BW94" i="23"/>
  <c r="BX94" i="23"/>
  <c r="BY94" i="23"/>
  <c r="BZ94" i="23"/>
  <c r="CA94" i="23"/>
  <c r="CB94" i="23"/>
  <c r="CC94" i="23"/>
  <c r="CD94" i="23"/>
  <c r="CE94" i="23"/>
  <c r="CF94" i="23"/>
  <c r="CG94" i="23"/>
  <c r="CH94" i="23"/>
  <c r="CI94" i="23"/>
  <c r="CJ94" i="23"/>
  <c r="CK94" i="23"/>
  <c r="CL94" i="23"/>
  <c r="CM94" i="23"/>
  <c r="CN94" i="23"/>
  <c r="CO94" i="23"/>
  <c r="CP94" i="23"/>
  <c r="CQ94" i="23"/>
  <c r="CR94" i="23"/>
  <c r="CS94" i="23"/>
  <c r="CT94" i="23"/>
  <c r="CU94" i="23"/>
  <c r="CV94" i="23"/>
  <c r="CW94" i="23"/>
  <c r="CX94" i="23"/>
  <c r="CY94" i="23"/>
  <c r="CZ94" i="23"/>
  <c r="BJ95" i="23"/>
  <c r="BK95" i="23"/>
  <c r="BL95" i="23"/>
  <c r="BM95" i="23"/>
  <c r="BN95" i="23"/>
  <c r="BO95" i="23"/>
  <c r="BP95" i="23"/>
  <c r="BQ95" i="23"/>
  <c r="BR95" i="23"/>
  <c r="BS95" i="23"/>
  <c r="BT95" i="23"/>
  <c r="BU95" i="23"/>
  <c r="BV95" i="23"/>
  <c r="BW95" i="23"/>
  <c r="BX95" i="23"/>
  <c r="BY95" i="23"/>
  <c r="BZ95" i="23"/>
  <c r="CA95" i="23"/>
  <c r="CB95" i="23"/>
  <c r="CC95" i="23"/>
  <c r="CD95" i="23"/>
  <c r="CE95" i="23"/>
  <c r="CF95" i="23"/>
  <c r="CG95" i="23"/>
  <c r="CH95" i="23"/>
  <c r="CI95" i="23"/>
  <c r="CJ95" i="23"/>
  <c r="CK95" i="23"/>
  <c r="CL95" i="23"/>
  <c r="CM95" i="23"/>
  <c r="CN95" i="23"/>
  <c r="CO95" i="23"/>
  <c r="CP95" i="23"/>
  <c r="CQ95" i="23"/>
  <c r="CR95" i="23"/>
  <c r="CS95" i="23"/>
  <c r="CT95" i="23"/>
  <c r="CU95" i="23"/>
  <c r="CV95" i="23"/>
  <c r="CW95" i="23"/>
  <c r="CX95" i="23"/>
  <c r="CY95" i="23"/>
  <c r="CZ95" i="23"/>
  <c r="BJ96" i="23"/>
  <c r="BK96" i="23"/>
  <c r="BL96" i="23"/>
  <c r="BM96" i="23"/>
  <c r="BN96" i="23"/>
  <c r="BO96" i="23"/>
  <c r="BP96" i="23"/>
  <c r="BQ96" i="23"/>
  <c r="BR96" i="23"/>
  <c r="BS96" i="23"/>
  <c r="BT96" i="23"/>
  <c r="BU96" i="23"/>
  <c r="BV96" i="23"/>
  <c r="BW96" i="23"/>
  <c r="BX96" i="23"/>
  <c r="BY96" i="23"/>
  <c r="BZ96" i="23"/>
  <c r="CA96" i="23"/>
  <c r="CB96" i="23"/>
  <c r="CC96" i="23"/>
  <c r="CD96" i="23"/>
  <c r="CE96" i="23"/>
  <c r="CF96" i="23"/>
  <c r="CG96" i="23"/>
  <c r="CH96" i="23"/>
  <c r="CI96" i="23"/>
  <c r="CJ96" i="23"/>
  <c r="CK96" i="23"/>
  <c r="CL96" i="23"/>
  <c r="CM96" i="23"/>
  <c r="CN96" i="23"/>
  <c r="CO96" i="23"/>
  <c r="CP96" i="23"/>
  <c r="CQ96" i="23"/>
  <c r="CR96" i="23"/>
  <c r="CS96" i="23"/>
  <c r="CT96" i="23"/>
  <c r="CU96" i="23"/>
  <c r="CV96" i="23"/>
  <c r="CW96" i="23"/>
  <c r="CX96" i="23"/>
  <c r="CY96" i="23"/>
  <c r="CZ96" i="23"/>
  <c r="BJ97" i="23"/>
  <c r="BK97" i="23"/>
  <c r="BL97" i="23"/>
  <c r="BM97" i="23"/>
  <c r="BN97" i="23"/>
  <c r="BO97" i="23"/>
  <c r="BP97" i="23"/>
  <c r="BQ97" i="23"/>
  <c r="BR97" i="23"/>
  <c r="BS97" i="23"/>
  <c r="BT97" i="23"/>
  <c r="BU97" i="23"/>
  <c r="BV97" i="23"/>
  <c r="BW97" i="23"/>
  <c r="BX97" i="23"/>
  <c r="BY97" i="23"/>
  <c r="BZ97" i="23"/>
  <c r="CA97" i="23"/>
  <c r="CB97" i="23"/>
  <c r="CC97" i="23"/>
  <c r="CD97" i="23"/>
  <c r="CE97" i="23"/>
  <c r="CF97" i="23"/>
  <c r="CG97" i="23"/>
  <c r="CH97" i="23"/>
  <c r="CI97" i="23"/>
  <c r="CJ97" i="23"/>
  <c r="CK97" i="23"/>
  <c r="CL97" i="23"/>
  <c r="CM97" i="23"/>
  <c r="CN97" i="23"/>
  <c r="CO97" i="23"/>
  <c r="CP97" i="23"/>
  <c r="CQ97" i="23"/>
  <c r="CR97" i="23"/>
  <c r="CS97" i="23"/>
  <c r="CT97" i="23"/>
  <c r="CU97" i="23"/>
  <c r="CV97" i="23"/>
  <c r="CW97" i="23"/>
  <c r="CX97" i="23"/>
  <c r="CY97" i="23"/>
  <c r="CZ97" i="23"/>
  <c r="BJ98" i="23"/>
  <c r="BK98" i="23"/>
  <c r="BL98" i="23"/>
  <c r="BM98" i="23"/>
  <c r="BN98" i="23"/>
  <c r="BO98" i="23"/>
  <c r="BP98" i="23"/>
  <c r="BQ98" i="23"/>
  <c r="BR98" i="23"/>
  <c r="BS98" i="23"/>
  <c r="BT98" i="23"/>
  <c r="BU98" i="23"/>
  <c r="BV98" i="23"/>
  <c r="BW98" i="23"/>
  <c r="BX98" i="23"/>
  <c r="BY98" i="23"/>
  <c r="BZ98" i="23"/>
  <c r="CA98" i="23"/>
  <c r="CB98" i="23"/>
  <c r="CC98" i="23"/>
  <c r="CD98" i="23"/>
  <c r="CE98" i="23"/>
  <c r="CF98" i="23"/>
  <c r="CG98" i="23"/>
  <c r="CH98" i="23"/>
  <c r="CI98" i="23"/>
  <c r="CJ98" i="23"/>
  <c r="CK98" i="23"/>
  <c r="CL98" i="23"/>
  <c r="CM98" i="23"/>
  <c r="CN98" i="23"/>
  <c r="CO98" i="23"/>
  <c r="CP98" i="23"/>
  <c r="CQ98" i="23"/>
  <c r="CR98" i="23"/>
  <c r="CS98" i="23"/>
  <c r="CT98" i="23"/>
  <c r="CU98" i="23"/>
  <c r="CV98" i="23"/>
  <c r="CW98" i="23"/>
  <c r="CX98" i="23"/>
  <c r="CY98" i="23"/>
  <c r="CZ98" i="23"/>
  <c r="BJ99" i="23"/>
  <c r="BK99" i="23"/>
  <c r="BL99" i="23"/>
  <c r="BM99" i="23"/>
  <c r="BN99" i="23"/>
  <c r="BO99" i="23"/>
  <c r="BP99" i="23"/>
  <c r="BQ99" i="23"/>
  <c r="BR99" i="23"/>
  <c r="BS99" i="23"/>
  <c r="BT99" i="23"/>
  <c r="BU99" i="23"/>
  <c r="BV99" i="23"/>
  <c r="BW99" i="23"/>
  <c r="BX99" i="23"/>
  <c r="BY99" i="23"/>
  <c r="BZ99" i="23"/>
  <c r="CA99" i="23"/>
  <c r="CB99" i="23"/>
  <c r="CC99" i="23"/>
  <c r="CD99" i="23"/>
  <c r="CE99" i="23"/>
  <c r="CF99" i="23"/>
  <c r="CG99" i="23"/>
  <c r="CH99" i="23"/>
  <c r="CI99" i="23"/>
  <c r="CJ99" i="23"/>
  <c r="CK99" i="23"/>
  <c r="CL99" i="23"/>
  <c r="CM99" i="23"/>
  <c r="CN99" i="23"/>
  <c r="CO99" i="23"/>
  <c r="CP99" i="23"/>
  <c r="CQ99" i="23"/>
  <c r="CR99" i="23"/>
  <c r="CS99" i="23"/>
  <c r="CT99" i="23"/>
  <c r="CU99" i="23"/>
  <c r="CV99" i="23"/>
  <c r="CW99" i="23"/>
  <c r="CX99" i="23"/>
  <c r="CY99" i="23"/>
  <c r="CZ99" i="23"/>
  <c r="BJ100" i="23"/>
  <c r="BK100" i="23"/>
  <c r="BL100" i="23"/>
  <c r="BM100" i="23"/>
  <c r="BN100" i="23"/>
  <c r="BO100" i="23"/>
  <c r="BP100" i="23"/>
  <c r="BQ100" i="23"/>
  <c r="BR100" i="23"/>
  <c r="BS100" i="23"/>
  <c r="BT100" i="23"/>
  <c r="BU100" i="23"/>
  <c r="BV100" i="23"/>
  <c r="BW100" i="23"/>
  <c r="BX100" i="23"/>
  <c r="BY100" i="23"/>
  <c r="BZ100" i="23"/>
  <c r="CA100" i="23"/>
  <c r="CB100" i="23"/>
  <c r="CC100" i="23"/>
  <c r="CD100" i="23"/>
  <c r="CE100" i="23"/>
  <c r="CF100" i="23"/>
  <c r="CG100" i="23"/>
  <c r="CH100" i="23"/>
  <c r="CI100" i="23"/>
  <c r="CJ100" i="23"/>
  <c r="CK100" i="23"/>
  <c r="CL100" i="23"/>
  <c r="CM100" i="23"/>
  <c r="CN100" i="23"/>
  <c r="CO100" i="23"/>
  <c r="CP100" i="23"/>
  <c r="CQ100" i="23"/>
  <c r="CR100" i="23"/>
  <c r="CS100" i="23"/>
  <c r="CT100" i="23"/>
  <c r="CU100" i="23"/>
  <c r="CV100" i="23"/>
  <c r="CW100" i="23"/>
  <c r="CX100" i="23"/>
  <c r="CY100" i="23"/>
  <c r="CZ100" i="23"/>
  <c r="BJ101" i="23"/>
  <c r="BK101" i="23"/>
  <c r="BL101" i="23"/>
  <c r="BM101" i="23"/>
  <c r="BN101" i="23"/>
  <c r="BO101" i="23"/>
  <c r="BP101" i="23"/>
  <c r="BQ101" i="23"/>
  <c r="BR101" i="23"/>
  <c r="BS101" i="23"/>
  <c r="BT101" i="23"/>
  <c r="BU101" i="23"/>
  <c r="BV101" i="23"/>
  <c r="BW101" i="23"/>
  <c r="BX101" i="23"/>
  <c r="BY101" i="23"/>
  <c r="BZ101" i="23"/>
  <c r="CA101" i="23"/>
  <c r="CB101" i="23"/>
  <c r="CC101" i="23"/>
  <c r="CD101" i="23"/>
  <c r="CE101" i="23"/>
  <c r="CF101" i="23"/>
  <c r="CG101" i="23"/>
  <c r="CH101" i="23"/>
  <c r="CI101" i="23"/>
  <c r="CJ101" i="23"/>
  <c r="CK101" i="23"/>
  <c r="CL101" i="23"/>
  <c r="CM101" i="23"/>
  <c r="CN101" i="23"/>
  <c r="CO101" i="23"/>
  <c r="CP101" i="23"/>
  <c r="CQ101" i="23"/>
  <c r="CR101" i="23"/>
  <c r="CS101" i="23"/>
  <c r="CT101" i="23"/>
  <c r="CU101" i="23"/>
  <c r="CV101" i="23"/>
  <c r="CW101" i="23"/>
  <c r="CX101" i="23"/>
  <c r="CY101" i="23"/>
  <c r="CZ101" i="23"/>
  <c r="BJ102" i="23"/>
  <c r="BK102" i="23"/>
  <c r="BL102" i="23"/>
  <c r="BM102" i="23"/>
  <c r="BN102" i="23"/>
  <c r="BO102" i="23"/>
  <c r="BP102" i="23"/>
  <c r="BQ102" i="23"/>
  <c r="BR102" i="23"/>
  <c r="BS102" i="23"/>
  <c r="BT102" i="23"/>
  <c r="BU102" i="23"/>
  <c r="BV102" i="23"/>
  <c r="BW102" i="23"/>
  <c r="BX102" i="23"/>
  <c r="BY102" i="23"/>
  <c r="BZ102" i="23"/>
  <c r="CA102" i="23"/>
  <c r="CB102" i="23"/>
  <c r="CC102" i="23"/>
  <c r="CD102" i="23"/>
  <c r="CE102" i="23"/>
  <c r="CF102" i="23"/>
  <c r="CG102" i="23"/>
  <c r="CH102" i="23"/>
  <c r="CI102" i="23"/>
  <c r="CJ102" i="23"/>
  <c r="CK102" i="23"/>
  <c r="CL102" i="23"/>
  <c r="CM102" i="23"/>
  <c r="CN102" i="23"/>
  <c r="CO102" i="23"/>
  <c r="CP102" i="23"/>
  <c r="CQ102" i="23"/>
  <c r="CR102" i="23"/>
  <c r="CS102" i="23"/>
  <c r="CT102" i="23"/>
  <c r="CU102" i="23"/>
  <c r="CV102" i="23"/>
  <c r="CW102" i="23"/>
  <c r="CX102" i="23"/>
  <c r="CY102" i="23"/>
  <c r="CZ102" i="23"/>
  <c r="BJ103" i="23"/>
  <c r="BK103" i="23"/>
  <c r="BL103" i="23"/>
  <c r="BM103" i="23"/>
  <c r="BN103" i="23"/>
  <c r="BO103" i="23"/>
  <c r="BP103" i="23"/>
  <c r="BQ103" i="23"/>
  <c r="BR103" i="23"/>
  <c r="BS103" i="23"/>
  <c r="BT103" i="23"/>
  <c r="BU103" i="23"/>
  <c r="BV103" i="23"/>
  <c r="BW103" i="23"/>
  <c r="BX103" i="23"/>
  <c r="BY103" i="23"/>
  <c r="BZ103" i="23"/>
  <c r="CA103" i="23"/>
  <c r="CB103" i="23"/>
  <c r="CC103" i="23"/>
  <c r="CD103" i="23"/>
  <c r="CE103" i="23"/>
  <c r="CF103" i="23"/>
  <c r="CG103" i="23"/>
  <c r="CH103" i="23"/>
  <c r="CI103" i="23"/>
  <c r="CJ103" i="23"/>
  <c r="CK103" i="23"/>
  <c r="CL103" i="23"/>
  <c r="CM103" i="23"/>
  <c r="CN103" i="23"/>
  <c r="CO103" i="23"/>
  <c r="CP103" i="23"/>
  <c r="CQ103" i="23"/>
  <c r="CR103" i="23"/>
  <c r="CS103" i="23"/>
  <c r="CT103" i="23"/>
  <c r="CU103" i="23"/>
  <c r="CV103" i="23"/>
  <c r="CW103" i="23"/>
  <c r="CX103" i="23"/>
  <c r="CY103" i="23"/>
  <c r="CZ103" i="23"/>
  <c r="BJ104" i="23"/>
  <c r="BK104" i="23"/>
  <c r="BL104" i="23"/>
  <c r="BM104" i="23"/>
  <c r="BN104" i="23"/>
  <c r="BO104" i="23"/>
  <c r="BP104" i="23"/>
  <c r="BQ104" i="23"/>
  <c r="BR104" i="23"/>
  <c r="BS104" i="23"/>
  <c r="BT104" i="23"/>
  <c r="BU104" i="23"/>
  <c r="BV104" i="23"/>
  <c r="BW104" i="23"/>
  <c r="BX104" i="23"/>
  <c r="BY104" i="23"/>
  <c r="BZ104" i="23"/>
  <c r="CA104" i="23"/>
  <c r="CB104" i="23"/>
  <c r="CC104" i="23"/>
  <c r="CD104" i="23"/>
  <c r="CE104" i="23"/>
  <c r="CF104" i="23"/>
  <c r="CG104" i="23"/>
  <c r="CH104" i="23"/>
  <c r="CI104" i="23"/>
  <c r="CJ104" i="23"/>
  <c r="CK104" i="23"/>
  <c r="CL104" i="23"/>
  <c r="CM104" i="23"/>
  <c r="CN104" i="23"/>
  <c r="CO104" i="23"/>
  <c r="CP104" i="23"/>
  <c r="CQ104" i="23"/>
  <c r="CR104" i="23"/>
  <c r="CS104" i="23"/>
  <c r="CT104" i="23"/>
  <c r="CU104" i="23"/>
  <c r="CV104" i="23"/>
  <c r="CW104" i="23"/>
  <c r="CX104" i="23"/>
  <c r="CY104" i="23"/>
  <c r="CZ104" i="23"/>
  <c r="BJ105" i="23"/>
  <c r="BK105" i="23"/>
  <c r="BL105" i="23"/>
  <c r="BM105" i="23"/>
  <c r="BN105" i="23"/>
  <c r="BO105" i="23"/>
  <c r="BP105" i="23"/>
  <c r="BQ105" i="23"/>
  <c r="BR105" i="23"/>
  <c r="BS105" i="23"/>
  <c r="BT105" i="23"/>
  <c r="BU105" i="23"/>
  <c r="BV105" i="23"/>
  <c r="BW105" i="23"/>
  <c r="BX105" i="23"/>
  <c r="BY105" i="23"/>
  <c r="BZ105" i="23"/>
  <c r="CA105" i="23"/>
  <c r="CB105" i="23"/>
  <c r="CC105" i="23"/>
  <c r="CD105" i="23"/>
  <c r="CE105" i="23"/>
  <c r="CF105" i="23"/>
  <c r="CG105" i="23"/>
  <c r="CH105" i="23"/>
  <c r="CI105" i="23"/>
  <c r="CJ105" i="23"/>
  <c r="CK105" i="23"/>
  <c r="CL105" i="23"/>
  <c r="CM105" i="23"/>
  <c r="CN105" i="23"/>
  <c r="CO105" i="23"/>
  <c r="CP105" i="23"/>
  <c r="CQ105" i="23"/>
  <c r="CR105" i="23"/>
  <c r="CS105" i="23"/>
  <c r="CT105" i="23"/>
  <c r="CU105" i="23"/>
  <c r="CV105" i="23"/>
  <c r="CW105" i="23"/>
  <c r="CX105" i="23"/>
  <c r="CY105" i="23"/>
  <c r="CZ105" i="23"/>
  <c r="BJ106" i="23"/>
  <c r="BK106" i="23"/>
  <c r="BL106" i="23"/>
  <c r="BM106" i="23"/>
  <c r="BN106" i="23"/>
  <c r="BO106" i="23"/>
  <c r="BP106" i="23"/>
  <c r="BQ106" i="23"/>
  <c r="BR106" i="23"/>
  <c r="BS106" i="23"/>
  <c r="BT106" i="23"/>
  <c r="BU106" i="23"/>
  <c r="BV106" i="23"/>
  <c r="BW106" i="23"/>
  <c r="BX106" i="23"/>
  <c r="BY106" i="23"/>
  <c r="BZ106" i="23"/>
  <c r="CA106" i="23"/>
  <c r="CB106" i="23"/>
  <c r="CC106" i="23"/>
  <c r="CD106" i="23"/>
  <c r="CE106" i="23"/>
  <c r="CF106" i="23"/>
  <c r="CG106" i="23"/>
  <c r="CH106" i="23"/>
  <c r="CI106" i="23"/>
  <c r="CJ106" i="23"/>
  <c r="CK106" i="23"/>
  <c r="CL106" i="23"/>
  <c r="CM106" i="23"/>
  <c r="CN106" i="23"/>
  <c r="CO106" i="23"/>
  <c r="CP106" i="23"/>
  <c r="CQ106" i="23"/>
  <c r="CR106" i="23"/>
  <c r="CS106" i="23"/>
  <c r="CT106" i="23"/>
  <c r="CU106" i="23"/>
  <c r="CV106" i="23"/>
  <c r="CW106" i="23"/>
  <c r="CX106" i="23"/>
  <c r="CY106" i="23"/>
  <c r="CZ106" i="23"/>
  <c r="BJ107" i="23"/>
  <c r="BK107" i="23"/>
  <c r="BL107" i="23"/>
  <c r="BM107" i="23"/>
  <c r="BN107" i="23"/>
  <c r="BO107" i="23"/>
  <c r="BP107" i="23"/>
  <c r="BQ107" i="23"/>
  <c r="BR107" i="23"/>
  <c r="BS107" i="23"/>
  <c r="BT107" i="23"/>
  <c r="BU107" i="23"/>
  <c r="BV107" i="23"/>
  <c r="BW107" i="23"/>
  <c r="BX107" i="23"/>
  <c r="BY107" i="23"/>
  <c r="BZ107" i="23"/>
  <c r="CA107" i="23"/>
  <c r="CB107" i="23"/>
  <c r="CC107" i="23"/>
  <c r="CD107" i="23"/>
  <c r="CE107" i="23"/>
  <c r="CF107" i="23"/>
  <c r="CG107" i="23"/>
  <c r="CH107" i="23"/>
  <c r="CI107" i="23"/>
  <c r="CJ107" i="23"/>
  <c r="CK107" i="23"/>
  <c r="CL107" i="23"/>
  <c r="CM107" i="23"/>
  <c r="CN107" i="23"/>
  <c r="CO107" i="23"/>
  <c r="CP107" i="23"/>
  <c r="CQ107" i="23"/>
  <c r="CR107" i="23"/>
  <c r="CS107" i="23"/>
  <c r="CT107" i="23"/>
  <c r="CU107" i="23"/>
  <c r="CV107" i="23"/>
  <c r="CW107" i="23"/>
  <c r="CX107" i="23"/>
  <c r="CY107" i="23"/>
  <c r="CZ107" i="23"/>
  <c r="BJ108" i="23"/>
  <c r="BK108" i="23"/>
  <c r="BL108" i="23"/>
  <c r="BM108" i="23"/>
  <c r="BN108" i="23"/>
  <c r="BO108" i="23"/>
  <c r="BP108" i="23"/>
  <c r="BQ108" i="23"/>
  <c r="BR108" i="23"/>
  <c r="BS108" i="23"/>
  <c r="BT108" i="23"/>
  <c r="BU108" i="23"/>
  <c r="BV108" i="23"/>
  <c r="BW108" i="23"/>
  <c r="BX108" i="23"/>
  <c r="BY108" i="23"/>
  <c r="BZ108" i="23"/>
  <c r="CA108" i="23"/>
  <c r="CB108" i="23"/>
  <c r="CC108" i="23"/>
  <c r="CD108" i="23"/>
  <c r="CE108" i="23"/>
  <c r="CF108" i="23"/>
  <c r="CG108" i="23"/>
  <c r="CH108" i="23"/>
  <c r="CI108" i="23"/>
  <c r="CJ108" i="23"/>
  <c r="CK108" i="23"/>
  <c r="CL108" i="23"/>
  <c r="CM108" i="23"/>
  <c r="CN108" i="23"/>
  <c r="CO108" i="23"/>
  <c r="CP108" i="23"/>
  <c r="CQ108" i="23"/>
  <c r="CR108" i="23"/>
  <c r="CS108" i="23"/>
  <c r="CT108" i="23"/>
  <c r="CU108" i="23"/>
  <c r="CV108" i="23"/>
  <c r="CW108" i="23"/>
  <c r="CX108" i="23"/>
  <c r="CY108" i="23"/>
  <c r="CZ108" i="23"/>
  <c r="BJ109" i="23"/>
  <c r="BK109" i="23"/>
  <c r="BL109" i="23"/>
  <c r="BM109" i="23"/>
  <c r="BN109" i="23"/>
  <c r="BO109" i="23"/>
  <c r="BP109" i="23"/>
  <c r="BQ109" i="23"/>
  <c r="BR109" i="23"/>
  <c r="BS109" i="23"/>
  <c r="BT109" i="23"/>
  <c r="BU109" i="23"/>
  <c r="BV109" i="23"/>
  <c r="BW109" i="23"/>
  <c r="BX109" i="23"/>
  <c r="BY109" i="23"/>
  <c r="BZ109" i="23"/>
  <c r="CA109" i="23"/>
  <c r="CB109" i="23"/>
  <c r="CC109" i="23"/>
  <c r="CD109" i="23"/>
  <c r="CE109" i="23"/>
  <c r="CF109" i="23"/>
  <c r="CG109" i="23"/>
  <c r="CH109" i="23"/>
  <c r="CI109" i="23"/>
  <c r="CJ109" i="23"/>
  <c r="CK109" i="23"/>
  <c r="CL109" i="23"/>
  <c r="CM109" i="23"/>
  <c r="CN109" i="23"/>
  <c r="CO109" i="23"/>
  <c r="CP109" i="23"/>
  <c r="CQ109" i="23"/>
  <c r="CR109" i="23"/>
  <c r="CS109" i="23"/>
  <c r="CT109" i="23"/>
  <c r="CU109" i="23"/>
  <c r="CV109" i="23"/>
  <c r="CW109" i="23"/>
  <c r="CX109" i="23"/>
  <c r="CY109" i="23"/>
  <c r="CZ109" i="23"/>
  <c r="BJ110" i="23"/>
  <c r="BK110" i="23"/>
  <c r="BL110" i="23"/>
  <c r="BM110" i="23"/>
  <c r="BN110" i="23"/>
  <c r="BO110" i="23"/>
  <c r="BP110" i="23"/>
  <c r="BQ110" i="23"/>
  <c r="BR110" i="23"/>
  <c r="BS110" i="23"/>
  <c r="BT110" i="23"/>
  <c r="BU110" i="23"/>
  <c r="BV110" i="23"/>
  <c r="BW110" i="23"/>
  <c r="BX110" i="23"/>
  <c r="BY110" i="23"/>
  <c r="BZ110" i="23"/>
  <c r="CA110" i="23"/>
  <c r="CB110" i="23"/>
  <c r="CC110" i="23"/>
  <c r="CD110" i="23"/>
  <c r="CE110" i="23"/>
  <c r="CF110" i="23"/>
  <c r="CG110" i="23"/>
  <c r="CH110" i="23"/>
  <c r="CI110" i="23"/>
  <c r="CJ110" i="23"/>
  <c r="CK110" i="23"/>
  <c r="CL110" i="23"/>
  <c r="CM110" i="23"/>
  <c r="CN110" i="23"/>
  <c r="CO110" i="23"/>
  <c r="CP110" i="23"/>
  <c r="CQ110" i="23"/>
  <c r="CR110" i="23"/>
  <c r="CS110" i="23"/>
  <c r="CT110" i="23"/>
  <c r="CU110" i="23"/>
  <c r="CV110" i="23"/>
  <c r="CW110" i="23"/>
  <c r="CX110" i="23"/>
  <c r="CY110" i="23"/>
  <c r="CZ110" i="23"/>
  <c r="BJ111" i="23"/>
  <c r="BK111" i="23"/>
  <c r="BL111" i="23"/>
  <c r="BM111" i="23"/>
  <c r="BN111" i="23"/>
  <c r="BO111" i="23"/>
  <c r="BP111" i="23"/>
  <c r="BQ111" i="23"/>
  <c r="BR111" i="23"/>
  <c r="BS111" i="23"/>
  <c r="BT111" i="23"/>
  <c r="BU111" i="23"/>
  <c r="BV111" i="23"/>
  <c r="BW111" i="23"/>
  <c r="BX111" i="23"/>
  <c r="BY111" i="23"/>
  <c r="BZ111" i="23"/>
  <c r="CA111" i="23"/>
  <c r="CB111" i="23"/>
  <c r="CC111" i="23"/>
  <c r="CD111" i="23"/>
  <c r="CE111" i="23"/>
  <c r="CF111" i="23"/>
  <c r="CG111" i="23"/>
  <c r="CH111" i="23"/>
  <c r="CI111" i="23"/>
  <c r="CJ111" i="23"/>
  <c r="CK111" i="23"/>
  <c r="CL111" i="23"/>
  <c r="CM111" i="23"/>
  <c r="CN111" i="23"/>
  <c r="CO111" i="23"/>
  <c r="CP111" i="23"/>
  <c r="CQ111" i="23"/>
  <c r="CR111" i="23"/>
  <c r="CS111" i="23"/>
  <c r="CT111" i="23"/>
  <c r="CU111" i="23"/>
  <c r="CV111" i="23"/>
  <c r="CW111" i="23"/>
  <c r="CX111" i="23"/>
  <c r="CY111" i="23"/>
  <c r="CZ111" i="23"/>
  <c r="BJ112" i="23"/>
  <c r="BK112" i="23"/>
  <c r="BL112" i="23"/>
  <c r="BM112" i="23"/>
  <c r="BN112" i="23"/>
  <c r="BO112" i="23"/>
  <c r="BP112" i="23"/>
  <c r="BQ112" i="23"/>
  <c r="BR112" i="23"/>
  <c r="BS112" i="23"/>
  <c r="BT112" i="23"/>
  <c r="BU112" i="23"/>
  <c r="BV112" i="23"/>
  <c r="BW112" i="23"/>
  <c r="BX112" i="23"/>
  <c r="BY112" i="23"/>
  <c r="BZ112" i="23"/>
  <c r="CA112" i="23"/>
  <c r="CB112" i="23"/>
  <c r="CC112" i="23"/>
  <c r="CD112" i="23"/>
  <c r="CE112" i="23"/>
  <c r="CF112" i="23"/>
  <c r="CG112" i="23"/>
  <c r="CH112" i="23"/>
  <c r="CI112" i="23"/>
  <c r="CJ112" i="23"/>
  <c r="CK112" i="23"/>
  <c r="CL112" i="23"/>
  <c r="CM112" i="23"/>
  <c r="CN112" i="23"/>
  <c r="CO112" i="23"/>
  <c r="CP112" i="23"/>
  <c r="CQ112" i="23"/>
  <c r="CR112" i="23"/>
  <c r="CS112" i="23"/>
  <c r="CT112" i="23"/>
  <c r="CU112" i="23"/>
  <c r="CV112" i="23"/>
  <c r="CW112" i="23"/>
  <c r="CX112" i="23"/>
  <c r="CY112" i="23"/>
  <c r="CZ112" i="23"/>
  <c r="BJ113" i="23"/>
  <c r="BK113" i="23"/>
  <c r="BL113" i="23"/>
  <c r="BM113" i="23"/>
  <c r="BN113" i="23"/>
  <c r="BO113" i="23"/>
  <c r="BP113" i="23"/>
  <c r="BQ113" i="23"/>
  <c r="BR113" i="23"/>
  <c r="BS113" i="23"/>
  <c r="BT113" i="23"/>
  <c r="BU113" i="23"/>
  <c r="BV113" i="23"/>
  <c r="BW113" i="23"/>
  <c r="BX113" i="23"/>
  <c r="BY113" i="23"/>
  <c r="BZ113" i="23"/>
  <c r="CA113" i="23"/>
  <c r="CB113" i="23"/>
  <c r="CC113" i="23"/>
  <c r="CD113" i="23"/>
  <c r="CE113" i="23"/>
  <c r="CF113" i="23"/>
  <c r="CG113" i="23"/>
  <c r="CH113" i="23"/>
  <c r="CI113" i="23"/>
  <c r="CJ113" i="23"/>
  <c r="CK113" i="23"/>
  <c r="CL113" i="23"/>
  <c r="CM113" i="23"/>
  <c r="CN113" i="23"/>
  <c r="CO113" i="23"/>
  <c r="CP113" i="23"/>
  <c r="CQ113" i="23"/>
  <c r="CR113" i="23"/>
  <c r="CS113" i="23"/>
  <c r="CT113" i="23"/>
  <c r="CU113" i="23"/>
  <c r="CV113" i="23"/>
  <c r="CW113" i="23"/>
  <c r="CX113" i="23"/>
  <c r="CY113" i="23"/>
  <c r="CZ113" i="23"/>
  <c r="BJ114" i="23"/>
  <c r="BK114" i="23"/>
  <c r="BL114" i="23"/>
  <c r="BM114" i="23"/>
  <c r="BN114" i="23"/>
  <c r="BO114" i="23"/>
  <c r="BP114" i="23"/>
  <c r="BQ114" i="23"/>
  <c r="BR114" i="23"/>
  <c r="BS114" i="23"/>
  <c r="BT114" i="23"/>
  <c r="BU114" i="23"/>
  <c r="BV114" i="23"/>
  <c r="BW114" i="23"/>
  <c r="BX114" i="23"/>
  <c r="BY114" i="23"/>
  <c r="BZ114" i="23"/>
  <c r="CA114" i="23"/>
  <c r="CB114" i="23"/>
  <c r="CC114" i="23"/>
  <c r="CD114" i="23"/>
  <c r="CE114" i="23"/>
  <c r="CF114" i="23"/>
  <c r="CG114" i="23"/>
  <c r="CH114" i="23"/>
  <c r="CI114" i="23"/>
  <c r="CJ114" i="23"/>
  <c r="CK114" i="23"/>
  <c r="CL114" i="23"/>
  <c r="CM114" i="23"/>
  <c r="CN114" i="23"/>
  <c r="CO114" i="23"/>
  <c r="CP114" i="23"/>
  <c r="CQ114" i="23"/>
  <c r="CR114" i="23"/>
  <c r="CS114" i="23"/>
  <c r="CT114" i="23"/>
  <c r="CU114" i="23"/>
  <c r="CV114" i="23"/>
  <c r="CW114" i="23"/>
  <c r="CX114" i="23"/>
  <c r="CY114" i="23"/>
  <c r="CZ114" i="23"/>
  <c r="BJ115" i="23"/>
  <c r="BK115" i="23"/>
  <c r="BL115" i="23"/>
  <c r="BM115" i="23"/>
  <c r="BN115" i="23"/>
  <c r="BO115" i="23"/>
  <c r="BP115" i="23"/>
  <c r="BQ115" i="23"/>
  <c r="BR115" i="23"/>
  <c r="BS115" i="23"/>
  <c r="BT115" i="23"/>
  <c r="BU115" i="23"/>
  <c r="BV115" i="23"/>
  <c r="BW115" i="23"/>
  <c r="BX115" i="23"/>
  <c r="BY115" i="23"/>
  <c r="BZ115" i="23"/>
  <c r="CA115" i="23"/>
  <c r="CB115" i="23"/>
  <c r="CC115" i="23"/>
  <c r="CD115" i="23"/>
  <c r="CE115" i="23"/>
  <c r="CF115" i="23"/>
  <c r="CG115" i="23"/>
  <c r="CH115" i="23"/>
  <c r="CI115" i="23"/>
  <c r="CJ115" i="23"/>
  <c r="CK115" i="23"/>
  <c r="CL115" i="23"/>
  <c r="CM115" i="23"/>
  <c r="CN115" i="23"/>
  <c r="CO115" i="23"/>
  <c r="CP115" i="23"/>
  <c r="CQ115" i="23"/>
  <c r="CR115" i="23"/>
  <c r="CS115" i="23"/>
  <c r="CT115" i="23"/>
  <c r="CU115" i="23"/>
  <c r="CV115" i="23"/>
  <c r="CW115" i="23"/>
  <c r="CX115" i="23"/>
  <c r="CY115" i="23"/>
  <c r="CZ115" i="23"/>
  <c r="BJ116" i="23"/>
  <c r="BK116" i="23"/>
  <c r="BL116" i="23"/>
  <c r="BM116" i="23"/>
  <c r="BN116" i="23"/>
  <c r="BO116" i="23"/>
  <c r="BP116" i="23"/>
  <c r="BQ116" i="23"/>
  <c r="BR116" i="23"/>
  <c r="BS116" i="23"/>
  <c r="BT116" i="23"/>
  <c r="BU116" i="23"/>
  <c r="BV116" i="23"/>
  <c r="BW116" i="23"/>
  <c r="BX116" i="23"/>
  <c r="BY116" i="23"/>
  <c r="BZ116" i="23"/>
  <c r="CA116" i="23"/>
  <c r="CB116" i="23"/>
  <c r="CC116" i="23"/>
  <c r="CD116" i="23"/>
  <c r="CE116" i="23"/>
  <c r="CF116" i="23"/>
  <c r="CG116" i="23"/>
  <c r="CH116" i="23"/>
  <c r="CI116" i="23"/>
  <c r="CJ116" i="23"/>
  <c r="CK116" i="23"/>
  <c r="CL116" i="23"/>
  <c r="CM116" i="23"/>
  <c r="CN116" i="23"/>
  <c r="CO116" i="23"/>
  <c r="CP116" i="23"/>
  <c r="CQ116" i="23"/>
  <c r="CR116" i="23"/>
  <c r="CS116" i="23"/>
  <c r="CT116" i="23"/>
  <c r="CU116" i="23"/>
  <c r="CV116" i="23"/>
  <c r="CW116" i="23"/>
  <c r="CX116" i="23"/>
  <c r="CY116" i="23"/>
  <c r="CZ116" i="23"/>
  <c r="BJ117" i="23"/>
  <c r="BK117" i="23"/>
  <c r="BL117" i="23"/>
  <c r="BM117" i="23"/>
  <c r="BN117" i="23"/>
  <c r="BO117" i="23"/>
  <c r="BP117" i="23"/>
  <c r="BQ117" i="23"/>
  <c r="BR117" i="23"/>
  <c r="BS117" i="23"/>
  <c r="BT117" i="23"/>
  <c r="BU117" i="23"/>
  <c r="BV117" i="23"/>
  <c r="BW117" i="23"/>
  <c r="BX117" i="23"/>
  <c r="BY117" i="23"/>
  <c r="BZ117" i="23"/>
  <c r="CA117" i="23"/>
  <c r="CB117" i="23"/>
  <c r="CC117" i="23"/>
  <c r="CD117" i="23"/>
  <c r="CE117" i="23"/>
  <c r="CF117" i="23"/>
  <c r="CG117" i="23"/>
  <c r="CH117" i="23"/>
  <c r="CI117" i="23"/>
  <c r="CJ117" i="23"/>
  <c r="CK117" i="23"/>
  <c r="CL117" i="23"/>
  <c r="CM117" i="23"/>
  <c r="CN117" i="23"/>
  <c r="CO117" i="23"/>
  <c r="CP117" i="23"/>
  <c r="CQ117" i="23"/>
  <c r="CR117" i="23"/>
  <c r="CS117" i="23"/>
  <c r="CT117" i="23"/>
  <c r="CU117" i="23"/>
  <c r="CV117" i="23"/>
  <c r="CW117" i="23"/>
  <c r="CX117" i="23"/>
  <c r="CY117" i="23"/>
  <c r="CZ117" i="23"/>
  <c r="BJ118" i="23"/>
  <c r="BK118" i="23"/>
  <c r="BL118" i="23"/>
  <c r="BM118" i="23"/>
  <c r="BN118" i="23"/>
  <c r="BO118" i="23"/>
  <c r="BP118" i="23"/>
  <c r="BQ118" i="23"/>
  <c r="BR118" i="23"/>
  <c r="BS118" i="23"/>
  <c r="BT118" i="23"/>
  <c r="BU118" i="23"/>
  <c r="BV118" i="23"/>
  <c r="BW118" i="23"/>
  <c r="BX118" i="23"/>
  <c r="BY118" i="23"/>
  <c r="BZ118" i="23"/>
  <c r="CA118" i="23"/>
  <c r="CB118" i="23"/>
  <c r="CC118" i="23"/>
  <c r="CD118" i="23"/>
  <c r="CE118" i="23"/>
  <c r="CF118" i="23"/>
  <c r="CG118" i="23"/>
  <c r="CH118" i="23"/>
  <c r="CI118" i="23"/>
  <c r="CJ118" i="23"/>
  <c r="CK118" i="23"/>
  <c r="CL118" i="23"/>
  <c r="CM118" i="23"/>
  <c r="CN118" i="23"/>
  <c r="CO118" i="23"/>
  <c r="CP118" i="23"/>
  <c r="CQ118" i="23"/>
  <c r="CR118" i="23"/>
  <c r="CS118" i="23"/>
  <c r="CT118" i="23"/>
  <c r="CU118" i="23"/>
  <c r="CV118" i="23"/>
  <c r="CW118" i="23"/>
  <c r="CX118" i="23"/>
  <c r="CY118" i="23"/>
  <c r="CZ118" i="23"/>
  <c r="BJ119" i="23"/>
  <c r="BK119" i="23"/>
  <c r="BL119" i="23"/>
  <c r="BM119" i="23"/>
  <c r="BN119" i="23"/>
  <c r="BO119" i="23"/>
  <c r="BP119" i="23"/>
  <c r="BQ119" i="23"/>
  <c r="BR119" i="23"/>
  <c r="BS119" i="23"/>
  <c r="BT119" i="23"/>
  <c r="BU119" i="23"/>
  <c r="BV119" i="23"/>
  <c r="BW119" i="23"/>
  <c r="BX119" i="23"/>
  <c r="BY119" i="23"/>
  <c r="BZ119" i="23"/>
  <c r="CA119" i="23"/>
  <c r="CB119" i="23"/>
  <c r="CC119" i="23"/>
  <c r="CD119" i="23"/>
  <c r="CE119" i="23"/>
  <c r="CF119" i="23"/>
  <c r="CG119" i="23"/>
  <c r="CH119" i="23"/>
  <c r="CI119" i="23"/>
  <c r="CJ119" i="23"/>
  <c r="CK119" i="23"/>
  <c r="CL119" i="23"/>
  <c r="CM119" i="23"/>
  <c r="CN119" i="23"/>
  <c r="CO119" i="23"/>
  <c r="CP119" i="23"/>
  <c r="CQ119" i="23"/>
  <c r="CR119" i="23"/>
  <c r="CS119" i="23"/>
  <c r="CT119" i="23"/>
  <c r="CU119" i="23"/>
  <c r="CV119" i="23"/>
  <c r="CW119" i="23"/>
  <c r="CX119" i="23"/>
  <c r="CY119" i="23"/>
  <c r="CZ119" i="23"/>
  <c r="BJ120" i="23"/>
  <c r="BK120" i="23"/>
  <c r="BL120" i="23"/>
  <c r="BM120" i="23"/>
  <c r="BN120" i="23"/>
  <c r="BO120" i="23"/>
  <c r="BP120" i="23"/>
  <c r="BQ120" i="23"/>
  <c r="BR120" i="23"/>
  <c r="BS120" i="23"/>
  <c r="BT120" i="23"/>
  <c r="BU120" i="23"/>
  <c r="BV120" i="23"/>
  <c r="BW120" i="23"/>
  <c r="BX120" i="23"/>
  <c r="BY120" i="23"/>
  <c r="BZ120" i="23"/>
  <c r="CA120" i="23"/>
  <c r="CB120" i="23"/>
  <c r="CC120" i="23"/>
  <c r="CD120" i="23"/>
  <c r="CE120" i="23"/>
  <c r="CF120" i="23"/>
  <c r="CG120" i="23"/>
  <c r="CH120" i="23"/>
  <c r="CI120" i="23"/>
  <c r="CJ120" i="23"/>
  <c r="CK120" i="23"/>
  <c r="CL120" i="23"/>
  <c r="CM120" i="23"/>
  <c r="CN120" i="23"/>
  <c r="CO120" i="23"/>
  <c r="CP120" i="23"/>
  <c r="CQ120" i="23"/>
  <c r="CR120" i="23"/>
  <c r="CS120" i="23"/>
  <c r="CT120" i="23"/>
  <c r="CU120" i="23"/>
  <c r="CV120" i="23"/>
  <c r="CW120" i="23"/>
  <c r="CX120" i="23"/>
  <c r="CY120" i="23"/>
  <c r="CZ120" i="23"/>
  <c r="BJ121" i="23"/>
  <c r="BK121" i="23"/>
  <c r="BL121" i="23"/>
  <c r="BM121" i="23"/>
  <c r="BN121" i="23"/>
  <c r="BO121" i="23"/>
  <c r="BP121" i="23"/>
  <c r="BQ121" i="23"/>
  <c r="BR121" i="23"/>
  <c r="BS121" i="23"/>
  <c r="BT121" i="23"/>
  <c r="BU121" i="23"/>
  <c r="BV121" i="23"/>
  <c r="BW121" i="23"/>
  <c r="BX121" i="23"/>
  <c r="BY121" i="23"/>
  <c r="BZ121" i="23"/>
  <c r="CA121" i="23"/>
  <c r="CB121" i="23"/>
  <c r="CC121" i="23"/>
  <c r="CD121" i="23"/>
  <c r="CE121" i="23"/>
  <c r="CF121" i="23"/>
  <c r="CG121" i="23"/>
  <c r="CH121" i="23"/>
  <c r="CI121" i="23"/>
  <c r="CJ121" i="23"/>
  <c r="CK121" i="23"/>
  <c r="CL121" i="23"/>
  <c r="CM121" i="23"/>
  <c r="CN121" i="23"/>
  <c r="CO121" i="23"/>
  <c r="CP121" i="23"/>
  <c r="CQ121" i="23"/>
  <c r="CR121" i="23"/>
  <c r="CS121" i="23"/>
  <c r="CT121" i="23"/>
  <c r="CU121" i="23"/>
  <c r="CV121" i="23"/>
  <c r="CW121" i="23"/>
  <c r="CX121" i="23"/>
  <c r="CY121" i="23"/>
  <c r="CZ121" i="23"/>
  <c r="BJ122" i="23"/>
  <c r="BK122" i="23"/>
  <c r="BL122" i="23"/>
  <c r="BM122" i="23"/>
  <c r="BN122" i="23"/>
  <c r="BO122" i="23"/>
  <c r="BP122" i="23"/>
  <c r="BQ122" i="23"/>
  <c r="BR122" i="23"/>
  <c r="BS122" i="23"/>
  <c r="BT122" i="23"/>
  <c r="BU122" i="23"/>
  <c r="BV122" i="23"/>
  <c r="BW122" i="23"/>
  <c r="BX122" i="23"/>
  <c r="BY122" i="23"/>
  <c r="BZ122" i="23"/>
  <c r="CA122" i="23"/>
  <c r="CB122" i="23"/>
  <c r="CC122" i="23"/>
  <c r="CD122" i="23"/>
  <c r="CE122" i="23"/>
  <c r="CF122" i="23"/>
  <c r="CG122" i="23"/>
  <c r="CH122" i="23"/>
  <c r="CI122" i="23"/>
  <c r="CJ122" i="23"/>
  <c r="CK122" i="23"/>
  <c r="CL122" i="23"/>
  <c r="CM122" i="23"/>
  <c r="CN122" i="23"/>
  <c r="CO122" i="23"/>
  <c r="CP122" i="23"/>
  <c r="CQ122" i="23"/>
  <c r="CR122" i="23"/>
  <c r="CS122" i="23"/>
  <c r="CT122" i="23"/>
  <c r="CU122" i="23"/>
  <c r="CV122" i="23"/>
  <c r="CW122" i="23"/>
  <c r="CX122" i="23"/>
  <c r="CY122" i="23"/>
  <c r="CZ122" i="23"/>
  <c r="BJ123" i="23"/>
  <c r="BK123" i="23"/>
  <c r="BL123" i="23"/>
  <c r="BM123" i="23"/>
  <c r="BN123" i="23"/>
  <c r="BO123" i="23"/>
  <c r="BP123" i="23"/>
  <c r="BQ123" i="23"/>
  <c r="BR123" i="23"/>
  <c r="BS123" i="23"/>
  <c r="BT123" i="23"/>
  <c r="BU123" i="23"/>
  <c r="BV123" i="23"/>
  <c r="BW123" i="23"/>
  <c r="BX123" i="23"/>
  <c r="BY123" i="23"/>
  <c r="BZ123" i="23"/>
  <c r="CA123" i="23"/>
  <c r="CB123" i="23"/>
  <c r="CC123" i="23"/>
  <c r="CD123" i="23"/>
  <c r="CE123" i="23"/>
  <c r="CF123" i="23"/>
  <c r="CG123" i="23"/>
  <c r="CH123" i="23"/>
  <c r="CI123" i="23"/>
  <c r="CJ123" i="23"/>
  <c r="CK123" i="23"/>
  <c r="CL123" i="23"/>
  <c r="CM123" i="23"/>
  <c r="CN123" i="23"/>
  <c r="CO123" i="23"/>
  <c r="CP123" i="23"/>
  <c r="CQ123" i="23"/>
  <c r="CR123" i="23"/>
  <c r="CS123" i="23"/>
  <c r="CT123" i="23"/>
  <c r="CU123" i="23"/>
  <c r="CV123" i="23"/>
  <c r="CW123" i="23"/>
  <c r="CX123" i="23"/>
  <c r="CY123" i="23"/>
  <c r="CZ123" i="23"/>
  <c r="BJ124" i="23"/>
  <c r="BK124" i="23"/>
  <c r="BL124" i="23"/>
  <c r="BM124" i="23"/>
  <c r="BN124" i="23"/>
  <c r="BO124" i="23"/>
  <c r="BP124" i="23"/>
  <c r="BQ124" i="23"/>
  <c r="BR124" i="23"/>
  <c r="BS124" i="23"/>
  <c r="BT124" i="23"/>
  <c r="BU124" i="23"/>
  <c r="BV124" i="23"/>
  <c r="BW124" i="23"/>
  <c r="BX124" i="23"/>
  <c r="BY124" i="23"/>
  <c r="BZ124" i="23"/>
  <c r="CA124" i="23"/>
  <c r="CB124" i="23"/>
  <c r="CC124" i="23"/>
  <c r="CD124" i="23"/>
  <c r="CE124" i="23"/>
  <c r="CF124" i="23"/>
  <c r="CG124" i="23"/>
  <c r="CH124" i="23"/>
  <c r="CI124" i="23"/>
  <c r="CJ124" i="23"/>
  <c r="CK124" i="23"/>
  <c r="CL124" i="23"/>
  <c r="CM124" i="23"/>
  <c r="CN124" i="23"/>
  <c r="CO124" i="23"/>
  <c r="CP124" i="23"/>
  <c r="CQ124" i="23"/>
  <c r="CR124" i="23"/>
  <c r="CS124" i="23"/>
  <c r="CT124" i="23"/>
  <c r="CU124" i="23"/>
  <c r="CV124" i="23"/>
  <c r="CW124" i="23"/>
  <c r="CX124" i="23"/>
  <c r="CY124" i="23"/>
  <c r="CZ124" i="23"/>
  <c r="BJ125" i="23"/>
  <c r="BK125" i="23"/>
  <c r="BL125" i="23"/>
  <c r="BM125" i="23"/>
  <c r="BN125" i="23"/>
  <c r="BO125" i="23"/>
  <c r="BP125" i="23"/>
  <c r="BQ125" i="23"/>
  <c r="BR125" i="23"/>
  <c r="BS125" i="23"/>
  <c r="BT125" i="23"/>
  <c r="BU125" i="23"/>
  <c r="BV125" i="23"/>
  <c r="BW125" i="23"/>
  <c r="BX125" i="23"/>
  <c r="BY125" i="23"/>
  <c r="BZ125" i="23"/>
  <c r="CA125" i="23"/>
  <c r="CB125" i="23"/>
  <c r="CC125" i="23"/>
  <c r="CD125" i="23"/>
  <c r="CE125" i="23"/>
  <c r="CF125" i="23"/>
  <c r="CG125" i="23"/>
  <c r="CH125" i="23"/>
  <c r="CI125" i="23"/>
  <c r="CJ125" i="23"/>
  <c r="CK125" i="23"/>
  <c r="CL125" i="23"/>
  <c r="CM125" i="23"/>
  <c r="CN125" i="23"/>
  <c r="CO125" i="23"/>
  <c r="CP125" i="23"/>
  <c r="CQ125" i="23"/>
  <c r="CR125" i="23"/>
  <c r="CS125" i="23"/>
  <c r="CT125" i="23"/>
  <c r="CU125" i="23"/>
  <c r="CV125" i="23"/>
  <c r="CW125" i="23"/>
  <c r="CX125" i="23"/>
  <c r="CY125" i="23"/>
  <c r="CZ125" i="23"/>
  <c r="BJ126" i="23"/>
  <c r="BK126" i="23"/>
  <c r="BL126" i="23"/>
  <c r="BM126" i="23"/>
  <c r="BN126" i="23"/>
  <c r="BO126" i="23"/>
  <c r="BP126" i="23"/>
  <c r="BQ126" i="23"/>
  <c r="BR126" i="23"/>
  <c r="BS126" i="23"/>
  <c r="BT126" i="23"/>
  <c r="BU126" i="23"/>
  <c r="BV126" i="23"/>
  <c r="BW126" i="23"/>
  <c r="BX126" i="23"/>
  <c r="BY126" i="23"/>
  <c r="BZ126" i="23"/>
  <c r="CA126" i="23"/>
  <c r="CB126" i="23"/>
  <c r="CC126" i="23"/>
  <c r="CD126" i="23"/>
  <c r="CE126" i="23"/>
  <c r="CF126" i="23"/>
  <c r="CG126" i="23"/>
  <c r="CH126" i="23"/>
  <c r="CI126" i="23"/>
  <c r="CJ126" i="23"/>
  <c r="CK126" i="23"/>
  <c r="CL126" i="23"/>
  <c r="CM126" i="23"/>
  <c r="CN126" i="23"/>
  <c r="CO126" i="23"/>
  <c r="CP126" i="23"/>
  <c r="CQ126" i="23"/>
  <c r="CR126" i="23"/>
  <c r="CS126" i="23"/>
  <c r="CT126" i="23"/>
  <c r="CU126" i="23"/>
  <c r="CV126" i="23"/>
  <c r="CW126" i="23"/>
  <c r="CX126" i="23"/>
  <c r="CY126" i="23"/>
  <c r="CZ126" i="23"/>
  <c r="BJ127" i="23"/>
  <c r="BK127" i="23"/>
  <c r="BL127" i="23"/>
  <c r="BM127" i="23"/>
  <c r="BN127" i="23"/>
  <c r="BO127" i="23"/>
  <c r="BP127" i="23"/>
  <c r="BQ127" i="23"/>
  <c r="BR127" i="23"/>
  <c r="BS127" i="23"/>
  <c r="BT127" i="23"/>
  <c r="BU127" i="23"/>
  <c r="BV127" i="23"/>
  <c r="BW127" i="23"/>
  <c r="BX127" i="23"/>
  <c r="BY127" i="23"/>
  <c r="BZ127" i="23"/>
  <c r="CA127" i="23"/>
  <c r="CB127" i="23"/>
  <c r="CC127" i="23"/>
  <c r="CD127" i="23"/>
  <c r="CE127" i="23"/>
  <c r="CF127" i="23"/>
  <c r="CG127" i="23"/>
  <c r="CH127" i="23"/>
  <c r="CI127" i="23"/>
  <c r="CJ127" i="23"/>
  <c r="CK127" i="23"/>
  <c r="CL127" i="23"/>
  <c r="CM127" i="23"/>
  <c r="CN127" i="23"/>
  <c r="CO127" i="23"/>
  <c r="CP127" i="23"/>
  <c r="CQ127" i="23"/>
  <c r="CR127" i="23"/>
  <c r="CS127" i="23"/>
  <c r="CT127" i="23"/>
  <c r="CU127" i="23"/>
  <c r="CV127" i="23"/>
  <c r="CW127" i="23"/>
  <c r="CX127" i="23"/>
  <c r="CY127" i="23"/>
  <c r="CZ127" i="23"/>
  <c r="BJ128" i="23"/>
  <c r="BK128" i="23"/>
  <c r="BL128" i="23"/>
  <c r="BM128" i="23"/>
  <c r="BN128" i="23"/>
  <c r="BO128" i="23"/>
  <c r="BP128" i="23"/>
  <c r="BQ128" i="23"/>
  <c r="BR128" i="23"/>
  <c r="BS128" i="23"/>
  <c r="BT128" i="23"/>
  <c r="BU128" i="23"/>
  <c r="BV128" i="23"/>
  <c r="BW128" i="23"/>
  <c r="BX128" i="23"/>
  <c r="BY128" i="23"/>
  <c r="BZ128" i="23"/>
  <c r="CA128" i="23"/>
  <c r="CB128" i="23"/>
  <c r="CC128" i="23"/>
  <c r="CD128" i="23"/>
  <c r="CE128" i="23"/>
  <c r="CF128" i="23"/>
  <c r="CG128" i="23"/>
  <c r="CH128" i="23"/>
  <c r="CI128" i="23"/>
  <c r="CJ128" i="23"/>
  <c r="CK128" i="23"/>
  <c r="CL128" i="23"/>
  <c r="CM128" i="23"/>
  <c r="CN128" i="23"/>
  <c r="CO128" i="23"/>
  <c r="CP128" i="23"/>
  <c r="CQ128" i="23"/>
  <c r="CR128" i="23"/>
  <c r="CS128" i="23"/>
  <c r="CT128" i="23"/>
  <c r="CU128" i="23"/>
  <c r="CV128" i="23"/>
  <c r="CW128" i="23"/>
  <c r="CX128" i="23"/>
  <c r="CY128" i="23"/>
  <c r="CZ128" i="23"/>
  <c r="BJ129" i="23"/>
  <c r="BK129" i="23"/>
  <c r="BL129" i="23"/>
  <c r="BM129" i="23"/>
  <c r="BN129" i="23"/>
  <c r="BO129" i="23"/>
  <c r="BP129" i="23"/>
  <c r="BQ129" i="23"/>
  <c r="BR129" i="23"/>
  <c r="BS129" i="23"/>
  <c r="BT129" i="23"/>
  <c r="BU129" i="23"/>
  <c r="BV129" i="23"/>
  <c r="BW129" i="23"/>
  <c r="BX129" i="23"/>
  <c r="BY129" i="23"/>
  <c r="BZ129" i="23"/>
  <c r="CA129" i="23"/>
  <c r="CB129" i="23"/>
  <c r="CC129" i="23"/>
  <c r="CD129" i="23"/>
  <c r="CE129" i="23"/>
  <c r="CF129" i="23"/>
  <c r="CG129" i="23"/>
  <c r="CH129" i="23"/>
  <c r="CI129" i="23"/>
  <c r="CJ129" i="23"/>
  <c r="CK129" i="23"/>
  <c r="CL129" i="23"/>
  <c r="CM129" i="23"/>
  <c r="CN129" i="23"/>
  <c r="CO129" i="23"/>
  <c r="CP129" i="23"/>
  <c r="CQ129" i="23"/>
  <c r="CR129" i="23"/>
  <c r="CS129" i="23"/>
  <c r="CT129" i="23"/>
  <c r="CU129" i="23"/>
  <c r="CV129" i="23"/>
  <c r="CW129" i="23"/>
  <c r="CX129" i="23"/>
  <c r="CY129" i="23"/>
  <c r="CZ129" i="23"/>
  <c r="BJ130" i="23"/>
  <c r="BK130" i="23"/>
  <c r="BL130" i="23"/>
  <c r="BM130" i="23"/>
  <c r="BN130" i="23"/>
  <c r="BO130" i="23"/>
  <c r="BP130" i="23"/>
  <c r="BQ130" i="23"/>
  <c r="BR130" i="23"/>
  <c r="BS130" i="23"/>
  <c r="BT130" i="23"/>
  <c r="BU130" i="23"/>
  <c r="BV130" i="23"/>
  <c r="BW130" i="23"/>
  <c r="BX130" i="23"/>
  <c r="BY130" i="23"/>
  <c r="BZ130" i="23"/>
  <c r="CA130" i="23"/>
  <c r="CB130" i="23"/>
  <c r="CC130" i="23"/>
  <c r="CD130" i="23"/>
  <c r="CE130" i="23"/>
  <c r="CF130" i="23"/>
  <c r="CG130" i="23"/>
  <c r="CH130" i="23"/>
  <c r="CI130" i="23"/>
  <c r="CJ130" i="23"/>
  <c r="CK130" i="23"/>
  <c r="CL130" i="23"/>
  <c r="CM130" i="23"/>
  <c r="CN130" i="23"/>
  <c r="CO130" i="23"/>
  <c r="CP130" i="23"/>
  <c r="CQ130" i="23"/>
  <c r="CR130" i="23"/>
  <c r="CS130" i="23"/>
  <c r="CT130" i="23"/>
  <c r="CU130" i="23"/>
  <c r="CV130" i="23"/>
  <c r="CW130" i="23"/>
  <c r="CX130" i="23"/>
  <c r="CY130" i="23"/>
  <c r="CZ130" i="23"/>
  <c r="BJ131" i="23"/>
  <c r="BK131" i="23"/>
  <c r="BL131" i="23"/>
  <c r="BM131" i="23"/>
  <c r="BN131" i="23"/>
  <c r="BO131" i="23"/>
  <c r="BP131" i="23"/>
  <c r="BQ131" i="23"/>
  <c r="BR131" i="23"/>
  <c r="BS131" i="23"/>
  <c r="BT131" i="23"/>
  <c r="BU131" i="23"/>
  <c r="BV131" i="23"/>
  <c r="BW131" i="23"/>
  <c r="BX131" i="23"/>
  <c r="BY131" i="23"/>
  <c r="BZ131" i="23"/>
  <c r="CA131" i="23"/>
  <c r="CB131" i="23"/>
  <c r="CC131" i="23"/>
  <c r="CD131" i="23"/>
  <c r="CE131" i="23"/>
  <c r="CF131" i="23"/>
  <c r="CG131" i="23"/>
  <c r="CH131" i="23"/>
  <c r="CI131" i="23"/>
  <c r="CJ131" i="23"/>
  <c r="CK131" i="23"/>
  <c r="CL131" i="23"/>
  <c r="CM131" i="23"/>
  <c r="CN131" i="23"/>
  <c r="CO131" i="23"/>
  <c r="CP131" i="23"/>
  <c r="CQ131" i="23"/>
  <c r="CR131" i="23"/>
  <c r="CS131" i="23"/>
  <c r="CT131" i="23"/>
  <c r="CU131" i="23"/>
  <c r="CV131" i="23"/>
  <c r="CW131" i="23"/>
  <c r="CX131" i="23"/>
  <c r="CY131" i="23"/>
  <c r="CZ131" i="23"/>
  <c r="BJ132" i="23"/>
  <c r="BK132" i="23"/>
  <c r="BL132" i="23"/>
  <c r="BM132" i="23"/>
  <c r="BN132" i="23"/>
  <c r="BO132" i="23"/>
  <c r="BP132" i="23"/>
  <c r="BQ132" i="23"/>
  <c r="BR132" i="23"/>
  <c r="BS132" i="23"/>
  <c r="BT132" i="23"/>
  <c r="BU132" i="23"/>
  <c r="BV132" i="23"/>
  <c r="BW132" i="23"/>
  <c r="BX132" i="23"/>
  <c r="BY132" i="23"/>
  <c r="BZ132" i="23"/>
  <c r="CA132" i="23"/>
  <c r="CB132" i="23"/>
  <c r="CC132" i="23"/>
  <c r="CD132" i="23"/>
  <c r="CE132" i="23"/>
  <c r="CF132" i="23"/>
  <c r="CG132" i="23"/>
  <c r="CH132" i="23"/>
  <c r="CI132" i="23"/>
  <c r="CJ132" i="23"/>
  <c r="CK132" i="23"/>
  <c r="CL132" i="23"/>
  <c r="CM132" i="23"/>
  <c r="CN132" i="23"/>
  <c r="CO132" i="23"/>
  <c r="CP132" i="23"/>
  <c r="CQ132" i="23"/>
  <c r="CR132" i="23"/>
  <c r="CS132" i="23"/>
  <c r="CT132" i="23"/>
  <c r="CU132" i="23"/>
  <c r="CV132" i="23"/>
  <c r="CW132" i="23"/>
  <c r="CX132" i="23"/>
  <c r="CY132" i="23"/>
  <c r="CZ132" i="23"/>
  <c r="BJ133" i="23"/>
  <c r="BK133" i="23"/>
  <c r="BL133" i="23"/>
  <c r="BM133" i="23"/>
  <c r="BN133" i="23"/>
  <c r="BO133" i="23"/>
  <c r="BP133" i="23"/>
  <c r="BQ133" i="23"/>
  <c r="BR133" i="23"/>
  <c r="BS133" i="23"/>
  <c r="BT133" i="23"/>
  <c r="BU133" i="23"/>
  <c r="BV133" i="23"/>
  <c r="BW133" i="23"/>
  <c r="BX133" i="23"/>
  <c r="BY133" i="23"/>
  <c r="BZ133" i="23"/>
  <c r="CA133" i="23"/>
  <c r="CB133" i="23"/>
  <c r="CC133" i="23"/>
  <c r="CD133" i="23"/>
  <c r="CE133" i="23"/>
  <c r="CF133" i="23"/>
  <c r="CG133" i="23"/>
  <c r="CH133" i="23"/>
  <c r="CI133" i="23"/>
  <c r="CJ133" i="23"/>
  <c r="CK133" i="23"/>
  <c r="CL133" i="23"/>
  <c r="CM133" i="23"/>
  <c r="CN133" i="23"/>
  <c r="CO133" i="23"/>
  <c r="CP133" i="23"/>
  <c r="CQ133" i="23"/>
  <c r="CR133" i="23"/>
  <c r="CS133" i="23"/>
  <c r="CT133" i="23"/>
  <c r="CU133" i="23"/>
  <c r="CV133" i="23"/>
  <c r="CW133" i="23"/>
  <c r="CX133" i="23"/>
  <c r="CY133" i="23"/>
  <c r="CZ133" i="23"/>
  <c r="BJ134" i="23"/>
  <c r="BK134" i="23"/>
  <c r="BL134" i="23"/>
  <c r="BM134" i="23"/>
  <c r="BN134" i="23"/>
  <c r="BO134" i="23"/>
  <c r="BP134" i="23"/>
  <c r="BQ134" i="23"/>
  <c r="BR134" i="23"/>
  <c r="BS134" i="23"/>
  <c r="BT134" i="23"/>
  <c r="BU134" i="23"/>
  <c r="BV134" i="23"/>
  <c r="BW134" i="23"/>
  <c r="BX134" i="23"/>
  <c r="BY134" i="23"/>
  <c r="BZ134" i="23"/>
  <c r="CA134" i="23"/>
  <c r="CB134" i="23"/>
  <c r="CC134" i="23"/>
  <c r="CD134" i="23"/>
  <c r="CE134" i="23"/>
  <c r="CF134" i="23"/>
  <c r="CG134" i="23"/>
  <c r="CH134" i="23"/>
  <c r="CI134" i="23"/>
  <c r="CJ134" i="23"/>
  <c r="CK134" i="23"/>
  <c r="CL134" i="23"/>
  <c r="CM134" i="23"/>
  <c r="CN134" i="23"/>
  <c r="CO134" i="23"/>
  <c r="CP134" i="23"/>
  <c r="CQ134" i="23"/>
  <c r="CR134" i="23"/>
  <c r="CS134" i="23"/>
  <c r="CT134" i="23"/>
  <c r="CU134" i="23"/>
  <c r="CV134" i="23"/>
  <c r="CW134" i="23"/>
  <c r="CX134" i="23"/>
  <c r="CY134" i="23"/>
  <c r="CZ134" i="23"/>
  <c r="BJ135" i="23"/>
  <c r="BK135" i="23"/>
  <c r="BL135" i="23"/>
  <c r="BM135" i="23"/>
  <c r="BN135" i="23"/>
  <c r="BO135" i="23"/>
  <c r="BP135" i="23"/>
  <c r="BQ135" i="23"/>
  <c r="BR135" i="23"/>
  <c r="BS135" i="23"/>
  <c r="BT135" i="23"/>
  <c r="BU135" i="23"/>
  <c r="BV135" i="23"/>
  <c r="BW135" i="23"/>
  <c r="BX135" i="23"/>
  <c r="BY135" i="23"/>
  <c r="BZ135" i="23"/>
  <c r="CA135" i="23"/>
  <c r="CB135" i="23"/>
  <c r="CC135" i="23"/>
  <c r="CD135" i="23"/>
  <c r="CE135" i="23"/>
  <c r="CF135" i="23"/>
  <c r="CG135" i="23"/>
  <c r="CH135" i="23"/>
  <c r="CI135" i="23"/>
  <c r="CJ135" i="23"/>
  <c r="CK135" i="23"/>
  <c r="CL135" i="23"/>
  <c r="CM135" i="23"/>
  <c r="CN135" i="23"/>
  <c r="CO135" i="23"/>
  <c r="CP135" i="23"/>
  <c r="CQ135" i="23"/>
  <c r="CR135" i="23"/>
  <c r="CS135" i="23"/>
  <c r="CT135" i="23"/>
  <c r="CU135" i="23"/>
  <c r="CV135" i="23"/>
  <c r="CW135" i="23"/>
  <c r="CX135" i="23"/>
  <c r="CY135" i="23"/>
  <c r="CZ135" i="23"/>
  <c r="BJ136" i="23"/>
  <c r="BK136" i="23"/>
  <c r="BL136" i="23"/>
  <c r="BM136" i="23"/>
  <c r="BN136" i="23"/>
  <c r="BO136" i="23"/>
  <c r="BP136" i="23"/>
  <c r="BQ136" i="23"/>
  <c r="BR136" i="23"/>
  <c r="BS136" i="23"/>
  <c r="BT136" i="23"/>
  <c r="BU136" i="23"/>
  <c r="BV136" i="23"/>
  <c r="BW136" i="23"/>
  <c r="BX136" i="23"/>
  <c r="BY136" i="23"/>
  <c r="BZ136" i="23"/>
  <c r="CA136" i="23"/>
  <c r="CB136" i="23"/>
  <c r="CC136" i="23"/>
  <c r="CD136" i="23"/>
  <c r="CE136" i="23"/>
  <c r="CF136" i="23"/>
  <c r="CG136" i="23"/>
  <c r="CH136" i="23"/>
  <c r="CI136" i="23"/>
  <c r="CJ136" i="23"/>
  <c r="CK136" i="23"/>
  <c r="CL136" i="23"/>
  <c r="CM136" i="23"/>
  <c r="CN136" i="23"/>
  <c r="CO136" i="23"/>
  <c r="CP136" i="23"/>
  <c r="CQ136" i="23"/>
  <c r="CR136" i="23"/>
  <c r="CS136" i="23"/>
  <c r="CT136" i="23"/>
  <c r="CU136" i="23"/>
  <c r="CV136" i="23"/>
  <c r="CW136" i="23"/>
  <c r="CX136" i="23"/>
  <c r="CY136" i="23"/>
  <c r="CZ136" i="23"/>
  <c r="BJ137" i="23"/>
  <c r="BK137" i="23"/>
  <c r="BL137" i="23"/>
  <c r="BM137" i="23"/>
  <c r="BN137" i="23"/>
  <c r="BO137" i="23"/>
  <c r="BP137" i="23"/>
  <c r="BQ137" i="23"/>
  <c r="BR137" i="23"/>
  <c r="BS137" i="23"/>
  <c r="BT137" i="23"/>
  <c r="BU137" i="23"/>
  <c r="BV137" i="23"/>
  <c r="BW137" i="23"/>
  <c r="BX137" i="23"/>
  <c r="BY137" i="23"/>
  <c r="BZ137" i="23"/>
  <c r="CA137" i="23"/>
  <c r="CB137" i="23"/>
  <c r="CC137" i="23"/>
  <c r="CD137" i="23"/>
  <c r="CE137" i="23"/>
  <c r="CF137" i="23"/>
  <c r="CG137" i="23"/>
  <c r="CH137" i="23"/>
  <c r="CI137" i="23"/>
  <c r="CJ137" i="23"/>
  <c r="CK137" i="23"/>
  <c r="CL137" i="23"/>
  <c r="CM137" i="23"/>
  <c r="CN137" i="23"/>
  <c r="CO137" i="23"/>
  <c r="CP137" i="23"/>
  <c r="CQ137" i="23"/>
  <c r="CR137" i="23"/>
  <c r="CS137" i="23"/>
  <c r="CT137" i="23"/>
  <c r="CU137" i="23"/>
  <c r="CV137" i="23"/>
  <c r="CW137" i="23"/>
  <c r="CX137" i="23"/>
  <c r="CY137" i="23"/>
  <c r="CZ137" i="23"/>
  <c r="BJ138" i="23"/>
  <c r="BK138" i="23"/>
  <c r="BL138" i="23"/>
  <c r="BM138" i="23"/>
  <c r="BN138" i="23"/>
  <c r="BO138" i="23"/>
  <c r="BP138" i="23"/>
  <c r="BQ138" i="23"/>
  <c r="BR138" i="23"/>
  <c r="BS138" i="23"/>
  <c r="BT138" i="23"/>
  <c r="BU138" i="23"/>
  <c r="BV138" i="23"/>
  <c r="BW138" i="23"/>
  <c r="BX138" i="23"/>
  <c r="BY138" i="23"/>
  <c r="BZ138" i="23"/>
  <c r="CA138" i="23"/>
  <c r="CB138" i="23"/>
  <c r="CC138" i="23"/>
  <c r="CD138" i="23"/>
  <c r="CE138" i="23"/>
  <c r="CF138" i="23"/>
  <c r="CG138" i="23"/>
  <c r="CH138" i="23"/>
  <c r="CI138" i="23"/>
  <c r="CJ138" i="23"/>
  <c r="CK138" i="23"/>
  <c r="CL138" i="23"/>
  <c r="CM138" i="23"/>
  <c r="CN138" i="23"/>
  <c r="CO138" i="23"/>
  <c r="CP138" i="23"/>
  <c r="CQ138" i="23"/>
  <c r="CR138" i="23"/>
  <c r="CS138" i="23"/>
  <c r="CT138" i="23"/>
  <c r="CU138" i="23"/>
  <c r="CV138" i="23"/>
  <c r="CW138" i="23"/>
  <c r="CX138" i="23"/>
  <c r="CY138" i="23"/>
  <c r="CZ138" i="23"/>
  <c r="BJ139" i="23"/>
  <c r="BK139" i="23"/>
  <c r="BL139" i="23"/>
  <c r="BM139" i="23"/>
  <c r="BN139" i="23"/>
  <c r="BO139" i="23"/>
  <c r="BP139" i="23"/>
  <c r="BQ139" i="23"/>
  <c r="BR139" i="23"/>
  <c r="BS139" i="23"/>
  <c r="BT139" i="23"/>
  <c r="BU139" i="23"/>
  <c r="BV139" i="23"/>
  <c r="BW139" i="23"/>
  <c r="BX139" i="23"/>
  <c r="BY139" i="23"/>
  <c r="BZ139" i="23"/>
  <c r="CA139" i="23"/>
  <c r="CB139" i="23"/>
  <c r="CC139" i="23"/>
  <c r="CD139" i="23"/>
  <c r="CE139" i="23"/>
  <c r="CF139" i="23"/>
  <c r="CG139" i="23"/>
  <c r="CH139" i="23"/>
  <c r="CI139" i="23"/>
  <c r="CJ139" i="23"/>
  <c r="CK139" i="23"/>
  <c r="CL139" i="23"/>
  <c r="CM139" i="23"/>
  <c r="CN139" i="23"/>
  <c r="CO139" i="23"/>
  <c r="CP139" i="23"/>
  <c r="CQ139" i="23"/>
  <c r="CR139" i="23"/>
  <c r="CS139" i="23"/>
  <c r="CT139" i="23"/>
  <c r="CU139" i="23"/>
  <c r="CV139" i="23"/>
  <c r="CW139" i="23"/>
  <c r="CX139" i="23"/>
  <c r="CY139" i="23"/>
  <c r="CZ139" i="23"/>
  <c r="BJ140" i="23"/>
  <c r="BK140" i="23"/>
  <c r="BL140" i="23"/>
  <c r="BM140" i="23"/>
  <c r="BN140" i="23"/>
  <c r="BO140" i="23"/>
  <c r="BP140" i="23"/>
  <c r="BQ140" i="23"/>
  <c r="BR140" i="23"/>
  <c r="BS140" i="23"/>
  <c r="BT140" i="23"/>
  <c r="BU140" i="23"/>
  <c r="BV140" i="23"/>
  <c r="BW140" i="23"/>
  <c r="BX140" i="23"/>
  <c r="BY140" i="23"/>
  <c r="BZ140" i="23"/>
  <c r="CA140" i="23"/>
  <c r="CB140" i="23"/>
  <c r="CC140" i="23"/>
  <c r="CD140" i="23"/>
  <c r="CE140" i="23"/>
  <c r="CF140" i="23"/>
  <c r="CG140" i="23"/>
  <c r="CH140" i="23"/>
  <c r="CI140" i="23"/>
  <c r="CJ140" i="23"/>
  <c r="CK140" i="23"/>
  <c r="CL140" i="23"/>
  <c r="CM140" i="23"/>
  <c r="CN140" i="23"/>
  <c r="CO140" i="23"/>
  <c r="CP140" i="23"/>
  <c r="CQ140" i="23"/>
  <c r="CR140" i="23"/>
  <c r="CS140" i="23"/>
  <c r="CT140" i="23"/>
  <c r="CU140" i="23"/>
  <c r="CV140" i="23"/>
  <c r="CW140" i="23"/>
  <c r="CX140" i="23"/>
  <c r="CY140" i="23"/>
  <c r="CZ140" i="23"/>
  <c r="BJ141" i="23"/>
  <c r="BK141" i="23"/>
  <c r="BL141" i="23"/>
  <c r="BM141" i="23"/>
  <c r="BN141" i="23"/>
  <c r="BO141" i="23"/>
  <c r="BP141" i="23"/>
  <c r="BQ141" i="23"/>
  <c r="BR141" i="23"/>
  <c r="BS141" i="23"/>
  <c r="BT141" i="23"/>
  <c r="BU141" i="23"/>
  <c r="BV141" i="23"/>
  <c r="BW141" i="23"/>
  <c r="BX141" i="23"/>
  <c r="BY141" i="23"/>
  <c r="BZ141" i="23"/>
  <c r="CA141" i="23"/>
  <c r="CB141" i="23"/>
  <c r="CC141" i="23"/>
  <c r="CD141" i="23"/>
  <c r="CE141" i="23"/>
  <c r="CF141" i="23"/>
  <c r="CG141" i="23"/>
  <c r="CH141" i="23"/>
  <c r="CI141" i="23"/>
  <c r="CJ141" i="23"/>
  <c r="CK141" i="23"/>
  <c r="CL141" i="23"/>
  <c r="CM141" i="23"/>
  <c r="CN141" i="23"/>
  <c r="CO141" i="23"/>
  <c r="CP141" i="23"/>
  <c r="CQ141" i="23"/>
  <c r="CR141" i="23"/>
  <c r="CS141" i="23"/>
  <c r="CT141" i="23"/>
  <c r="CU141" i="23"/>
  <c r="CV141" i="23"/>
  <c r="CW141" i="23"/>
  <c r="CX141" i="23"/>
  <c r="CY141" i="23"/>
  <c r="CZ141" i="23"/>
  <c r="BJ142" i="23"/>
  <c r="BK142" i="23"/>
  <c r="BL142" i="23"/>
  <c r="BM142" i="23"/>
  <c r="BN142" i="23"/>
  <c r="BO142" i="23"/>
  <c r="BP142" i="23"/>
  <c r="BQ142" i="23"/>
  <c r="BR142" i="23"/>
  <c r="BS142" i="23"/>
  <c r="BT142" i="23"/>
  <c r="BU142" i="23"/>
  <c r="BV142" i="23"/>
  <c r="BW142" i="23"/>
  <c r="BX142" i="23"/>
  <c r="BY142" i="23"/>
  <c r="BZ142" i="23"/>
  <c r="CA142" i="23"/>
  <c r="CB142" i="23"/>
  <c r="CC142" i="23"/>
  <c r="CD142" i="23"/>
  <c r="CE142" i="23"/>
  <c r="CF142" i="23"/>
  <c r="CG142" i="23"/>
  <c r="CH142" i="23"/>
  <c r="CI142" i="23"/>
  <c r="CJ142" i="23"/>
  <c r="CK142" i="23"/>
  <c r="CL142" i="23"/>
  <c r="CM142" i="23"/>
  <c r="CN142" i="23"/>
  <c r="CO142" i="23"/>
  <c r="CP142" i="23"/>
  <c r="CQ142" i="23"/>
  <c r="CR142" i="23"/>
  <c r="CS142" i="23"/>
  <c r="CT142" i="23"/>
  <c r="CU142" i="23"/>
  <c r="CV142" i="23"/>
  <c r="CW142" i="23"/>
  <c r="CX142" i="23"/>
  <c r="CY142" i="23"/>
  <c r="CZ142" i="23"/>
  <c r="BJ143" i="23"/>
  <c r="BK143" i="23"/>
  <c r="BL143" i="23"/>
  <c r="BM143" i="23"/>
  <c r="BN143" i="23"/>
  <c r="BO143" i="23"/>
  <c r="BP143" i="23"/>
  <c r="BQ143" i="23"/>
  <c r="BR143" i="23"/>
  <c r="BS143" i="23"/>
  <c r="BT143" i="23"/>
  <c r="BU143" i="23"/>
  <c r="BV143" i="23"/>
  <c r="BW143" i="23"/>
  <c r="BX143" i="23"/>
  <c r="BY143" i="23"/>
  <c r="BZ143" i="23"/>
  <c r="CA143" i="23"/>
  <c r="CB143" i="23"/>
  <c r="CC143" i="23"/>
  <c r="CD143" i="23"/>
  <c r="CE143" i="23"/>
  <c r="CF143" i="23"/>
  <c r="CG143" i="23"/>
  <c r="CH143" i="23"/>
  <c r="CI143" i="23"/>
  <c r="CJ143" i="23"/>
  <c r="CK143" i="23"/>
  <c r="CL143" i="23"/>
  <c r="CM143" i="23"/>
  <c r="CN143" i="23"/>
  <c r="CO143" i="23"/>
  <c r="CP143" i="23"/>
  <c r="CQ143" i="23"/>
  <c r="CR143" i="23"/>
  <c r="CS143" i="23"/>
  <c r="CT143" i="23"/>
  <c r="CU143" i="23"/>
  <c r="CV143" i="23"/>
  <c r="CW143" i="23"/>
  <c r="CX143" i="23"/>
  <c r="CY143" i="23"/>
  <c r="CZ143" i="23"/>
  <c r="BJ144" i="23"/>
  <c r="BK144" i="23"/>
  <c r="BL144" i="23"/>
  <c r="BM144" i="23"/>
  <c r="BN144" i="23"/>
  <c r="BO144" i="23"/>
  <c r="BP144" i="23"/>
  <c r="BQ144" i="23"/>
  <c r="BR144" i="23"/>
  <c r="BS144" i="23"/>
  <c r="BT144" i="23"/>
  <c r="BU144" i="23"/>
  <c r="BV144" i="23"/>
  <c r="BW144" i="23"/>
  <c r="BX144" i="23"/>
  <c r="BY144" i="23"/>
  <c r="BZ144" i="23"/>
  <c r="CA144" i="23"/>
  <c r="CB144" i="23"/>
  <c r="CC144" i="23"/>
  <c r="CD144" i="23"/>
  <c r="CE144" i="23"/>
  <c r="CF144" i="23"/>
  <c r="CG144" i="23"/>
  <c r="CH144" i="23"/>
  <c r="CI144" i="23"/>
  <c r="CJ144" i="23"/>
  <c r="CK144" i="23"/>
  <c r="CL144" i="23"/>
  <c r="CM144" i="23"/>
  <c r="CN144" i="23"/>
  <c r="CO144" i="23"/>
  <c r="CP144" i="23"/>
  <c r="CQ144" i="23"/>
  <c r="CR144" i="23"/>
  <c r="CS144" i="23"/>
  <c r="CT144" i="23"/>
  <c r="CU144" i="23"/>
  <c r="CV144" i="23"/>
  <c r="CW144" i="23"/>
  <c r="CX144" i="23"/>
  <c r="CY144" i="23"/>
  <c r="CZ144" i="23"/>
  <c r="BJ145" i="23"/>
  <c r="BK145" i="23"/>
  <c r="BL145" i="23"/>
  <c r="BM145" i="23"/>
  <c r="BN145" i="23"/>
  <c r="BO145" i="23"/>
  <c r="BP145" i="23"/>
  <c r="BQ145" i="23"/>
  <c r="BR145" i="23"/>
  <c r="BS145" i="23"/>
  <c r="BT145" i="23"/>
  <c r="BU145" i="23"/>
  <c r="BV145" i="23"/>
  <c r="BW145" i="23"/>
  <c r="BX145" i="23"/>
  <c r="BY145" i="23"/>
  <c r="BZ145" i="23"/>
  <c r="CA145" i="23"/>
  <c r="CB145" i="23"/>
  <c r="CC145" i="23"/>
  <c r="CD145" i="23"/>
  <c r="CE145" i="23"/>
  <c r="CF145" i="23"/>
  <c r="CG145" i="23"/>
  <c r="CH145" i="23"/>
  <c r="CI145" i="23"/>
  <c r="CJ145" i="23"/>
  <c r="CK145" i="23"/>
  <c r="CL145" i="23"/>
  <c r="CM145" i="23"/>
  <c r="CN145" i="23"/>
  <c r="CO145" i="23"/>
  <c r="CP145" i="23"/>
  <c r="CQ145" i="23"/>
  <c r="CR145" i="23"/>
  <c r="CS145" i="23"/>
  <c r="CT145" i="23"/>
  <c r="CU145" i="23"/>
  <c r="CV145" i="23"/>
  <c r="CW145" i="23"/>
  <c r="CX145" i="23"/>
  <c r="CY145" i="23"/>
  <c r="CZ145" i="23"/>
  <c r="BJ146" i="23"/>
  <c r="BK146" i="23"/>
  <c r="BL146" i="23"/>
  <c r="BM146" i="23"/>
  <c r="BN146" i="23"/>
  <c r="BO146" i="23"/>
  <c r="BP146" i="23"/>
  <c r="BQ146" i="23"/>
  <c r="BR146" i="23"/>
  <c r="BS146" i="23"/>
  <c r="BT146" i="23"/>
  <c r="BU146" i="23"/>
  <c r="BV146" i="23"/>
  <c r="BW146" i="23"/>
  <c r="BX146" i="23"/>
  <c r="BY146" i="23"/>
  <c r="BZ146" i="23"/>
  <c r="CA146" i="23"/>
  <c r="CB146" i="23"/>
  <c r="CC146" i="23"/>
  <c r="CD146" i="23"/>
  <c r="CE146" i="23"/>
  <c r="CF146" i="23"/>
  <c r="CG146" i="23"/>
  <c r="CH146" i="23"/>
  <c r="CI146" i="23"/>
  <c r="CJ146" i="23"/>
  <c r="CK146" i="23"/>
  <c r="CL146" i="23"/>
  <c r="CM146" i="23"/>
  <c r="CN146" i="23"/>
  <c r="CO146" i="23"/>
  <c r="CP146" i="23"/>
  <c r="CQ146" i="23"/>
  <c r="CR146" i="23"/>
  <c r="CS146" i="23"/>
  <c r="CT146" i="23"/>
  <c r="CU146" i="23"/>
  <c r="CV146" i="23"/>
  <c r="CW146" i="23"/>
  <c r="CX146" i="23"/>
  <c r="CY146" i="23"/>
  <c r="CZ146" i="23"/>
  <c r="BJ147" i="23"/>
  <c r="BK147" i="23"/>
  <c r="BL147" i="23"/>
  <c r="BM147" i="23"/>
  <c r="BN147" i="23"/>
  <c r="BO147" i="23"/>
  <c r="BP147" i="23"/>
  <c r="BQ147" i="23"/>
  <c r="BR147" i="23"/>
  <c r="BS147" i="23"/>
  <c r="BT147" i="23"/>
  <c r="BU147" i="23"/>
  <c r="BV147" i="23"/>
  <c r="BW147" i="23"/>
  <c r="BX147" i="23"/>
  <c r="BY147" i="23"/>
  <c r="BZ147" i="23"/>
  <c r="CA147" i="23"/>
  <c r="CB147" i="23"/>
  <c r="CC147" i="23"/>
  <c r="CD147" i="23"/>
  <c r="CE147" i="23"/>
  <c r="CF147" i="23"/>
  <c r="CG147" i="23"/>
  <c r="CH147" i="23"/>
  <c r="CI147" i="23"/>
  <c r="CJ147" i="23"/>
  <c r="CK147" i="23"/>
  <c r="CL147" i="23"/>
  <c r="CM147" i="23"/>
  <c r="CN147" i="23"/>
  <c r="CO147" i="23"/>
  <c r="CP147" i="23"/>
  <c r="CQ147" i="23"/>
  <c r="CR147" i="23"/>
  <c r="CS147" i="23"/>
  <c r="CT147" i="23"/>
  <c r="CU147" i="23"/>
  <c r="CV147" i="23"/>
  <c r="CW147" i="23"/>
  <c r="CX147" i="23"/>
  <c r="CY147" i="23"/>
  <c r="CZ147" i="23"/>
  <c r="BJ148" i="23"/>
  <c r="BK148" i="23"/>
  <c r="BL148" i="23"/>
  <c r="BM148" i="23"/>
  <c r="BN148" i="23"/>
  <c r="BO148" i="23"/>
  <c r="BP148" i="23"/>
  <c r="BQ148" i="23"/>
  <c r="BR148" i="23"/>
  <c r="BS148" i="23"/>
  <c r="BT148" i="23"/>
  <c r="BU148" i="23"/>
  <c r="BV148" i="23"/>
  <c r="BW148" i="23"/>
  <c r="BX148" i="23"/>
  <c r="BY148" i="23"/>
  <c r="BZ148" i="23"/>
  <c r="CA148" i="23"/>
  <c r="CB148" i="23"/>
  <c r="CC148" i="23"/>
  <c r="CD148" i="23"/>
  <c r="CE148" i="23"/>
  <c r="CF148" i="23"/>
  <c r="CG148" i="23"/>
  <c r="CH148" i="23"/>
  <c r="CI148" i="23"/>
  <c r="CJ148" i="23"/>
  <c r="CK148" i="23"/>
  <c r="CL148" i="23"/>
  <c r="CM148" i="23"/>
  <c r="CN148" i="23"/>
  <c r="CO148" i="23"/>
  <c r="CP148" i="23"/>
  <c r="CQ148" i="23"/>
  <c r="CR148" i="23"/>
  <c r="CS148" i="23"/>
  <c r="CT148" i="23"/>
  <c r="CU148" i="23"/>
  <c r="CV148" i="23"/>
  <c r="CW148" i="23"/>
  <c r="CX148" i="23"/>
  <c r="CY148" i="23"/>
  <c r="CZ148" i="23"/>
  <c r="BJ149" i="23"/>
  <c r="BK149" i="23"/>
  <c r="BL149" i="23"/>
  <c r="BM149" i="23"/>
  <c r="BN149" i="23"/>
  <c r="BO149" i="23"/>
  <c r="BP149" i="23"/>
  <c r="BQ149" i="23"/>
  <c r="BR149" i="23"/>
  <c r="BS149" i="23"/>
  <c r="BT149" i="23"/>
  <c r="BU149" i="23"/>
  <c r="BV149" i="23"/>
  <c r="BW149" i="23"/>
  <c r="BX149" i="23"/>
  <c r="BY149" i="23"/>
  <c r="BZ149" i="23"/>
  <c r="CA149" i="23"/>
  <c r="CB149" i="23"/>
  <c r="CC149" i="23"/>
  <c r="CD149" i="23"/>
  <c r="CE149" i="23"/>
  <c r="CF149" i="23"/>
  <c r="CG149" i="23"/>
  <c r="CH149" i="23"/>
  <c r="CI149" i="23"/>
  <c r="CJ149" i="23"/>
  <c r="CK149" i="23"/>
  <c r="CL149" i="23"/>
  <c r="CM149" i="23"/>
  <c r="CN149" i="23"/>
  <c r="CO149" i="23"/>
  <c r="CP149" i="23"/>
  <c r="CQ149" i="23"/>
  <c r="CR149" i="23"/>
  <c r="CS149" i="23"/>
  <c r="CT149" i="23"/>
  <c r="CU149" i="23"/>
  <c r="CV149" i="23"/>
  <c r="CW149" i="23"/>
  <c r="CX149" i="23"/>
  <c r="CY149" i="23"/>
  <c r="CZ149" i="23"/>
  <c r="BJ150" i="23"/>
  <c r="BK150" i="23"/>
  <c r="BL150" i="23"/>
  <c r="BM150" i="23"/>
  <c r="BN150" i="23"/>
  <c r="BO150" i="23"/>
  <c r="BP150" i="23"/>
  <c r="BQ150" i="23"/>
  <c r="BR150" i="23"/>
  <c r="BS150" i="23"/>
  <c r="BT150" i="23"/>
  <c r="BU150" i="23"/>
  <c r="BV150" i="23"/>
  <c r="BW150" i="23"/>
  <c r="BX150" i="23"/>
  <c r="BY150" i="23"/>
  <c r="BZ150" i="23"/>
  <c r="CA150" i="23"/>
  <c r="CB150" i="23"/>
  <c r="CC150" i="23"/>
  <c r="CD150" i="23"/>
  <c r="CE150" i="23"/>
  <c r="CF150" i="23"/>
  <c r="CG150" i="23"/>
  <c r="CH150" i="23"/>
  <c r="CI150" i="23"/>
  <c r="CJ150" i="23"/>
  <c r="CK150" i="23"/>
  <c r="CL150" i="23"/>
  <c r="CM150" i="23"/>
  <c r="CN150" i="23"/>
  <c r="CO150" i="23"/>
  <c r="CP150" i="23"/>
  <c r="CQ150" i="23"/>
  <c r="CR150" i="23"/>
  <c r="CS150" i="23"/>
  <c r="CT150" i="23"/>
  <c r="CU150" i="23"/>
  <c r="CV150" i="23"/>
  <c r="CW150" i="23"/>
  <c r="CX150" i="23"/>
  <c r="CY150" i="23"/>
  <c r="CZ150" i="23"/>
  <c r="BJ151" i="23"/>
  <c r="BK151" i="23"/>
  <c r="BL151" i="23"/>
  <c r="BM151" i="23"/>
  <c r="BN151" i="23"/>
  <c r="BO151" i="23"/>
  <c r="BP151" i="23"/>
  <c r="BQ151" i="23"/>
  <c r="BR151" i="23"/>
  <c r="BS151" i="23"/>
  <c r="BT151" i="23"/>
  <c r="BU151" i="23"/>
  <c r="BV151" i="23"/>
  <c r="BW151" i="23"/>
  <c r="BX151" i="23"/>
  <c r="BY151" i="23"/>
  <c r="BZ151" i="23"/>
  <c r="CA151" i="23"/>
  <c r="CB151" i="23"/>
  <c r="CC151" i="23"/>
  <c r="CD151" i="23"/>
  <c r="CE151" i="23"/>
  <c r="CF151" i="23"/>
  <c r="CG151" i="23"/>
  <c r="CH151" i="23"/>
  <c r="CI151" i="23"/>
  <c r="CJ151" i="23"/>
  <c r="CK151" i="23"/>
  <c r="CL151" i="23"/>
  <c r="CM151" i="23"/>
  <c r="CN151" i="23"/>
  <c r="CO151" i="23"/>
  <c r="CP151" i="23"/>
  <c r="CQ151" i="23"/>
  <c r="CR151" i="23"/>
  <c r="CS151" i="23"/>
  <c r="CT151" i="23"/>
  <c r="CU151" i="23"/>
  <c r="CV151" i="23"/>
  <c r="CW151" i="23"/>
  <c r="CX151" i="23"/>
  <c r="CY151" i="23"/>
  <c r="CZ151" i="23"/>
  <c r="BJ152" i="23"/>
  <c r="BK152" i="23"/>
  <c r="BL152" i="23"/>
  <c r="BM152" i="23"/>
  <c r="BN152" i="23"/>
  <c r="BO152" i="23"/>
  <c r="BP152" i="23"/>
  <c r="BQ152" i="23"/>
  <c r="BR152" i="23"/>
  <c r="BS152" i="23"/>
  <c r="BT152" i="23"/>
  <c r="BU152" i="23"/>
  <c r="BV152" i="23"/>
  <c r="BW152" i="23"/>
  <c r="BX152" i="23"/>
  <c r="BY152" i="23"/>
  <c r="BZ152" i="23"/>
  <c r="CA152" i="23"/>
  <c r="CB152" i="23"/>
  <c r="CC152" i="23"/>
  <c r="CD152" i="23"/>
  <c r="CE152" i="23"/>
  <c r="CF152" i="23"/>
  <c r="CG152" i="23"/>
  <c r="CH152" i="23"/>
  <c r="CI152" i="23"/>
  <c r="CJ152" i="23"/>
  <c r="CK152" i="23"/>
  <c r="CL152" i="23"/>
  <c r="CM152" i="23"/>
  <c r="CN152" i="23"/>
  <c r="CO152" i="23"/>
  <c r="CP152" i="23"/>
  <c r="CQ152" i="23"/>
  <c r="CR152" i="23"/>
  <c r="CS152" i="23"/>
  <c r="CT152" i="23"/>
  <c r="CU152" i="23"/>
  <c r="CV152" i="23"/>
  <c r="CW152" i="23"/>
  <c r="CX152" i="23"/>
  <c r="CY152" i="23"/>
  <c r="CZ152" i="23"/>
  <c r="BJ153" i="23"/>
  <c r="BK153" i="23"/>
  <c r="BL153" i="23"/>
  <c r="BM153" i="23"/>
  <c r="BN153" i="23"/>
  <c r="BO153" i="23"/>
  <c r="BP153" i="23"/>
  <c r="BQ153" i="23"/>
  <c r="BR153" i="23"/>
  <c r="BS153" i="23"/>
  <c r="BT153" i="23"/>
  <c r="BU153" i="23"/>
  <c r="BV153" i="23"/>
  <c r="BW153" i="23"/>
  <c r="BX153" i="23"/>
  <c r="BY153" i="23"/>
  <c r="BZ153" i="23"/>
  <c r="CA153" i="23"/>
  <c r="CB153" i="23"/>
  <c r="CC153" i="23"/>
  <c r="CD153" i="23"/>
  <c r="CE153" i="23"/>
  <c r="CF153" i="23"/>
  <c r="CG153" i="23"/>
  <c r="CH153" i="23"/>
  <c r="CI153" i="23"/>
  <c r="CJ153" i="23"/>
  <c r="CK153" i="23"/>
  <c r="CL153" i="23"/>
  <c r="CM153" i="23"/>
  <c r="CN153" i="23"/>
  <c r="CO153" i="23"/>
  <c r="CP153" i="23"/>
  <c r="CQ153" i="23"/>
  <c r="CR153" i="23"/>
  <c r="CS153" i="23"/>
  <c r="CT153" i="23"/>
  <c r="CU153" i="23"/>
  <c r="CV153" i="23"/>
  <c r="CW153" i="23"/>
  <c r="CX153" i="23"/>
  <c r="CY153" i="23"/>
  <c r="CZ153" i="23"/>
  <c r="BJ154" i="23"/>
  <c r="BK154" i="23"/>
  <c r="BL154" i="23"/>
  <c r="BM154" i="23"/>
  <c r="BN154" i="23"/>
  <c r="BO154" i="23"/>
  <c r="BP154" i="23"/>
  <c r="BQ154" i="23"/>
  <c r="BR154" i="23"/>
  <c r="BS154" i="23"/>
  <c r="BT154" i="23"/>
  <c r="BU154" i="23"/>
  <c r="BV154" i="23"/>
  <c r="BW154" i="23"/>
  <c r="BX154" i="23"/>
  <c r="BY154" i="23"/>
  <c r="BZ154" i="23"/>
  <c r="CA154" i="23"/>
  <c r="CB154" i="23"/>
  <c r="CC154" i="23"/>
  <c r="CD154" i="23"/>
  <c r="CE154" i="23"/>
  <c r="CF154" i="23"/>
  <c r="CG154" i="23"/>
  <c r="CH154" i="23"/>
  <c r="CI154" i="23"/>
  <c r="CJ154" i="23"/>
  <c r="CK154" i="23"/>
  <c r="CL154" i="23"/>
  <c r="CM154" i="23"/>
  <c r="CN154" i="23"/>
  <c r="CO154" i="23"/>
  <c r="CP154" i="23"/>
  <c r="CQ154" i="23"/>
  <c r="CR154" i="23"/>
  <c r="CS154" i="23"/>
  <c r="CT154" i="23"/>
  <c r="CU154" i="23"/>
  <c r="CV154" i="23"/>
  <c r="CW154" i="23"/>
  <c r="CX154" i="23"/>
  <c r="CY154" i="23"/>
  <c r="CZ154" i="23"/>
  <c r="BJ155" i="23"/>
  <c r="BK155" i="23"/>
  <c r="BL155" i="23"/>
  <c r="BM155" i="23"/>
  <c r="BN155" i="23"/>
  <c r="BO155" i="23"/>
  <c r="BP155" i="23"/>
  <c r="BQ155" i="23"/>
  <c r="BR155" i="23"/>
  <c r="BS155" i="23"/>
  <c r="BT155" i="23"/>
  <c r="BU155" i="23"/>
  <c r="BV155" i="23"/>
  <c r="BW155" i="23"/>
  <c r="BX155" i="23"/>
  <c r="BY155" i="23"/>
  <c r="BZ155" i="23"/>
  <c r="CA155" i="23"/>
  <c r="CB155" i="23"/>
  <c r="CC155" i="23"/>
  <c r="CD155" i="23"/>
  <c r="CE155" i="23"/>
  <c r="CF155" i="23"/>
  <c r="CG155" i="23"/>
  <c r="CH155" i="23"/>
  <c r="CI155" i="23"/>
  <c r="CJ155" i="23"/>
  <c r="CK155" i="23"/>
  <c r="CL155" i="23"/>
  <c r="CM155" i="23"/>
  <c r="CN155" i="23"/>
  <c r="CO155" i="23"/>
  <c r="CP155" i="23"/>
  <c r="CQ155" i="23"/>
  <c r="CR155" i="23"/>
  <c r="CS155" i="23"/>
  <c r="CT155" i="23"/>
  <c r="CU155" i="23"/>
  <c r="CV155" i="23"/>
  <c r="CW155" i="23"/>
  <c r="CX155" i="23"/>
  <c r="CY155" i="23"/>
  <c r="CZ155" i="23"/>
  <c r="BJ156" i="23"/>
  <c r="BK156" i="23"/>
  <c r="BL156" i="23"/>
  <c r="BM156" i="23"/>
  <c r="BN156" i="23"/>
  <c r="BO156" i="23"/>
  <c r="BP156" i="23"/>
  <c r="BQ156" i="23"/>
  <c r="BR156" i="23"/>
  <c r="BS156" i="23"/>
  <c r="BT156" i="23"/>
  <c r="BU156" i="23"/>
  <c r="BV156" i="23"/>
  <c r="BW156" i="23"/>
  <c r="BX156" i="23"/>
  <c r="BY156" i="23"/>
  <c r="BZ156" i="23"/>
  <c r="CA156" i="23"/>
  <c r="CB156" i="23"/>
  <c r="CC156" i="23"/>
  <c r="CD156" i="23"/>
  <c r="CE156" i="23"/>
  <c r="CF156" i="23"/>
  <c r="CG156" i="23"/>
  <c r="CH156" i="23"/>
  <c r="CI156" i="23"/>
  <c r="CJ156" i="23"/>
  <c r="CK156" i="23"/>
  <c r="CL156" i="23"/>
  <c r="CM156" i="23"/>
  <c r="CN156" i="23"/>
  <c r="CO156" i="23"/>
  <c r="CP156" i="23"/>
  <c r="CQ156" i="23"/>
  <c r="CR156" i="23"/>
  <c r="CS156" i="23"/>
  <c r="CT156" i="23"/>
  <c r="CU156" i="23"/>
  <c r="CV156" i="23"/>
  <c r="CW156" i="23"/>
  <c r="CX156" i="23"/>
  <c r="CY156" i="23"/>
  <c r="CZ156" i="23"/>
  <c r="BJ157" i="23"/>
  <c r="BK157" i="23"/>
  <c r="BL157" i="23"/>
  <c r="BM157" i="23"/>
  <c r="BN157" i="23"/>
  <c r="BO157" i="23"/>
  <c r="BP157" i="23"/>
  <c r="BQ157" i="23"/>
  <c r="BR157" i="23"/>
  <c r="BS157" i="23"/>
  <c r="BT157" i="23"/>
  <c r="BU157" i="23"/>
  <c r="BV157" i="23"/>
  <c r="BW157" i="23"/>
  <c r="BX157" i="23"/>
  <c r="BY157" i="23"/>
  <c r="BZ157" i="23"/>
  <c r="CA157" i="23"/>
  <c r="CB157" i="23"/>
  <c r="CC157" i="23"/>
  <c r="CD157" i="23"/>
  <c r="CE157" i="23"/>
  <c r="CF157" i="23"/>
  <c r="CG157" i="23"/>
  <c r="CH157" i="23"/>
  <c r="CI157" i="23"/>
  <c r="CJ157" i="23"/>
  <c r="CK157" i="23"/>
  <c r="CL157" i="23"/>
  <c r="CM157" i="23"/>
  <c r="CN157" i="23"/>
  <c r="CO157" i="23"/>
  <c r="CP157" i="23"/>
  <c r="CQ157" i="23"/>
  <c r="CR157" i="23"/>
  <c r="CS157" i="23"/>
  <c r="CT157" i="23"/>
  <c r="CU157" i="23"/>
  <c r="CV157" i="23"/>
  <c r="CW157" i="23"/>
  <c r="CX157" i="23"/>
  <c r="CY157" i="23"/>
  <c r="CZ157" i="23"/>
  <c r="BJ158" i="23"/>
  <c r="BK158" i="23"/>
  <c r="BL158" i="23"/>
  <c r="BM158" i="23"/>
  <c r="BN158" i="23"/>
  <c r="BO158" i="23"/>
  <c r="BP158" i="23"/>
  <c r="BQ158" i="23"/>
  <c r="BR158" i="23"/>
  <c r="BS158" i="23"/>
  <c r="BT158" i="23"/>
  <c r="BU158" i="23"/>
  <c r="BV158" i="23"/>
  <c r="BW158" i="23"/>
  <c r="BX158" i="23"/>
  <c r="BY158" i="23"/>
  <c r="BZ158" i="23"/>
  <c r="CA158" i="23"/>
  <c r="CB158" i="23"/>
  <c r="CC158" i="23"/>
  <c r="CD158" i="23"/>
  <c r="CE158" i="23"/>
  <c r="CF158" i="23"/>
  <c r="CG158" i="23"/>
  <c r="CH158" i="23"/>
  <c r="CI158" i="23"/>
  <c r="CJ158" i="23"/>
  <c r="CK158" i="23"/>
  <c r="CL158" i="23"/>
  <c r="CM158" i="23"/>
  <c r="CN158" i="23"/>
  <c r="CO158" i="23"/>
  <c r="CP158" i="23"/>
  <c r="CQ158" i="23"/>
  <c r="CR158" i="23"/>
  <c r="CS158" i="23"/>
  <c r="CT158" i="23"/>
  <c r="CU158" i="23"/>
  <c r="CV158" i="23"/>
  <c r="CW158" i="23"/>
  <c r="CX158" i="23"/>
  <c r="CY158" i="23"/>
  <c r="CZ158" i="23"/>
  <c r="BJ159" i="23"/>
  <c r="BK159" i="23"/>
  <c r="BL159" i="23"/>
  <c r="BM159" i="23"/>
  <c r="BN159" i="23"/>
  <c r="BO159" i="23"/>
  <c r="BP159" i="23"/>
  <c r="BQ159" i="23"/>
  <c r="BR159" i="23"/>
  <c r="BS159" i="23"/>
  <c r="BT159" i="23"/>
  <c r="BU159" i="23"/>
  <c r="BV159" i="23"/>
  <c r="BW159" i="23"/>
  <c r="BX159" i="23"/>
  <c r="BY159" i="23"/>
  <c r="BZ159" i="23"/>
  <c r="CA159" i="23"/>
  <c r="CB159" i="23"/>
  <c r="CC159" i="23"/>
  <c r="CD159" i="23"/>
  <c r="CE159" i="23"/>
  <c r="CF159" i="23"/>
  <c r="CG159" i="23"/>
  <c r="CH159" i="23"/>
  <c r="CI159" i="23"/>
  <c r="CJ159" i="23"/>
  <c r="CK159" i="23"/>
  <c r="CL159" i="23"/>
  <c r="CM159" i="23"/>
  <c r="CN159" i="23"/>
  <c r="CO159" i="23"/>
  <c r="CP159" i="23"/>
  <c r="CQ159" i="23"/>
  <c r="CR159" i="23"/>
  <c r="CS159" i="23"/>
  <c r="CT159" i="23"/>
  <c r="CU159" i="23"/>
  <c r="CV159" i="23"/>
  <c r="CW159" i="23"/>
  <c r="CX159" i="23"/>
  <c r="CY159" i="23"/>
  <c r="CZ159" i="23"/>
  <c r="BJ160" i="23"/>
  <c r="BK160" i="23"/>
  <c r="BL160" i="23"/>
  <c r="BM160" i="23"/>
  <c r="BN160" i="23"/>
  <c r="BO160" i="23"/>
  <c r="BP160" i="23"/>
  <c r="BQ160" i="23"/>
  <c r="BR160" i="23"/>
  <c r="BS160" i="23"/>
  <c r="BT160" i="23"/>
  <c r="BU160" i="23"/>
  <c r="BV160" i="23"/>
  <c r="BW160" i="23"/>
  <c r="BX160" i="23"/>
  <c r="BY160" i="23"/>
  <c r="BZ160" i="23"/>
  <c r="CA160" i="23"/>
  <c r="CB160" i="23"/>
  <c r="CC160" i="23"/>
  <c r="CD160" i="23"/>
  <c r="CE160" i="23"/>
  <c r="CF160" i="23"/>
  <c r="CG160" i="23"/>
  <c r="CH160" i="23"/>
  <c r="CI160" i="23"/>
  <c r="CJ160" i="23"/>
  <c r="CK160" i="23"/>
  <c r="CL160" i="23"/>
  <c r="CM160" i="23"/>
  <c r="CN160" i="23"/>
  <c r="CO160" i="23"/>
  <c r="CP160" i="23"/>
  <c r="CQ160" i="23"/>
  <c r="CR160" i="23"/>
  <c r="CS160" i="23"/>
  <c r="CT160" i="23"/>
  <c r="CU160" i="23"/>
  <c r="CV160" i="23"/>
  <c r="CW160" i="23"/>
  <c r="CX160" i="23"/>
  <c r="CY160" i="23"/>
  <c r="CZ160" i="23"/>
  <c r="BJ161" i="23"/>
  <c r="BK161" i="23"/>
  <c r="BL161" i="23"/>
  <c r="BM161" i="23"/>
  <c r="BN161" i="23"/>
  <c r="BO161" i="23"/>
  <c r="BP161" i="23"/>
  <c r="BQ161" i="23"/>
  <c r="BR161" i="23"/>
  <c r="BS161" i="23"/>
  <c r="BT161" i="23"/>
  <c r="BU161" i="23"/>
  <c r="BV161" i="23"/>
  <c r="BW161" i="23"/>
  <c r="BX161" i="23"/>
  <c r="BY161" i="23"/>
  <c r="BZ161" i="23"/>
  <c r="CA161" i="23"/>
  <c r="CB161" i="23"/>
  <c r="CC161" i="23"/>
  <c r="CD161" i="23"/>
  <c r="CE161" i="23"/>
  <c r="CF161" i="23"/>
  <c r="CG161" i="23"/>
  <c r="CH161" i="23"/>
  <c r="CI161" i="23"/>
  <c r="CJ161" i="23"/>
  <c r="CK161" i="23"/>
  <c r="CL161" i="23"/>
  <c r="CM161" i="23"/>
  <c r="CN161" i="23"/>
  <c r="CO161" i="23"/>
  <c r="CP161" i="23"/>
  <c r="CQ161" i="23"/>
  <c r="CR161" i="23"/>
  <c r="CS161" i="23"/>
  <c r="CT161" i="23"/>
  <c r="CU161" i="23"/>
  <c r="CV161" i="23"/>
  <c r="CW161" i="23"/>
  <c r="CX161" i="23"/>
  <c r="CY161" i="23"/>
  <c r="CZ161" i="23"/>
  <c r="BJ162" i="23"/>
  <c r="BK162" i="23"/>
  <c r="BL162" i="23"/>
  <c r="BM162" i="23"/>
  <c r="BN162" i="23"/>
  <c r="BO162" i="23"/>
  <c r="BP162" i="23"/>
  <c r="BQ162" i="23"/>
  <c r="BR162" i="23"/>
  <c r="BS162" i="23"/>
  <c r="BT162" i="23"/>
  <c r="BU162" i="23"/>
  <c r="BV162" i="23"/>
  <c r="BW162" i="23"/>
  <c r="BX162" i="23"/>
  <c r="BY162" i="23"/>
  <c r="BZ162" i="23"/>
  <c r="CA162" i="23"/>
  <c r="CB162" i="23"/>
  <c r="CC162" i="23"/>
  <c r="CD162" i="23"/>
  <c r="CE162" i="23"/>
  <c r="CF162" i="23"/>
  <c r="CG162" i="23"/>
  <c r="CH162" i="23"/>
  <c r="CI162" i="23"/>
  <c r="CJ162" i="23"/>
  <c r="CK162" i="23"/>
  <c r="CL162" i="23"/>
  <c r="CM162" i="23"/>
  <c r="CN162" i="23"/>
  <c r="CO162" i="23"/>
  <c r="CP162" i="23"/>
  <c r="CQ162" i="23"/>
  <c r="CR162" i="23"/>
  <c r="CS162" i="23"/>
  <c r="CT162" i="23"/>
  <c r="CU162" i="23"/>
  <c r="CV162" i="23"/>
  <c r="CW162" i="23"/>
  <c r="CX162" i="23"/>
  <c r="CY162" i="23"/>
  <c r="CZ162" i="23"/>
  <c r="BJ163" i="23"/>
  <c r="BK163" i="23"/>
  <c r="BL163" i="23"/>
  <c r="BM163" i="23"/>
  <c r="BN163" i="23"/>
  <c r="BO163" i="23"/>
  <c r="BP163" i="23"/>
  <c r="BQ163" i="23"/>
  <c r="BR163" i="23"/>
  <c r="BS163" i="23"/>
  <c r="BT163" i="23"/>
  <c r="BU163" i="23"/>
  <c r="BV163" i="23"/>
  <c r="BW163" i="23"/>
  <c r="BX163" i="23"/>
  <c r="BY163" i="23"/>
  <c r="BZ163" i="23"/>
  <c r="CA163" i="23"/>
  <c r="CB163" i="23"/>
  <c r="CC163" i="23"/>
  <c r="CD163" i="23"/>
  <c r="CE163" i="23"/>
  <c r="CF163" i="23"/>
  <c r="CG163" i="23"/>
  <c r="CH163" i="23"/>
  <c r="CI163" i="23"/>
  <c r="CJ163" i="23"/>
  <c r="CK163" i="23"/>
  <c r="CL163" i="23"/>
  <c r="CM163" i="23"/>
  <c r="CN163" i="23"/>
  <c r="CO163" i="23"/>
  <c r="CP163" i="23"/>
  <c r="CQ163" i="23"/>
  <c r="CR163" i="23"/>
  <c r="CS163" i="23"/>
  <c r="CT163" i="23"/>
  <c r="CU163" i="23"/>
  <c r="CV163" i="23"/>
  <c r="CW163" i="23"/>
  <c r="CX163" i="23"/>
  <c r="CY163" i="23"/>
  <c r="CZ163" i="23"/>
  <c r="BJ164" i="23"/>
  <c r="BK164" i="23"/>
  <c r="BL164" i="23"/>
  <c r="BM164" i="23"/>
  <c r="BN164" i="23"/>
  <c r="BO164" i="23"/>
  <c r="BP164" i="23"/>
  <c r="BQ164" i="23"/>
  <c r="BR164" i="23"/>
  <c r="BS164" i="23"/>
  <c r="BT164" i="23"/>
  <c r="BU164" i="23"/>
  <c r="BV164" i="23"/>
  <c r="BW164" i="23"/>
  <c r="BX164" i="23"/>
  <c r="BY164" i="23"/>
  <c r="BZ164" i="23"/>
  <c r="CA164" i="23"/>
  <c r="CB164" i="23"/>
  <c r="CC164" i="23"/>
  <c r="CD164" i="23"/>
  <c r="CE164" i="23"/>
  <c r="CF164" i="23"/>
  <c r="CG164" i="23"/>
  <c r="CH164" i="23"/>
  <c r="CI164" i="23"/>
  <c r="CJ164" i="23"/>
  <c r="CK164" i="23"/>
  <c r="CL164" i="23"/>
  <c r="CM164" i="23"/>
  <c r="CN164" i="23"/>
  <c r="CO164" i="23"/>
  <c r="CP164" i="23"/>
  <c r="CQ164" i="23"/>
  <c r="CR164" i="23"/>
  <c r="CS164" i="23"/>
  <c r="CT164" i="23"/>
  <c r="CU164" i="23"/>
  <c r="CV164" i="23"/>
  <c r="CW164" i="23"/>
  <c r="CX164" i="23"/>
  <c r="CY164" i="23"/>
  <c r="CZ164" i="23"/>
  <c r="BJ165" i="23"/>
  <c r="BK165" i="23"/>
  <c r="BL165" i="23"/>
  <c r="BM165" i="23"/>
  <c r="BN165" i="23"/>
  <c r="BO165" i="23"/>
  <c r="BP165" i="23"/>
  <c r="BQ165" i="23"/>
  <c r="BR165" i="23"/>
  <c r="BS165" i="23"/>
  <c r="BT165" i="23"/>
  <c r="BU165" i="23"/>
  <c r="BV165" i="23"/>
  <c r="BW165" i="23"/>
  <c r="BX165" i="23"/>
  <c r="BY165" i="23"/>
  <c r="BZ165" i="23"/>
  <c r="CA165" i="23"/>
  <c r="CB165" i="23"/>
  <c r="CC165" i="23"/>
  <c r="CD165" i="23"/>
  <c r="CE165" i="23"/>
  <c r="CF165" i="23"/>
  <c r="CG165" i="23"/>
  <c r="CH165" i="23"/>
  <c r="CI165" i="23"/>
  <c r="CJ165" i="23"/>
  <c r="CK165" i="23"/>
  <c r="CL165" i="23"/>
  <c r="CM165" i="23"/>
  <c r="CN165" i="23"/>
  <c r="CO165" i="23"/>
  <c r="CP165" i="23"/>
  <c r="CQ165" i="23"/>
  <c r="CR165" i="23"/>
  <c r="CS165" i="23"/>
  <c r="CT165" i="23"/>
  <c r="CU165" i="23"/>
  <c r="CV165" i="23"/>
  <c r="CW165" i="23"/>
  <c r="CX165" i="23"/>
  <c r="CY165" i="23"/>
  <c r="CZ165" i="23"/>
  <c r="BJ166" i="23"/>
  <c r="BK166" i="23"/>
  <c r="BL166" i="23"/>
  <c r="BM166" i="23"/>
  <c r="BN166" i="23"/>
  <c r="BO166" i="23"/>
  <c r="BP166" i="23"/>
  <c r="BQ166" i="23"/>
  <c r="BR166" i="23"/>
  <c r="BS166" i="23"/>
  <c r="BT166" i="23"/>
  <c r="BU166" i="23"/>
  <c r="BV166" i="23"/>
  <c r="BW166" i="23"/>
  <c r="BX166" i="23"/>
  <c r="BY166" i="23"/>
  <c r="BZ166" i="23"/>
  <c r="CA166" i="23"/>
  <c r="CB166" i="23"/>
  <c r="CC166" i="23"/>
  <c r="CD166" i="23"/>
  <c r="CE166" i="23"/>
  <c r="CF166" i="23"/>
  <c r="CG166" i="23"/>
  <c r="CH166" i="23"/>
  <c r="CI166" i="23"/>
  <c r="CJ166" i="23"/>
  <c r="CK166" i="23"/>
  <c r="CL166" i="23"/>
  <c r="CM166" i="23"/>
  <c r="CN166" i="23"/>
  <c r="CO166" i="23"/>
  <c r="CP166" i="23"/>
  <c r="CQ166" i="23"/>
  <c r="CR166" i="23"/>
  <c r="CS166" i="23"/>
  <c r="CT166" i="23"/>
  <c r="CU166" i="23"/>
  <c r="CV166" i="23"/>
  <c r="CW166" i="23"/>
  <c r="CX166" i="23"/>
  <c r="CY166" i="23"/>
  <c r="CZ166" i="23"/>
  <c r="BJ167" i="23"/>
  <c r="BK167" i="23"/>
  <c r="BL167" i="23"/>
  <c r="BM167" i="23"/>
  <c r="BN167" i="23"/>
  <c r="BO167" i="23"/>
  <c r="BP167" i="23"/>
  <c r="BQ167" i="23"/>
  <c r="BR167" i="23"/>
  <c r="BS167" i="23"/>
  <c r="BT167" i="23"/>
  <c r="BU167" i="23"/>
  <c r="BV167" i="23"/>
  <c r="BW167" i="23"/>
  <c r="BX167" i="23"/>
  <c r="BY167" i="23"/>
  <c r="BZ167" i="23"/>
  <c r="CA167" i="23"/>
  <c r="CB167" i="23"/>
  <c r="CC167" i="23"/>
  <c r="CD167" i="23"/>
  <c r="CE167" i="23"/>
  <c r="CF167" i="23"/>
  <c r="CG167" i="23"/>
  <c r="CH167" i="23"/>
  <c r="CI167" i="23"/>
  <c r="CJ167" i="23"/>
  <c r="CK167" i="23"/>
  <c r="CL167" i="23"/>
  <c r="CM167" i="23"/>
  <c r="CN167" i="23"/>
  <c r="CO167" i="23"/>
  <c r="CP167" i="23"/>
  <c r="CQ167" i="23"/>
  <c r="CR167" i="23"/>
  <c r="CS167" i="23"/>
  <c r="CT167" i="23"/>
  <c r="CU167" i="23"/>
  <c r="CV167" i="23"/>
  <c r="CW167" i="23"/>
  <c r="CX167" i="23"/>
  <c r="CY167" i="23"/>
  <c r="CZ167" i="23"/>
  <c r="BJ168" i="23"/>
  <c r="BK168" i="23"/>
  <c r="BL168" i="23"/>
  <c r="BM168" i="23"/>
  <c r="BN168" i="23"/>
  <c r="BO168" i="23"/>
  <c r="BP168" i="23"/>
  <c r="BQ168" i="23"/>
  <c r="BR168" i="23"/>
  <c r="BS168" i="23"/>
  <c r="BT168" i="23"/>
  <c r="BU168" i="23"/>
  <c r="BV168" i="23"/>
  <c r="BW168" i="23"/>
  <c r="BX168" i="23"/>
  <c r="BY168" i="23"/>
  <c r="BZ168" i="23"/>
  <c r="CA168" i="23"/>
  <c r="CB168" i="23"/>
  <c r="CC168" i="23"/>
  <c r="CD168" i="23"/>
  <c r="CE168" i="23"/>
  <c r="CF168" i="23"/>
  <c r="CG168" i="23"/>
  <c r="CH168" i="23"/>
  <c r="CI168" i="23"/>
  <c r="CJ168" i="23"/>
  <c r="CK168" i="23"/>
  <c r="CL168" i="23"/>
  <c r="CM168" i="23"/>
  <c r="CN168" i="23"/>
  <c r="CO168" i="23"/>
  <c r="CP168" i="23"/>
  <c r="CQ168" i="23"/>
  <c r="CR168" i="23"/>
  <c r="CS168" i="23"/>
  <c r="CT168" i="23"/>
  <c r="CU168" i="23"/>
  <c r="CV168" i="23"/>
  <c r="CW168" i="23"/>
  <c r="CX168" i="23"/>
  <c r="CY168" i="23"/>
  <c r="CZ168" i="23"/>
  <c r="BJ169" i="23"/>
  <c r="BK169" i="23"/>
  <c r="BL169" i="23"/>
  <c r="BM169" i="23"/>
  <c r="BN169" i="23"/>
  <c r="BO169" i="23"/>
  <c r="BP169" i="23"/>
  <c r="BQ169" i="23"/>
  <c r="BR169" i="23"/>
  <c r="BS169" i="23"/>
  <c r="BT169" i="23"/>
  <c r="BU169" i="23"/>
  <c r="BV169" i="23"/>
  <c r="BW169" i="23"/>
  <c r="BX169" i="23"/>
  <c r="BY169" i="23"/>
  <c r="BZ169" i="23"/>
  <c r="CA169" i="23"/>
  <c r="CB169" i="23"/>
  <c r="CC169" i="23"/>
  <c r="CD169" i="23"/>
  <c r="CE169" i="23"/>
  <c r="CF169" i="23"/>
  <c r="CG169" i="23"/>
  <c r="CH169" i="23"/>
  <c r="CI169" i="23"/>
  <c r="CJ169" i="23"/>
  <c r="CK169" i="23"/>
  <c r="CL169" i="23"/>
  <c r="CM169" i="23"/>
  <c r="CN169" i="23"/>
  <c r="CO169" i="23"/>
  <c r="CP169" i="23"/>
  <c r="CQ169" i="23"/>
  <c r="CR169" i="23"/>
  <c r="CS169" i="23"/>
  <c r="CT169" i="23"/>
  <c r="CU169" i="23"/>
  <c r="CV169" i="23"/>
  <c r="CW169" i="23"/>
  <c r="CX169" i="23"/>
  <c r="CY169" i="23"/>
  <c r="CZ169" i="23"/>
  <c r="BJ170" i="23"/>
  <c r="BK170" i="23"/>
  <c r="BL170" i="23"/>
  <c r="BM170" i="23"/>
  <c r="BN170" i="23"/>
  <c r="BO170" i="23"/>
  <c r="BP170" i="23"/>
  <c r="BQ170" i="23"/>
  <c r="BR170" i="23"/>
  <c r="BS170" i="23"/>
  <c r="BT170" i="23"/>
  <c r="BU170" i="23"/>
  <c r="BV170" i="23"/>
  <c r="BW170" i="23"/>
  <c r="BX170" i="23"/>
  <c r="BY170" i="23"/>
  <c r="BZ170" i="23"/>
  <c r="CA170" i="23"/>
  <c r="CB170" i="23"/>
  <c r="CC170" i="23"/>
  <c r="CD170" i="23"/>
  <c r="CE170" i="23"/>
  <c r="CF170" i="23"/>
  <c r="CG170" i="23"/>
  <c r="CH170" i="23"/>
  <c r="CI170" i="23"/>
  <c r="CJ170" i="23"/>
  <c r="CK170" i="23"/>
  <c r="CL170" i="23"/>
  <c r="CM170" i="23"/>
  <c r="CN170" i="23"/>
  <c r="CO170" i="23"/>
  <c r="CP170" i="23"/>
  <c r="CQ170" i="23"/>
  <c r="CR170" i="23"/>
  <c r="CS170" i="23"/>
  <c r="CT170" i="23"/>
  <c r="CU170" i="23"/>
  <c r="CV170" i="23"/>
  <c r="CW170" i="23"/>
  <c r="CX170" i="23"/>
  <c r="CY170" i="23"/>
  <c r="CZ170" i="23"/>
  <c r="BJ171" i="23"/>
  <c r="BK171" i="23"/>
  <c r="BL171" i="23"/>
  <c r="BM171" i="23"/>
  <c r="BN171" i="23"/>
  <c r="BO171" i="23"/>
  <c r="BP171" i="23"/>
  <c r="BQ171" i="23"/>
  <c r="BR171" i="23"/>
  <c r="BS171" i="23"/>
  <c r="BT171" i="23"/>
  <c r="BU171" i="23"/>
  <c r="BV171" i="23"/>
  <c r="BW171" i="23"/>
  <c r="BX171" i="23"/>
  <c r="BY171" i="23"/>
  <c r="BZ171" i="23"/>
  <c r="CA171" i="23"/>
  <c r="CB171" i="23"/>
  <c r="CC171" i="23"/>
  <c r="CD171" i="23"/>
  <c r="CE171" i="23"/>
  <c r="CF171" i="23"/>
  <c r="CG171" i="23"/>
  <c r="CH171" i="23"/>
  <c r="CI171" i="23"/>
  <c r="CJ171" i="23"/>
  <c r="CK171" i="23"/>
  <c r="CL171" i="23"/>
  <c r="CM171" i="23"/>
  <c r="CN171" i="23"/>
  <c r="CO171" i="23"/>
  <c r="CP171" i="23"/>
  <c r="CQ171" i="23"/>
  <c r="CR171" i="23"/>
  <c r="CS171" i="23"/>
  <c r="CT171" i="23"/>
  <c r="CU171" i="23"/>
  <c r="CV171" i="23"/>
  <c r="CW171" i="23"/>
  <c r="CX171" i="23"/>
  <c r="CY171" i="23"/>
  <c r="CZ171" i="23"/>
  <c r="BJ172" i="23"/>
  <c r="BK172" i="23"/>
  <c r="BL172" i="23"/>
  <c r="BM172" i="23"/>
  <c r="BN172" i="23"/>
  <c r="BO172" i="23"/>
  <c r="BP172" i="23"/>
  <c r="BQ172" i="23"/>
  <c r="BR172" i="23"/>
  <c r="BS172" i="23"/>
  <c r="BT172" i="23"/>
  <c r="BU172" i="23"/>
  <c r="BV172" i="23"/>
  <c r="BW172" i="23"/>
  <c r="BX172" i="23"/>
  <c r="BY172" i="23"/>
  <c r="BZ172" i="23"/>
  <c r="CA172" i="23"/>
  <c r="CB172" i="23"/>
  <c r="CC172" i="23"/>
  <c r="CD172" i="23"/>
  <c r="CE172" i="23"/>
  <c r="CF172" i="23"/>
  <c r="CG172" i="23"/>
  <c r="CH172" i="23"/>
  <c r="CI172" i="23"/>
  <c r="CJ172" i="23"/>
  <c r="CK172" i="23"/>
  <c r="CL172" i="23"/>
  <c r="CM172" i="23"/>
  <c r="CN172" i="23"/>
  <c r="CO172" i="23"/>
  <c r="CP172" i="23"/>
  <c r="CQ172" i="23"/>
  <c r="CR172" i="23"/>
  <c r="CS172" i="23"/>
  <c r="CT172" i="23"/>
  <c r="CU172" i="23"/>
  <c r="CV172" i="23"/>
  <c r="CW172" i="23"/>
  <c r="CX172" i="23"/>
  <c r="CY172" i="23"/>
  <c r="CZ172" i="23"/>
  <c r="BJ173" i="23"/>
  <c r="BK173" i="23"/>
  <c r="BL173" i="23"/>
  <c r="BM173" i="23"/>
  <c r="BN173" i="23"/>
  <c r="BO173" i="23"/>
  <c r="BP173" i="23"/>
  <c r="BQ173" i="23"/>
  <c r="BR173" i="23"/>
  <c r="BS173" i="23"/>
  <c r="BT173" i="23"/>
  <c r="BU173" i="23"/>
  <c r="BV173" i="23"/>
  <c r="BW173" i="23"/>
  <c r="BX173" i="23"/>
  <c r="BY173" i="23"/>
  <c r="BZ173" i="23"/>
  <c r="CA173" i="23"/>
  <c r="CB173" i="23"/>
  <c r="CC173" i="23"/>
  <c r="CD173" i="23"/>
  <c r="CE173" i="23"/>
  <c r="CF173" i="23"/>
  <c r="CG173" i="23"/>
  <c r="CH173" i="23"/>
  <c r="CI173" i="23"/>
  <c r="CJ173" i="23"/>
  <c r="CK173" i="23"/>
  <c r="CL173" i="23"/>
  <c r="CM173" i="23"/>
  <c r="CN173" i="23"/>
  <c r="CO173" i="23"/>
  <c r="CP173" i="23"/>
  <c r="CQ173" i="23"/>
  <c r="CR173" i="23"/>
  <c r="CS173" i="23"/>
  <c r="CT173" i="23"/>
  <c r="CU173" i="23"/>
  <c r="CV173" i="23"/>
  <c r="CW173" i="23"/>
  <c r="CX173" i="23"/>
  <c r="CY173" i="23"/>
  <c r="CZ173" i="23"/>
  <c r="BJ174" i="23"/>
  <c r="BK174" i="23"/>
  <c r="BL174" i="23"/>
  <c r="BM174" i="23"/>
  <c r="BN174" i="23"/>
  <c r="BO174" i="23"/>
  <c r="BP174" i="23"/>
  <c r="BQ174" i="23"/>
  <c r="BR174" i="23"/>
  <c r="BS174" i="23"/>
  <c r="BT174" i="23"/>
  <c r="BU174" i="23"/>
  <c r="BV174" i="23"/>
  <c r="BW174" i="23"/>
  <c r="BX174" i="23"/>
  <c r="BY174" i="23"/>
  <c r="BZ174" i="23"/>
  <c r="CA174" i="23"/>
  <c r="CB174" i="23"/>
  <c r="CC174" i="23"/>
  <c r="CD174" i="23"/>
  <c r="CE174" i="23"/>
  <c r="CF174" i="23"/>
  <c r="CG174" i="23"/>
  <c r="CH174" i="23"/>
  <c r="CI174" i="23"/>
  <c r="CJ174" i="23"/>
  <c r="CK174" i="23"/>
  <c r="CL174" i="23"/>
  <c r="CM174" i="23"/>
  <c r="CN174" i="23"/>
  <c r="CO174" i="23"/>
  <c r="CP174" i="23"/>
  <c r="CQ174" i="23"/>
  <c r="CR174" i="23"/>
  <c r="CS174" i="23"/>
  <c r="CT174" i="23"/>
  <c r="CU174" i="23"/>
  <c r="CV174" i="23"/>
  <c r="CW174" i="23"/>
  <c r="CX174" i="23"/>
  <c r="CY174" i="23"/>
  <c r="CZ174" i="23"/>
  <c r="BJ175" i="23"/>
  <c r="BK175" i="23"/>
  <c r="BL175" i="23"/>
  <c r="BM175" i="23"/>
  <c r="BN175" i="23"/>
  <c r="BO175" i="23"/>
  <c r="BP175" i="23"/>
  <c r="BQ175" i="23"/>
  <c r="BR175" i="23"/>
  <c r="BS175" i="23"/>
  <c r="BT175" i="23"/>
  <c r="BU175" i="23"/>
  <c r="BV175" i="23"/>
  <c r="BW175" i="23"/>
  <c r="BX175" i="23"/>
  <c r="BY175" i="23"/>
  <c r="BZ175" i="23"/>
  <c r="CA175" i="23"/>
  <c r="CB175" i="23"/>
  <c r="CC175" i="23"/>
  <c r="CD175" i="23"/>
  <c r="CE175" i="23"/>
  <c r="CF175" i="23"/>
  <c r="CG175" i="23"/>
  <c r="CH175" i="23"/>
  <c r="CI175" i="23"/>
  <c r="CJ175" i="23"/>
  <c r="CK175" i="23"/>
  <c r="CL175" i="23"/>
  <c r="CM175" i="23"/>
  <c r="CN175" i="23"/>
  <c r="CO175" i="23"/>
  <c r="CP175" i="23"/>
  <c r="CQ175" i="23"/>
  <c r="CR175" i="23"/>
  <c r="CS175" i="23"/>
  <c r="CT175" i="23"/>
  <c r="CU175" i="23"/>
  <c r="CV175" i="23"/>
  <c r="CW175" i="23"/>
  <c r="CX175" i="23"/>
  <c r="CY175" i="23"/>
  <c r="CZ175" i="23"/>
  <c r="BJ176" i="23"/>
  <c r="BK176" i="23"/>
  <c r="BL176" i="23"/>
  <c r="BM176" i="23"/>
  <c r="BN176" i="23"/>
  <c r="BO176" i="23"/>
  <c r="BP176" i="23"/>
  <c r="BQ176" i="23"/>
  <c r="BR176" i="23"/>
  <c r="BS176" i="23"/>
  <c r="BT176" i="23"/>
  <c r="BU176" i="23"/>
  <c r="BV176" i="23"/>
  <c r="BW176" i="23"/>
  <c r="BX176" i="23"/>
  <c r="BY176" i="23"/>
  <c r="BZ176" i="23"/>
  <c r="CA176" i="23"/>
  <c r="CB176" i="23"/>
  <c r="CC176" i="23"/>
  <c r="CD176" i="23"/>
  <c r="CE176" i="23"/>
  <c r="CF176" i="23"/>
  <c r="CG176" i="23"/>
  <c r="CH176" i="23"/>
  <c r="CI176" i="23"/>
  <c r="CJ176" i="23"/>
  <c r="CK176" i="23"/>
  <c r="CL176" i="23"/>
  <c r="CM176" i="23"/>
  <c r="CN176" i="23"/>
  <c r="CO176" i="23"/>
  <c r="CP176" i="23"/>
  <c r="CQ176" i="23"/>
  <c r="CR176" i="23"/>
  <c r="CS176" i="23"/>
  <c r="CT176" i="23"/>
  <c r="CU176" i="23"/>
  <c r="CV176" i="23"/>
  <c r="CW176" i="23"/>
  <c r="CX176" i="23"/>
  <c r="CY176" i="23"/>
  <c r="CZ176" i="23"/>
  <c r="BJ177" i="23"/>
  <c r="BK177" i="23"/>
  <c r="BL177" i="23"/>
  <c r="BM177" i="23"/>
  <c r="BN177" i="23"/>
  <c r="BO177" i="23"/>
  <c r="BP177" i="23"/>
  <c r="BQ177" i="23"/>
  <c r="BR177" i="23"/>
  <c r="BS177" i="23"/>
  <c r="BT177" i="23"/>
  <c r="BU177" i="23"/>
  <c r="BV177" i="23"/>
  <c r="BW177" i="23"/>
  <c r="BX177" i="23"/>
  <c r="BY177" i="23"/>
  <c r="BZ177" i="23"/>
  <c r="CA177" i="23"/>
  <c r="CB177" i="23"/>
  <c r="CC177" i="23"/>
  <c r="CD177" i="23"/>
  <c r="CE177" i="23"/>
  <c r="CF177" i="23"/>
  <c r="CG177" i="23"/>
  <c r="CH177" i="23"/>
  <c r="CI177" i="23"/>
  <c r="CJ177" i="23"/>
  <c r="CK177" i="23"/>
  <c r="CL177" i="23"/>
  <c r="CM177" i="23"/>
  <c r="CN177" i="23"/>
  <c r="CO177" i="23"/>
  <c r="CP177" i="23"/>
  <c r="CQ177" i="23"/>
  <c r="CR177" i="23"/>
  <c r="CS177" i="23"/>
  <c r="CT177" i="23"/>
  <c r="CU177" i="23"/>
  <c r="CV177" i="23"/>
  <c r="CW177" i="23"/>
  <c r="CX177" i="23"/>
  <c r="CY177" i="23"/>
  <c r="CZ177" i="23"/>
  <c r="BJ178" i="23"/>
  <c r="BK178" i="23"/>
  <c r="BL178" i="23"/>
  <c r="BM178" i="23"/>
  <c r="BN178" i="23"/>
  <c r="BO178" i="23"/>
  <c r="BP178" i="23"/>
  <c r="BQ178" i="23"/>
  <c r="BR178" i="23"/>
  <c r="BS178" i="23"/>
  <c r="BT178" i="23"/>
  <c r="BU178" i="23"/>
  <c r="BV178" i="23"/>
  <c r="BW178" i="23"/>
  <c r="BX178" i="23"/>
  <c r="BY178" i="23"/>
  <c r="BZ178" i="23"/>
  <c r="CA178" i="23"/>
  <c r="CB178" i="23"/>
  <c r="CC178" i="23"/>
  <c r="CD178" i="23"/>
  <c r="CE178" i="23"/>
  <c r="CF178" i="23"/>
  <c r="CG178" i="23"/>
  <c r="CH178" i="23"/>
  <c r="CI178" i="23"/>
  <c r="CJ178" i="23"/>
  <c r="CK178" i="23"/>
  <c r="CL178" i="23"/>
  <c r="CM178" i="23"/>
  <c r="CN178" i="23"/>
  <c r="CO178" i="23"/>
  <c r="CP178" i="23"/>
  <c r="CQ178" i="23"/>
  <c r="CR178" i="23"/>
  <c r="CS178" i="23"/>
  <c r="CT178" i="23"/>
  <c r="CU178" i="23"/>
  <c r="CV178" i="23"/>
  <c r="CW178" i="23"/>
  <c r="CX178" i="23"/>
  <c r="CY178" i="23"/>
  <c r="CZ178" i="23"/>
  <c r="BJ179" i="23"/>
  <c r="BK179" i="23"/>
  <c r="BL179" i="23"/>
  <c r="BM179" i="23"/>
  <c r="BN179" i="23"/>
  <c r="BO179" i="23"/>
  <c r="BP179" i="23"/>
  <c r="BQ179" i="23"/>
  <c r="BR179" i="23"/>
  <c r="BS179" i="23"/>
  <c r="BT179" i="23"/>
  <c r="BU179" i="23"/>
  <c r="BV179" i="23"/>
  <c r="BW179" i="23"/>
  <c r="BX179" i="23"/>
  <c r="BY179" i="23"/>
  <c r="BZ179" i="23"/>
  <c r="CA179" i="23"/>
  <c r="CB179" i="23"/>
  <c r="CC179" i="23"/>
  <c r="CD179" i="23"/>
  <c r="CE179" i="23"/>
  <c r="CF179" i="23"/>
  <c r="CG179" i="23"/>
  <c r="CH179" i="23"/>
  <c r="CI179" i="23"/>
  <c r="CJ179" i="23"/>
  <c r="CK179" i="23"/>
  <c r="CL179" i="23"/>
  <c r="CM179" i="23"/>
  <c r="CN179" i="23"/>
  <c r="CO179" i="23"/>
  <c r="CP179" i="23"/>
  <c r="CQ179" i="23"/>
  <c r="CR179" i="23"/>
  <c r="CS179" i="23"/>
  <c r="CT179" i="23"/>
  <c r="CU179" i="23"/>
  <c r="CV179" i="23"/>
  <c r="CW179" i="23"/>
  <c r="CX179" i="23"/>
  <c r="CY179" i="23"/>
  <c r="CZ179" i="23"/>
  <c r="BJ180" i="23"/>
  <c r="BK180" i="23"/>
  <c r="BL180" i="23"/>
  <c r="BM180" i="23"/>
  <c r="BN180" i="23"/>
  <c r="BO180" i="23"/>
  <c r="BP180" i="23"/>
  <c r="BQ180" i="23"/>
  <c r="BR180" i="23"/>
  <c r="BS180" i="23"/>
  <c r="BT180" i="23"/>
  <c r="BU180" i="23"/>
  <c r="BV180" i="23"/>
  <c r="BW180" i="23"/>
  <c r="BX180" i="23"/>
  <c r="BY180" i="23"/>
  <c r="BZ180" i="23"/>
  <c r="CA180" i="23"/>
  <c r="CB180" i="23"/>
  <c r="CC180" i="23"/>
  <c r="CD180" i="23"/>
  <c r="CE180" i="23"/>
  <c r="CF180" i="23"/>
  <c r="CG180" i="23"/>
  <c r="CH180" i="23"/>
  <c r="CI180" i="23"/>
  <c r="CJ180" i="23"/>
  <c r="CK180" i="23"/>
  <c r="CL180" i="23"/>
  <c r="CM180" i="23"/>
  <c r="CN180" i="23"/>
  <c r="CO180" i="23"/>
  <c r="CP180" i="23"/>
  <c r="CQ180" i="23"/>
  <c r="CR180" i="23"/>
  <c r="CS180" i="23"/>
  <c r="CT180" i="23"/>
  <c r="CU180" i="23"/>
  <c r="CV180" i="23"/>
  <c r="CW180" i="23"/>
  <c r="CX180" i="23"/>
  <c r="CY180" i="23"/>
  <c r="CZ180" i="23"/>
  <c r="BJ181" i="23"/>
  <c r="BK181" i="23"/>
  <c r="BL181" i="23"/>
  <c r="BM181" i="23"/>
  <c r="BN181" i="23"/>
  <c r="BO181" i="23"/>
  <c r="BP181" i="23"/>
  <c r="BQ181" i="23"/>
  <c r="BR181" i="23"/>
  <c r="BS181" i="23"/>
  <c r="BT181" i="23"/>
  <c r="BU181" i="23"/>
  <c r="BV181" i="23"/>
  <c r="BW181" i="23"/>
  <c r="BX181" i="23"/>
  <c r="BY181" i="23"/>
  <c r="BZ181" i="23"/>
  <c r="CA181" i="23"/>
  <c r="CB181" i="23"/>
  <c r="CC181" i="23"/>
  <c r="CD181" i="23"/>
  <c r="CE181" i="23"/>
  <c r="CF181" i="23"/>
  <c r="CG181" i="23"/>
  <c r="CH181" i="23"/>
  <c r="CI181" i="23"/>
  <c r="CJ181" i="23"/>
  <c r="CK181" i="23"/>
  <c r="CL181" i="23"/>
  <c r="CM181" i="23"/>
  <c r="CN181" i="23"/>
  <c r="CO181" i="23"/>
  <c r="CP181" i="23"/>
  <c r="CQ181" i="23"/>
  <c r="CR181" i="23"/>
  <c r="CS181" i="23"/>
  <c r="CT181" i="23"/>
  <c r="CU181" i="23"/>
  <c r="CV181" i="23"/>
  <c r="CW181" i="23"/>
  <c r="CX181" i="23"/>
  <c r="CY181" i="23"/>
  <c r="CZ181" i="23"/>
  <c r="BJ182" i="23"/>
  <c r="BK182" i="23"/>
  <c r="BL182" i="23"/>
  <c r="BM182" i="23"/>
  <c r="BN182" i="23"/>
  <c r="BO182" i="23"/>
  <c r="BP182" i="23"/>
  <c r="BQ182" i="23"/>
  <c r="BR182" i="23"/>
  <c r="BS182" i="23"/>
  <c r="BT182" i="23"/>
  <c r="BU182" i="23"/>
  <c r="BV182" i="23"/>
  <c r="BW182" i="23"/>
  <c r="BX182" i="23"/>
  <c r="BY182" i="23"/>
  <c r="BZ182" i="23"/>
  <c r="CA182" i="23"/>
  <c r="CB182" i="23"/>
  <c r="CC182" i="23"/>
  <c r="CD182" i="23"/>
  <c r="CE182" i="23"/>
  <c r="CF182" i="23"/>
  <c r="CG182" i="23"/>
  <c r="CH182" i="23"/>
  <c r="CI182" i="23"/>
  <c r="CJ182" i="23"/>
  <c r="CK182" i="23"/>
  <c r="CL182" i="23"/>
  <c r="CM182" i="23"/>
  <c r="CN182" i="23"/>
  <c r="CO182" i="23"/>
  <c r="CP182" i="23"/>
  <c r="CQ182" i="23"/>
  <c r="CR182" i="23"/>
  <c r="CS182" i="23"/>
  <c r="CT182" i="23"/>
  <c r="CU182" i="23"/>
  <c r="CV182" i="23"/>
  <c r="CW182" i="23"/>
  <c r="CX182" i="23"/>
  <c r="CY182" i="23"/>
  <c r="CZ182" i="23"/>
  <c r="BJ183" i="23"/>
  <c r="BK183" i="23"/>
  <c r="BL183" i="23"/>
  <c r="BM183" i="23"/>
  <c r="BN183" i="23"/>
  <c r="BO183" i="23"/>
  <c r="BP183" i="23"/>
  <c r="BQ183" i="23"/>
  <c r="BR183" i="23"/>
  <c r="BS183" i="23"/>
  <c r="BT183" i="23"/>
  <c r="BU183" i="23"/>
  <c r="BV183" i="23"/>
  <c r="BW183" i="23"/>
  <c r="BX183" i="23"/>
  <c r="BY183" i="23"/>
  <c r="BZ183" i="23"/>
  <c r="CA183" i="23"/>
  <c r="CB183" i="23"/>
  <c r="CC183" i="23"/>
  <c r="CD183" i="23"/>
  <c r="CE183" i="23"/>
  <c r="CF183" i="23"/>
  <c r="CG183" i="23"/>
  <c r="CH183" i="23"/>
  <c r="CI183" i="23"/>
  <c r="CJ183" i="23"/>
  <c r="CK183" i="23"/>
  <c r="CL183" i="23"/>
  <c r="CM183" i="23"/>
  <c r="CN183" i="23"/>
  <c r="CO183" i="23"/>
  <c r="CP183" i="23"/>
  <c r="CQ183" i="23"/>
  <c r="CR183" i="23"/>
  <c r="CS183" i="23"/>
  <c r="CT183" i="23"/>
  <c r="CU183" i="23"/>
  <c r="CV183" i="23"/>
  <c r="CW183" i="23"/>
  <c r="CX183" i="23"/>
  <c r="CY183" i="23"/>
  <c r="CZ183" i="23"/>
  <c r="BJ184" i="23"/>
  <c r="BK184" i="23"/>
  <c r="BL184" i="23"/>
  <c r="BM184" i="23"/>
  <c r="BN184" i="23"/>
  <c r="BO184" i="23"/>
  <c r="BP184" i="23"/>
  <c r="BQ184" i="23"/>
  <c r="BR184" i="23"/>
  <c r="BS184" i="23"/>
  <c r="BT184" i="23"/>
  <c r="BU184" i="23"/>
  <c r="BV184" i="23"/>
  <c r="BW184" i="23"/>
  <c r="BX184" i="23"/>
  <c r="BY184" i="23"/>
  <c r="BZ184" i="23"/>
  <c r="CA184" i="23"/>
  <c r="CB184" i="23"/>
  <c r="CC184" i="23"/>
  <c r="CD184" i="23"/>
  <c r="CE184" i="23"/>
  <c r="CF184" i="23"/>
  <c r="CG184" i="23"/>
  <c r="CH184" i="23"/>
  <c r="CI184" i="23"/>
  <c r="CJ184" i="23"/>
  <c r="CK184" i="23"/>
  <c r="CL184" i="23"/>
  <c r="CM184" i="23"/>
  <c r="CN184" i="23"/>
  <c r="CO184" i="23"/>
  <c r="CP184" i="23"/>
  <c r="CQ184" i="23"/>
  <c r="CR184" i="23"/>
  <c r="CS184" i="23"/>
  <c r="CT184" i="23"/>
  <c r="CU184" i="23"/>
  <c r="CV184" i="23"/>
  <c r="CW184" i="23"/>
  <c r="CX184" i="23"/>
  <c r="CY184" i="23"/>
  <c r="CZ184" i="23"/>
  <c r="BJ185" i="23"/>
  <c r="BK185" i="23"/>
  <c r="BL185" i="23"/>
  <c r="BM185" i="23"/>
  <c r="BN185" i="23"/>
  <c r="BO185" i="23"/>
  <c r="BP185" i="23"/>
  <c r="BQ185" i="23"/>
  <c r="BR185" i="23"/>
  <c r="BS185" i="23"/>
  <c r="BT185" i="23"/>
  <c r="BU185" i="23"/>
  <c r="BV185" i="23"/>
  <c r="BW185" i="23"/>
  <c r="BX185" i="23"/>
  <c r="BY185" i="23"/>
  <c r="BZ185" i="23"/>
  <c r="CA185" i="23"/>
  <c r="CB185" i="23"/>
  <c r="CC185" i="23"/>
  <c r="CD185" i="23"/>
  <c r="CE185" i="23"/>
  <c r="CF185" i="23"/>
  <c r="CG185" i="23"/>
  <c r="CH185" i="23"/>
  <c r="CI185" i="23"/>
  <c r="CJ185" i="23"/>
  <c r="CK185" i="23"/>
  <c r="CL185" i="23"/>
  <c r="CM185" i="23"/>
  <c r="CN185" i="23"/>
  <c r="CO185" i="23"/>
  <c r="CP185" i="23"/>
  <c r="CQ185" i="23"/>
  <c r="CR185" i="23"/>
  <c r="CS185" i="23"/>
  <c r="CT185" i="23"/>
  <c r="CU185" i="23"/>
  <c r="CV185" i="23"/>
  <c r="CW185" i="23"/>
  <c r="CX185" i="23"/>
  <c r="CY185" i="23"/>
  <c r="CZ185" i="23"/>
  <c r="BJ186" i="23"/>
  <c r="BK186" i="23"/>
  <c r="BL186" i="23"/>
  <c r="BM186" i="23"/>
  <c r="BN186" i="23"/>
  <c r="BO186" i="23"/>
  <c r="BP186" i="23"/>
  <c r="BQ186" i="23"/>
  <c r="BR186" i="23"/>
  <c r="BS186" i="23"/>
  <c r="BT186" i="23"/>
  <c r="BU186" i="23"/>
  <c r="BV186" i="23"/>
  <c r="BW186" i="23"/>
  <c r="BX186" i="23"/>
  <c r="BY186" i="23"/>
  <c r="BZ186" i="23"/>
  <c r="CA186" i="23"/>
  <c r="CB186" i="23"/>
  <c r="CC186" i="23"/>
  <c r="CD186" i="23"/>
  <c r="CE186" i="23"/>
  <c r="CF186" i="23"/>
  <c r="CG186" i="23"/>
  <c r="CH186" i="23"/>
  <c r="CI186" i="23"/>
  <c r="CJ186" i="23"/>
  <c r="CK186" i="23"/>
  <c r="CL186" i="23"/>
  <c r="CM186" i="23"/>
  <c r="CN186" i="23"/>
  <c r="CO186" i="23"/>
  <c r="CP186" i="23"/>
  <c r="CQ186" i="23"/>
  <c r="CR186" i="23"/>
  <c r="CS186" i="23"/>
  <c r="CT186" i="23"/>
  <c r="CU186" i="23"/>
  <c r="CV186" i="23"/>
  <c r="CW186" i="23"/>
  <c r="CX186" i="23"/>
  <c r="CY186" i="23"/>
  <c r="CZ186" i="23"/>
  <c r="BJ187" i="23"/>
  <c r="BK187" i="23"/>
  <c r="BL187" i="23"/>
  <c r="BM187" i="23"/>
  <c r="BN187" i="23"/>
  <c r="BO187" i="23"/>
  <c r="BP187" i="23"/>
  <c r="BQ187" i="23"/>
  <c r="BR187" i="23"/>
  <c r="BS187" i="23"/>
  <c r="BT187" i="23"/>
  <c r="BU187" i="23"/>
  <c r="BV187" i="23"/>
  <c r="BW187" i="23"/>
  <c r="BX187" i="23"/>
  <c r="BY187" i="23"/>
  <c r="BZ187" i="23"/>
  <c r="CA187" i="23"/>
  <c r="CB187" i="23"/>
  <c r="CC187" i="23"/>
  <c r="CD187" i="23"/>
  <c r="CE187" i="23"/>
  <c r="CF187" i="23"/>
  <c r="CG187" i="23"/>
  <c r="CH187" i="23"/>
  <c r="CI187" i="23"/>
  <c r="CJ187" i="23"/>
  <c r="CK187" i="23"/>
  <c r="CL187" i="23"/>
  <c r="CM187" i="23"/>
  <c r="CN187" i="23"/>
  <c r="CO187" i="23"/>
  <c r="CP187" i="23"/>
  <c r="CQ187" i="23"/>
  <c r="CR187" i="23"/>
  <c r="CS187" i="23"/>
  <c r="CT187" i="23"/>
  <c r="CU187" i="23"/>
  <c r="CV187" i="23"/>
  <c r="CW187" i="23"/>
  <c r="CX187" i="23"/>
  <c r="CY187" i="23"/>
  <c r="CZ187" i="23"/>
  <c r="BJ188" i="23"/>
  <c r="BK188" i="23"/>
  <c r="BL188" i="23"/>
  <c r="BM188" i="23"/>
  <c r="BN188" i="23"/>
  <c r="BO188" i="23"/>
  <c r="BP188" i="23"/>
  <c r="BQ188" i="23"/>
  <c r="BR188" i="23"/>
  <c r="BS188" i="23"/>
  <c r="BT188" i="23"/>
  <c r="BU188" i="23"/>
  <c r="BV188" i="23"/>
  <c r="BW188" i="23"/>
  <c r="BX188" i="23"/>
  <c r="BY188" i="23"/>
  <c r="BZ188" i="23"/>
  <c r="CA188" i="23"/>
  <c r="CB188" i="23"/>
  <c r="CC188" i="23"/>
  <c r="CD188" i="23"/>
  <c r="CE188" i="23"/>
  <c r="CF188" i="23"/>
  <c r="CG188" i="23"/>
  <c r="CH188" i="23"/>
  <c r="CI188" i="23"/>
  <c r="CJ188" i="23"/>
  <c r="CK188" i="23"/>
  <c r="CL188" i="23"/>
  <c r="CM188" i="23"/>
  <c r="CN188" i="23"/>
  <c r="CO188" i="23"/>
  <c r="CP188" i="23"/>
  <c r="CQ188" i="23"/>
  <c r="CR188" i="23"/>
  <c r="CS188" i="23"/>
  <c r="CT188" i="23"/>
  <c r="CU188" i="23"/>
  <c r="CV188" i="23"/>
  <c r="CW188" i="23"/>
  <c r="CX188" i="23"/>
  <c r="CY188" i="23"/>
  <c r="CZ188" i="23"/>
  <c r="BJ189" i="23"/>
  <c r="BK189" i="23"/>
  <c r="BL189" i="23"/>
  <c r="BM189" i="23"/>
  <c r="BN189" i="23"/>
  <c r="BO189" i="23"/>
  <c r="BP189" i="23"/>
  <c r="BQ189" i="23"/>
  <c r="BR189" i="23"/>
  <c r="BS189" i="23"/>
  <c r="BT189" i="23"/>
  <c r="BU189" i="23"/>
  <c r="BV189" i="23"/>
  <c r="BW189" i="23"/>
  <c r="BX189" i="23"/>
  <c r="BY189" i="23"/>
  <c r="BZ189" i="23"/>
  <c r="CA189" i="23"/>
  <c r="CB189" i="23"/>
  <c r="CC189" i="23"/>
  <c r="CD189" i="23"/>
  <c r="CE189" i="23"/>
  <c r="CF189" i="23"/>
  <c r="CG189" i="23"/>
  <c r="CH189" i="23"/>
  <c r="CI189" i="23"/>
  <c r="CJ189" i="23"/>
  <c r="CK189" i="23"/>
  <c r="CL189" i="23"/>
  <c r="CM189" i="23"/>
  <c r="CN189" i="23"/>
  <c r="CO189" i="23"/>
  <c r="CP189" i="23"/>
  <c r="CQ189" i="23"/>
  <c r="CR189" i="23"/>
  <c r="CS189" i="23"/>
  <c r="CT189" i="23"/>
  <c r="CU189" i="23"/>
  <c r="CV189" i="23"/>
  <c r="CW189" i="23"/>
  <c r="CX189" i="23"/>
  <c r="CY189" i="23"/>
  <c r="CZ189" i="23"/>
  <c r="BJ196" i="23"/>
  <c r="BK196" i="23"/>
  <c r="BL196" i="23"/>
  <c r="BM196" i="23"/>
  <c r="BN196" i="23"/>
  <c r="BO196" i="23"/>
  <c r="BP196" i="23"/>
  <c r="BQ196" i="23"/>
  <c r="BR196" i="23"/>
  <c r="BS196" i="23"/>
  <c r="BT196" i="23"/>
  <c r="BU196" i="23"/>
  <c r="BV196" i="23"/>
  <c r="BW196" i="23"/>
  <c r="BX196" i="23"/>
  <c r="BY196" i="23"/>
  <c r="BZ196" i="23"/>
  <c r="CA196" i="23"/>
  <c r="CB196" i="23"/>
  <c r="CC196" i="23"/>
  <c r="CD196" i="23"/>
  <c r="CE196" i="23"/>
  <c r="CF196" i="23"/>
  <c r="CG196" i="23"/>
  <c r="CH196" i="23"/>
  <c r="CI196" i="23"/>
  <c r="CJ196" i="23"/>
  <c r="CK196" i="23"/>
  <c r="CL196" i="23"/>
  <c r="CM196" i="23"/>
  <c r="CN196" i="23"/>
  <c r="CO196" i="23"/>
  <c r="CP196" i="23"/>
  <c r="CQ196" i="23"/>
  <c r="CR196" i="23"/>
  <c r="CS196" i="23"/>
  <c r="CT196" i="23"/>
  <c r="CU196" i="23"/>
  <c r="CV196" i="23"/>
  <c r="CW196" i="23"/>
  <c r="CX196" i="23"/>
  <c r="CY196" i="23"/>
  <c r="CZ196" i="23"/>
  <c r="BJ197" i="23"/>
  <c r="BK197" i="23"/>
  <c r="BL197" i="23"/>
  <c r="BM197" i="23"/>
  <c r="BN197" i="23"/>
  <c r="BO197" i="23"/>
  <c r="BP197" i="23"/>
  <c r="BQ197" i="23"/>
  <c r="BR197" i="23"/>
  <c r="BS197" i="23"/>
  <c r="BT197" i="23"/>
  <c r="BU197" i="23"/>
  <c r="BV197" i="23"/>
  <c r="BW197" i="23"/>
  <c r="BX197" i="23"/>
  <c r="BY197" i="23"/>
  <c r="BZ197" i="23"/>
  <c r="CA197" i="23"/>
  <c r="CB197" i="23"/>
  <c r="CC197" i="23"/>
  <c r="CD197" i="23"/>
  <c r="CE197" i="23"/>
  <c r="CF197" i="23"/>
  <c r="CG197" i="23"/>
  <c r="CH197" i="23"/>
  <c r="CI197" i="23"/>
  <c r="CJ197" i="23"/>
  <c r="CK197" i="23"/>
  <c r="CL197" i="23"/>
  <c r="CM197" i="23"/>
  <c r="CN197" i="23"/>
  <c r="CO197" i="23"/>
  <c r="CP197" i="23"/>
  <c r="CQ197" i="23"/>
  <c r="CR197" i="23"/>
  <c r="CS197" i="23"/>
  <c r="CT197" i="23"/>
  <c r="CU197" i="23"/>
  <c r="CV197" i="23"/>
  <c r="CW197" i="23"/>
  <c r="CX197" i="23"/>
  <c r="CY197" i="23"/>
  <c r="CZ197" i="23"/>
  <c r="BJ198" i="23"/>
  <c r="BK198" i="23"/>
  <c r="BL198" i="23"/>
  <c r="BM198" i="23"/>
  <c r="BN198" i="23"/>
  <c r="BO198" i="23"/>
  <c r="BP198" i="23"/>
  <c r="BQ198" i="23"/>
  <c r="BR198" i="23"/>
  <c r="BS198" i="23"/>
  <c r="BT198" i="23"/>
  <c r="BU198" i="23"/>
  <c r="BV198" i="23"/>
  <c r="BW198" i="23"/>
  <c r="BX198" i="23"/>
  <c r="BY198" i="23"/>
  <c r="BZ198" i="23"/>
  <c r="CA198" i="23"/>
  <c r="CB198" i="23"/>
  <c r="CC198" i="23"/>
  <c r="CD198" i="23"/>
  <c r="CE198" i="23"/>
  <c r="CF198" i="23"/>
  <c r="CG198" i="23"/>
  <c r="CH198" i="23"/>
  <c r="CI198" i="23"/>
  <c r="CJ198" i="23"/>
  <c r="CK198" i="23"/>
  <c r="CL198" i="23"/>
  <c r="CM198" i="23"/>
  <c r="CN198" i="23"/>
  <c r="CO198" i="23"/>
  <c r="CP198" i="23"/>
  <c r="CQ198" i="23"/>
  <c r="CR198" i="23"/>
  <c r="CS198" i="23"/>
  <c r="CT198" i="23"/>
  <c r="CU198" i="23"/>
  <c r="CV198" i="23"/>
  <c r="CW198" i="23"/>
  <c r="CX198" i="23"/>
  <c r="CY198" i="23"/>
  <c r="CZ198" i="23"/>
  <c r="BJ199" i="23"/>
  <c r="BK199" i="23"/>
  <c r="BL199" i="23"/>
  <c r="BM199" i="23"/>
  <c r="BN199" i="23"/>
  <c r="BO199" i="23"/>
  <c r="BP199" i="23"/>
  <c r="BQ199" i="23"/>
  <c r="BR199" i="23"/>
  <c r="BS199" i="23"/>
  <c r="BT199" i="23"/>
  <c r="BU199" i="23"/>
  <c r="BV199" i="23"/>
  <c r="BW199" i="23"/>
  <c r="BX199" i="23"/>
  <c r="BY199" i="23"/>
  <c r="BZ199" i="23"/>
  <c r="CA199" i="23"/>
  <c r="CB199" i="23"/>
  <c r="CC199" i="23"/>
  <c r="CD199" i="23"/>
  <c r="CE199" i="23"/>
  <c r="CF199" i="23"/>
  <c r="CG199" i="23"/>
  <c r="CH199" i="23"/>
  <c r="CI199" i="23"/>
  <c r="CJ199" i="23"/>
  <c r="CK199" i="23"/>
  <c r="CL199" i="23"/>
  <c r="CM199" i="23"/>
  <c r="CN199" i="23"/>
  <c r="CO199" i="23"/>
  <c r="CP199" i="23"/>
  <c r="CQ199" i="23"/>
  <c r="CR199" i="23"/>
  <c r="CS199" i="23"/>
  <c r="CT199" i="23"/>
  <c r="CU199" i="23"/>
  <c r="CV199" i="23"/>
  <c r="CW199" i="23"/>
  <c r="CX199" i="23"/>
  <c r="CY199" i="23"/>
  <c r="CZ199" i="23"/>
  <c r="BJ200" i="23"/>
  <c r="BK200" i="23"/>
  <c r="BL200" i="23"/>
  <c r="BM200" i="23"/>
  <c r="BN200" i="23"/>
  <c r="BO200" i="23"/>
  <c r="BP200" i="23"/>
  <c r="BQ200" i="23"/>
  <c r="BR200" i="23"/>
  <c r="BS200" i="23"/>
  <c r="BT200" i="23"/>
  <c r="BU200" i="23"/>
  <c r="BV200" i="23"/>
  <c r="BW200" i="23"/>
  <c r="BX200" i="23"/>
  <c r="BY200" i="23"/>
  <c r="BZ200" i="23"/>
  <c r="CA200" i="23"/>
  <c r="CB200" i="23"/>
  <c r="CC200" i="23"/>
  <c r="CD200" i="23"/>
  <c r="CE200" i="23"/>
  <c r="CF200" i="23"/>
  <c r="CG200" i="23"/>
  <c r="CH200" i="23"/>
  <c r="CI200" i="23"/>
  <c r="CJ200" i="23"/>
  <c r="CK200" i="23"/>
  <c r="CL200" i="23"/>
  <c r="CM200" i="23"/>
  <c r="CN200" i="23"/>
  <c r="CO200" i="23"/>
  <c r="CP200" i="23"/>
  <c r="CQ200" i="23"/>
  <c r="CR200" i="23"/>
  <c r="CS200" i="23"/>
  <c r="CT200" i="23"/>
  <c r="CU200" i="23"/>
  <c r="CV200" i="23"/>
  <c r="CW200" i="23"/>
  <c r="CX200" i="23"/>
  <c r="CY200" i="23"/>
  <c r="CZ200" i="23"/>
  <c r="BJ201" i="23"/>
  <c r="BK201" i="23"/>
  <c r="BL201" i="23"/>
  <c r="BM201" i="23"/>
  <c r="BN201" i="23"/>
  <c r="BO201" i="23"/>
  <c r="BP201" i="23"/>
  <c r="BQ201" i="23"/>
  <c r="BR201" i="23"/>
  <c r="BS201" i="23"/>
  <c r="BT201" i="23"/>
  <c r="BU201" i="23"/>
  <c r="BV201" i="23"/>
  <c r="BW201" i="23"/>
  <c r="BX201" i="23"/>
  <c r="BY201" i="23"/>
  <c r="BZ201" i="23"/>
  <c r="CA201" i="23"/>
  <c r="CB201" i="23"/>
  <c r="CC201" i="23"/>
  <c r="CD201" i="23"/>
  <c r="CE201" i="23"/>
  <c r="CF201" i="23"/>
  <c r="CG201" i="23"/>
  <c r="CH201" i="23"/>
  <c r="CI201" i="23"/>
  <c r="CJ201" i="23"/>
  <c r="CK201" i="23"/>
  <c r="CL201" i="23"/>
  <c r="CM201" i="23"/>
  <c r="CN201" i="23"/>
  <c r="CO201" i="23"/>
  <c r="CP201" i="23"/>
  <c r="CQ201" i="23"/>
  <c r="CR201" i="23"/>
  <c r="CS201" i="23"/>
  <c r="CT201" i="23"/>
  <c r="CU201" i="23"/>
  <c r="CV201" i="23"/>
  <c r="CW201" i="23"/>
  <c r="CX201" i="23"/>
  <c r="CY201" i="23"/>
  <c r="CZ201" i="23"/>
  <c r="BJ202" i="23"/>
  <c r="BK202" i="23"/>
  <c r="BL202" i="23"/>
  <c r="BM202" i="23"/>
  <c r="BN202" i="23"/>
  <c r="BO202" i="23"/>
  <c r="BP202" i="23"/>
  <c r="BQ202" i="23"/>
  <c r="BR202" i="23"/>
  <c r="BS202" i="23"/>
  <c r="BT202" i="23"/>
  <c r="BU202" i="23"/>
  <c r="BV202" i="23"/>
  <c r="BW202" i="23"/>
  <c r="BX202" i="23"/>
  <c r="BY202" i="23"/>
  <c r="BZ202" i="23"/>
  <c r="CA202" i="23"/>
  <c r="CB202" i="23"/>
  <c r="CC202" i="23"/>
  <c r="CD202" i="23"/>
  <c r="CE202" i="23"/>
  <c r="CF202" i="23"/>
  <c r="CG202" i="23"/>
  <c r="CH202" i="23"/>
  <c r="CI202" i="23"/>
  <c r="CJ202" i="23"/>
  <c r="CK202" i="23"/>
  <c r="CL202" i="23"/>
  <c r="CM202" i="23"/>
  <c r="CN202" i="23"/>
  <c r="CO202" i="23"/>
  <c r="CP202" i="23"/>
  <c r="CQ202" i="23"/>
  <c r="CR202" i="23"/>
  <c r="CS202" i="23"/>
  <c r="CT202" i="23"/>
  <c r="CU202" i="23"/>
  <c r="CV202" i="23"/>
  <c r="CW202" i="23"/>
  <c r="CX202" i="23"/>
  <c r="CY202" i="23"/>
  <c r="CZ202" i="23"/>
  <c r="BJ203" i="23"/>
  <c r="BK203" i="23"/>
  <c r="BL203" i="23"/>
  <c r="BM203" i="23"/>
  <c r="BN203" i="23"/>
  <c r="BO203" i="23"/>
  <c r="BP203" i="23"/>
  <c r="BQ203" i="23"/>
  <c r="BR203" i="23"/>
  <c r="BS203" i="23"/>
  <c r="BT203" i="23"/>
  <c r="BU203" i="23"/>
  <c r="BV203" i="23"/>
  <c r="BW203" i="23"/>
  <c r="BX203" i="23"/>
  <c r="BY203" i="23"/>
  <c r="BZ203" i="23"/>
  <c r="CA203" i="23"/>
  <c r="CB203" i="23"/>
  <c r="CC203" i="23"/>
  <c r="CD203" i="23"/>
  <c r="CE203" i="23"/>
  <c r="CF203" i="23"/>
  <c r="CG203" i="23"/>
  <c r="CH203" i="23"/>
  <c r="CI203" i="23"/>
  <c r="CJ203" i="23"/>
  <c r="CK203" i="23"/>
  <c r="CL203" i="23"/>
  <c r="CM203" i="23"/>
  <c r="CN203" i="23"/>
  <c r="CO203" i="23"/>
  <c r="CP203" i="23"/>
  <c r="CQ203" i="23"/>
  <c r="CR203" i="23"/>
  <c r="CS203" i="23"/>
  <c r="CT203" i="23"/>
  <c r="CU203" i="23"/>
  <c r="CV203" i="23"/>
  <c r="CW203" i="23"/>
  <c r="CX203" i="23"/>
  <c r="CY203" i="23"/>
  <c r="CZ203" i="23"/>
  <c r="BJ204" i="23"/>
  <c r="BK204" i="23"/>
  <c r="BL204" i="23"/>
  <c r="BM204" i="23"/>
  <c r="BN204" i="23"/>
  <c r="BO204" i="23"/>
  <c r="BP204" i="23"/>
  <c r="BQ204" i="23"/>
  <c r="BR204" i="23"/>
  <c r="BS204" i="23"/>
  <c r="BT204" i="23"/>
  <c r="BU204" i="23"/>
  <c r="BV204" i="23"/>
  <c r="BW204" i="23"/>
  <c r="BX204" i="23"/>
  <c r="BY204" i="23"/>
  <c r="BZ204" i="23"/>
  <c r="CA204" i="23"/>
  <c r="CB204" i="23"/>
  <c r="CC204" i="23"/>
  <c r="CD204" i="23"/>
  <c r="CE204" i="23"/>
  <c r="CF204" i="23"/>
  <c r="CG204" i="23"/>
  <c r="CH204" i="23"/>
  <c r="CI204" i="23"/>
  <c r="CJ204" i="23"/>
  <c r="CK204" i="23"/>
  <c r="CL204" i="23"/>
  <c r="CM204" i="23"/>
  <c r="CN204" i="23"/>
  <c r="CO204" i="23"/>
  <c r="CP204" i="23"/>
  <c r="CQ204" i="23"/>
  <c r="CR204" i="23"/>
  <c r="CS204" i="23"/>
  <c r="CT204" i="23"/>
  <c r="CU204" i="23"/>
  <c r="CV204" i="23"/>
  <c r="CW204" i="23"/>
  <c r="CX204" i="23"/>
  <c r="CY204" i="23"/>
  <c r="CZ204" i="23"/>
  <c r="BJ205" i="23"/>
  <c r="BK205" i="23"/>
  <c r="BL205" i="23"/>
  <c r="BM205" i="23"/>
  <c r="BN205" i="23"/>
  <c r="BO205" i="23"/>
  <c r="BP205" i="23"/>
  <c r="BQ205" i="23"/>
  <c r="BR205" i="23"/>
  <c r="BS205" i="23"/>
  <c r="BT205" i="23"/>
  <c r="BU205" i="23"/>
  <c r="BV205" i="23"/>
  <c r="BW205" i="23"/>
  <c r="BX205" i="23"/>
  <c r="BY205" i="23"/>
  <c r="BZ205" i="23"/>
  <c r="CA205" i="23"/>
  <c r="CB205" i="23"/>
  <c r="CC205" i="23"/>
  <c r="CD205" i="23"/>
  <c r="CE205" i="23"/>
  <c r="CF205" i="23"/>
  <c r="CG205" i="23"/>
  <c r="CH205" i="23"/>
  <c r="CI205" i="23"/>
  <c r="CJ205" i="23"/>
  <c r="CK205" i="23"/>
  <c r="CL205" i="23"/>
  <c r="CM205" i="23"/>
  <c r="CN205" i="23"/>
  <c r="CO205" i="23"/>
  <c r="CP205" i="23"/>
  <c r="CQ205" i="23"/>
  <c r="CR205" i="23"/>
  <c r="CS205" i="23"/>
  <c r="CT205" i="23"/>
  <c r="CU205" i="23"/>
  <c r="CV205" i="23"/>
  <c r="CW205" i="23"/>
  <c r="CX205" i="23"/>
  <c r="CY205" i="23"/>
  <c r="CZ205" i="23"/>
  <c r="BJ206" i="23"/>
  <c r="BK206" i="23"/>
  <c r="BL206" i="23"/>
  <c r="BM206" i="23"/>
  <c r="BN206" i="23"/>
  <c r="BO206" i="23"/>
  <c r="BP206" i="23"/>
  <c r="BQ206" i="23"/>
  <c r="BR206" i="23"/>
  <c r="BS206" i="23"/>
  <c r="BT206" i="23"/>
  <c r="BU206" i="23"/>
  <c r="BV206" i="23"/>
  <c r="BW206" i="23"/>
  <c r="BX206" i="23"/>
  <c r="BY206" i="23"/>
  <c r="BZ206" i="23"/>
  <c r="CA206" i="23"/>
  <c r="CB206" i="23"/>
  <c r="CC206" i="23"/>
  <c r="CD206" i="23"/>
  <c r="CE206" i="23"/>
  <c r="CF206" i="23"/>
  <c r="CG206" i="23"/>
  <c r="CH206" i="23"/>
  <c r="CI206" i="23"/>
  <c r="CJ206" i="23"/>
  <c r="CK206" i="23"/>
  <c r="CL206" i="23"/>
  <c r="CM206" i="23"/>
  <c r="CN206" i="23"/>
  <c r="CO206" i="23"/>
  <c r="CP206" i="23"/>
  <c r="CQ206" i="23"/>
  <c r="CR206" i="23"/>
  <c r="CS206" i="23"/>
  <c r="CT206" i="23"/>
  <c r="CU206" i="23"/>
  <c r="CV206" i="23"/>
  <c r="CW206" i="23"/>
  <c r="CX206" i="23"/>
  <c r="CY206" i="23"/>
  <c r="CZ206" i="23"/>
  <c r="BJ207" i="23"/>
  <c r="BK207" i="23"/>
  <c r="BL207" i="23"/>
  <c r="BM207" i="23"/>
  <c r="BN207" i="23"/>
  <c r="BO207" i="23"/>
  <c r="BP207" i="23"/>
  <c r="BQ207" i="23"/>
  <c r="BR207" i="23"/>
  <c r="BS207" i="23"/>
  <c r="BT207" i="23"/>
  <c r="BU207" i="23"/>
  <c r="BV207" i="23"/>
  <c r="BW207" i="23"/>
  <c r="BX207" i="23"/>
  <c r="BY207" i="23"/>
  <c r="BZ207" i="23"/>
  <c r="CA207" i="23"/>
  <c r="CB207" i="23"/>
  <c r="CC207" i="23"/>
  <c r="CD207" i="23"/>
  <c r="CE207" i="23"/>
  <c r="CF207" i="23"/>
  <c r="CG207" i="23"/>
  <c r="CH207" i="23"/>
  <c r="CI207" i="23"/>
  <c r="CJ207" i="23"/>
  <c r="CK207" i="23"/>
  <c r="CL207" i="23"/>
  <c r="CM207" i="23"/>
  <c r="CN207" i="23"/>
  <c r="CO207" i="23"/>
  <c r="CP207" i="23"/>
  <c r="CQ207" i="23"/>
  <c r="CR207" i="23"/>
  <c r="CS207" i="23"/>
  <c r="CT207" i="23"/>
  <c r="CU207" i="23"/>
  <c r="CV207" i="23"/>
  <c r="CW207" i="23"/>
  <c r="CX207" i="23"/>
  <c r="CY207" i="23"/>
  <c r="CZ207" i="23"/>
  <c r="BJ208" i="23"/>
  <c r="BK208" i="23"/>
  <c r="BL208" i="23"/>
  <c r="BM208" i="23"/>
  <c r="BN208" i="23"/>
  <c r="BO208" i="23"/>
  <c r="BP208" i="23"/>
  <c r="BQ208" i="23"/>
  <c r="BR208" i="23"/>
  <c r="BS208" i="23"/>
  <c r="BT208" i="23"/>
  <c r="BU208" i="23"/>
  <c r="BV208" i="23"/>
  <c r="BW208" i="23"/>
  <c r="BX208" i="23"/>
  <c r="BY208" i="23"/>
  <c r="BZ208" i="23"/>
  <c r="CA208" i="23"/>
  <c r="CB208" i="23"/>
  <c r="CC208" i="23"/>
  <c r="CD208" i="23"/>
  <c r="CE208" i="23"/>
  <c r="CF208" i="23"/>
  <c r="CG208" i="23"/>
  <c r="CH208" i="23"/>
  <c r="CI208" i="23"/>
  <c r="CJ208" i="23"/>
  <c r="CK208" i="23"/>
  <c r="CL208" i="23"/>
  <c r="CM208" i="23"/>
  <c r="CN208" i="23"/>
  <c r="CO208" i="23"/>
  <c r="CP208" i="23"/>
  <c r="CQ208" i="23"/>
  <c r="CR208" i="23"/>
  <c r="CS208" i="23"/>
  <c r="CT208" i="23"/>
  <c r="CU208" i="23"/>
  <c r="CV208" i="23"/>
  <c r="CW208" i="23"/>
  <c r="CX208" i="23"/>
  <c r="CY208" i="23"/>
  <c r="CZ208" i="23"/>
  <c r="BJ209" i="23"/>
  <c r="BK209" i="23"/>
  <c r="BL209" i="23"/>
  <c r="BM209" i="23"/>
  <c r="BN209" i="23"/>
  <c r="BO209" i="23"/>
  <c r="BP209" i="23"/>
  <c r="BQ209" i="23"/>
  <c r="BR209" i="23"/>
  <c r="BS209" i="23"/>
  <c r="BT209" i="23"/>
  <c r="BU209" i="23"/>
  <c r="BV209" i="23"/>
  <c r="BW209" i="23"/>
  <c r="BX209" i="23"/>
  <c r="BY209" i="23"/>
  <c r="BZ209" i="23"/>
  <c r="CA209" i="23"/>
  <c r="CB209" i="23"/>
  <c r="CC209" i="23"/>
  <c r="CD209" i="23"/>
  <c r="CE209" i="23"/>
  <c r="CF209" i="23"/>
  <c r="CG209" i="23"/>
  <c r="CH209" i="23"/>
  <c r="CI209" i="23"/>
  <c r="CJ209" i="23"/>
  <c r="CK209" i="23"/>
  <c r="CL209" i="23"/>
  <c r="CM209" i="23"/>
  <c r="CN209" i="23"/>
  <c r="CO209" i="23"/>
  <c r="CP209" i="23"/>
  <c r="CQ209" i="23"/>
  <c r="CR209" i="23"/>
  <c r="CS209" i="23"/>
  <c r="CT209" i="23"/>
  <c r="CU209" i="23"/>
  <c r="CV209" i="23"/>
  <c r="CW209" i="23"/>
  <c r="CX209" i="23"/>
  <c r="CY209" i="23"/>
  <c r="CZ209" i="23"/>
  <c r="BJ210" i="23"/>
  <c r="BK210" i="23"/>
  <c r="BL210" i="23"/>
  <c r="BM210" i="23"/>
  <c r="BN210" i="23"/>
  <c r="BO210" i="23"/>
  <c r="BP210" i="23"/>
  <c r="BQ210" i="23"/>
  <c r="BR210" i="23"/>
  <c r="BS210" i="23"/>
  <c r="BT210" i="23"/>
  <c r="BU210" i="23"/>
  <c r="BV210" i="23"/>
  <c r="BW210" i="23"/>
  <c r="BX210" i="23"/>
  <c r="BY210" i="23"/>
  <c r="BZ210" i="23"/>
  <c r="CA210" i="23"/>
  <c r="CB210" i="23"/>
  <c r="CC210" i="23"/>
  <c r="CD210" i="23"/>
  <c r="CE210" i="23"/>
  <c r="CF210" i="23"/>
  <c r="CG210" i="23"/>
  <c r="CH210" i="23"/>
  <c r="CI210" i="23"/>
  <c r="CJ210" i="23"/>
  <c r="CK210" i="23"/>
  <c r="CL210" i="23"/>
  <c r="CM210" i="23"/>
  <c r="CN210" i="23"/>
  <c r="CO210" i="23"/>
  <c r="CP210" i="23"/>
  <c r="CQ210" i="23"/>
  <c r="CR210" i="23"/>
  <c r="CS210" i="23"/>
  <c r="CT210" i="23"/>
  <c r="CU210" i="23"/>
  <c r="CV210" i="23"/>
  <c r="CW210" i="23"/>
  <c r="CX210" i="23"/>
  <c r="CY210" i="23"/>
  <c r="CZ210" i="23"/>
  <c r="BJ211" i="23"/>
  <c r="BK211" i="23"/>
  <c r="BL211" i="23"/>
  <c r="BM211" i="23"/>
  <c r="BN211" i="23"/>
  <c r="BO211" i="23"/>
  <c r="BP211" i="23"/>
  <c r="BQ211" i="23"/>
  <c r="BR211" i="23"/>
  <c r="BS211" i="23"/>
  <c r="BT211" i="23"/>
  <c r="BU211" i="23"/>
  <c r="BV211" i="23"/>
  <c r="BW211" i="23"/>
  <c r="BX211" i="23"/>
  <c r="BY211" i="23"/>
  <c r="BZ211" i="23"/>
  <c r="CA211" i="23"/>
  <c r="CB211" i="23"/>
  <c r="CC211" i="23"/>
  <c r="CD211" i="23"/>
  <c r="CE211" i="23"/>
  <c r="CF211" i="23"/>
  <c r="CG211" i="23"/>
  <c r="CH211" i="23"/>
  <c r="CI211" i="23"/>
  <c r="CJ211" i="23"/>
  <c r="CK211" i="23"/>
  <c r="CL211" i="23"/>
  <c r="CM211" i="23"/>
  <c r="CN211" i="23"/>
  <c r="CO211" i="23"/>
  <c r="CP211" i="23"/>
  <c r="CQ211" i="23"/>
  <c r="CR211" i="23"/>
  <c r="CS211" i="23"/>
  <c r="CT211" i="23"/>
  <c r="CU211" i="23"/>
  <c r="CV211" i="23"/>
  <c r="CW211" i="23"/>
  <c r="CX211" i="23"/>
  <c r="CY211" i="23"/>
  <c r="CZ211" i="23"/>
  <c r="BJ212" i="23"/>
  <c r="BK212" i="23"/>
  <c r="BL212" i="23"/>
  <c r="BM212" i="23"/>
  <c r="BN212" i="23"/>
  <c r="BO212" i="23"/>
  <c r="BP212" i="23"/>
  <c r="BQ212" i="23"/>
  <c r="BR212" i="23"/>
  <c r="BS212" i="23"/>
  <c r="BT212" i="23"/>
  <c r="BU212" i="23"/>
  <c r="BV212" i="23"/>
  <c r="BW212" i="23"/>
  <c r="BX212" i="23"/>
  <c r="BY212" i="23"/>
  <c r="BZ212" i="23"/>
  <c r="CA212" i="23"/>
  <c r="CB212" i="23"/>
  <c r="CC212" i="23"/>
  <c r="CD212" i="23"/>
  <c r="CE212" i="23"/>
  <c r="CF212" i="23"/>
  <c r="CG212" i="23"/>
  <c r="CH212" i="23"/>
  <c r="CI212" i="23"/>
  <c r="CJ212" i="23"/>
  <c r="CK212" i="23"/>
  <c r="CL212" i="23"/>
  <c r="CM212" i="23"/>
  <c r="CN212" i="23"/>
  <c r="CO212" i="23"/>
  <c r="CP212" i="23"/>
  <c r="CQ212" i="23"/>
  <c r="CR212" i="23"/>
  <c r="CS212" i="23"/>
  <c r="CT212" i="23"/>
  <c r="CU212" i="23"/>
  <c r="CV212" i="23"/>
  <c r="CW212" i="23"/>
  <c r="CX212" i="23"/>
  <c r="CY212" i="23"/>
  <c r="CZ212" i="23"/>
  <c r="BJ213" i="23"/>
  <c r="BK213" i="23"/>
  <c r="BL213" i="23"/>
  <c r="BM213" i="23"/>
  <c r="BN213" i="23"/>
  <c r="BO213" i="23"/>
  <c r="BP213" i="23"/>
  <c r="BQ213" i="23"/>
  <c r="BR213" i="23"/>
  <c r="BS213" i="23"/>
  <c r="BT213" i="23"/>
  <c r="BU213" i="23"/>
  <c r="BV213" i="23"/>
  <c r="BW213" i="23"/>
  <c r="BX213" i="23"/>
  <c r="BY213" i="23"/>
  <c r="BZ213" i="23"/>
  <c r="CA213" i="23"/>
  <c r="CB213" i="23"/>
  <c r="CC213" i="23"/>
  <c r="CD213" i="23"/>
  <c r="CE213" i="23"/>
  <c r="CF213" i="23"/>
  <c r="CG213" i="23"/>
  <c r="CH213" i="23"/>
  <c r="CI213" i="23"/>
  <c r="CJ213" i="23"/>
  <c r="CK213" i="23"/>
  <c r="CL213" i="23"/>
  <c r="CM213" i="23"/>
  <c r="CN213" i="23"/>
  <c r="CO213" i="23"/>
  <c r="CP213" i="23"/>
  <c r="CQ213" i="23"/>
  <c r="CR213" i="23"/>
  <c r="CS213" i="23"/>
  <c r="CT213" i="23"/>
  <c r="CU213" i="23"/>
  <c r="CV213" i="23"/>
  <c r="CW213" i="23"/>
  <c r="CX213" i="23"/>
  <c r="CY213" i="23"/>
  <c r="CZ213" i="23"/>
  <c r="BJ214" i="23"/>
  <c r="BK214" i="23"/>
  <c r="BL214" i="23"/>
  <c r="BM214" i="23"/>
  <c r="BN214" i="23"/>
  <c r="BO214" i="23"/>
  <c r="BP214" i="23"/>
  <c r="BQ214" i="23"/>
  <c r="BR214" i="23"/>
  <c r="BS214" i="23"/>
  <c r="BT214" i="23"/>
  <c r="BU214" i="23"/>
  <c r="BV214" i="23"/>
  <c r="BW214" i="23"/>
  <c r="BX214" i="23"/>
  <c r="BY214" i="23"/>
  <c r="BZ214" i="23"/>
  <c r="CA214" i="23"/>
  <c r="CB214" i="23"/>
  <c r="CC214" i="23"/>
  <c r="CD214" i="23"/>
  <c r="CE214" i="23"/>
  <c r="CF214" i="23"/>
  <c r="CG214" i="23"/>
  <c r="CH214" i="23"/>
  <c r="CI214" i="23"/>
  <c r="CJ214" i="23"/>
  <c r="CK214" i="23"/>
  <c r="CL214" i="23"/>
  <c r="CM214" i="23"/>
  <c r="CN214" i="23"/>
  <c r="CO214" i="23"/>
  <c r="CP214" i="23"/>
  <c r="CQ214" i="23"/>
  <c r="CR214" i="23"/>
  <c r="CS214" i="23"/>
  <c r="CT214" i="23"/>
  <c r="CU214" i="23"/>
  <c r="CV214" i="23"/>
  <c r="CW214" i="23"/>
  <c r="CX214" i="23"/>
  <c r="CY214" i="23"/>
  <c r="CZ214" i="23"/>
  <c r="BJ215" i="23"/>
  <c r="BK215" i="23"/>
  <c r="BL215" i="23"/>
  <c r="BM215" i="23"/>
  <c r="BN215" i="23"/>
  <c r="BO215" i="23"/>
  <c r="BP215" i="23"/>
  <c r="BQ215" i="23"/>
  <c r="BR215" i="23"/>
  <c r="BS215" i="23"/>
  <c r="BT215" i="23"/>
  <c r="BU215" i="23"/>
  <c r="BV215" i="23"/>
  <c r="BW215" i="23"/>
  <c r="BX215" i="23"/>
  <c r="BY215" i="23"/>
  <c r="BZ215" i="23"/>
  <c r="CA215" i="23"/>
  <c r="CB215" i="23"/>
  <c r="CC215" i="23"/>
  <c r="CD215" i="23"/>
  <c r="CE215" i="23"/>
  <c r="CF215" i="23"/>
  <c r="CG215" i="23"/>
  <c r="CH215" i="23"/>
  <c r="CI215" i="23"/>
  <c r="CJ215" i="23"/>
  <c r="CK215" i="23"/>
  <c r="CL215" i="23"/>
  <c r="CM215" i="23"/>
  <c r="CN215" i="23"/>
  <c r="CO215" i="23"/>
  <c r="CP215" i="23"/>
  <c r="CQ215" i="23"/>
  <c r="CR215" i="23"/>
  <c r="CS215" i="23"/>
  <c r="CT215" i="23"/>
  <c r="CU215" i="23"/>
  <c r="CV215" i="23"/>
  <c r="CW215" i="23"/>
  <c r="CX215" i="23"/>
  <c r="CY215" i="23"/>
  <c r="CZ215" i="23"/>
  <c r="BJ216" i="23"/>
  <c r="BK216" i="23"/>
  <c r="BL216" i="23"/>
  <c r="BM216" i="23"/>
  <c r="BN216" i="23"/>
  <c r="BO216" i="23"/>
  <c r="BP216" i="23"/>
  <c r="BQ216" i="23"/>
  <c r="BR216" i="23"/>
  <c r="BS216" i="23"/>
  <c r="BT216" i="23"/>
  <c r="BU216" i="23"/>
  <c r="BV216" i="23"/>
  <c r="BW216" i="23"/>
  <c r="BX216" i="23"/>
  <c r="BY216" i="23"/>
  <c r="BZ216" i="23"/>
  <c r="CA216" i="23"/>
  <c r="CB216" i="23"/>
  <c r="CC216" i="23"/>
  <c r="CD216" i="23"/>
  <c r="CE216" i="23"/>
  <c r="CF216" i="23"/>
  <c r="CG216" i="23"/>
  <c r="CH216" i="23"/>
  <c r="CI216" i="23"/>
  <c r="CJ216" i="23"/>
  <c r="CK216" i="23"/>
  <c r="CL216" i="23"/>
  <c r="CM216" i="23"/>
  <c r="CN216" i="23"/>
  <c r="CO216" i="23"/>
  <c r="CP216" i="23"/>
  <c r="CQ216" i="23"/>
  <c r="CR216" i="23"/>
  <c r="CS216" i="23"/>
  <c r="CT216" i="23"/>
  <c r="CU216" i="23"/>
  <c r="CV216" i="23"/>
  <c r="CW216" i="23"/>
  <c r="CX216" i="23"/>
  <c r="CY216" i="23"/>
  <c r="CZ216" i="23"/>
  <c r="BJ219" i="23"/>
  <c r="BK219" i="23"/>
  <c r="BL219" i="23"/>
  <c r="BM219" i="23"/>
  <c r="BN219" i="23"/>
  <c r="BO219" i="23"/>
  <c r="BP219" i="23"/>
  <c r="BQ219" i="23"/>
  <c r="BR219" i="23"/>
  <c r="BS219" i="23"/>
  <c r="BT219" i="23"/>
  <c r="BU219" i="23"/>
  <c r="BV219" i="23"/>
  <c r="BW219" i="23"/>
  <c r="BX219" i="23"/>
  <c r="BY219" i="23"/>
  <c r="BZ219" i="23"/>
  <c r="CA219" i="23"/>
  <c r="CB219" i="23"/>
  <c r="CC219" i="23"/>
  <c r="CD219" i="23"/>
  <c r="CE219" i="23"/>
  <c r="CF219" i="23"/>
  <c r="CG219" i="23"/>
  <c r="CH219" i="23"/>
  <c r="CI219" i="23"/>
  <c r="CJ219" i="23"/>
  <c r="CK219" i="23"/>
  <c r="CL219" i="23"/>
  <c r="CM219" i="23"/>
  <c r="CN219" i="23"/>
  <c r="CO219" i="23"/>
  <c r="CP219" i="23"/>
  <c r="CQ219" i="23"/>
  <c r="CR219" i="23"/>
  <c r="CS219" i="23"/>
  <c r="CT219" i="23"/>
  <c r="CU219" i="23"/>
  <c r="CV219" i="23"/>
  <c r="CW219" i="23"/>
  <c r="CX219" i="23"/>
  <c r="CY219" i="23"/>
  <c r="CZ219" i="23"/>
  <c r="BJ220" i="23"/>
  <c r="BK220" i="23"/>
  <c r="BL220" i="23"/>
  <c r="BM220" i="23"/>
  <c r="BN220" i="23"/>
  <c r="BO220" i="23"/>
  <c r="BP220" i="23"/>
  <c r="BQ220" i="23"/>
  <c r="BR220" i="23"/>
  <c r="BS220" i="23"/>
  <c r="BT220" i="23"/>
  <c r="BU220" i="23"/>
  <c r="BV220" i="23"/>
  <c r="BW220" i="23"/>
  <c r="BX220" i="23"/>
  <c r="BY220" i="23"/>
  <c r="BZ220" i="23"/>
  <c r="CA220" i="23"/>
  <c r="CB220" i="23"/>
  <c r="CC220" i="23"/>
  <c r="CD220" i="23"/>
  <c r="CE220" i="23"/>
  <c r="CF220" i="23"/>
  <c r="CG220" i="23"/>
  <c r="CH220" i="23"/>
  <c r="CI220" i="23"/>
  <c r="CJ220" i="23"/>
  <c r="CK220" i="23"/>
  <c r="CL220" i="23"/>
  <c r="CM220" i="23"/>
  <c r="CN220" i="23"/>
  <c r="CO220" i="23"/>
  <c r="CP220" i="23"/>
  <c r="CQ220" i="23"/>
  <c r="CR220" i="23"/>
  <c r="CS220" i="23"/>
  <c r="CT220" i="23"/>
  <c r="CU220" i="23"/>
  <c r="CV220" i="23"/>
  <c r="CW220" i="23"/>
  <c r="CX220" i="23"/>
  <c r="CY220" i="23"/>
  <c r="CZ220" i="23"/>
  <c r="BK2" i="23"/>
  <c r="BL2" i="23"/>
  <c r="BM2" i="23"/>
  <c r="BN2" i="23"/>
  <c r="BO2" i="23"/>
  <c r="BP2" i="23"/>
  <c r="BQ2" i="23"/>
  <c r="BR2" i="23"/>
  <c r="BS2" i="23"/>
  <c r="BT2" i="23"/>
  <c r="BU2" i="23"/>
  <c r="BV2" i="23"/>
  <c r="BW2" i="23"/>
  <c r="BX2" i="23"/>
  <c r="BY2" i="23"/>
  <c r="BZ2" i="23"/>
  <c r="CA2" i="23"/>
  <c r="CB2" i="23"/>
  <c r="CC2" i="23"/>
  <c r="CD2" i="23"/>
  <c r="CE2" i="23"/>
  <c r="CF2" i="23"/>
  <c r="CG2" i="23"/>
  <c r="CH2" i="23"/>
  <c r="CI2" i="23"/>
  <c r="CJ2" i="23"/>
  <c r="CK2" i="23"/>
  <c r="CL2" i="23"/>
  <c r="CM2" i="23"/>
  <c r="CN2" i="23"/>
  <c r="CO2" i="23"/>
  <c r="CP2" i="23"/>
  <c r="CQ2" i="23"/>
  <c r="CR2" i="23"/>
  <c r="CS2" i="23"/>
  <c r="CT2" i="23"/>
  <c r="CU2" i="23"/>
  <c r="CV2" i="23"/>
  <c r="CW2" i="23"/>
  <c r="CX2" i="23"/>
  <c r="CY2" i="23"/>
  <c r="CZ2" i="23"/>
  <c r="BJ2" i="23"/>
  <c r="B3" i="34"/>
  <c r="C3" i="34"/>
  <c r="D3" i="34"/>
  <c r="E3" i="34"/>
  <c r="F3" i="34"/>
  <c r="G3" i="34"/>
  <c r="H3" i="34"/>
  <c r="I3" i="34"/>
  <c r="J3" i="34"/>
  <c r="K3" i="34"/>
  <c r="L3" i="34"/>
  <c r="M3" i="34"/>
  <c r="N3" i="34"/>
  <c r="O3" i="34"/>
  <c r="P3" i="34"/>
  <c r="Q3" i="34"/>
  <c r="R3" i="34"/>
  <c r="S3" i="34"/>
  <c r="T3" i="34"/>
  <c r="U3" i="34"/>
  <c r="V3" i="34"/>
  <c r="W3" i="34"/>
  <c r="X3" i="34"/>
  <c r="Y3" i="34"/>
  <c r="Z3" i="34"/>
  <c r="AA3" i="34"/>
  <c r="AB3" i="34"/>
  <c r="AC3" i="34"/>
  <c r="AD3" i="34"/>
  <c r="AE3" i="34"/>
  <c r="AF3" i="34"/>
  <c r="AG3" i="34"/>
  <c r="AH3" i="34"/>
  <c r="AI3" i="34"/>
  <c r="AJ3" i="34"/>
  <c r="AK3" i="34"/>
  <c r="AL3" i="34"/>
  <c r="AM3" i="34"/>
  <c r="AN3" i="34"/>
  <c r="AO3" i="34"/>
  <c r="AP3" i="34"/>
  <c r="AQ3" i="34"/>
  <c r="AR3" i="34"/>
  <c r="AS3" i="34"/>
  <c r="AT3" i="34"/>
  <c r="AU3" i="34"/>
  <c r="AV3" i="34"/>
  <c r="AW3" i="34"/>
  <c r="AX3" i="34"/>
  <c r="AY3" i="34"/>
  <c r="AZ3" i="34"/>
  <c r="BA3" i="34"/>
  <c r="BB3" i="34"/>
  <c r="BC3" i="34"/>
  <c r="BD3" i="34"/>
  <c r="BE3" i="34"/>
  <c r="BF3" i="34"/>
  <c r="BG3" i="34"/>
  <c r="BH3" i="34"/>
  <c r="BI3" i="34"/>
  <c r="BJ3" i="34"/>
  <c r="BK3" i="34"/>
  <c r="BL3" i="34"/>
  <c r="BM3" i="34"/>
  <c r="BN3" i="34"/>
  <c r="BO3" i="34"/>
  <c r="BP3" i="34"/>
  <c r="BQ3" i="34"/>
  <c r="BR3" i="34"/>
  <c r="BS3" i="34"/>
  <c r="BT3" i="34"/>
  <c r="BU3" i="34"/>
  <c r="BV3" i="34"/>
  <c r="BW3" i="34"/>
  <c r="BX3" i="34"/>
  <c r="BY3" i="34"/>
  <c r="BZ3" i="34"/>
  <c r="CA3" i="34"/>
  <c r="CB3" i="34"/>
  <c r="CC3" i="34"/>
  <c r="CD3" i="34"/>
  <c r="CE3" i="34"/>
  <c r="CF3" i="34"/>
  <c r="CG3" i="34"/>
  <c r="CH3" i="34"/>
  <c r="CI3" i="34"/>
  <c r="CJ3" i="34"/>
  <c r="CK3" i="34"/>
  <c r="CL3" i="34"/>
  <c r="CM3" i="34"/>
  <c r="CN3" i="34"/>
  <c r="CO3" i="34"/>
  <c r="CP3" i="34"/>
  <c r="CQ3" i="34"/>
  <c r="CR3" i="34"/>
  <c r="CS3" i="34"/>
  <c r="CT3" i="34"/>
  <c r="CU3" i="34"/>
  <c r="CV3" i="34"/>
  <c r="CW3" i="34"/>
  <c r="CX3" i="34"/>
  <c r="CY3" i="34"/>
  <c r="CZ3" i="34"/>
  <c r="DA3" i="34"/>
  <c r="DB3" i="34"/>
  <c r="DC3" i="34"/>
  <c r="DD3" i="34"/>
  <c r="DE3" i="34"/>
  <c r="DF3" i="34"/>
  <c r="DG3" i="34"/>
  <c r="DH3" i="34"/>
  <c r="DI3" i="34"/>
  <c r="DJ3" i="34"/>
  <c r="DK3" i="34"/>
  <c r="DL3" i="34"/>
  <c r="DM3" i="34"/>
  <c r="DN3" i="34"/>
  <c r="DO3" i="34"/>
  <c r="DP3" i="34"/>
  <c r="DQ3" i="34"/>
  <c r="DR3" i="34"/>
  <c r="DS3" i="34"/>
  <c r="DT3" i="34"/>
  <c r="DU3" i="34"/>
  <c r="DV3" i="34"/>
  <c r="DW3" i="34"/>
  <c r="DX3" i="34"/>
  <c r="DY3" i="34"/>
  <c r="DZ3" i="34"/>
  <c r="EA3" i="34"/>
  <c r="EB3" i="34"/>
  <c r="EC3" i="34"/>
  <c r="ED3" i="34"/>
  <c r="EE3" i="34"/>
  <c r="EF3" i="34"/>
  <c r="EG3" i="34"/>
  <c r="EH3" i="34"/>
  <c r="EI3" i="34"/>
  <c r="EJ3" i="34"/>
  <c r="EK3" i="34"/>
  <c r="EL3" i="34"/>
  <c r="EM3" i="34"/>
  <c r="EN3" i="34"/>
  <c r="EO3" i="34"/>
  <c r="EP3" i="34"/>
  <c r="EQ3" i="34"/>
  <c r="ER3" i="34"/>
  <c r="ES3" i="34"/>
  <c r="ET3" i="34"/>
  <c r="EU3" i="34"/>
  <c r="EV3" i="34"/>
  <c r="EW3" i="34"/>
  <c r="A3" i="34"/>
  <c r="F2" i="9" a="1"/>
  <c r="F2" i="9" s="1"/>
  <c r="B2" i="23"/>
  <c r="B3" i="23"/>
  <c r="B4" i="23"/>
  <c r="B5" i="23"/>
  <c r="B6" i="23"/>
  <c r="B7" i="23"/>
  <c r="B8" i="23"/>
  <c r="B9" i="23"/>
  <c r="B10" i="23"/>
  <c r="B11" i="23"/>
  <c r="B12" i="23"/>
  <c r="B13" i="23"/>
  <c r="B14" i="23"/>
  <c r="B15" i="23"/>
  <c r="B16" i="23"/>
  <c r="B17" i="23"/>
  <c r="B18" i="23"/>
  <c r="B19" i="23"/>
  <c r="B20" i="23"/>
  <c r="B21" i="23"/>
  <c r="B22" i="23"/>
  <c r="B23" i="23"/>
  <c r="B24" i="23"/>
  <c r="B25" i="23"/>
  <c r="B26" i="23"/>
  <c r="B27" i="23"/>
  <c r="B28" i="23"/>
  <c r="B29" i="23"/>
  <c r="B30" i="23"/>
  <c r="B31" i="23"/>
  <c r="B32" i="23"/>
  <c r="B33" i="23"/>
  <c r="B34" i="23"/>
  <c r="B35" i="23"/>
  <c r="B36" i="23"/>
  <c r="B37" i="23"/>
  <c r="B38" i="23"/>
  <c r="B39" i="23"/>
  <c r="B40" i="23"/>
  <c r="B41" i="23"/>
  <c r="B42" i="23"/>
  <c r="B43" i="23"/>
  <c r="B44" i="23"/>
  <c r="B45" i="23"/>
  <c r="B46" i="23"/>
  <c r="B47" i="23"/>
  <c r="B48" i="23"/>
  <c r="B49" i="23"/>
  <c r="B50" i="23"/>
  <c r="B51" i="23"/>
  <c r="B52" i="23"/>
  <c r="B53" i="23"/>
  <c r="B54" i="23"/>
  <c r="B55" i="23"/>
  <c r="B56" i="23"/>
  <c r="B57" i="23"/>
  <c r="B58" i="23"/>
  <c r="B59" i="23"/>
  <c r="B60" i="23"/>
  <c r="B61" i="23"/>
  <c r="B62" i="23"/>
  <c r="B63" i="23"/>
  <c r="B64" i="23"/>
  <c r="B65" i="23"/>
  <c r="B66" i="23"/>
  <c r="B67" i="23"/>
  <c r="B68" i="23"/>
  <c r="B69" i="23"/>
  <c r="B70" i="23"/>
  <c r="B71" i="23"/>
  <c r="B72" i="23"/>
  <c r="B73" i="23"/>
  <c r="B74" i="23"/>
  <c r="B75" i="23"/>
  <c r="B76" i="23"/>
  <c r="B77" i="23"/>
  <c r="B78" i="23"/>
  <c r="B79" i="23"/>
  <c r="B80" i="23"/>
  <c r="B81" i="23"/>
  <c r="B82" i="23"/>
  <c r="B83" i="23"/>
  <c r="B84" i="23"/>
  <c r="B85" i="23"/>
  <c r="B86" i="23"/>
  <c r="B87" i="23"/>
  <c r="B88" i="23"/>
  <c r="B89" i="23"/>
  <c r="B90" i="23"/>
  <c r="B91" i="23"/>
  <c r="B92" i="23"/>
  <c r="B93" i="23"/>
  <c r="B94" i="23"/>
  <c r="B95" i="23"/>
  <c r="B96" i="23"/>
  <c r="B97" i="23"/>
  <c r="B98" i="23"/>
  <c r="B99" i="23"/>
  <c r="B100" i="23"/>
  <c r="B101" i="23"/>
  <c r="B102" i="23"/>
  <c r="B103" i="23"/>
  <c r="B104" i="23"/>
  <c r="B105" i="23"/>
  <c r="B106" i="23"/>
  <c r="B107" i="23"/>
  <c r="B108" i="23"/>
  <c r="B109" i="23"/>
  <c r="B110" i="23"/>
  <c r="B111" i="23"/>
  <c r="B112" i="23"/>
  <c r="B113" i="23"/>
  <c r="B114" i="23"/>
  <c r="B115" i="23"/>
  <c r="B116" i="23"/>
  <c r="B117" i="23"/>
  <c r="B118" i="23"/>
  <c r="B119" i="23"/>
  <c r="B120" i="23"/>
  <c r="B121" i="23"/>
  <c r="B122" i="23"/>
  <c r="B123" i="23"/>
  <c r="B124" i="23"/>
  <c r="B125" i="23"/>
  <c r="B126" i="23"/>
  <c r="B127" i="23"/>
  <c r="B128" i="23"/>
  <c r="B129" i="23"/>
  <c r="B130" i="23"/>
  <c r="B131" i="23"/>
  <c r="B132" i="23"/>
  <c r="B133" i="23"/>
  <c r="B134" i="23"/>
  <c r="B135" i="23"/>
  <c r="B136" i="23"/>
  <c r="B137" i="23"/>
  <c r="B138" i="23"/>
  <c r="B139" i="23"/>
  <c r="B140" i="23"/>
  <c r="B141" i="23"/>
  <c r="B142" i="23"/>
  <c r="B143" i="23"/>
  <c r="B144" i="23"/>
  <c r="B145" i="23"/>
  <c r="B146" i="23"/>
  <c r="B147" i="23"/>
  <c r="B148" i="23"/>
  <c r="B149" i="23"/>
  <c r="B150" i="23"/>
  <c r="B151" i="23"/>
  <c r="B152" i="23"/>
  <c r="B153" i="23"/>
  <c r="B154" i="23"/>
  <c r="B155" i="23"/>
  <c r="B156" i="23"/>
  <c r="B157" i="23"/>
  <c r="B158" i="23"/>
  <c r="B159" i="23"/>
  <c r="B160" i="23"/>
  <c r="B161" i="23"/>
  <c r="B162" i="23"/>
  <c r="B163" i="23"/>
  <c r="B164" i="23"/>
  <c r="B165" i="23"/>
  <c r="B166" i="23"/>
  <c r="B167" i="23"/>
  <c r="B168" i="23"/>
  <c r="B169" i="23"/>
  <c r="B170" i="23"/>
  <c r="B171" i="23"/>
  <c r="B172" i="23"/>
  <c r="B173" i="23"/>
  <c r="B174" i="23"/>
  <c r="B175" i="23"/>
  <c r="B176" i="23"/>
  <c r="B177" i="23"/>
  <c r="B178" i="23"/>
  <c r="B179" i="23"/>
  <c r="B180" i="23"/>
  <c r="B181" i="23"/>
  <c r="B182" i="23"/>
  <c r="B183" i="23"/>
  <c r="B184" i="23"/>
  <c r="B185" i="23"/>
  <c r="B186" i="23"/>
  <c r="B187" i="23"/>
  <c r="B188" i="23"/>
  <c r="B189" i="23"/>
  <c r="F2" i="28" a="1"/>
  <c r="B2" i="28" a="1"/>
  <c r="D3" i="28" s="1"/>
  <c r="F4" i="28" a="1"/>
  <c r="B4" i="28" a="1"/>
  <c r="AB2" i="9" a="1"/>
  <c r="AB2" i="9" s="1"/>
  <c r="Y3" i="9"/>
  <c r="Y4" i="9"/>
  <c r="Y5" i="9"/>
  <c r="Y6" i="9"/>
  <c r="Y7"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Y137" i="9"/>
  <c r="Y138" i="9"/>
  <c r="Y139" i="9"/>
  <c r="Y140" i="9"/>
  <c r="Y141" i="9"/>
  <c r="Y142" i="9"/>
  <c r="Y143" i="9"/>
  <c r="Y144" i="9"/>
  <c r="Y145" i="9"/>
  <c r="Y146" i="9"/>
  <c r="Y147" i="9"/>
  <c r="Y148" i="9"/>
  <c r="Y149" i="9"/>
  <c r="Y150" i="9"/>
  <c r="Y151" i="9"/>
  <c r="Y152" i="9"/>
  <c r="Y153" i="9"/>
  <c r="Y154" i="9"/>
  <c r="Y155" i="9"/>
  <c r="Y156" i="9"/>
  <c r="Y157" i="9"/>
  <c r="Y158" i="9"/>
  <c r="Y159" i="9"/>
  <c r="Y160" i="9"/>
  <c r="Y161" i="9"/>
  <c r="Y162" i="9"/>
  <c r="Y163" i="9"/>
  <c r="Y164" i="9"/>
  <c r="Y165" i="9"/>
  <c r="Y166" i="9"/>
  <c r="Y167" i="9"/>
  <c r="Y168" i="9"/>
  <c r="Y169" i="9"/>
  <c r="Y170" i="9"/>
  <c r="Y171" i="9"/>
  <c r="Y172" i="9"/>
  <c r="Y173" i="9"/>
  <c r="Y174" i="9"/>
  <c r="Y175" i="9"/>
  <c r="Y176" i="9"/>
  <c r="Y177" i="9"/>
  <c r="Y178" i="9"/>
  <c r="Y179" i="9"/>
  <c r="Y180" i="9"/>
  <c r="Y181" i="9"/>
  <c r="Y182" i="9"/>
  <c r="Y183" i="9"/>
  <c r="Y184" i="9"/>
  <c r="Y185" i="9"/>
  <c r="Y186" i="9"/>
  <c r="Y187" i="9"/>
  <c r="Y188" i="9"/>
  <c r="Y2" i="9"/>
  <c r="N1285" i="21"/>
  <c r="M1285" i="21"/>
  <c r="O1285" i="21" s="1"/>
  <c r="N1284" i="21"/>
  <c r="N1283" i="21" s="1"/>
  <c r="M1284" i="21"/>
  <c r="M1283" i="21" s="1"/>
  <c r="O1283" i="21" s="1"/>
  <c r="N1282" i="21"/>
  <c r="N1281" i="21" s="1"/>
  <c r="M1282" i="21"/>
  <c r="O1282" i="21" s="1"/>
  <c r="N1280" i="21"/>
  <c r="M1280" i="21"/>
  <c r="M1279" i="21" s="1"/>
  <c r="O1279" i="21" s="1"/>
  <c r="N1279" i="21"/>
  <c r="O1278" i="21"/>
  <c r="N1278" i="21"/>
  <c r="M1278" i="21"/>
  <c r="N1277" i="21"/>
  <c r="M1277" i="21"/>
  <c r="O1277" i="21" s="1"/>
  <c r="O1276" i="21"/>
  <c r="N1276" i="21"/>
  <c r="N1275" i="21" s="1"/>
  <c r="M1276" i="21"/>
  <c r="M1275" i="21" s="1"/>
  <c r="N1274" i="21"/>
  <c r="M1274" i="21"/>
  <c r="O1274" i="21" s="1"/>
  <c r="N1273" i="21"/>
  <c r="O1273" i="21" s="1"/>
  <c r="M1273" i="21"/>
  <c r="N1272" i="21"/>
  <c r="M1272" i="21"/>
  <c r="O1272" i="21" s="1"/>
  <c r="N1271" i="21"/>
  <c r="O1271" i="21" s="1"/>
  <c r="M1271" i="21"/>
  <c r="O1270" i="21"/>
  <c r="N1270" i="21"/>
  <c r="M1270" i="21"/>
  <c r="N1269" i="21"/>
  <c r="M1269" i="21"/>
  <c r="O1269" i="21" s="1"/>
  <c r="O1268" i="21"/>
  <c r="N1268" i="21"/>
  <c r="N1267" i="21" s="1"/>
  <c r="M1268" i="21"/>
  <c r="N1266" i="21"/>
  <c r="M1266" i="21"/>
  <c r="O1266" i="21" s="1"/>
  <c r="N1265" i="21"/>
  <c r="O1265" i="21" s="1"/>
  <c r="M1265" i="21"/>
  <c r="N1264" i="21"/>
  <c r="M1264" i="21"/>
  <c r="O1264" i="21" s="1"/>
  <c r="N1263" i="21"/>
  <c r="O1263" i="21" s="1"/>
  <c r="M1263" i="21"/>
  <c r="O1262" i="21"/>
  <c r="N1262" i="21"/>
  <c r="M1262" i="21"/>
  <c r="N1261" i="21"/>
  <c r="M1261" i="21"/>
  <c r="O1261" i="21" s="1"/>
  <c r="O1260" i="21"/>
  <c r="N1260" i="21"/>
  <c r="N1259" i="21" s="1"/>
  <c r="M1260" i="21"/>
  <c r="N1258" i="21"/>
  <c r="M1258" i="21"/>
  <c r="N1257" i="21"/>
  <c r="N1256" i="21"/>
  <c r="M1256" i="21"/>
  <c r="M1255" i="21" s="1"/>
  <c r="O1255" i="21" s="1"/>
  <c r="N1255" i="21"/>
  <c r="O1254" i="21"/>
  <c r="N1254" i="21"/>
  <c r="M1254" i="21"/>
  <c r="N1253" i="21"/>
  <c r="M1253" i="21"/>
  <c r="O1253" i="21" s="1"/>
  <c r="O1252" i="21"/>
  <c r="N1252" i="21"/>
  <c r="M1252" i="21"/>
  <c r="N1251" i="21"/>
  <c r="M1251" i="21"/>
  <c r="O1251" i="21" s="1"/>
  <c r="N1250" i="21"/>
  <c r="M1250" i="21"/>
  <c r="O1250" i="21" s="1"/>
  <c r="N1249" i="21"/>
  <c r="O1249" i="21" s="1"/>
  <c r="M1249" i="21"/>
  <c r="N1248" i="21"/>
  <c r="M1248" i="21"/>
  <c r="N1247" i="21"/>
  <c r="N1246" i="21"/>
  <c r="M1246" i="21"/>
  <c r="M1245" i="21" s="1"/>
  <c r="O1245" i="21" s="1"/>
  <c r="N1245" i="21"/>
  <c r="O1244" i="21"/>
  <c r="N1244" i="21"/>
  <c r="M1244" i="21"/>
  <c r="M1243" i="21" s="1"/>
  <c r="O1243" i="21" s="1"/>
  <c r="N1243" i="21"/>
  <c r="N1242" i="21"/>
  <c r="M1242" i="21"/>
  <c r="N1241" i="21"/>
  <c r="O1240" i="21"/>
  <c r="N1240" i="21"/>
  <c r="M1240" i="21"/>
  <c r="M1239" i="21" s="1"/>
  <c r="N1239" i="21"/>
  <c r="N1238" i="21"/>
  <c r="M1238" i="21"/>
  <c r="N1237" i="21"/>
  <c r="O1236" i="21"/>
  <c r="N1236" i="21"/>
  <c r="M1236" i="21"/>
  <c r="N1235" i="21"/>
  <c r="M1235" i="21"/>
  <c r="O1235" i="21" s="1"/>
  <c r="N1234" i="21"/>
  <c r="M1234" i="21"/>
  <c r="O1234" i="21" s="1"/>
  <c r="N1233" i="21"/>
  <c r="O1233" i="21" s="1"/>
  <c r="M1233" i="21"/>
  <c r="O1232" i="21"/>
  <c r="N1232" i="21"/>
  <c r="M1232" i="21"/>
  <c r="N1231" i="21"/>
  <c r="O1231" i="21" s="1"/>
  <c r="M1231" i="21"/>
  <c r="N1229" i="21"/>
  <c r="M1229" i="21"/>
  <c r="O1229" i="21" s="1"/>
  <c r="N1228" i="21"/>
  <c r="N1227" i="21" s="1"/>
  <c r="M1228" i="21"/>
  <c r="O1228" i="21" s="1"/>
  <c r="N1226" i="21"/>
  <c r="M1226" i="21"/>
  <c r="O1226" i="21" s="1"/>
  <c r="N1225" i="21"/>
  <c r="N1224" i="21" s="1"/>
  <c r="M1225" i="21"/>
  <c r="O1223" i="21"/>
  <c r="N1223" i="21"/>
  <c r="M1223" i="21"/>
  <c r="N1222" i="21"/>
  <c r="M1222" i="21"/>
  <c r="M1221" i="21"/>
  <c r="N1220" i="21"/>
  <c r="N1219" i="21" s="1"/>
  <c r="M1220" i="21"/>
  <c r="O1220" i="21" s="1"/>
  <c r="N1218" i="21"/>
  <c r="M1218" i="21"/>
  <c r="N1217" i="21"/>
  <c r="M1217" i="21"/>
  <c r="O1217" i="21" s="1"/>
  <c r="N1216" i="21"/>
  <c r="O1216" i="21" s="1"/>
  <c r="M1216" i="21"/>
  <c r="O1215" i="21"/>
  <c r="N1215" i="21"/>
  <c r="M1215" i="21"/>
  <c r="N1214" i="21"/>
  <c r="O1214" i="21" s="1"/>
  <c r="M1214" i="21"/>
  <c r="N1213" i="21"/>
  <c r="M1213" i="21"/>
  <c r="O1213" i="21" s="1"/>
  <c r="N1212" i="21"/>
  <c r="M1212" i="21"/>
  <c r="O1212" i="21" s="1"/>
  <c r="O1211" i="21"/>
  <c r="N1211" i="21"/>
  <c r="M1211" i="21"/>
  <c r="N1210" i="21"/>
  <c r="M1210" i="21"/>
  <c r="O1210" i="21" s="1"/>
  <c r="N1209" i="21"/>
  <c r="M1209" i="21"/>
  <c r="O1209" i="21" s="1"/>
  <c r="N1208" i="21"/>
  <c r="M1208" i="21"/>
  <c r="O1208" i="21" s="1"/>
  <c r="O1207" i="21"/>
  <c r="N1207" i="21"/>
  <c r="M1207" i="21"/>
  <c r="N1206" i="21"/>
  <c r="N1205" i="21"/>
  <c r="M1205" i="21"/>
  <c r="O1205" i="21" s="1"/>
  <c r="N1204" i="21"/>
  <c r="M1204" i="21"/>
  <c r="O1204" i="21" s="1"/>
  <c r="O1203" i="21"/>
  <c r="N1203" i="21"/>
  <c r="M1203" i="21"/>
  <c r="N1202" i="21"/>
  <c r="N1201" i="21" s="1"/>
  <c r="M1202" i="21"/>
  <c r="O1202" i="21" s="1"/>
  <c r="M1201" i="21"/>
  <c r="O1201" i="21" s="1"/>
  <c r="N1200" i="21"/>
  <c r="M1200" i="21"/>
  <c r="O1200" i="21" s="1"/>
  <c r="O1199" i="21"/>
  <c r="N1199" i="21"/>
  <c r="M1199" i="21"/>
  <c r="N1198" i="21"/>
  <c r="M1198" i="21"/>
  <c r="O1198" i="21" s="1"/>
  <c r="N1197" i="21"/>
  <c r="M1197" i="21"/>
  <c r="N1196" i="21"/>
  <c r="O1195" i="21"/>
  <c r="N1195" i="21"/>
  <c r="M1195" i="21"/>
  <c r="N1194" i="21"/>
  <c r="M1194" i="21"/>
  <c r="O1194" i="21" s="1"/>
  <c r="N1193" i="21"/>
  <c r="M1193" i="21"/>
  <c r="O1192" i="21"/>
  <c r="N1192" i="21"/>
  <c r="M1192" i="21"/>
  <c r="O1191" i="21"/>
  <c r="N1191" i="21"/>
  <c r="M1191" i="21"/>
  <c r="N1190" i="21"/>
  <c r="M1190" i="21"/>
  <c r="O1190" i="21" s="1"/>
  <c r="N1189" i="21"/>
  <c r="M1189" i="21"/>
  <c r="O1189" i="21" s="1"/>
  <c r="N1188" i="21"/>
  <c r="M1188" i="21"/>
  <c r="O1188" i="21" s="1"/>
  <c r="O1187" i="21"/>
  <c r="N1187" i="21"/>
  <c r="M1187" i="21"/>
  <c r="N1186" i="21"/>
  <c r="N1185" i="21" s="1"/>
  <c r="M1186" i="21"/>
  <c r="O1184" i="21"/>
  <c r="N1184" i="21"/>
  <c r="M1184" i="21"/>
  <c r="O1183" i="21"/>
  <c r="N1183" i="21"/>
  <c r="M1183" i="21"/>
  <c r="N1182" i="21"/>
  <c r="N1181" i="21" s="1"/>
  <c r="M1182" i="21"/>
  <c r="O1182" i="21" s="1"/>
  <c r="M1181" i="21"/>
  <c r="O1181" i="21" s="1"/>
  <c r="N1180" i="21"/>
  <c r="M1180" i="21"/>
  <c r="O1180" i="21" s="1"/>
  <c r="O1179" i="21"/>
  <c r="N1179" i="21"/>
  <c r="M1179" i="21"/>
  <c r="N1178" i="21"/>
  <c r="N1177" i="21" s="1"/>
  <c r="M1178" i="21"/>
  <c r="O1178" i="21" s="1"/>
  <c r="M1177" i="21"/>
  <c r="O1177" i="21" s="1"/>
  <c r="O1176" i="21"/>
  <c r="N1176" i="21"/>
  <c r="M1176" i="21"/>
  <c r="O1175" i="21"/>
  <c r="N1175" i="21"/>
  <c r="M1175" i="21"/>
  <c r="N1174" i="21"/>
  <c r="M1174" i="21"/>
  <c r="N1173" i="21"/>
  <c r="M1173" i="21"/>
  <c r="N1172" i="21"/>
  <c r="O1171" i="21"/>
  <c r="N1171" i="21"/>
  <c r="M1171" i="21"/>
  <c r="N1170" i="21"/>
  <c r="M1170" i="21"/>
  <c r="N1169" i="21"/>
  <c r="M1169" i="21"/>
  <c r="N1168" i="21"/>
  <c r="O1167" i="21"/>
  <c r="N1167" i="21"/>
  <c r="M1167" i="21"/>
  <c r="N1166" i="21"/>
  <c r="M1166" i="21"/>
  <c r="N1165" i="21"/>
  <c r="M1165" i="21"/>
  <c r="O1165" i="21" s="1"/>
  <c r="N1164" i="21"/>
  <c r="M1164" i="21"/>
  <c r="O1164" i="21" s="1"/>
  <c r="O1163" i="21"/>
  <c r="N1163" i="21"/>
  <c r="M1163" i="21"/>
  <c r="N1162" i="21"/>
  <c r="M1162" i="21"/>
  <c r="N1161" i="21"/>
  <c r="M1161" i="21"/>
  <c r="O1161" i="21" s="1"/>
  <c r="O1160" i="21"/>
  <c r="N1160" i="21"/>
  <c r="M1160" i="21"/>
  <c r="O1159" i="21"/>
  <c r="N1159" i="21"/>
  <c r="M1159" i="21"/>
  <c r="N1158" i="21"/>
  <c r="M1158" i="21"/>
  <c r="O1158" i="21" s="1"/>
  <c r="N1157" i="21"/>
  <c r="M1157" i="21"/>
  <c r="O1157" i="21" s="1"/>
  <c r="N1156" i="21"/>
  <c r="M1156" i="21"/>
  <c r="O1156" i="21" s="1"/>
  <c r="O1155" i="21"/>
  <c r="N1155" i="21"/>
  <c r="M1155" i="21"/>
  <c r="N1154" i="21"/>
  <c r="M1154" i="21"/>
  <c r="N1153" i="21"/>
  <c r="M1153" i="21"/>
  <c r="O1153" i="21" s="1"/>
  <c r="O1152" i="21"/>
  <c r="N1152" i="21"/>
  <c r="M1152" i="21"/>
  <c r="O1151" i="21"/>
  <c r="N1151" i="21"/>
  <c r="M1151" i="21"/>
  <c r="N1150" i="21"/>
  <c r="M1150" i="21"/>
  <c r="N1149" i="21"/>
  <c r="M1149" i="21"/>
  <c r="N1148" i="21"/>
  <c r="O1142" i="21"/>
  <c r="N1142" i="21"/>
  <c r="M1142" i="21"/>
  <c r="N1141" i="21"/>
  <c r="N1140" i="21" s="1"/>
  <c r="M1141" i="21"/>
  <c r="M1140" i="21"/>
  <c r="O1139" i="21"/>
  <c r="N1139" i="21"/>
  <c r="N1138" i="21" s="1"/>
  <c r="M1139" i="21"/>
  <c r="O1138" i="21"/>
  <c r="M1138" i="21"/>
  <c r="N1137" i="21"/>
  <c r="N1136" i="21" s="1"/>
  <c r="M1137" i="21"/>
  <c r="M1136" i="21"/>
  <c r="N1135" i="21"/>
  <c r="N1134" i="21" s="1"/>
  <c r="M1135" i="21"/>
  <c r="O1135" i="21" s="1"/>
  <c r="O1134" i="21"/>
  <c r="M1134" i="21"/>
  <c r="N1133" i="21"/>
  <c r="N1132" i="21" s="1"/>
  <c r="M1133" i="21"/>
  <c r="O1133" i="21" s="1"/>
  <c r="M1132" i="21"/>
  <c r="O1131" i="21"/>
  <c r="N1131" i="21"/>
  <c r="M1131" i="21"/>
  <c r="O1130" i="21"/>
  <c r="N1130" i="21"/>
  <c r="M1130" i="21"/>
  <c r="N1129" i="21"/>
  <c r="M1129" i="21"/>
  <c r="N1128" i="21"/>
  <c r="M1128" i="21"/>
  <c r="O1128" i="21" s="1"/>
  <c r="N1127" i="21"/>
  <c r="O1127" i="21" s="1"/>
  <c r="M1127" i="21"/>
  <c r="O1126" i="21"/>
  <c r="N1126" i="21"/>
  <c r="M1126" i="21"/>
  <c r="N1125" i="21"/>
  <c r="N1124" i="21" s="1"/>
  <c r="M1125" i="21"/>
  <c r="O1125" i="21" s="1"/>
  <c r="M1124" i="21"/>
  <c r="O1124" i="21" s="1"/>
  <c r="O1123" i="21"/>
  <c r="N1123" i="21"/>
  <c r="M1123" i="21"/>
  <c r="O1122" i="21"/>
  <c r="N1122" i="21"/>
  <c r="M1122" i="21"/>
  <c r="N1121" i="21"/>
  <c r="M1121" i="21"/>
  <c r="N1120" i="21"/>
  <c r="M1120" i="21"/>
  <c r="O1120" i="21" s="1"/>
  <c r="N1119" i="21"/>
  <c r="M1119" i="21"/>
  <c r="O1119" i="21" s="1"/>
  <c r="O1118" i="21"/>
  <c r="N1118" i="21"/>
  <c r="M1118" i="21"/>
  <c r="N1117" i="21"/>
  <c r="N1116" i="21" s="1"/>
  <c r="M1117" i="21"/>
  <c r="M1116" i="21"/>
  <c r="O1116" i="21" s="1"/>
  <c r="O1115" i="21"/>
  <c r="N1115" i="21"/>
  <c r="N1114" i="21" s="1"/>
  <c r="O1114" i="21" s="1"/>
  <c r="M1115" i="21"/>
  <c r="M1114" i="21"/>
  <c r="N1113" i="21"/>
  <c r="N1112" i="21" s="1"/>
  <c r="M1113" i="21"/>
  <c r="M1112" i="21"/>
  <c r="O1112" i="21" s="1"/>
  <c r="N1111" i="21"/>
  <c r="O1111" i="21" s="1"/>
  <c r="M1111" i="21"/>
  <c r="O1110" i="21"/>
  <c r="N1110" i="21"/>
  <c r="M1110" i="21"/>
  <c r="N1109" i="21"/>
  <c r="M1109" i="21"/>
  <c r="N1108" i="21"/>
  <c r="M1108" i="21"/>
  <c r="O1107" i="21"/>
  <c r="N1107" i="21"/>
  <c r="M1107" i="21"/>
  <c r="O1106" i="21"/>
  <c r="N1106" i="21"/>
  <c r="M1106" i="21"/>
  <c r="N1105" i="21"/>
  <c r="N1104" i="21" s="1"/>
  <c r="M1105" i="21"/>
  <c r="O1105" i="21" s="1"/>
  <c r="N1103" i="21"/>
  <c r="O1103" i="21" s="1"/>
  <c r="M1103" i="21"/>
  <c r="M1102" i="21"/>
  <c r="N1101" i="21"/>
  <c r="N1100" i="21" s="1"/>
  <c r="M1101" i="21"/>
  <c r="O1101" i="21" s="1"/>
  <c r="M1100" i="21"/>
  <c r="O1100" i="21" s="1"/>
  <c r="O1099" i="21"/>
  <c r="N1099" i="21"/>
  <c r="M1099" i="21"/>
  <c r="O1098" i="21"/>
  <c r="N1098" i="21"/>
  <c r="M1098" i="21"/>
  <c r="N1097" i="21"/>
  <c r="N1096" i="21" s="1"/>
  <c r="M1097" i="21"/>
  <c r="O1097" i="21" s="1"/>
  <c r="M1096" i="21"/>
  <c r="N1095" i="21"/>
  <c r="O1095" i="21" s="1"/>
  <c r="M1095" i="21"/>
  <c r="M1094" i="21" s="1"/>
  <c r="N1093" i="21"/>
  <c r="M1093" i="21"/>
  <c r="N1092" i="21"/>
  <c r="M1092" i="21"/>
  <c r="O1092" i="21" s="1"/>
  <c r="O1091" i="21"/>
  <c r="N1091" i="21"/>
  <c r="M1091" i="21"/>
  <c r="O1090" i="21"/>
  <c r="N1090" i="21"/>
  <c r="M1090" i="21"/>
  <c r="N1089" i="21"/>
  <c r="M1089" i="21"/>
  <c r="O1089" i="21" s="1"/>
  <c r="N1088" i="21"/>
  <c r="M1088" i="21"/>
  <c r="O1088" i="21" s="1"/>
  <c r="N1086" i="21"/>
  <c r="M1086" i="21"/>
  <c r="O1086" i="21" s="1"/>
  <c r="O1085" i="21"/>
  <c r="N1085" i="21"/>
  <c r="M1085" i="21"/>
  <c r="M1084" i="21" s="1"/>
  <c r="N1084" i="21"/>
  <c r="N1083" i="21"/>
  <c r="M1083" i="21"/>
  <c r="O1082" i="21"/>
  <c r="N1082" i="21"/>
  <c r="N1081" i="21" s="1"/>
  <c r="M1082" i="21"/>
  <c r="N1080" i="21"/>
  <c r="M1080" i="21"/>
  <c r="O1080" i="21" s="1"/>
  <c r="N1079" i="21"/>
  <c r="M1079" i="21"/>
  <c r="N1078" i="21"/>
  <c r="O1077" i="21"/>
  <c r="N1077" i="21"/>
  <c r="M1077" i="21"/>
  <c r="M1076" i="21" s="1"/>
  <c r="N1076" i="21"/>
  <c r="N1075" i="21"/>
  <c r="M1075" i="21"/>
  <c r="O1075" i="21" s="1"/>
  <c r="O1074" i="21"/>
  <c r="N1074" i="21"/>
  <c r="M1074" i="21"/>
  <c r="O1073" i="21"/>
  <c r="N1073" i="21"/>
  <c r="M1073" i="21"/>
  <c r="N1072" i="21"/>
  <c r="M1072" i="21"/>
  <c r="N1071" i="21"/>
  <c r="M1071" i="21"/>
  <c r="O1071" i="21" s="1"/>
  <c r="N1070" i="21"/>
  <c r="M1070" i="21"/>
  <c r="O1070" i="21" s="1"/>
  <c r="O1069" i="21"/>
  <c r="N1069" i="21"/>
  <c r="M1069" i="21"/>
  <c r="N1068" i="21"/>
  <c r="M1068" i="21"/>
  <c r="O1068" i="21" s="1"/>
  <c r="N1067" i="21"/>
  <c r="M1067" i="21"/>
  <c r="O1067" i="21" s="1"/>
  <c r="O1066" i="21"/>
  <c r="N1066" i="21"/>
  <c r="N1063" i="21" s="1"/>
  <c r="M1066" i="21"/>
  <c r="O1065" i="21"/>
  <c r="N1065" i="21"/>
  <c r="M1065" i="21"/>
  <c r="N1064" i="21"/>
  <c r="M1064" i="21"/>
  <c r="O1064" i="21" s="1"/>
  <c r="N1062" i="21"/>
  <c r="M1062" i="21"/>
  <c r="O1062" i="21" s="1"/>
  <c r="O1061" i="21"/>
  <c r="N1061" i="21"/>
  <c r="M1061" i="21"/>
  <c r="N1060" i="21"/>
  <c r="M1060" i="21"/>
  <c r="O1060" i="21" s="1"/>
  <c r="N1059" i="21"/>
  <c r="M1059" i="21"/>
  <c r="N1058" i="21"/>
  <c r="O1057" i="21"/>
  <c r="N1057" i="21"/>
  <c r="M1057" i="21"/>
  <c r="N1056" i="21"/>
  <c r="M1056" i="21"/>
  <c r="O1056" i="21" s="1"/>
  <c r="N1055" i="21"/>
  <c r="M1055" i="21"/>
  <c r="N1054" i="21"/>
  <c r="N1053" i="21" s="1"/>
  <c r="M1054" i="21"/>
  <c r="O1054" i="21" s="1"/>
  <c r="N1052" i="21"/>
  <c r="M1052" i="21"/>
  <c r="N1051" i="21"/>
  <c r="M1051" i="21"/>
  <c r="O1051" i="21" s="1"/>
  <c r="O1050" i="21"/>
  <c r="N1050" i="21"/>
  <c r="M1050" i="21"/>
  <c r="O1049" i="21"/>
  <c r="N1049" i="21"/>
  <c r="M1049" i="21"/>
  <c r="N1048" i="21"/>
  <c r="M1048" i="21"/>
  <c r="N1047" i="21"/>
  <c r="M1047" i="21"/>
  <c r="O1047" i="21" s="1"/>
  <c r="N1046" i="21"/>
  <c r="M1046" i="21"/>
  <c r="O1046" i="21" s="1"/>
  <c r="O1045" i="21"/>
  <c r="N1045" i="21"/>
  <c r="M1045" i="21"/>
  <c r="N1044" i="21"/>
  <c r="M1044" i="21"/>
  <c r="N1043" i="21"/>
  <c r="M1043" i="21"/>
  <c r="N1042" i="21"/>
  <c r="O1041" i="21"/>
  <c r="N1041" i="21"/>
  <c r="M1041" i="21"/>
  <c r="N1040" i="21"/>
  <c r="M1040" i="21"/>
  <c r="N1039" i="21"/>
  <c r="M1039" i="21"/>
  <c r="N1038" i="21"/>
  <c r="O1037" i="21"/>
  <c r="N1037" i="21"/>
  <c r="M1037" i="21"/>
  <c r="N1036" i="21"/>
  <c r="M1036" i="21"/>
  <c r="N1035" i="21"/>
  <c r="M1035" i="21"/>
  <c r="N1034" i="21"/>
  <c r="O1033" i="21"/>
  <c r="N1033" i="21"/>
  <c r="M1033" i="21"/>
  <c r="N1032" i="21"/>
  <c r="M1032" i="21"/>
  <c r="N1031" i="21"/>
  <c r="M1031" i="21"/>
  <c r="N1030" i="21"/>
  <c r="N1029" i="21" s="1"/>
  <c r="M1030" i="21"/>
  <c r="O1030" i="21" s="1"/>
  <c r="N1028" i="21"/>
  <c r="M1028" i="21"/>
  <c r="N1027" i="21"/>
  <c r="M1027" i="21"/>
  <c r="O1026" i="21"/>
  <c r="N1026" i="21"/>
  <c r="M1026" i="21"/>
  <c r="N1025" i="21"/>
  <c r="N1024" i="21"/>
  <c r="M1024" i="21"/>
  <c r="N1023" i="21"/>
  <c r="M1023" i="21"/>
  <c r="O1023" i="21" s="1"/>
  <c r="N1022" i="21"/>
  <c r="M1022" i="21"/>
  <c r="O1022" i="21" s="1"/>
  <c r="O1021" i="21"/>
  <c r="N1021" i="21"/>
  <c r="M1021" i="21"/>
  <c r="N1020" i="21"/>
  <c r="M1020" i="21"/>
  <c r="O1020" i="21" s="1"/>
  <c r="N1019" i="21"/>
  <c r="M1019" i="21"/>
  <c r="O1019" i="21" s="1"/>
  <c r="O1018" i="21"/>
  <c r="N1018" i="21"/>
  <c r="M1018" i="21"/>
  <c r="O1017" i="21"/>
  <c r="N1017" i="21"/>
  <c r="M1017" i="21"/>
  <c r="N1016" i="21"/>
  <c r="M1016" i="21"/>
  <c r="N1015" i="21"/>
  <c r="M1015" i="21"/>
  <c r="O1015" i="21" s="1"/>
  <c r="N1014" i="21"/>
  <c r="M1014" i="21"/>
  <c r="O1014" i="21" s="1"/>
  <c r="O1013" i="21"/>
  <c r="N1013" i="21"/>
  <c r="M1013" i="21"/>
  <c r="N1012" i="21"/>
  <c r="M1012" i="21"/>
  <c r="O1012" i="21" s="1"/>
  <c r="N1011" i="21"/>
  <c r="M1011" i="21"/>
  <c r="O1011" i="21" s="1"/>
  <c r="O1010" i="21"/>
  <c r="N1010" i="21"/>
  <c r="M1010" i="21"/>
  <c r="O1009" i="21"/>
  <c r="N1009" i="21"/>
  <c r="M1009" i="21"/>
  <c r="N1008" i="21"/>
  <c r="M1008" i="21"/>
  <c r="O1008" i="21" s="1"/>
  <c r="N1007" i="21"/>
  <c r="M1007" i="21"/>
  <c r="O1007" i="21" s="1"/>
  <c r="N1006" i="21"/>
  <c r="N1005" i="21" s="1"/>
  <c r="M1006" i="21"/>
  <c r="O1006" i="21" s="1"/>
  <c r="N999" i="21"/>
  <c r="M999" i="21"/>
  <c r="N998" i="21"/>
  <c r="N997" i="21" s="1"/>
  <c r="M998" i="21"/>
  <c r="O996" i="21"/>
  <c r="N996" i="21"/>
  <c r="M996" i="21"/>
  <c r="M995" i="21" s="1"/>
  <c r="O995" i="21" s="1"/>
  <c r="N995" i="21"/>
  <c r="N994" i="21"/>
  <c r="M994" i="21"/>
  <c r="N993" i="21"/>
  <c r="O992" i="21"/>
  <c r="N992" i="21"/>
  <c r="M992" i="21"/>
  <c r="N991" i="21"/>
  <c r="M991" i="21"/>
  <c r="N990" i="21"/>
  <c r="M990" i="21"/>
  <c r="N989" i="21"/>
  <c r="O988" i="21"/>
  <c r="N988" i="21"/>
  <c r="M988" i="21"/>
  <c r="N987" i="21"/>
  <c r="M987" i="21"/>
  <c r="N986" i="21"/>
  <c r="M986" i="21"/>
  <c r="O986" i="21" s="1"/>
  <c r="N985" i="21"/>
  <c r="O985" i="21" s="1"/>
  <c r="M985" i="21"/>
  <c r="O984" i="21"/>
  <c r="N984" i="21"/>
  <c r="M984" i="21"/>
  <c r="N983" i="21"/>
  <c r="M983" i="21"/>
  <c r="O983" i="21" s="1"/>
  <c r="N982" i="21"/>
  <c r="M982" i="21"/>
  <c r="N981" i="21"/>
  <c r="O980" i="21"/>
  <c r="N980" i="21"/>
  <c r="M980" i="21"/>
  <c r="N979" i="21"/>
  <c r="M979" i="21"/>
  <c r="O979" i="21" s="1"/>
  <c r="N978" i="21"/>
  <c r="M978" i="21"/>
  <c r="O978" i="21" s="1"/>
  <c r="N977" i="21"/>
  <c r="M977" i="21"/>
  <c r="O977" i="21" s="1"/>
  <c r="O976" i="21"/>
  <c r="N976" i="21"/>
  <c r="M976" i="21"/>
  <c r="N975" i="21"/>
  <c r="M975" i="21"/>
  <c r="N974" i="21"/>
  <c r="M974" i="21"/>
  <c r="N973" i="21"/>
  <c r="O972" i="21"/>
  <c r="N972" i="21"/>
  <c r="M972" i="21"/>
  <c r="M971" i="21" s="1"/>
  <c r="N971" i="21"/>
  <c r="N970" i="21"/>
  <c r="M970" i="21"/>
  <c r="N969" i="21"/>
  <c r="O968" i="21"/>
  <c r="N968" i="21"/>
  <c r="M968" i="21"/>
  <c r="N967" i="21"/>
  <c r="M967" i="21"/>
  <c r="O967" i="21" s="1"/>
  <c r="N966" i="21"/>
  <c r="M966" i="21"/>
  <c r="O966" i="21" s="1"/>
  <c r="O965" i="21"/>
  <c r="N965" i="21"/>
  <c r="M965" i="21"/>
  <c r="N964" i="21"/>
  <c r="M964" i="21"/>
  <c r="O964" i="21" s="1"/>
  <c r="N963" i="21"/>
  <c r="M963" i="21"/>
  <c r="N962" i="21"/>
  <c r="M962" i="21"/>
  <c r="N961" i="21"/>
  <c r="O960" i="21"/>
  <c r="N960" i="21"/>
  <c r="M960" i="21"/>
  <c r="M959" i="21" s="1"/>
  <c r="N959" i="21"/>
  <c r="N958" i="21"/>
  <c r="M958" i="21"/>
  <c r="M957" i="21" s="1"/>
  <c r="O957" i="21" s="1"/>
  <c r="N957" i="21"/>
  <c r="N956" i="21"/>
  <c r="M956" i="21"/>
  <c r="M955" i="21" s="1"/>
  <c r="N955" i="21"/>
  <c r="N954" i="21"/>
  <c r="M954" i="21"/>
  <c r="N953" i="21"/>
  <c r="O952" i="21"/>
  <c r="N952" i="21"/>
  <c r="M952" i="21"/>
  <c r="M951" i="21" s="1"/>
  <c r="O951" i="21" s="1"/>
  <c r="N951" i="21"/>
  <c r="O950" i="21"/>
  <c r="N950" i="21"/>
  <c r="M950" i="21"/>
  <c r="O949" i="21"/>
  <c r="N949" i="21"/>
  <c r="M949" i="21"/>
  <c r="O948" i="21"/>
  <c r="N948" i="21"/>
  <c r="M948" i="21"/>
  <c r="N947" i="21"/>
  <c r="M947" i="21"/>
  <c r="N946" i="21"/>
  <c r="M946" i="21"/>
  <c r="O946" i="21" s="1"/>
  <c r="N945" i="21"/>
  <c r="O945" i="21" s="1"/>
  <c r="M945" i="21"/>
  <c r="O943" i="21"/>
  <c r="N943" i="21"/>
  <c r="M943" i="21"/>
  <c r="N942" i="21"/>
  <c r="N941" i="21" s="1"/>
  <c r="M942" i="21"/>
  <c r="O942" i="21" s="1"/>
  <c r="O941" i="21"/>
  <c r="M941" i="21"/>
  <c r="O940" i="21"/>
  <c r="N940" i="21"/>
  <c r="M940" i="21"/>
  <c r="N939" i="21"/>
  <c r="M939" i="21"/>
  <c r="M938" i="21" s="1"/>
  <c r="N938" i="21"/>
  <c r="N937" i="21"/>
  <c r="M937" i="21"/>
  <c r="N936" i="21"/>
  <c r="M936" i="21"/>
  <c r="N934" i="21"/>
  <c r="N933" i="21" s="1"/>
  <c r="M934" i="21"/>
  <c r="O934" i="21" s="1"/>
  <c r="O933" i="21"/>
  <c r="M933" i="21"/>
  <c r="O932" i="21"/>
  <c r="N932" i="21"/>
  <c r="M932" i="21"/>
  <c r="N931" i="21"/>
  <c r="M931" i="21"/>
  <c r="O931" i="21" s="1"/>
  <c r="N930" i="21"/>
  <c r="M930" i="21"/>
  <c r="N929" i="21"/>
  <c r="M929" i="21"/>
  <c r="O929" i="21" s="1"/>
  <c r="N928" i="21"/>
  <c r="O928" i="21" s="1"/>
  <c r="M928" i="21"/>
  <c r="O927" i="21"/>
  <c r="N927" i="21"/>
  <c r="M927" i="21"/>
  <c r="N926" i="21"/>
  <c r="M926" i="21"/>
  <c r="O926" i="21" s="1"/>
  <c r="O925" i="21"/>
  <c r="N925" i="21"/>
  <c r="M925" i="21"/>
  <c r="O924" i="21"/>
  <c r="N924" i="21"/>
  <c r="M924" i="21"/>
  <c r="N923" i="21"/>
  <c r="M923" i="21"/>
  <c r="O923" i="21" s="1"/>
  <c r="N922" i="21"/>
  <c r="M922" i="21"/>
  <c r="N921" i="21"/>
  <c r="M921" i="21"/>
  <c r="N920" i="21"/>
  <c r="O919" i="21"/>
  <c r="N919" i="21"/>
  <c r="M919" i="21"/>
  <c r="N918" i="21"/>
  <c r="M918" i="21"/>
  <c r="N917" i="21"/>
  <c r="M917" i="21"/>
  <c r="O916" i="21"/>
  <c r="N916" i="21"/>
  <c r="M916" i="21"/>
  <c r="N915" i="21"/>
  <c r="N914" i="21"/>
  <c r="M914" i="21"/>
  <c r="O914" i="21" s="1"/>
  <c r="N913" i="21"/>
  <c r="M913" i="21"/>
  <c r="O913" i="21" s="1"/>
  <c r="N912" i="21"/>
  <c r="O912" i="21" s="1"/>
  <c r="M912" i="21"/>
  <c r="O911" i="21"/>
  <c r="N911" i="21"/>
  <c r="M911" i="21"/>
  <c r="N910" i="21"/>
  <c r="N909" i="21"/>
  <c r="M909" i="21"/>
  <c r="O909" i="21" s="1"/>
  <c r="O908" i="21"/>
  <c r="N908" i="21"/>
  <c r="M908" i="21"/>
  <c r="O907" i="21"/>
  <c r="N907" i="21"/>
  <c r="M907" i="21"/>
  <c r="N906" i="21"/>
  <c r="M906" i="21"/>
  <c r="N905" i="21"/>
  <c r="M905" i="21"/>
  <c r="O905" i="21" s="1"/>
  <c r="N904" i="21"/>
  <c r="O904" i="21" s="1"/>
  <c r="M904" i="21"/>
  <c r="O903" i="21"/>
  <c r="N903" i="21"/>
  <c r="M903" i="21"/>
  <c r="N902" i="21"/>
  <c r="M902" i="21"/>
  <c r="O902" i="21" s="1"/>
  <c r="N901" i="21"/>
  <c r="M901" i="21"/>
  <c r="O901" i="21" s="1"/>
  <c r="O900" i="21"/>
  <c r="N900" i="21"/>
  <c r="N899" i="21" s="1"/>
  <c r="M900" i="21"/>
  <c r="M899" i="21"/>
  <c r="O899" i="21" s="1"/>
  <c r="N898" i="21"/>
  <c r="M898" i="21"/>
  <c r="N897" i="21"/>
  <c r="M897" i="21"/>
  <c r="N896" i="21"/>
  <c r="O896" i="21" s="1"/>
  <c r="M896" i="21"/>
  <c r="N895" i="21"/>
  <c r="N894" i="21"/>
  <c r="M894" i="21"/>
  <c r="O893" i="21"/>
  <c r="N893" i="21"/>
  <c r="M893" i="21"/>
  <c r="O892" i="21"/>
  <c r="N892" i="21"/>
  <c r="M892" i="21"/>
  <c r="N891" i="21"/>
  <c r="M891" i="21"/>
  <c r="O891" i="21" s="1"/>
  <c r="N890" i="21"/>
  <c r="M890" i="21"/>
  <c r="N889" i="21"/>
  <c r="M889" i="21"/>
  <c r="O889" i="21" s="1"/>
  <c r="N888" i="21"/>
  <c r="O888" i="21" s="1"/>
  <c r="M888" i="21"/>
  <c r="N887" i="21"/>
  <c r="O887" i="21" s="1"/>
  <c r="M887" i="21"/>
  <c r="M886" i="21" s="1"/>
  <c r="O885" i="21"/>
  <c r="N885" i="21"/>
  <c r="M885" i="21"/>
  <c r="O884" i="21"/>
  <c r="N884" i="21"/>
  <c r="M884" i="21"/>
  <c r="O883" i="21"/>
  <c r="N883" i="21"/>
  <c r="M883" i="21"/>
  <c r="M882" i="21" s="1"/>
  <c r="O882" i="21" s="1"/>
  <c r="N882" i="21"/>
  <c r="N881" i="21"/>
  <c r="M881" i="21"/>
  <c r="O881" i="21" s="1"/>
  <c r="N880" i="21"/>
  <c r="O880" i="21" s="1"/>
  <c r="M880" i="21"/>
  <c r="N879" i="21"/>
  <c r="O879" i="21" s="1"/>
  <c r="M879" i="21"/>
  <c r="N878" i="21"/>
  <c r="M878" i="21"/>
  <c r="N877" i="21"/>
  <c r="M877" i="21"/>
  <c r="O877" i="21" s="1"/>
  <c r="O876" i="21"/>
  <c r="N876" i="21"/>
  <c r="M876" i="21"/>
  <c r="O875" i="21"/>
  <c r="N875" i="21"/>
  <c r="M875" i="21"/>
  <c r="N874" i="21"/>
  <c r="M874" i="21"/>
  <c r="O874" i="21" s="1"/>
  <c r="N873" i="21"/>
  <c r="M873" i="21"/>
  <c r="O873" i="21" s="1"/>
  <c r="N872" i="21"/>
  <c r="O872" i="21" s="1"/>
  <c r="M872" i="21"/>
  <c r="O871" i="21"/>
  <c r="N871" i="21"/>
  <c r="M871" i="21"/>
  <c r="N870" i="21"/>
  <c r="M870" i="21"/>
  <c r="O869" i="21"/>
  <c r="N869" i="21"/>
  <c r="M869" i="21"/>
  <c r="O868" i="21"/>
  <c r="N868" i="21"/>
  <c r="M868" i="21"/>
  <c r="N867" i="21"/>
  <c r="M867" i="21"/>
  <c r="O867" i="21" s="1"/>
  <c r="N866" i="21"/>
  <c r="M866" i="21"/>
  <c r="O866" i="21" s="1"/>
  <c r="N865" i="21"/>
  <c r="M865" i="21"/>
  <c r="O865" i="21" s="1"/>
  <c r="N864" i="21"/>
  <c r="O864" i="21" s="1"/>
  <c r="M864" i="21"/>
  <c r="N863" i="21"/>
  <c r="M863" i="21"/>
  <c r="N856" i="21"/>
  <c r="M856" i="21"/>
  <c r="O856" i="21" s="1"/>
  <c r="O855" i="21"/>
  <c r="N855" i="21"/>
  <c r="N854" i="21" s="1"/>
  <c r="M855" i="21"/>
  <c r="M854" i="21"/>
  <c r="O854" i="21" s="1"/>
  <c r="N853" i="21"/>
  <c r="N852" i="21" s="1"/>
  <c r="M853" i="21"/>
  <c r="O853" i="21" s="1"/>
  <c r="M852" i="21"/>
  <c r="O852" i="21" s="1"/>
  <c r="N851" i="21"/>
  <c r="N850" i="21" s="1"/>
  <c r="O850" i="21" s="1"/>
  <c r="M851" i="21"/>
  <c r="M850" i="21"/>
  <c r="N849" i="21"/>
  <c r="N848" i="21" s="1"/>
  <c r="M849" i="21"/>
  <c r="O849" i="21" s="1"/>
  <c r="M848" i="21"/>
  <c r="O848" i="21" s="1"/>
  <c r="O847" i="21"/>
  <c r="N847" i="21"/>
  <c r="N846" i="21" s="1"/>
  <c r="O846" i="21" s="1"/>
  <c r="M847" i="21"/>
  <c r="M846" i="21"/>
  <c r="N845" i="21"/>
  <c r="M845" i="21"/>
  <c r="O845" i="21" s="1"/>
  <c r="N844" i="21"/>
  <c r="M844" i="21"/>
  <c r="O844" i="21" s="1"/>
  <c r="N843" i="21"/>
  <c r="M843" i="21"/>
  <c r="O842" i="21"/>
  <c r="N842" i="21"/>
  <c r="M842" i="21"/>
  <c r="N841" i="21"/>
  <c r="M841" i="21"/>
  <c r="O841" i="21" s="1"/>
  <c r="N840" i="21"/>
  <c r="M840" i="21"/>
  <c r="O840" i="21" s="1"/>
  <c r="O839" i="21"/>
  <c r="N839" i="21"/>
  <c r="N838" i="21" s="1"/>
  <c r="M839" i="21"/>
  <c r="M838" i="21"/>
  <c r="O838" i="21" s="1"/>
  <c r="N837" i="21"/>
  <c r="M837" i="21"/>
  <c r="O837" i="21" s="1"/>
  <c r="N836" i="21"/>
  <c r="M836" i="21"/>
  <c r="O836" i="21" s="1"/>
  <c r="N835" i="21"/>
  <c r="M835" i="21"/>
  <c r="O835" i="21" s="1"/>
  <c r="N834" i="21"/>
  <c r="O834" i="21" s="1"/>
  <c r="M834" i="21"/>
  <c r="N833" i="21"/>
  <c r="M833" i="21"/>
  <c r="O832" i="21"/>
  <c r="N832" i="21"/>
  <c r="M832" i="21"/>
  <c r="O831" i="21"/>
  <c r="N831" i="21"/>
  <c r="N830" i="21" s="1"/>
  <c r="M831" i="21"/>
  <c r="N829" i="21"/>
  <c r="N828" i="21" s="1"/>
  <c r="M829" i="21"/>
  <c r="M828" i="21"/>
  <c r="N827" i="21"/>
  <c r="M827" i="21"/>
  <c r="O827" i="21" s="1"/>
  <c r="N826" i="21"/>
  <c r="O826" i="21" s="1"/>
  <c r="M826" i="21"/>
  <c r="N825" i="21"/>
  <c r="M825" i="21"/>
  <c r="N824" i="21"/>
  <c r="M824" i="21"/>
  <c r="O824" i="21" s="1"/>
  <c r="O823" i="21"/>
  <c r="N823" i="21"/>
  <c r="M823" i="21"/>
  <c r="O822" i="21"/>
  <c r="N822" i="21"/>
  <c r="M822" i="21"/>
  <c r="N821" i="21"/>
  <c r="M821" i="21"/>
  <c r="O821" i="21" s="1"/>
  <c r="N820" i="21"/>
  <c r="M820" i="21"/>
  <c r="O820" i="21" s="1"/>
  <c r="N819" i="21"/>
  <c r="N818" i="21" s="1"/>
  <c r="M819" i="21"/>
  <c r="O819" i="21" s="1"/>
  <c r="N817" i="21"/>
  <c r="N816" i="21" s="1"/>
  <c r="M817" i="21"/>
  <c r="O817" i="21" s="1"/>
  <c r="M816" i="21"/>
  <c r="O816" i="21" s="1"/>
  <c r="O815" i="21"/>
  <c r="N815" i="21"/>
  <c r="M815" i="21"/>
  <c r="N814" i="21"/>
  <c r="M814" i="21"/>
  <c r="O814" i="21" s="1"/>
  <c r="N813" i="21"/>
  <c r="N812" i="21" s="1"/>
  <c r="M813" i="21"/>
  <c r="N811" i="21"/>
  <c r="N810" i="21" s="1"/>
  <c r="M811" i="21"/>
  <c r="N809" i="21"/>
  <c r="N808" i="21" s="1"/>
  <c r="O808" i="21" s="1"/>
  <c r="M809" i="21"/>
  <c r="M808" i="21"/>
  <c r="O807" i="21"/>
  <c r="N807" i="21"/>
  <c r="M807" i="21"/>
  <c r="O806" i="21"/>
  <c r="N806" i="21"/>
  <c r="M806" i="21"/>
  <c r="N805" i="21"/>
  <c r="M805" i="21"/>
  <c r="N804" i="21"/>
  <c r="M804" i="21"/>
  <c r="O804" i="21" s="1"/>
  <c r="N803" i="21"/>
  <c r="O803" i="21" s="1"/>
  <c r="M803" i="21"/>
  <c r="O802" i="21"/>
  <c r="N802" i="21"/>
  <c r="M802" i="21"/>
  <c r="N800" i="21"/>
  <c r="M800" i="21"/>
  <c r="O800" i="21" s="1"/>
  <c r="N799" i="21"/>
  <c r="N798" i="21" s="1"/>
  <c r="M799" i="21"/>
  <c r="N797" i="21"/>
  <c r="M797" i="21"/>
  <c r="M795" i="21" s="1"/>
  <c r="O795" i="21" s="1"/>
  <c r="N796" i="21"/>
  <c r="N795" i="21" s="1"/>
  <c r="M796" i="21"/>
  <c r="N794" i="21"/>
  <c r="O794" i="21" s="1"/>
  <c r="M794" i="21"/>
  <c r="O793" i="21"/>
  <c r="N793" i="21"/>
  <c r="N792" i="21" s="1"/>
  <c r="M793" i="21"/>
  <c r="M792" i="21"/>
  <c r="N791" i="21"/>
  <c r="M791" i="21"/>
  <c r="M790" i="21"/>
  <c r="N789" i="21"/>
  <c r="M789" i="21"/>
  <c r="O789" i="21" s="1"/>
  <c r="O788" i="21"/>
  <c r="N788" i="21"/>
  <c r="M788" i="21"/>
  <c r="N787" i="21"/>
  <c r="O787" i="21" s="1"/>
  <c r="M787" i="21"/>
  <c r="N786" i="21"/>
  <c r="M786" i="21"/>
  <c r="O786" i="21" s="1"/>
  <c r="N785" i="21"/>
  <c r="M785" i="21"/>
  <c r="O785" i="21" s="1"/>
  <c r="O784" i="21"/>
  <c r="N784" i="21"/>
  <c r="M784" i="21"/>
  <c r="N783" i="21"/>
  <c r="O783" i="21" s="1"/>
  <c r="M783" i="21"/>
  <c r="O782" i="21"/>
  <c r="N782" i="21"/>
  <c r="M782" i="21"/>
  <c r="N781" i="21"/>
  <c r="M781" i="21"/>
  <c r="O781" i="21" s="1"/>
  <c r="N780" i="21"/>
  <c r="M780" i="21"/>
  <c r="O780" i="21" s="1"/>
  <c r="N779" i="21"/>
  <c r="O779" i="21" s="1"/>
  <c r="M779" i="21"/>
  <c r="N778" i="21"/>
  <c r="M778" i="21"/>
  <c r="N777" i="21"/>
  <c r="O776" i="21"/>
  <c r="N776" i="21"/>
  <c r="M776" i="21"/>
  <c r="N775" i="21"/>
  <c r="O775" i="21" s="1"/>
  <c r="M775" i="21"/>
  <c r="O774" i="21"/>
  <c r="N774" i="21"/>
  <c r="M774" i="21"/>
  <c r="N773" i="21"/>
  <c r="N772" i="21" s="1"/>
  <c r="M773" i="21"/>
  <c r="O773" i="21" s="1"/>
  <c r="M772" i="21"/>
  <c r="O772" i="21" s="1"/>
  <c r="N771" i="21"/>
  <c r="O771" i="21" s="1"/>
  <c r="M771" i="21"/>
  <c r="N770" i="21"/>
  <c r="M770" i="21"/>
  <c r="O770" i="21" s="1"/>
  <c r="N769" i="21"/>
  <c r="M769" i="21"/>
  <c r="O769" i="21" s="1"/>
  <c r="O768" i="21"/>
  <c r="N768" i="21"/>
  <c r="M768" i="21"/>
  <c r="M767" i="21" s="1"/>
  <c r="N767" i="21"/>
  <c r="O766" i="21"/>
  <c r="N766" i="21"/>
  <c r="M766" i="21"/>
  <c r="N765" i="21"/>
  <c r="M765" i="21"/>
  <c r="O765" i="21" s="1"/>
  <c r="N764" i="21"/>
  <c r="M764" i="21"/>
  <c r="O764" i="21" s="1"/>
  <c r="N763" i="21"/>
  <c r="O763" i="21" s="1"/>
  <c r="M763" i="21"/>
  <c r="N762" i="21"/>
  <c r="M762" i="21"/>
  <c r="O762" i="21" s="1"/>
  <c r="N761" i="21"/>
  <c r="M761" i="21"/>
  <c r="O761" i="21" s="1"/>
  <c r="O760" i="21"/>
  <c r="N760" i="21"/>
  <c r="M760" i="21"/>
  <c r="N759" i="21"/>
  <c r="O759" i="21" s="1"/>
  <c r="M759" i="21"/>
  <c r="O758" i="21"/>
  <c r="N758" i="21"/>
  <c r="M758" i="21"/>
  <c r="N757" i="21"/>
  <c r="N756" i="21" s="1"/>
  <c r="M757" i="21"/>
  <c r="O757" i="21" s="1"/>
  <c r="N755" i="21"/>
  <c r="O755" i="21" s="1"/>
  <c r="M755" i="21"/>
  <c r="N754" i="21"/>
  <c r="M754" i="21"/>
  <c r="O754" i="21" s="1"/>
  <c r="N753" i="21"/>
  <c r="N752" i="21" s="1"/>
  <c r="M753" i="21"/>
  <c r="M752" i="21" s="1"/>
  <c r="O752" i="21" s="1"/>
  <c r="N751" i="21"/>
  <c r="O751" i="21" s="1"/>
  <c r="M751" i="21"/>
  <c r="O750" i="21"/>
  <c r="N750" i="21"/>
  <c r="M750" i="21"/>
  <c r="N749" i="21"/>
  <c r="N748" i="21" s="1"/>
  <c r="M749" i="21"/>
  <c r="O749" i="21" s="1"/>
  <c r="O748" i="21"/>
  <c r="M748" i="21"/>
  <c r="N747" i="21"/>
  <c r="O747" i="21" s="1"/>
  <c r="M747" i="21"/>
  <c r="N746" i="21"/>
  <c r="M746" i="21"/>
  <c r="O746" i="21" s="1"/>
  <c r="N745" i="21"/>
  <c r="M745" i="21"/>
  <c r="O744" i="21"/>
  <c r="N744" i="21"/>
  <c r="M744" i="21"/>
  <c r="N743" i="21"/>
  <c r="O742" i="21"/>
  <c r="N742" i="21"/>
  <c r="M742" i="21"/>
  <c r="N741" i="21"/>
  <c r="M741" i="21"/>
  <c r="O741" i="21" s="1"/>
  <c r="N740" i="21"/>
  <c r="M740" i="21"/>
  <c r="M739" i="21" s="1"/>
  <c r="O739" i="21" s="1"/>
  <c r="N739" i="21"/>
  <c r="N738" i="21"/>
  <c r="M738" i="21"/>
  <c r="O738" i="21" s="1"/>
  <c r="N737" i="21"/>
  <c r="M737" i="21"/>
  <c r="O737" i="21" s="1"/>
  <c r="O736" i="21"/>
  <c r="N736" i="21"/>
  <c r="M736" i="21"/>
  <c r="N735" i="21"/>
  <c r="O735" i="21" s="1"/>
  <c r="M735" i="21"/>
  <c r="O734" i="21"/>
  <c r="N734" i="21"/>
  <c r="M734" i="21"/>
  <c r="N733" i="21"/>
  <c r="M733" i="21"/>
  <c r="O733" i="21" s="1"/>
  <c r="N732" i="21"/>
  <c r="M732" i="21"/>
  <c r="O732" i="21" s="1"/>
  <c r="N731" i="21"/>
  <c r="O731" i="21" s="1"/>
  <c r="M731" i="21"/>
  <c r="N730" i="21"/>
  <c r="M730" i="21"/>
  <c r="O730" i="21" s="1"/>
  <c r="N729" i="21"/>
  <c r="M729" i="21"/>
  <c r="O729" i="21" s="1"/>
  <c r="O728" i="21"/>
  <c r="N728" i="21"/>
  <c r="M728" i="21"/>
  <c r="N727" i="21"/>
  <c r="O727" i="21" s="1"/>
  <c r="M727" i="21"/>
  <c r="O726" i="21"/>
  <c r="N726" i="21"/>
  <c r="M726" i="21"/>
  <c r="N725" i="21"/>
  <c r="M725" i="21"/>
  <c r="O725" i="21" s="1"/>
  <c r="O724" i="21"/>
  <c r="N724" i="21"/>
  <c r="M724" i="21"/>
  <c r="N723" i="21"/>
  <c r="O723" i="21" s="1"/>
  <c r="M723" i="21"/>
  <c r="N722" i="21"/>
  <c r="M722" i="21"/>
  <c r="O722" i="21" s="1"/>
  <c r="N721" i="21"/>
  <c r="M721" i="21"/>
  <c r="O721" i="21" s="1"/>
  <c r="O720" i="21"/>
  <c r="N720" i="21"/>
  <c r="M720" i="21"/>
  <c r="N719" i="21"/>
  <c r="O713" i="21"/>
  <c r="N713" i="21"/>
  <c r="M713" i="21"/>
  <c r="N712" i="21"/>
  <c r="N711" i="21" s="1"/>
  <c r="O711" i="21" s="1"/>
  <c r="M712" i="21"/>
  <c r="O712" i="21" s="1"/>
  <c r="M711" i="21"/>
  <c r="N710" i="21"/>
  <c r="O710" i="21" s="1"/>
  <c r="M710" i="21"/>
  <c r="M709" i="21"/>
  <c r="N708" i="21"/>
  <c r="N707" i="21" s="1"/>
  <c r="M708" i="21"/>
  <c r="M707" i="21" s="1"/>
  <c r="O707" i="21" s="1"/>
  <c r="N706" i="21"/>
  <c r="M706" i="21"/>
  <c r="M705" i="21"/>
  <c r="N704" i="21"/>
  <c r="N703" i="21" s="1"/>
  <c r="M704" i="21"/>
  <c r="O704" i="21" s="1"/>
  <c r="M703" i="21"/>
  <c r="O703" i="21" s="1"/>
  <c r="N702" i="21"/>
  <c r="O702" i="21" s="1"/>
  <c r="M702" i="21"/>
  <c r="N701" i="21"/>
  <c r="M701" i="21"/>
  <c r="O701" i="21" s="1"/>
  <c r="N700" i="21"/>
  <c r="M700" i="21"/>
  <c r="O700" i="21" s="1"/>
  <c r="O699" i="21"/>
  <c r="N699" i="21"/>
  <c r="M699" i="21"/>
  <c r="N698" i="21"/>
  <c r="O698" i="21" s="1"/>
  <c r="M698" i="21"/>
  <c r="O697" i="21"/>
  <c r="N697" i="21"/>
  <c r="M697" i="21"/>
  <c r="N696" i="21"/>
  <c r="N695" i="21" s="1"/>
  <c r="M696" i="21"/>
  <c r="O696" i="21" s="1"/>
  <c r="M695" i="21"/>
  <c r="O695" i="21" s="1"/>
  <c r="N694" i="21"/>
  <c r="O694" i="21" s="1"/>
  <c r="M694" i="21"/>
  <c r="N693" i="21"/>
  <c r="M693" i="21"/>
  <c r="O693" i="21" s="1"/>
  <c r="N692" i="21"/>
  <c r="M692" i="21"/>
  <c r="O692" i="21" s="1"/>
  <c r="O691" i="21"/>
  <c r="N691" i="21"/>
  <c r="M691" i="21"/>
  <c r="N690" i="21"/>
  <c r="O690" i="21" s="1"/>
  <c r="M690" i="21"/>
  <c r="O689" i="21"/>
  <c r="N689" i="21"/>
  <c r="M689" i="21"/>
  <c r="N688" i="21"/>
  <c r="N687" i="21" s="1"/>
  <c r="M688" i="21"/>
  <c r="O688" i="21" s="1"/>
  <c r="N686" i="21"/>
  <c r="O686" i="21" s="1"/>
  <c r="M686" i="21"/>
  <c r="N685" i="21"/>
  <c r="M685" i="21"/>
  <c r="O685" i="21" s="1"/>
  <c r="N684" i="21"/>
  <c r="N683" i="21" s="1"/>
  <c r="M684" i="21"/>
  <c r="M683" i="21" s="1"/>
  <c r="O683" i="21" s="1"/>
  <c r="N682" i="21"/>
  <c r="O682" i="21" s="1"/>
  <c r="M682" i="21"/>
  <c r="O681" i="21"/>
  <c r="N681" i="21"/>
  <c r="M681" i="21"/>
  <c r="N680" i="21"/>
  <c r="M680" i="21"/>
  <c r="O680" i="21" s="1"/>
  <c r="O679" i="21"/>
  <c r="N679" i="21"/>
  <c r="M679" i="21"/>
  <c r="N678" i="21"/>
  <c r="O678" i="21" s="1"/>
  <c r="M678" i="21"/>
  <c r="N677" i="21"/>
  <c r="M677" i="21"/>
  <c r="O677" i="21" s="1"/>
  <c r="N676" i="21"/>
  <c r="N675" i="21" s="1"/>
  <c r="M676" i="21"/>
  <c r="M675" i="21" s="1"/>
  <c r="O675" i="21" s="1"/>
  <c r="N674" i="21"/>
  <c r="M674" i="21"/>
  <c r="M673" i="21"/>
  <c r="N672" i="21"/>
  <c r="M672" i="21"/>
  <c r="O672" i="21" s="1"/>
  <c r="O671" i="21"/>
  <c r="N671" i="21"/>
  <c r="M671" i="21"/>
  <c r="N670" i="21"/>
  <c r="O670" i="21" s="1"/>
  <c r="M670" i="21"/>
  <c r="N669" i="21"/>
  <c r="M669" i="21"/>
  <c r="O669" i="21" s="1"/>
  <c r="N668" i="21"/>
  <c r="N667" i="21" s="1"/>
  <c r="M668" i="21"/>
  <c r="M667" i="21" s="1"/>
  <c r="N666" i="21"/>
  <c r="M666" i="21"/>
  <c r="M665" i="21"/>
  <c r="N664" i="21"/>
  <c r="M664" i="21"/>
  <c r="O664" i="21" s="1"/>
  <c r="N663" i="21"/>
  <c r="M663" i="21"/>
  <c r="O663" i="21" s="1"/>
  <c r="N662" i="21"/>
  <c r="O662" i="21" s="1"/>
  <c r="M662" i="21"/>
  <c r="N661" i="21"/>
  <c r="M661" i="21"/>
  <c r="O661" i="21" s="1"/>
  <c r="N660" i="21"/>
  <c r="M660" i="21"/>
  <c r="O660" i="21" s="1"/>
  <c r="O659" i="21"/>
  <c r="N659" i="21"/>
  <c r="M659" i="21"/>
  <c r="N657" i="21"/>
  <c r="O657" i="21" s="1"/>
  <c r="M657" i="21"/>
  <c r="O656" i="21"/>
  <c r="N656" i="21"/>
  <c r="N655" i="21" s="1"/>
  <c r="M656" i="21"/>
  <c r="M655" i="21"/>
  <c r="O654" i="21"/>
  <c r="N654" i="21"/>
  <c r="M654" i="21"/>
  <c r="N653" i="21"/>
  <c r="O653" i="21" s="1"/>
  <c r="M653" i="21"/>
  <c r="N652" i="21"/>
  <c r="M652" i="21"/>
  <c r="O652" i="21" s="1"/>
  <c r="N651" i="21"/>
  <c r="M651" i="21"/>
  <c r="O651" i="21" s="1"/>
  <c r="O650" i="21"/>
  <c r="N650" i="21"/>
  <c r="M650" i="21"/>
  <c r="N649" i="21"/>
  <c r="O648" i="21"/>
  <c r="N648" i="21"/>
  <c r="N647" i="21" s="1"/>
  <c r="M648" i="21"/>
  <c r="M647" i="21"/>
  <c r="O647" i="21" s="1"/>
  <c r="N646" i="21"/>
  <c r="M646" i="21"/>
  <c r="O646" i="21" s="1"/>
  <c r="N645" i="21"/>
  <c r="O645" i="21" s="1"/>
  <c r="M645" i="21"/>
  <c r="N644" i="21"/>
  <c r="M644" i="21"/>
  <c r="O644" i="21" s="1"/>
  <c r="N643" i="21"/>
  <c r="M643" i="21"/>
  <c r="O642" i="21"/>
  <c r="N642" i="21"/>
  <c r="M642" i="21"/>
  <c r="N641" i="21"/>
  <c r="O641" i="21" s="1"/>
  <c r="M641" i="21"/>
  <c r="O640" i="21"/>
  <c r="N640" i="21"/>
  <c r="M640" i="21"/>
  <c r="N639" i="21"/>
  <c r="M639" i="21"/>
  <c r="O639" i="21" s="1"/>
  <c r="N638" i="21"/>
  <c r="M638" i="21"/>
  <c r="O638" i="21" s="1"/>
  <c r="N637" i="21"/>
  <c r="O637" i="21" s="1"/>
  <c r="M637" i="21"/>
  <c r="N636" i="21"/>
  <c r="M636" i="21"/>
  <c r="O636" i="21" s="1"/>
  <c r="N635" i="21"/>
  <c r="M635" i="21"/>
  <c r="N633" i="21"/>
  <c r="O633" i="21" s="1"/>
  <c r="M633" i="21"/>
  <c r="O632" i="21"/>
  <c r="N632" i="21"/>
  <c r="M632" i="21"/>
  <c r="N631" i="21"/>
  <c r="M631" i="21"/>
  <c r="O631" i="21" s="1"/>
  <c r="N630" i="21"/>
  <c r="M630" i="21"/>
  <c r="N629" i="21"/>
  <c r="N628" i="21"/>
  <c r="M628" i="21"/>
  <c r="N627" i="21"/>
  <c r="M627" i="21"/>
  <c r="O626" i="21"/>
  <c r="N626" i="21"/>
  <c r="M626" i="21"/>
  <c r="N625" i="21"/>
  <c r="M625" i="21"/>
  <c r="N623" i="21"/>
  <c r="M623" i="21"/>
  <c r="O623" i="21" s="1"/>
  <c r="N622" i="21"/>
  <c r="M622" i="21"/>
  <c r="O622" i="21" s="1"/>
  <c r="N621" i="21"/>
  <c r="O621" i="21" s="1"/>
  <c r="M621" i="21"/>
  <c r="N620" i="21"/>
  <c r="M620" i="21"/>
  <c r="O620" i="21" s="1"/>
  <c r="N619" i="21"/>
  <c r="M619" i="21"/>
  <c r="O619" i="21" s="1"/>
  <c r="O618" i="21"/>
  <c r="N618" i="21"/>
  <c r="M618" i="21"/>
  <c r="N617" i="21"/>
  <c r="O617" i="21" s="1"/>
  <c r="M617" i="21"/>
  <c r="O616" i="21"/>
  <c r="N616" i="21"/>
  <c r="M616" i="21"/>
  <c r="N615" i="21"/>
  <c r="M615" i="21"/>
  <c r="O615" i="21" s="1"/>
  <c r="O614" i="21"/>
  <c r="N614" i="21"/>
  <c r="M614" i="21"/>
  <c r="N613" i="21"/>
  <c r="N612" i="21"/>
  <c r="M612" i="21"/>
  <c r="O612" i="21" s="1"/>
  <c r="N611" i="21"/>
  <c r="M611" i="21"/>
  <c r="O611" i="21" s="1"/>
  <c r="O610" i="21"/>
  <c r="N610" i="21"/>
  <c r="M610" i="21"/>
  <c r="N609" i="21"/>
  <c r="O608" i="21"/>
  <c r="N608" i="21"/>
  <c r="M608" i="21"/>
  <c r="N607" i="21"/>
  <c r="M607" i="21"/>
  <c r="O607" i="21" s="1"/>
  <c r="O606" i="21"/>
  <c r="N606" i="21"/>
  <c r="M606" i="21"/>
  <c r="M605" i="21" s="1"/>
  <c r="O605" i="21" s="1"/>
  <c r="N605" i="21"/>
  <c r="N604" i="21"/>
  <c r="M604" i="21"/>
  <c r="N603" i="21"/>
  <c r="M603" i="21"/>
  <c r="O602" i="21"/>
  <c r="N602" i="21"/>
  <c r="M602" i="21"/>
  <c r="N601" i="21"/>
  <c r="M601" i="21"/>
  <c r="N599" i="21"/>
  <c r="M599" i="21"/>
  <c r="O599" i="21" s="1"/>
  <c r="O598" i="21"/>
  <c r="N598" i="21"/>
  <c r="M598" i="21"/>
  <c r="N597" i="21"/>
  <c r="O597" i="21" s="1"/>
  <c r="M597" i="21"/>
  <c r="N596" i="21"/>
  <c r="M596" i="21"/>
  <c r="O596" i="21" s="1"/>
  <c r="N595" i="21"/>
  <c r="M595" i="21"/>
  <c r="O595" i="21" s="1"/>
  <c r="O594" i="21"/>
  <c r="N594" i="21"/>
  <c r="M594" i="21"/>
  <c r="N593" i="21"/>
  <c r="O593" i="21" s="1"/>
  <c r="M593" i="21"/>
  <c r="O592" i="21"/>
  <c r="N592" i="21"/>
  <c r="M592" i="21"/>
  <c r="N591" i="21"/>
  <c r="M591" i="21"/>
  <c r="O591" i="21" s="1"/>
  <c r="N590" i="21"/>
  <c r="M590" i="21"/>
  <c r="O590" i="21" s="1"/>
  <c r="N589" i="21"/>
  <c r="O589" i="21" s="1"/>
  <c r="M589" i="21"/>
  <c r="N588" i="21"/>
  <c r="M588" i="21"/>
  <c r="O588" i="21" s="1"/>
  <c r="N587" i="21"/>
  <c r="M587" i="21"/>
  <c r="O586" i="21"/>
  <c r="N586" i="21"/>
  <c r="M586" i="21"/>
  <c r="N585" i="21"/>
  <c r="O585" i="21" s="1"/>
  <c r="M585" i="21"/>
  <c r="O584" i="21"/>
  <c r="N584" i="21"/>
  <c r="M584" i="21"/>
  <c r="N583" i="21"/>
  <c r="M583" i="21"/>
  <c r="O583" i="21" s="1"/>
  <c r="N582" i="21"/>
  <c r="M582" i="21"/>
  <c r="O582" i="21" s="1"/>
  <c r="N581" i="21"/>
  <c r="O581" i="21" s="1"/>
  <c r="M581" i="21"/>
  <c r="N580" i="21"/>
  <c r="M580" i="21"/>
  <c r="O580" i="21" s="1"/>
  <c r="N579" i="21"/>
  <c r="M579" i="21"/>
  <c r="O578" i="21"/>
  <c r="N578" i="21"/>
  <c r="M578" i="21"/>
  <c r="N577" i="21"/>
  <c r="M577" i="21"/>
  <c r="N570" i="21"/>
  <c r="M570" i="21"/>
  <c r="O570" i="21" s="1"/>
  <c r="O569" i="21"/>
  <c r="N569" i="21"/>
  <c r="M569" i="21"/>
  <c r="M568" i="21" s="1"/>
  <c r="O568" i="21" s="1"/>
  <c r="N568" i="21"/>
  <c r="N567" i="21"/>
  <c r="M567" i="21"/>
  <c r="N566" i="21"/>
  <c r="O565" i="21"/>
  <c r="N565" i="21"/>
  <c r="M565" i="21"/>
  <c r="N564" i="21"/>
  <c r="O564" i="21" s="1"/>
  <c r="M564" i="21"/>
  <c r="O563" i="21"/>
  <c r="N563" i="21"/>
  <c r="N562" i="21" s="1"/>
  <c r="M563" i="21"/>
  <c r="M562" i="21"/>
  <c r="O562" i="21" s="1"/>
  <c r="N561" i="21"/>
  <c r="M561" i="21"/>
  <c r="M560" i="21" s="1"/>
  <c r="O560" i="21" s="1"/>
  <c r="N560" i="21"/>
  <c r="N559" i="21"/>
  <c r="M559" i="21"/>
  <c r="O559" i="21" s="1"/>
  <c r="N558" i="21"/>
  <c r="M558" i="21"/>
  <c r="O558" i="21" s="1"/>
  <c r="O557" i="21"/>
  <c r="N557" i="21"/>
  <c r="M557" i="21"/>
  <c r="N556" i="21"/>
  <c r="O556" i="21" s="1"/>
  <c r="M556" i="21"/>
  <c r="O555" i="21"/>
  <c r="N555" i="21"/>
  <c r="M555" i="21"/>
  <c r="N554" i="21"/>
  <c r="M554" i="21"/>
  <c r="O554" i="21" s="1"/>
  <c r="O553" i="21"/>
  <c r="N553" i="21"/>
  <c r="M553" i="21"/>
  <c r="N552" i="21"/>
  <c r="N551" i="21"/>
  <c r="M551" i="21"/>
  <c r="O551" i="21" s="1"/>
  <c r="N550" i="21"/>
  <c r="M550" i="21"/>
  <c r="O550" i="21" s="1"/>
  <c r="O549" i="21"/>
  <c r="N549" i="21"/>
  <c r="M549" i="21"/>
  <c r="N548" i="21"/>
  <c r="O548" i="21" s="1"/>
  <c r="M548" i="21"/>
  <c r="O547" i="21"/>
  <c r="N547" i="21"/>
  <c r="M547" i="21"/>
  <c r="N546" i="21"/>
  <c r="M546" i="21"/>
  <c r="O546" i="21" s="1"/>
  <c r="N545" i="21"/>
  <c r="M545" i="21"/>
  <c r="N544" i="21"/>
  <c r="N543" i="21"/>
  <c r="M543" i="21"/>
  <c r="N542" i="21"/>
  <c r="O541" i="21"/>
  <c r="N541" i="21"/>
  <c r="M541" i="21"/>
  <c r="M540" i="21" s="1"/>
  <c r="O540" i="21" s="1"/>
  <c r="N540" i="21"/>
  <c r="O539" i="21"/>
  <c r="N539" i="21"/>
  <c r="M539" i="21"/>
  <c r="N538" i="21"/>
  <c r="M538" i="21"/>
  <c r="O538" i="21" s="1"/>
  <c r="N537" i="21"/>
  <c r="M537" i="21"/>
  <c r="O537" i="21" s="1"/>
  <c r="O536" i="21"/>
  <c r="N536" i="21"/>
  <c r="M536" i="21"/>
  <c r="N535" i="21"/>
  <c r="M535" i="21"/>
  <c r="O535" i="21" s="1"/>
  <c r="N534" i="21"/>
  <c r="M534" i="21"/>
  <c r="O534" i="21" s="1"/>
  <c r="N533" i="21"/>
  <c r="M533" i="21"/>
  <c r="O533" i="21" s="1"/>
  <c r="N532" i="21"/>
  <c r="O531" i="21"/>
  <c r="N531" i="21"/>
  <c r="N530" i="21" s="1"/>
  <c r="M531" i="21"/>
  <c r="M530" i="21"/>
  <c r="N529" i="21"/>
  <c r="M529" i="21"/>
  <c r="N528" i="21"/>
  <c r="N527" i="21"/>
  <c r="M527" i="21"/>
  <c r="N526" i="21"/>
  <c r="N525" i="21"/>
  <c r="M525" i="21"/>
  <c r="O525" i="21" s="1"/>
  <c r="N524" i="21"/>
  <c r="O523" i="21"/>
  <c r="N523" i="21"/>
  <c r="M523" i="21"/>
  <c r="N522" i="21"/>
  <c r="M522" i="21"/>
  <c r="O522" i="21" s="1"/>
  <c r="N521" i="21"/>
  <c r="M521" i="21"/>
  <c r="O521" i="21" s="1"/>
  <c r="N520" i="21"/>
  <c r="O520" i="21" s="1"/>
  <c r="M520" i="21"/>
  <c r="N519" i="21"/>
  <c r="M519" i="21"/>
  <c r="O519" i="21" s="1"/>
  <c r="N518" i="21"/>
  <c r="M518" i="21"/>
  <c r="O517" i="21"/>
  <c r="N517" i="21"/>
  <c r="M517" i="21"/>
  <c r="N516" i="21"/>
  <c r="O516" i="21" s="1"/>
  <c r="M516" i="21"/>
  <c r="O514" i="21"/>
  <c r="N514" i="21"/>
  <c r="M514" i="21"/>
  <c r="N513" i="21"/>
  <c r="N512" i="21" s="1"/>
  <c r="M513" i="21"/>
  <c r="O513" i="21" s="1"/>
  <c r="O512" i="21"/>
  <c r="M512" i="21"/>
  <c r="N511" i="21"/>
  <c r="O511" i="21" s="1"/>
  <c r="M511" i="21"/>
  <c r="N510" i="21"/>
  <c r="M510" i="21"/>
  <c r="N509" i="21"/>
  <c r="O508" i="21"/>
  <c r="N508" i="21"/>
  <c r="M508" i="21"/>
  <c r="N507" i="21"/>
  <c r="M507" i="21"/>
  <c r="M506" i="21"/>
  <c r="N505" i="21"/>
  <c r="N504" i="21" s="1"/>
  <c r="M505" i="21"/>
  <c r="O505" i="21" s="1"/>
  <c r="O504" i="21"/>
  <c r="M504" i="21"/>
  <c r="N503" i="21"/>
  <c r="O503" i="21" s="1"/>
  <c r="M503" i="21"/>
  <c r="N502" i="21"/>
  <c r="M502" i="21"/>
  <c r="O502" i="21" s="1"/>
  <c r="N501" i="21"/>
  <c r="M501" i="21"/>
  <c r="O500" i="21"/>
  <c r="N500" i="21"/>
  <c r="M500" i="21"/>
  <c r="N499" i="21"/>
  <c r="O499" i="21" s="1"/>
  <c r="M499" i="21"/>
  <c r="O498" i="21"/>
  <c r="N498" i="21"/>
  <c r="M498" i="21"/>
  <c r="N497" i="21"/>
  <c r="M497" i="21"/>
  <c r="O497" i="21" s="1"/>
  <c r="O496" i="21"/>
  <c r="N496" i="21"/>
  <c r="M496" i="21"/>
  <c r="N495" i="21"/>
  <c r="O495" i="21" s="1"/>
  <c r="M495" i="21"/>
  <c r="N494" i="21"/>
  <c r="M494" i="21"/>
  <c r="O494" i="21" s="1"/>
  <c r="N493" i="21"/>
  <c r="M493" i="21"/>
  <c r="O493" i="21" s="1"/>
  <c r="N492" i="21"/>
  <c r="M492" i="21"/>
  <c r="O492" i="21" s="1"/>
  <c r="N491" i="21"/>
  <c r="O490" i="21"/>
  <c r="N490" i="21"/>
  <c r="M490" i="21"/>
  <c r="N489" i="21"/>
  <c r="M489" i="21"/>
  <c r="O489" i="21" s="1"/>
  <c r="N488" i="21"/>
  <c r="M488" i="21"/>
  <c r="O488" i="21" s="1"/>
  <c r="N487" i="21"/>
  <c r="O487" i="21" s="1"/>
  <c r="M487" i="21"/>
  <c r="N486" i="21"/>
  <c r="N485" i="21"/>
  <c r="M485" i="21"/>
  <c r="N484" i="21"/>
  <c r="M484" i="21"/>
  <c r="O484" i="21" s="1"/>
  <c r="N483" i="21"/>
  <c r="O483" i="21" s="1"/>
  <c r="M483" i="21"/>
  <c r="O482" i="21"/>
  <c r="N482" i="21"/>
  <c r="M482" i="21"/>
  <c r="N481" i="21"/>
  <c r="M481" i="21"/>
  <c r="O481" i="21" s="1"/>
  <c r="N480" i="21"/>
  <c r="M480" i="21"/>
  <c r="O480" i="21" s="1"/>
  <c r="N479" i="21"/>
  <c r="O479" i="21" s="1"/>
  <c r="M479" i="21"/>
  <c r="N478" i="21"/>
  <c r="M478" i="21"/>
  <c r="O478" i="21" s="1"/>
  <c r="N477" i="21"/>
  <c r="M477" i="21"/>
  <c r="N476" i="21"/>
  <c r="M476" i="21"/>
  <c r="O476" i="21" s="1"/>
  <c r="N475" i="21"/>
  <c r="O475" i="21" s="1"/>
  <c r="M475" i="21"/>
  <c r="O474" i="21"/>
  <c r="N474" i="21"/>
  <c r="M474" i="21"/>
  <c r="N473" i="21"/>
  <c r="M473" i="21"/>
  <c r="O473" i="21" s="1"/>
  <c r="O472" i="21"/>
  <c r="N472" i="21"/>
  <c r="M472" i="21"/>
  <c r="N471" i="21"/>
  <c r="O471" i="21" s="1"/>
  <c r="M471" i="21"/>
  <c r="N470" i="21"/>
  <c r="N469" i="21"/>
  <c r="M469" i="21"/>
  <c r="N468" i="21"/>
  <c r="M468" i="21"/>
  <c r="O468" i="21" s="1"/>
  <c r="O467" i="21"/>
  <c r="N467" i="21"/>
  <c r="N466" i="21" s="1"/>
  <c r="M467" i="21"/>
  <c r="N465" i="21"/>
  <c r="M465" i="21"/>
  <c r="O465" i="21" s="1"/>
  <c r="O464" i="21"/>
  <c r="N464" i="21"/>
  <c r="M464" i="21"/>
  <c r="M462" i="21" s="1"/>
  <c r="O462" i="21" s="1"/>
  <c r="N463" i="21"/>
  <c r="O463" i="21" s="1"/>
  <c r="M463" i="21"/>
  <c r="N462" i="21"/>
  <c r="N461" i="21"/>
  <c r="M461" i="21"/>
  <c r="O461" i="21" s="1"/>
  <c r="N460" i="21"/>
  <c r="M460" i="21"/>
  <c r="O460" i="21" s="1"/>
  <c r="N459" i="21"/>
  <c r="O459" i="21" s="1"/>
  <c r="M459" i="21"/>
  <c r="O458" i="21"/>
  <c r="N458" i="21"/>
  <c r="M458" i="21"/>
  <c r="N457" i="21"/>
  <c r="M457" i="21"/>
  <c r="O457" i="21" s="1"/>
  <c r="O456" i="21"/>
  <c r="N456" i="21"/>
  <c r="M456" i="21"/>
  <c r="O455" i="21"/>
  <c r="N455" i="21"/>
  <c r="M455" i="21"/>
  <c r="N454" i="21"/>
  <c r="N453" i="21" s="1"/>
  <c r="M454" i="21"/>
  <c r="O454" i="21" s="1"/>
  <c r="M453" i="21"/>
  <c r="O452" i="21"/>
  <c r="N452" i="21"/>
  <c r="M452" i="21"/>
  <c r="O451" i="21"/>
  <c r="N451" i="21"/>
  <c r="M451" i="21"/>
  <c r="N450" i="21"/>
  <c r="M450" i="21"/>
  <c r="O450" i="21" s="1"/>
  <c r="N449" i="21"/>
  <c r="M449" i="21"/>
  <c r="O448" i="21"/>
  <c r="N448" i="21"/>
  <c r="M448" i="21"/>
  <c r="N447" i="21"/>
  <c r="O447" i="21" s="1"/>
  <c r="M447" i="21"/>
  <c r="O446" i="21"/>
  <c r="N446" i="21"/>
  <c r="M446" i="21"/>
  <c r="N445" i="21"/>
  <c r="M445" i="21"/>
  <c r="O445" i="21" s="1"/>
  <c r="N444" i="21"/>
  <c r="M444" i="21"/>
  <c r="O444" i="21" s="1"/>
  <c r="N443" i="21"/>
  <c r="M443" i="21"/>
  <c r="N442" i="21"/>
  <c r="M442" i="21"/>
  <c r="O442" i="21" s="1"/>
  <c r="N441" i="21"/>
  <c r="M441" i="21"/>
  <c r="O441" i="21" s="1"/>
  <c r="N440" i="21"/>
  <c r="M440" i="21"/>
  <c r="N439" i="21"/>
  <c r="M439" i="21"/>
  <c r="O439" i="21" s="1"/>
  <c r="N438" i="21"/>
  <c r="O438" i="21" s="1"/>
  <c r="M438" i="21"/>
  <c r="O437" i="21"/>
  <c r="N437" i="21"/>
  <c r="M437" i="21"/>
  <c r="N436" i="21"/>
  <c r="M436" i="21"/>
  <c r="O436" i="21" s="1"/>
  <c r="O435" i="21"/>
  <c r="N435" i="21"/>
  <c r="M435" i="21"/>
  <c r="N434" i="21"/>
  <c r="O434" i="21" s="1"/>
  <c r="M434" i="21"/>
  <c r="N433" i="21"/>
  <c r="M433" i="21"/>
  <c r="O433" i="21" s="1"/>
  <c r="N427" i="21"/>
  <c r="M427" i="21"/>
  <c r="N426" i="21"/>
  <c r="M426" i="21"/>
  <c r="O426" i="21" s="1"/>
  <c r="N425" i="21"/>
  <c r="O424" i="21"/>
  <c r="N424" i="21"/>
  <c r="M424" i="21"/>
  <c r="N423" i="21"/>
  <c r="M423" i="21"/>
  <c r="O423" i="21" s="1"/>
  <c r="O422" i="21"/>
  <c r="N422" i="21"/>
  <c r="M422" i="21"/>
  <c r="M421" i="21" s="1"/>
  <c r="O421" i="21" s="1"/>
  <c r="N421" i="21"/>
  <c r="N420" i="21"/>
  <c r="M420" i="21"/>
  <c r="N419" i="21"/>
  <c r="N418" i="21"/>
  <c r="M418" i="21"/>
  <c r="O418" i="21" s="1"/>
  <c r="N417" i="21"/>
  <c r="O416" i="21"/>
  <c r="N416" i="21"/>
  <c r="M416" i="21"/>
  <c r="N415" i="21"/>
  <c r="M415" i="21"/>
  <c r="O415" i="21" s="1"/>
  <c r="O414" i="21"/>
  <c r="N414" i="21"/>
  <c r="M414" i="21"/>
  <c r="N413" i="21"/>
  <c r="O413" i="21" s="1"/>
  <c r="M413" i="21"/>
  <c r="N412" i="21"/>
  <c r="M412" i="21"/>
  <c r="O412" i="21" s="1"/>
  <c r="N411" i="21"/>
  <c r="M411" i="21"/>
  <c r="N410" i="21"/>
  <c r="M410" i="21"/>
  <c r="O410" i="21" s="1"/>
  <c r="N409" i="21"/>
  <c r="O408" i="21"/>
  <c r="N408" i="21"/>
  <c r="M408" i="21"/>
  <c r="N407" i="21"/>
  <c r="M407" i="21"/>
  <c r="O407" i="21" s="1"/>
  <c r="O406" i="21"/>
  <c r="N406" i="21"/>
  <c r="M406" i="21"/>
  <c r="N405" i="21"/>
  <c r="O405" i="21" s="1"/>
  <c r="M405" i="21"/>
  <c r="N404" i="21"/>
  <c r="M404" i="21"/>
  <c r="O404" i="21" s="1"/>
  <c r="N403" i="21"/>
  <c r="M403" i="21"/>
  <c r="O403" i="21" s="1"/>
  <c r="N402" i="21"/>
  <c r="M402" i="21"/>
  <c r="O402" i="21" s="1"/>
  <c r="N401" i="21"/>
  <c r="O400" i="21"/>
  <c r="N400" i="21"/>
  <c r="M400" i="21"/>
  <c r="N399" i="21"/>
  <c r="M399" i="21"/>
  <c r="O399" i="21" s="1"/>
  <c r="N398" i="21"/>
  <c r="M398" i="21"/>
  <c r="M397" i="21" s="1"/>
  <c r="O397" i="21" s="1"/>
  <c r="N397" i="21"/>
  <c r="N396" i="21"/>
  <c r="M396" i="21"/>
  <c r="O396" i="21" s="1"/>
  <c r="N395" i="21"/>
  <c r="M395" i="21"/>
  <c r="O395" i="21" s="1"/>
  <c r="N394" i="21"/>
  <c r="M394" i="21"/>
  <c r="O394" i="21" s="1"/>
  <c r="N393" i="21"/>
  <c r="O393" i="21" s="1"/>
  <c r="M393" i="21"/>
  <c r="O392" i="21"/>
  <c r="N392" i="21"/>
  <c r="M392" i="21"/>
  <c r="N391" i="21"/>
  <c r="M391" i="21"/>
  <c r="O391" i="21" s="1"/>
  <c r="N390" i="21"/>
  <c r="M390" i="21"/>
  <c r="O390" i="21" s="1"/>
  <c r="N389" i="21"/>
  <c r="N388" i="21"/>
  <c r="M388" i="21"/>
  <c r="N387" i="21"/>
  <c r="N386" i="21"/>
  <c r="M386" i="21"/>
  <c r="O386" i="21" s="1"/>
  <c r="N385" i="21"/>
  <c r="O384" i="21"/>
  <c r="N384" i="21"/>
  <c r="M384" i="21"/>
  <c r="M383" i="21" s="1"/>
  <c r="O383" i="21" s="1"/>
  <c r="N383" i="21"/>
  <c r="O382" i="21"/>
  <c r="N382" i="21"/>
  <c r="M382" i="21"/>
  <c r="M381" i="21" s="1"/>
  <c r="O381" i="21" s="1"/>
  <c r="N381" i="21"/>
  <c r="N380" i="21"/>
  <c r="M380" i="21"/>
  <c r="N379" i="21"/>
  <c r="N378" i="21"/>
  <c r="M378" i="21"/>
  <c r="O378" i="21" s="1"/>
  <c r="N377" i="21"/>
  <c r="O377" i="21" s="1"/>
  <c r="M377" i="21"/>
  <c r="O376" i="21"/>
  <c r="N376" i="21"/>
  <c r="M376" i="21"/>
  <c r="N375" i="21"/>
  <c r="M375" i="21"/>
  <c r="O375" i="21" s="1"/>
  <c r="O374" i="21"/>
  <c r="N374" i="21"/>
  <c r="M374" i="21"/>
  <c r="N373" i="21"/>
  <c r="O373" i="21" s="1"/>
  <c r="M373" i="21"/>
  <c r="N371" i="21"/>
  <c r="M371" i="21"/>
  <c r="N370" i="21"/>
  <c r="N369" i="21" s="1"/>
  <c r="M370" i="21"/>
  <c r="O370" i="21" s="1"/>
  <c r="N368" i="21"/>
  <c r="O368" i="21" s="1"/>
  <c r="M368" i="21"/>
  <c r="O367" i="21"/>
  <c r="N367" i="21"/>
  <c r="M367" i="21"/>
  <c r="M366" i="21" s="1"/>
  <c r="O366" i="21" s="1"/>
  <c r="N366" i="21"/>
  <c r="O365" i="21"/>
  <c r="N365" i="21"/>
  <c r="M365" i="21"/>
  <c r="N364" i="21"/>
  <c r="N363" i="21" s="1"/>
  <c r="M364" i="21"/>
  <c r="O364" i="21" s="1"/>
  <c r="M363" i="21"/>
  <c r="O363" i="21" s="1"/>
  <c r="N362" i="21"/>
  <c r="N361" i="21" s="1"/>
  <c r="O361" i="21" s="1"/>
  <c r="M362" i="21"/>
  <c r="O362" i="21" s="1"/>
  <c r="M361" i="21"/>
  <c r="N360" i="21"/>
  <c r="O360" i="21" s="1"/>
  <c r="M360" i="21"/>
  <c r="O359" i="21"/>
  <c r="N359" i="21"/>
  <c r="M359" i="21"/>
  <c r="O358" i="21"/>
  <c r="N358" i="21"/>
  <c r="M358" i="21"/>
  <c r="O357" i="21"/>
  <c r="N357" i="21"/>
  <c r="M357" i="21"/>
  <c r="N356" i="21"/>
  <c r="M356" i="21"/>
  <c r="O356" i="21" s="1"/>
  <c r="N355" i="21"/>
  <c r="M355" i="21"/>
  <c r="O355" i="21" s="1"/>
  <c r="N354" i="21"/>
  <c r="M354" i="21"/>
  <c r="O354" i="21" s="1"/>
  <c r="N353" i="21"/>
  <c r="O353" i="21" s="1"/>
  <c r="M353" i="21"/>
  <c r="N352" i="21"/>
  <c r="O352" i="21" s="1"/>
  <c r="M352" i="21"/>
  <c r="O351" i="21"/>
  <c r="N351" i="21"/>
  <c r="M351" i="21"/>
  <c r="O350" i="21"/>
  <c r="N350" i="21"/>
  <c r="M350" i="21"/>
  <c r="N349" i="21"/>
  <c r="M349" i="21"/>
  <c r="O349" i="21" s="1"/>
  <c r="N348" i="21"/>
  <c r="N347" i="21"/>
  <c r="M347" i="21"/>
  <c r="N346" i="21"/>
  <c r="M346" i="21"/>
  <c r="O346" i="21" s="1"/>
  <c r="N345" i="21"/>
  <c r="O345" i="21" s="1"/>
  <c r="M345" i="21"/>
  <c r="N344" i="21"/>
  <c r="M344" i="21"/>
  <c r="O342" i="21"/>
  <c r="N342" i="21"/>
  <c r="M342" i="21"/>
  <c r="N341" i="21"/>
  <c r="M341" i="21"/>
  <c r="O341" i="21" s="1"/>
  <c r="N340" i="21"/>
  <c r="M340" i="21"/>
  <c r="O340" i="21" s="1"/>
  <c r="N339" i="21"/>
  <c r="M339" i="21"/>
  <c r="N338" i="21"/>
  <c r="N337" i="21"/>
  <c r="O337" i="21" s="1"/>
  <c r="M337" i="21"/>
  <c r="N336" i="21"/>
  <c r="O336" i="21" s="1"/>
  <c r="M336" i="21"/>
  <c r="O335" i="21"/>
  <c r="N335" i="21"/>
  <c r="M335" i="21"/>
  <c r="O334" i="21"/>
  <c r="N334" i="21"/>
  <c r="M334" i="21"/>
  <c r="O333" i="21"/>
  <c r="N333" i="21"/>
  <c r="M333" i="21"/>
  <c r="N332" i="21"/>
  <c r="M332" i="21"/>
  <c r="O332" i="21" s="1"/>
  <c r="N331" i="21"/>
  <c r="M331" i="21"/>
  <c r="O331" i="21" s="1"/>
  <c r="N330" i="21"/>
  <c r="O330" i="21" s="1"/>
  <c r="M330" i="21"/>
  <c r="N329" i="21"/>
  <c r="O329" i="21" s="1"/>
  <c r="M329" i="21"/>
  <c r="N328" i="21"/>
  <c r="N327" i="21" s="1"/>
  <c r="M328" i="21"/>
  <c r="O326" i="21"/>
  <c r="N326" i="21"/>
  <c r="M326" i="21"/>
  <c r="O325" i="21"/>
  <c r="N325" i="21"/>
  <c r="M325" i="21"/>
  <c r="N324" i="21"/>
  <c r="M324" i="21"/>
  <c r="O324" i="21" s="1"/>
  <c r="N323" i="21"/>
  <c r="M323" i="21"/>
  <c r="O323" i="21" s="1"/>
  <c r="N322" i="21"/>
  <c r="O322" i="21" s="1"/>
  <c r="M322" i="21"/>
  <c r="N321" i="21"/>
  <c r="O321" i="21" s="1"/>
  <c r="M321" i="21"/>
  <c r="N320" i="21"/>
  <c r="N319" i="21" s="1"/>
  <c r="M320" i="21"/>
  <c r="M319" i="21" s="1"/>
  <c r="O319" i="21"/>
  <c r="O318" i="21"/>
  <c r="N318" i="21"/>
  <c r="M318" i="21"/>
  <c r="O317" i="21"/>
  <c r="N317" i="21"/>
  <c r="M317" i="21"/>
  <c r="N316" i="21"/>
  <c r="M316" i="21"/>
  <c r="O316" i="21" s="1"/>
  <c r="N315" i="21"/>
  <c r="M315" i="21"/>
  <c r="N314" i="21"/>
  <c r="N313" i="21"/>
  <c r="M313" i="21"/>
  <c r="O313" i="21" s="1"/>
  <c r="N312" i="21"/>
  <c r="M312" i="21"/>
  <c r="O312" i="21" s="1"/>
  <c r="O311" i="21"/>
  <c r="N311" i="21"/>
  <c r="M311" i="21"/>
  <c r="N310" i="21"/>
  <c r="O309" i="21"/>
  <c r="N309" i="21"/>
  <c r="M309" i="21"/>
  <c r="N308" i="21"/>
  <c r="M308" i="21"/>
  <c r="O308" i="21" s="1"/>
  <c r="N307" i="21"/>
  <c r="M307" i="21"/>
  <c r="O307" i="21" s="1"/>
  <c r="N306" i="21"/>
  <c r="O306" i="21" s="1"/>
  <c r="M306" i="21"/>
  <c r="N305" i="21"/>
  <c r="O305" i="21" s="1"/>
  <c r="M305" i="21"/>
  <c r="N304" i="21"/>
  <c r="M304" i="21"/>
  <c r="O304" i="21" s="1"/>
  <c r="O303" i="21"/>
  <c r="N303" i="21"/>
  <c r="M303" i="21"/>
  <c r="O302" i="21"/>
  <c r="N302" i="21"/>
  <c r="M302" i="21"/>
  <c r="N301" i="21"/>
  <c r="M301" i="21"/>
  <c r="O301" i="21" s="1"/>
  <c r="N300" i="21"/>
  <c r="M300" i="21"/>
  <c r="O300" i="21" s="1"/>
  <c r="N299" i="21"/>
  <c r="M299" i="21"/>
  <c r="O299" i="21" s="1"/>
  <c r="N298" i="21"/>
  <c r="O298" i="21" s="1"/>
  <c r="M298" i="21"/>
  <c r="N297" i="21"/>
  <c r="O297" i="21" s="1"/>
  <c r="M297" i="21"/>
  <c r="N296" i="21"/>
  <c r="M296" i="21"/>
  <c r="O296" i="21" s="1"/>
  <c r="O295" i="21"/>
  <c r="N295" i="21"/>
  <c r="M295" i="21"/>
  <c r="O294" i="21"/>
  <c r="N294" i="21"/>
  <c r="M294" i="21"/>
  <c r="O293" i="21"/>
  <c r="N293" i="21"/>
  <c r="M293" i="21"/>
  <c r="N292" i="21"/>
  <c r="M292" i="21"/>
  <c r="O292" i="21" s="1"/>
  <c r="N291" i="21"/>
  <c r="M291" i="21"/>
  <c r="N290" i="21"/>
  <c r="N284" i="21"/>
  <c r="O284" i="21" s="1"/>
  <c r="M284" i="21"/>
  <c r="N283" i="21"/>
  <c r="N282" i="21" s="1"/>
  <c r="M283" i="21"/>
  <c r="M282" i="21" s="1"/>
  <c r="O282" i="21" s="1"/>
  <c r="O281" i="21"/>
  <c r="N281" i="21"/>
  <c r="M281" i="21"/>
  <c r="O280" i="21"/>
  <c r="N280" i="21"/>
  <c r="M280" i="21"/>
  <c r="N279" i="21"/>
  <c r="M279" i="21"/>
  <c r="O279" i="21" s="1"/>
  <c r="N278" i="21"/>
  <c r="M278" i="21"/>
  <c r="O278" i="21" s="1"/>
  <c r="N277" i="21"/>
  <c r="M277" i="21"/>
  <c r="M276" i="21"/>
  <c r="N275" i="21"/>
  <c r="N274" i="21" s="1"/>
  <c r="M275" i="21"/>
  <c r="M274" i="21" s="1"/>
  <c r="O274" i="21" s="1"/>
  <c r="O273" i="21"/>
  <c r="N273" i="21"/>
  <c r="M273" i="21"/>
  <c r="O272" i="21"/>
  <c r="N272" i="21"/>
  <c r="M272" i="21"/>
  <c r="N271" i="21"/>
  <c r="M271" i="21"/>
  <c r="O271" i="21" s="1"/>
  <c r="N270" i="21"/>
  <c r="M270" i="21"/>
  <c r="O270" i="21" s="1"/>
  <c r="N269" i="21"/>
  <c r="O269" i="21" s="1"/>
  <c r="M269" i="21"/>
  <c r="N268" i="21"/>
  <c r="O268" i="21" s="1"/>
  <c r="M268" i="21"/>
  <c r="N267" i="21"/>
  <c r="N266" i="21" s="1"/>
  <c r="M267" i="21"/>
  <c r="O265" i="21"/>
  <c r="N265" i="21"/>
  <c r="M265" i="21"/>
  <c r="O264" i="21"/>
  <c r="N264" i="21"/>
  <c r="M264" i="21"/>
  <c r="N263" i="21"/>
  <c r="M263" i="21"/>
  <c r="O263" i="21" s="1"/>
  <c r="N262" i="21"/>
  <c r="M262" i="21"/>
  <c r="O262" i="21" s="1"/>
  <c r="N261" i="21"/>
  <c r="O261" i="21" s="1"/>
  <c r="M261" i="21"/>
  <c r="N260" i="21"/>
  <c r="O260" i="21" s="1"/>
  <c r="M260" i="21"/>
  <c r="N259" i="21"/>
  <c r="N258" i="21" s="1"/>
  <c r="M259" i="21"/>
  <c r="O257" i="21"/>
  <c r="N257" i="21"/>
  <c r="M257" i="21"/>
  <c r="O256" i="21"/>
  <c r="N256" i="21"/>
  <c r="M256" i="21"/>
  <c r="N255" i="21"/>
  <c r="M255" i="21"/>
  <c r="O255" i="21" s="1"/>
  <c r="N254" i="21"/>
  <c r="M254" i="21"/>
  <c r="O254" i="21" s="1"/>
  <c r="N253" i="21"/>
  <c r="O253" i="21" s="1"/>
  <c r="M253" i="21"/>
  <c r="N252" i="21"/>
  <c r="O252" i="21" s="1"/>
  <c r="M252" i="21"/>
  <c r="N251" i="21"/>
  <c r="M251" i="21"/>
  <c r="O251" i="21" s="1"/>
  <c r="O250" i="21"/>
  <c r="N250" i="21"/>
  <c r="M250" i="21"/>
  <c r="O249" i="21"/>
  <c r="N249" i="21"/>
  <c r="M249" i="21"/>
  <c r="N248" i="21"/>
  <c r="M248" i="21"/>
  <c r="M246" i="21" s="1"/>
  <c r="O246" i="21" s="1"/>
  <c r="N247" i="21"/>
  <c r="M247" i="21"/>
  <c r="O247" i="21" s="1"/>
  <c r="N246" i="21"/>
  <c r="N245" i="21"/>
  <c r="M245" i="21"/>
  <c r="M244" i="21" s="1"/>
  <c r="N243" i="21"/>
  <c r="N242" i="21" s="1"/>
  <c r="M243" i="21"/>
  <c r="M242" i="21" s="1"/>
  <c r="O242" i="21"/>
  <c r="O241" i="21"/>
  <c r="N241" i="21"/>
  <c r="M241" i="21"/>
  <c r="N240" i="21"/>
  <c r="M240" i="21"/>
  <c r="O240" i="21" s="1"/>
  <c r="N239" i="21"/>
  <c r="M239" i="21"/>
  <c r="O239" i="21" s="1"/>
  <c r="N238" i="21"/>
  <c r="M238" i="21"/>
  <c r="O238" i="21" s="1"/>
  <c r="N237" i="21"/>
  <c r="M237" i="21"/>
  <c r="M236" i="21" s="1"/>
  <c r="N235" i="21"/>
  <c r="M235" i="21"/>
  <c r="O235" i="21" s="1"/>
  <c r="O234" i="21"/>
  <c r="N234" i="21"/>
  <c r="M234" i="21"/>
  <c r="O233" i="21"/>
  <c r="N233" i="21"/>
  <c r="M233" i="21"/>
  <c r="N232" i="21"/>
  <c r="M232" i="21"/>
  <c r="O232" i="21" s="1"/>
  <c r="N231" i="21"/>
  <c r="M231" i="21"/>
  <c r="O231" i="21" s="1"/>
  <c r="N230" i="21"/>
  <c r="M230" i="21"/>
  <c r="O230" i="21" s="1"/>
  <c r="N228" i="21"/>
  <c r="O228" i="21" s="1"/>
  <c r="M228" i="21"/>
  <c r="N227" i="21"/>
  <c r="M227" i="21"/>
  <c r="O227" i="21" s="1"/>
  <c r="N226" i="21"/>
  <c r="M226" i="21"/>
  <c r="O226" i="21" s="1"/>
  <c r="O225" i="21"/>
  <c r="N225" i="21"/>
  <c r="M225" i="21"/>
  <c r="O224" i="21"/>
  <c r="N224" i="21"/>
  <c r="M224" i="21"/>
  <c r="O223" i="21"/>
  <c r="N223" i="21"/>
  <c r="M223" i="21"/>
  <c r="N222" i="21"/>
  <c r="M222" i="21"/>
  <c r="O222" i="21" s="1"/>
  <c r="N221" i="21"/>
  <c r="M221" i="21"/>
  <c r="N220" i="21"/>
  <c r="N219" i="21"/>
  <c r="O219" i="21" s="1"/>
  <c r="M219" i="21"/>
  <c r="N218" i="21"/>
  <c r="M218" i="21"/>
  <c r="O218" i="21" s="1"/>
  <c r="O217" i="21"/>
  <c r="N217" i="21"/>
  <c r="M217" i="21"/>
  <c r="O216" i="21"/>
  <c r="N216" i="21"/>
  <c r="M216" i="21"/>
  <c r="O215" i="21"/>
  <c r="N215" i="21"/>
  <c r="M215" i="21"/>
  <c r="N214" i="21"/>
  <c r="M214" i="21"/>
  <c r="O214" i="21" s="1"/>
  <c r="N213" i="21"/>
  <c r="M213" i="21"/>
  <c r="O213" i="21" s="1"/>
  <c r="N212" i="21"/>
  <c r="O212" i="21" s="1"/>
  <c r="M212" i="21"/>
  <c r="N211" i="21"/>
  <c r="O211" i="21" s="1"/>
  <c r="M211" i="21"/>
  <c r="N210" i="21"/>
  <c r="M210" i="21"/>
  <c r="O210" i="21" s="1"/>
  <c r="O209" i="21"/>
  <c r="N209" i="21"/>
  <c r="M209" i="21"/>
  <c r="O208" i="21"/>
  <c r="N208" i="21"/>
  <c r="M208" i="21"/>
  <c r="N207" i="21"/>
  <c r="M207" i="21"/>
  <c r="M205" i="21" s="1"/>
  <c r="O205" i="21" s="1"/>
  <c r="N206" i="21"/>
  <c r="M206" i="21"/>
  <c r="O206" i="21" s="1"/>
  <c r="N205" i="21"/>
  <c r="N204" i="21"/>
  <c r="O204" i="21" s="1"/>
  <c r="M204" i="21"/>
  <c r="N203" i="21"/>
  <c r="O203" i="21" s="1"/>
  <c r="M203" i="21"/>
  <c r="N202" i="21"/>
  <c r="M202" i="21"/>
  <c r="O202" i="21" s="1"/>
  <c r="O201" i="21"/>
  <c r="N201" i="21"/>
  <c r="N200" i="21" s="1"/>
  <c r="M201" i="21"/>
  <c r="N199" i="21"/>
  <c r="M199" i="21"/>
  <c r="O199" i="21" s="1"/>
  <c r="N198" i="21"/>
  <c r="M198" i="21"/>
  <c r="O198" i="21" s="1"/>
  <c r="N197" i="21"/>
  <c r="M197" i="21"/>
  <c r="O197" i="21" s="1"/>
  <c r="N196" i="21"/>
  <c r="O196" i="21" s="1"/>
  <c r="M196" i="21"/>
  <c r="N195" i="21"/>
  <c r="N194" i="21"/>
  <c r="M194" i="21"/>
  <c r="O194" i="21" s="1"/>
  <c r="O193" i="21"/>
  <c r="N193" i="21"/>
  <c r="M193" i="21"/>
  <c r="O192" i="21"/>
  <c r="N192" i="21"/>
  <c r="M192" i="21"/>
  <c r="N191" i="21"/>
  <c r="M191" i="21"/>
  <c r="O191" i="21" s="1"/>
  <c r="N190" i="21"/>
  <c r="M190" i="21"/>
  <c r="O190" i="21" s="1"/>
  <c r="N189" i="21"/>
  <c r="M189" i="21"/>
  <c r="O189" i="21" s="1"/>
  <c r="N188" i="21"/>
  <c r="O188" i="21" s="1"/>
  <c r="M188" i="21"/>
  <c r="N187" i="21"/>
  <c r="O187" i="21" s="1"/>
  <c r="M187" i="21"/>
  <c r="N186" i="21"/>
  <c r="M186" i="21"/>
  <c r="O186" i="21" s="1"/>
  <c r="O185" i="21"/>
  <c r="N185" i="21"/>
  <c r="N184" i="21" s="1"/>
  <c r="M185" i="21"/>
  <c r="O183" i="21"/>
  <c r="N183" i="21"/>
  <c r="M183" i="21"/>
  <c r="N182" i="21"/>
  <c r="M182" i="21"/>
  <c r="O182" i="21" s="1"/>
  <c r="N181" i="21"/>
  <c r="M181" i="21"/>
  <c r="N180" i="21"/>
  <c r="N179" i="21"/>
  <c r="O179" i="21" s="1"/>
  <c r="M179" i="21"/>
  <c r="N178" i="21"/>
  <c r="M178" i="21"/>
  <c r="O178" i="21" s="1"/>
  <c r="O177" i="21"/>
  <c r="N177" i="21"/>
  <c r="M177" i="21"/>
  <c r="M176" i="21" s="1"/>
  <c r="O176" i="21"/>
  <c r="N176" i="21"/>
  <c r="O175" i="21"/>
  <c r="N175" i="21"/>
  <c r="M175" i="21"/>
  <c r="N174" i="21"/>
  <c r="M174" i="21"/>
  <c r="O174" i="21" s="1"/>
  <c r="N173" i="21"/>
  <c r="M173" i="21"/>
  <c r="O173" i="21" s="1"/>
  <c r="N172" i="21"/>
  <c r="O172" i="21" s="1"/>
  <c r="M172" i="21"/>
  <c r="M171" i="21" s="1"/>
  <c r="N170" i="21"/>
  <c r="M170" i="21"/>
  <c r="O169" i="21"/>
  <c r="N169" i="21"/>
  <c r="M169" i="21"/>
  <c r="O168" i="21"/>
  <c r="N168" i="21"/>
  <c r="M168" i="21"/>
  <c r="O167" i="21"/>
  <c r="N167" i="21"/>
  <c r="M167" i="21"/>
  <c r="N166" i="21"/>
  <c r="M166" i="21"/>
  <c r="O166" i="21" s="1"/>
  <c r="N165" i="21"/>
  <c r="M165" i="21"/>
  <c r="O165" i="21" s="1"/>
  <c r="N164" i="21"/>
  <c r="O164" i="21" s="1"/>
  <c r="M164" i="21"/>
  <c r="N163" i="21"/>
  <c r="O163" i="21" s="1"/>
  <c r="M163" i="21"/>
  <c r="N162" i="21"/>
  <c r="M162" i="21"/>
  <c r="O162" i="21" s="1"/>
  <c r="O161" i="21"/>
  <c r="N161" i="21"/>
  <c r="M161" i="21"/>
  <c r="O160" i="21"/>
  <c r="N160" i="21"/>
  <c r="M160" i="21"/>
  <c r="N159" i="21"/>
  <c r="M159" i="21"/>
  <c r="O159" i="21" s="1"/>
  <c r="N158" i="21"/>
  <c r="M158" i="21"/>
  <c r="O158" i="21" s="1"/>
  <c r="N157" i="21"/>
  <c r="M157" i="21"/>
  <c r="O157" i="21" s="1"/>
  <c r="N156" i="21"/>
  <c r="O156" i="21" s="1"/>
  <c r="M156" i="21"/>
  <c r="N155" i="21"/>
  <c r="O155" i="21" s="1"/>
  <c r="M155" i="21"/>
  <c r="N154" i="21"/>
  <c r="M154" i="21"/>
  <c r="O153" i="21"/>
  <c r="N153" i="21"/>
  <c r="M153" i="21"/>
  <c r="O152" i="21"/>
  <c r="N152" i="21"/>
  <c r="M152" i="21"/>
  <c r="O151" i="21"/>
  <c r="N151" i="21"/>
  <c r="M151" i="21"/>
  <c r="N150" i="21"/>
  <c r="M150" i="21"/>
  <c r="O150" i="21" s="1"/>
  <c r="N149" i="21"/>
  <c r="M149" i="21"/>
  <c r="O149" i="21" s="1"/>
  <c r="N148" i="21"/>
  <c r="O148" i="21" s="1"/>
  <c r="M148" i="21"/>
  <c r="N141" i="21"/>
  <c r="M141" i="21"/>
  <c r="O140" i="21"/>
  <c r="N140" i="21"/>
  <c r="N139" i="21" s="1"/>
  <c r="M140" i="21"/>
  <c r="M139" i="21" s="1"/>
  <c r="O139" i="21"/>
  <c r="O138" i="21"/>
  <c r="N138" i="21"/>
  <c r="N137" i="21" s="1"/>
  <c r="M138" i="21"/>
  <c r="M137" i="21" s="1"/>
  <c r="O137" i="21" s="1"/>
  <c r="N136" i="21"/>
  <c r="M136" i="21"/>
  <c r="N135" i="21"/>
  <c r="N134" i="21"/>
  <c r="O134" i="21" s="1"/>
  <c r="M134" i="21"/>
  <c r="M133" i="21"/>
  <c r="O132" i="21"/>
  <c r="N132" i="21"/>
  <c r="N131" i="21" s="1"/>
  <c r="M132" i="21"/>
  <c r="M131" i="21" s="1"/>
  <c r="O131" i="21"/>
  <c r="O130" i="21"/>
  <c r="N130" i="21"/>
  <c r="M130" i="21"/>
  <c r="N129" i="21"/>
  <c r="M129" i="21"/>
  <c r="O129" i="21" s="1"/>
  <c r="N128" i="21"/>
  <c r="M128" i="21"/>
  <c r="O128" i="21" s="1"/>
  <c r="N127" i="21"/>
  <c r="O127" i="21" s="1"/>
  <c r="M127" i="21"/>
  <c r="N126" i="21"/>
  <c r="O126" i="21" s="1"/>
  <c r="M126" i="21"/>
  <c r="N125" i="21"/>
  <c r="M125" i="21"/>
  <c r="O124" i="21"/>
  <c r="N124" i="21"/>
  <c r="N123" i="21" s="1"/>
  <c r="M124" i="21"/>
  <c r="M123" i="21" s="1"/>
  <c r="O123" i="21"/>
  <c r="O122" i="21"/>
  <c r="N122" i="21"/>
  <c r="M122" i="21"/>
  <c r="N121" i="21"/>
  <c r="M121" i="21"/>
  <c r="O121" i="21" s="1"/>
  <c r="N120" i="21"/>
  <c r="M120" i="21"/>
  <c r="O120" i="21" s="1"/>
  <c r="N119" i="21"/>
  <c r="O119" i="21" s="1"/>
  <c r="M119" i="21"/>
  <c r="N118" i="21"/>
  <c r="O118" i="21" s="1"/>
  <c r="M118" i="21"/>
  <c r="N117" i="21"/>
  <c r="M117" i="21"/>
  <c r="O117" i="21" s="1"/>
  <c r="O116" i="21"/>
  <c r="N116" i="21"/>
  <c r="N115" i="21" s="1"/>
  <c r="M116" i="21"/>
  <c r="M115" i="21" s="1"/>
  <c r="O115" i="21"/>
  <c r="O114" i="21"/>
  <c r="N114" i="21"/>
  <c r="N113" i="21" s="1"/>
  <c r="M114" i="21"/>
  <c r="M113" i="21"/>
  <c r="N112" i="21"/>
  <c r="M112" i="21"/>
  <c r="N111" i="21"/>
  <c r="N110" i="21"/>
  <c r="O110" i="21" s="1"/>
  <c r="M110" i="21"/>
  <c r="N109" i="21"/>
  <c r="M109" i="21"/>
  <c r="O108" i="21"/>
  <c r="N108" i="21"/>
  <c r="M108" i="21"/>
  <c r="O107" i="21"/>
  <c r="N107" i="21"/>
  <c r="M107" i="21"/>
  <c r="O106" i="21"/>
  <c r="N106" i="21"/>
  <c r="M106" i="21"/>
  <c r="N105" i="21"/>
  <c r="M105" i="21"/>
  <c r="O105" i="21" s="1"/>
  <c r="N104" i="21"/>
  <c r="M104" i="21"/>
  <c r="N103" i="21"/>
  <c r="N102" i="21"/>
  <c r="O102" i="21" s="1"/>
  <c r="M102" i="21"/>
  <c r="M101" i="21"/>
  <c r="O100" i="21"/>
  <c r="N100" i="21"/>
  <c r="M100" i="21"/>
  <c r="M99" i="21" s="1"/>
  <c r="O99" i="21" s="1"/>
  <c r="N99" i="21"/>
  <c r="N98" i="21"/>
  <c r="N97" i="21" s="1"/>
  <c r="M98" i="21"/>
  <c r="O98" i="21" s="1"/>
  <c r="M97" i="21"/>
  <c r="O97" i="21" s="1"/>
  <c r="N96" i="21"/>
  <c r="M96" i="21"/>
  <c r="N95" i="21"/>
  <c r="N94" i="21"/>
  <c r="O94" i="21" s="1"/>
  <c r="M94" i="21"/>
  <c r="M93" i="21"/>
  <c r="O92" i="21"/>
  <c r="N92" i="21"/>
  <c r="M92" i="21"/>
  <c r="O91" i="21"/>
  <c r="N91" i="21"/>
  <c r="M91" i="21"/>
  <c r="N90" i="21"/>
  <c r="M90" i="21"/>
  <c r="O90" i="21" s="1"/>
  <c r="N89" i="21"/>
  <c r="M89" i="21"/>
  <c r="O89" i="21" s="1"/>
  <c r="N88" i="21"/>
  <c r="M88" i="21"/>
  <c r="O88" i="21" s="1"/>
  <c r="N87" i="21"/>
  <c r="O87" i="21" s="1"/>
  <c r="M87" i="21"/>
  <c r="N85" i="21"/>
  <c r="O85" i="21" s="1"/>
  <c r="M85" i="21"/>
  <c r="N84" i="21"/>
  <c r="N83" i="21" s="1"/>
  <c r="M84" i="21"/>
  <c r="M83" i="21" s="1"/>
  <c r="O83" i="21" s="1"/>
  <c r="O82" i="21"/>
  <c r="N82" i="21"/>
  <c r="M82" i="21"/>
  <c r="N81" i="21"/>
  <c r="N80" i="21" s="1"/>
  <c r="M81" i="21"/>
  <c r="O81" i="21" s="1"/>
  <c r="M80" i="21"/>
  <c r="O80" i="21" s="1"/>
  <c r="N79" i="21"/>
  <c r="M79" i="21"/>
  <c r="N78" i="21"/>
  <c r="O78" i="21" s="1"/>
  <c r="M78" i="21"/>
  <c r="N77" i="21"/>
  <c r="N76" i="21"/>
  <c r="N75" i="21" s="1"/>
  <c r="M76" i="21"/>
  <c r="M75" i="21" s="1"/>
  <c r="O75" i="21"/>
  <c r="O74" i="21"/>
  <c r="N74" i="21"/>
  <c r="M74" i="21"/>
  <c r="N73" i="21"/>
  <c r="M73" i="21"/>
  <c r="O73" i="21" s="1"/>
  <c r="N72" i="21"/>
  <c r="M72" i="21"/>
  <c r="O72" i="21" s="1"/>
  <c r="N71" i="21"/>
  <c r="M71" i="21"/>
  <c r="O71" i="21" s="1"/>
  <c r="N70" i="21"/>
  <c r="O70" i="21" s="1"/>
  <c r="M70" i="21"/>
  <c r="N69" i="21"/>
  <c r="O69" i="21" s="1"/>
  <c r="M69" i="21"/>
  <c r="N68" i="21"/>
  <c r="M68" i="21"/>
  <c r="O67" i="21"/>
  <c r="N67" i="21"/>
  <c r="M67" i="21"/>
  <c r="O66" i="21"/>
  <c r="N66" i="21"/>
  <c r="M66" i="21"/>
  <c r="O65" i="21"/>
  <c r="N65" i="21"/>
  <c r="M65" i="21"/>
  <c r="N64" i="21"/>
  <c r="M64" i="21"/>
  <c r="O64" i="21" s="1"/>
  <c r="N63" i="21"/>
  <c r="M63" i="21"/>
  <c r="N62" i="21"/>
  <c r="N61" i="21"/>
  <c r="O61" i="21" s="1"/>
  <c r="M61" i="21"/>
  <c r="N60" i="21"/>
  <c r="M60" i="21"/>
  <c r="O60" i="21" s="1"/>
  <c r="N59" i="21"/>
  <c r="M59" i="21"/>
  <c r="O59" i="21" s="1"/>
  <c r="O58" i="21"/>
  <c r="N58" i="21"/>
  <c r="M58" i="21"/>
  <c r="N57" i="21"/>
  <c r="N56" i="21"/>
  <c r="M56" i="21"/>
  <c r="O56" i="21" s="1"/>
  <c r="N55" i="21"/>
  <c r="M55" i="21"/>
  <c r="O54" i="21"/>
  <c r="N54" i="21"/>
  <c r="M54" i="21"/>
  <c r="N53" i="21"/>
  <c r="N52" i="21" s="1"/>
  <c r="M53" i="21"/>
  <c r="M52" i="21" s="1"/>
  <c r="O52" i="21" s="1"/>
  <c r="N51" i="21"/>
  <c r="M51" i="21"/>
  <c r="O51" i="21" s="1"/>
  <c r="N50" i="21"/>
  <c r="M50" i="21"/>
  <c r="O50" i="21" s="1"/>
  <c r="N49" i="21"/>
  <c r="O49" i="21" s="1"/>
  <c r="M49" i="21"/>
  <c r="N48" i="21"/>
  <c r="M48" i="21"/>
  <c r="O48" i="21" s="1"/>
  <c r="N47" i="21"/>
  <c r="M47" i="21"/>
  <c r="O47" i="21" s="1"/>
  <c r="N46" i="21"/>
  <c r="O46" i="21" s="1"/>
  <c r="M46" i="21"/>
  <c r="N45" i="21"/>
  <c r="M45" i="21"/>
  <c r="O45" i="21" s="1"/>
  <c r="N44" i="21"/>
  <c r="O44" i="21" s="1"/>
  <c r="M44" i="21"/>
  <c r="O43" i="21"/>
  <c r="N43" i="21"/>
  <c r="M43" i="21"/>
  <c r="N42" i="21"/>
  <c r="N41" i="21" s="1"/>
  <c r="M42" i="21"/>
  <c r="M41" i="21" s="1"/>
  <c r="N40" i="21"/>
  <c r="M40" i="21"/>
  <c r="O40" i="21" s="1"/>
  <c r="N39" i="21"/>
  <c r="M39" i="21"/>
  <c r="M37" i="21" s="1"/>
  <c r="N38" i="21"/>
  <c r="O38" i="21" s="1"/>
  <c r="M38" i="21"/>
  <c r="N36" i="21"/>
  <c r="O36" i="21" s="1"/>
  <c r="M36" i="21"/>
  <c r="O35" i="21"/>
  <c r="N35" i="21"/>
  <c r="M35" i="21"/>
  <c r="N34" i="21"/>
  <c r="N33" i="21" s="1"/>
  <c r="M34" i="21"/>
  <c r="M33" i="21" s="1"/>
  <c r="O33" i="21" s="1"/>
  <c r="N32" i="21"/>
  <c r="M32" i="21"/>
  <c r="O32" i="21" s="1"/>
  <c r="N31" i="21"/>
  <c r="M31" i="21"/>
  <c r="O31" i="21" s="1"/>
  <c r="N30" i="21"/>
  <c r="O30" i="21" s="1"/>
  <c r="M30" i="21"/>
  <c r="N29" i="21"/>
  <c r="M29" i="21"/>
  <c r="M28" i="21" s="1"/>
  <c r="O28" i="21" s="1"/>
  <c r="N28" i="21"/>
  <c r="O27" i="21"/>
  <c r="N27" i="21"/>
  <c r="M27" i="21"/>
  <c r="N26" i="21"/>
  <c r="M26" i="21"/>
  <c r="O26" i="21" s="1"/>
  <c r="O25" i="21"/>
  <c r="N25" i="21"/>
  <c r="N24" i="21" s="1"/>
  <c r="M25" i="21"/>
  <c r="M24" i="21" s="1"/>
  <c r="N23" i="21"/>
  <c r="M23" i="21"/>
  <c r="O23" i="21" s="1"/>
  <c r="N22" i="21"/>
  <c r="O22" i="21" s="1"/>
  <c r="M22" i="21"/>
  <c r="N21" i="21"/>
  <c r="M21" i="21"/>
  <c r="O21" i="21" s="1"/>
  <c r="N20" i="21"/>
  <c r="O20" i="21" s="1"/>
  <c r="M20" i="21"/>
  <c r="O19" i="21"/>
  <c r="N19" i="21"/>
  <c r="M19" i="21"/>
  <c r="N18" i="21"/>
  <c r="M18" i="21"/>
  <c r="O18" i="21" s="1"/>
  <c r="O17" i="21"/>
  <c r="N17" i="21"/>
  <c r="M17" i="21"/>
  <c r="N16" i="21"/>
  <c r="M16" i="21"/>
  <c r="O16" i="21" s="1"/>
  <c r="N15" i="21"/>
  <c r="M15" i="21"/>
  <c r="O15" i="21" s="1"/>
  <c r="N14" i="21"/>
  <c r="O14" i="21" s="1"/>
  <c r="M14" i="21"/>
  <c r="N13" i="21"/>
  <c r="M13" i="21"/>
  <c r="O13" i="21" s="1"/>
  <c r="N12" i="21"/>
  <c r="O12" i="21" s="1"/>
  <c r="M12" i="21"/>
  <c r="O11" i="21"/>
  <c r="N11" i="21"/>
  <c r="M11" i="21"/>
  <c r="N10" i="21"/>
  <c r="M10" i="21"/>
  <c r="O10" i="21" s="1"/>
  <c r="O9" i="21"/>
  <c r="N9" i="21"/>
  <c r="M9" i="21"/>
  <c r="N8" i="21"/>
  <c r="M8" i="21"/>
  <c r="O8" i="21" s="1"/>
  <c r="N7" i="21"/>
  <c r="M7" i="21"/>
  <c r="O7" i="21" s="1"/>
  <c r="N6" i="21"/>
  <c r="O6" i="21" s="1"/>
  <c r="M6" i="21"/>
  <c r="N5" i="21"/>
  <c r="M5" i="21"/>
  <c r="M4" i="21" s="1"/>
  <c r="O4" i="21" s="1"/>
  <c r="N4" i="21"/>
  <c r="B18" i="20"/>
  <c r="B17" i="20"/>
  <c r="B16" i="20"/>
  <c r="B15" i="20"/>
  <c r="B14" i="20"/>
  <c r="B13" i="20"/>
  <c r="B12" i="20"/>
  <c r="B11" i="20"/>
  <c r="B10" i="20"/>
  <c r="B9" i="20"/>
  <c r="B8" i="20"/>
  <c r="B1" i="17"/>
  <c r="C10" i="13"/>
  <c r="E3" i="17"/>
  <c r="E189" i="23" l="1"/>
  <c r="F189" i="23"/>
  <c r="G189" i="23"/>
  <c r="H189" i="23"/>
  <c r="I189" i="23"/>
  <c r="J189" i="23"/>
  <c r="K189" i="23"/>
  <c r="L189" i="23"/>
  <c r="M189" i="23"/>
  <c r="N189" i="23"/>
  <c r="O189" i="23"/>
  <c r="P189" i="23"/>
  <c r="Q189" i="23"/>
  <c r="R189" i="23"/>
  <c r="S189" i="23"/>
  <c r="T189" i="23"/>
  <c r="U189" i="23"/>
  <c r="V189" i="23"/>
  <c r="W189" i="23"/>
  <c r="X189" i="23"/>
  <c r="Y189" i="23"/>
  <c r="Z189" i="23"/>
  <c r="AA189" i="23"/>
  <c r="AB189" i="23"/>
  <c r="AC189" i="23"/>
  <c r="AD189" i="23"/>
  <c r="AE189" i="23"/>
  <c r="AF189" i="23"/>
  <c r="AG189" i="23"/>
  <c r="AH189" i="23"/>
  <c r="AI189" i="23"/>
  <c r="AJ189" i="23"/>
  <c r="AK189" i="23"/>
  <c r="AL189" i="23"/>
  <c r="AM189" i="23"/>
  <c r="AN189" i="23"/>
  <c r="AO189" i="23"/>
  <c r="AP189" i="23"/>
  <c r="AQ189" i="23"/>
  <c r="AR189" i="23"/>
  <c r="AS189" i="23"/>
  <c r="AT189" i="23"/>
  <c r="AU189" i="23"/>
  <c r="AV189" i="23"/>
  <c r="AW189" i="23"/>
  <c r="AX189" i="23"/>
  <c r="AY189" i="23"/>
  <c r="AZ189" i="23"/>
  <c r="BA189" i="23"/>
  <c r="BB189" i="23"/>
  <c r="BC189" i="23"/>
  <c r="BD189" i="23"/>
  <c r="BE189" i="23"/>
  <c r="BF189" i="23"/>
  <c r="BG189" i="23"/>
  <c r="BH189" i="23"/>
  <c r="E188" i="23"/>
  <c r="F188" i="23"/>
  <c r="G188" i="23"/>
  <c r="H188" i="23"/>
  <c r="I188" i="23"/>
  <c r="J188" i="23"/>
  <c r="K188" i="23"/>
  <c r="L188" i="23"/>
  <c r="M188" i="23"/>
  <c r="N188" i="23"/>
  <c r="O188" i="23"/>
  <c r="P188" i="23"/>
  <c r="Q188" i="23"/>
  <c r="R188" i="23"/>
  <c r="S188" i="23"/>
  <c r="T188" i="23"/>
  <c r="U188" i="23"/>
  <c r="V188" i="23"/>
  <c r="W188" i="23"/>
  <c r="X188" i="23"/>
  <c r="Y188" i="23"/>
  <c r="Z188" i="23"/>
  <c r="AA188" i="23"/>
  <c r="AB188" i="23"/>
  <c r="AC188" i="23"/>
  <c r="AD188" i="23"/>
  <c r="AE188" i="23"/>
  <c r="AF188" i="23"/>
  <c r="AG188" i="23"/>
  <c r="AH188" i="23"/>
  <c r="AI188" i="23"/>
  <c r="AJ188" i="23"/>
  <c r="AK188" i="23"/>
  <c r="AL188" i="23"/>
  <c r="AM188" i="23"/>
  <c r="AN188" i="23"/>
  <c r="AO188" i="23"/>
  <c r="AP188" i="23"/>
  <c r="AQ188" i="23"/>
  <c r="AR188" i="23"/>
  <c r="AS188" i="23"/>
  <c r="AT188" i="23"/>
  <c r="AU188" i="23"/>
  <c r="AV188" i="23"/>
  <c r="AW188" i="23"/>
  <c r="AX188" i="23"/>
  <c r="AY188" i="23"/>
  <c r="AZ188" i="23"/>
  <c r="BA188" i="23"/>
  <c r="BB188" i="23"/>
  <c r="BC188" i="23"/>
  <c r="BD188" i="23"/>
  <c r="BE188" i="23"/>
  <c r="BF188" i="23"/>
  <c r="BG188" i="23"/>
  <c r="BH188" i="23"/>
  <c r="E187" i="23"/>
  <c r="F187" i="23"/>
  <c r="G187" i="23"/>
  <c r="H187" i="23"/>
  <c r="I187" i="23"/>
  <c r="J187" i="23"/>
  <c r="K187" i="23"/>
  <c r="L187" i="23"/>
  <c r="M187" i="23"/>
  <c r="N187" i="23"/>
  <c r="O187" i="23"/>
  <c r="P187" i="23"/>
  <c r="Q187" i="23"/>
  <c r="R187" i="23"/>
  <c r="S187" i="23"/>
  <c r="T187" i="23"/>
  <c r="U187" i="23"/>
  <c r="V187" i="23"/>
  <c r="W187" i="23"/>
  <c r="X187" i="23"/>
  <c r="Y187" i="23"/>
  <c r="Z187" i="23"/>
  <c r="AA187" i="23"/>
  <c r="AB187" i="23"/>
  <c r="AC187" i="23"/>
  <c r="AD187" i="23"/>
  <c r="AE187" i="23"/>
  <c r="AF187" i="23"/>
  <c r="AG187" i="23"/>
  <c r="AH187" i="23"/>
  <c r="AI187" i="23"/>
  <c r="AJ187" i="23"/>
  <c r="AK187" i="23"/>
  <c r="AL187" i="23"/>
  <c r="AM187" i="23"/>
  <c r="AN187" i="23"/>
  <c r="AO187" i="23"/>
  <c r="AP187" i="23"/>
  <c r="AQ187" i="23"/>
  <c r="AR187" i="23"/>
  <c r="AS187" i="23"/>
  <c r="AT187" i="23"/>
  <c r="AU187" i="23"/>
  <c r="AV187" i="23"/>
  <c r="AW187" i="23"/>
  <c r="AX187" i="23"/>
  <c r="AY187" i="23"/>
  <c r="AZ187" i="23"/>
  <c r="BA187" i="23"/>
  <c r="BB187" i="23"/>
  <c r="BC187" i="23"/>
  <c r="BD187" i="23"/>
  <c r="BE187" i="23"/>
  <c r="BF187" i="23"/>
  <c r="BG187" i="23"/>
  <c r="BH187" i="23"/>
  <c r="E186" i="23"/>
  <c r="F186" i="23"/>
  <c r="G186" i="23"/>
  <c r="H186" i="23"/>
  <c r="I186" i="23"/>
  <c r="J186" i="23"/>
  <c r="K186" i="23"/>
  <c r="L186" i="23"/>
  <c r="M186" i="23"/>
  <c r="N186" i="23"/>
  <c r="O186" i="23"/>
  <c r="P186" i="23"/>
  <c r="Q186" i="23"/>
  <c r="R186" i="23"/>
  <c r="S186" i="23"/>
  <c r="T186" i="23"/>
  <c r="U186" i="23"/>
  <c r="V186" i="23"/>
  <c r="W186" i="23"/>
  <c r="X186" i="23"/>
  <c r="Y186" i="23"/>
  <c r="Z186" i="23"/>
  <c r="AA186" i="23"/>
  <c r="AB186" i="23"/>
  <c r="AC186" i="23"/>
  <c r="AD186" i="23"/>
  <c r="AE186" i="23"/>
  <c r="AF186" i="23"/>
  <c r="AG186" i="23"/>
  <c r="AH186" i="23"/>
  <c r="AI186" i="23"/>
  <c r="AJ186" i="23"/>
  <c r="AK186" i="23"/>
  <c r="AL186" i="23"/>
  <c r="AM186" i="23"/>
  <c r="AN186" i="23"/>
  <c r="AO186" i="23"/>
  <c r="AP186" i="23"/>
  <c r="AQ186" i="23"/>
  <c r="AR186" i="23"/>
  <c r="AS186" i="23"/>
  <c r="AT186" i="23"/>
  <c r="AU186" i="23"/>
  <c r="AV186" i="23"/>
  <c r="AW186" i="23"/>
  <c r="AX186" i="23"/>
  <c r="AY186" i="23"/>
  <c r="AZ186" i="23"/>
  <c r="BA186" i="23"/>
  <c r="BB186" i="23"/>
  <c r="BC186" i="23"/>
  <c r="BD186" i="23"/>
  <c r="BE186" i="23"/>
  <c r="BF186" i="23"/>
  <c r="BG186" i="23"/>
  <c r="BH186" i="23"/>
  <c r="E185" i="23"/>
  <c r="F185" i="23"/>
  <c r="G185" i="23"/>
  <c r="H185" i="23"/>
  <c r="I185" i="23"/>
  <c r="J185" i="23"/>
  <c r="K185" i="23"/>
  <c r="L185" i="23"/>
  <c r="M185" i="23"/>
  <c r="N185" i="23"/>
  <c r="O185" i="23"/>
  <c r="P185" i="23"/>
  <c r="Q185" i="23"/>
  <c r="R185" i="23"/>
  <c r="S185" i="23"/>
  <c r="T185" i="23"/>
  <c r="U185" i="23"/>
  <c r="V185" i="23"/>
  <c r="W185" i="23"/>
  <c r="X185" i="23"/>
  <c r="Y185" i="23"/>
  <c r="Z185" i="23"/>
  <c r="AA185" i="23"/>
  <c r="AB185" i="23"/>
  <c r="AC185" i="23"/>
  <c r="AD185" i="23"/>
  <c r="AE185" i="23"/>
  <c r="AF185" i="23"/>
  <c r="AG185" i="23"/>
  <c r="AH185" i="23"/>
  <c r="AI185" i="23"/>
  <c r="AJ185" i="23"/>
  <c r="AK185" i="23"/>
  <c r="AL185" i="23"/>
  <c r="AM185" i="23"/>
  <c r="AN185" i="23"/>
  <c r="AO185" i="23"/>
  <c r="AP185" i="23"/>
  <c r="AQ185" i="23"/>
  <c r="AR185" i="23"/>
  <c r="AS185" i="23"/>
  <c r="AT185" i="23"/>
  <c r="AU185" i="23"/>
  <c r="AV185" i="23"/>
  <c r="AW185" i="23"/>
  <c r="AX185" i="23"/>
  <c r="AY185" i="23"/>
  <c r="AZ185" i="23"/>
  <c r="BA185" i="23"/>
  <c r="BB185" i="23"/>
  <c r="BC185" i="23"/>
  <c r="BD185" i="23"/>
  <c r="BE185" i="23"/>
  <c r="BF185" i="23"/>
  <c r="BG185" i="23"/>
  <c r="BH185" i="23"/>
  <c r="E184" i="23"/>
  <c r="F184" i="23"/>
  <c r="G184" i="23"/>
  <c r="H184" i="23"/>
  <c r="I184" i="23"/>
  <c r="J184" i="23"/>
  <c r="K184" i="23"/>
  <c r="L184" i="23"/>
  <c r="M184" i="23"/>
  <c r="N184" i="23"/>
  <c r="O184" i="23"/>
  <c r="P184" i="23"/>
  <c r="Q184" i="23"/>
  <c r="R184" i="23"/>
  <c r="S184" i="23"/>
  <c r="T184" i="23"/>
  <c r="U184" i="23"/>
  <c r="V184" i="23"/>
  <c r="W184" i="23"/>
  <c r="X184" i="23"/>
  <c r="Y184" i="23"/>
  <c r="Z184" i="23"/>
  <c r="AA184" i="23"/>
  <c r="AB184" i="23"/>
  <c r="AC184" i="23"/>
  <c r="AD184" i="23"/>
  <c r="AE184" i="23"/>
  <c r="AF184" i="23"/>
  <c r="AG184" i="23"/>
  <c r="AH184" i="23"/>
  <c r="AI184" i="23"/>
  <c r="AJ184" i="23"/>
  <c r="AK184" i="23"/>
  <c r="AL184" i="23"/>
  <c r="AM184" i="23"/>
  <c r="AN184" i="23"/>
  <c r="AO184" i="23"/>
  <c r="AP184" i="23"/>
  <c r="AQ184" i="23"/>
  <c r="AR184" i="23"/>
  <c r="AS184" i="23"/>
  <c r="AT184" i="23"/>
  <c r="AU184" i="23"/>
  <c r="AV184" i="23"/>
  <c r="AW184" i="23"/>
  <c r="AX184" i="23"/>
  <c r="AY184" i="23"/>
  <c r="AZ184" i="23"/>
  <c r="BA184" i="23"/>
  <c r="BB184" i="23"/>
  <c r="BC184" i="23"/>
  <c r="BD184" i="23"/>
  <c r="BE184" i="23"/>
  <c r="BF184" i="23"/>
  <c r="BG184" i="23"/>
  <c r="BH184" i="23"/>
  <c r="E183" i="23"/>
  <c r="F183" i="23"/>
  <c r="G183" i="23"/>
  <c r="H183" i="23"/>
  <c r="I183" i="23"/>
  <c r="J183" i="23"/>
  <c r="K183" i="23"/>
  <c r="L183" i="23"/>
  <c r="M183" i="23"/>
  <c r="N183" i="23"/>
  <c r="O183" i="23"/>
  <c r="P183" i="23"/>
  <c r="Q183" i="23"/>
  <c r="R183" i="23"/>
  <c r="S183" i="23"/>
  <c r="T183" i="23"/>
  <c r="U183" i="23"/>
  <c r="V183" i="23"/>
  <c r="W183" i="23"/>
  <c r="X183" i="23"/>
  <c r="Y183" i="23"/>
  <c r="Z183" i="23"/>
  <c r="AA183" i="23"/>
  <c r="AB183" i="23"/>
  <c r="AC183" i="23"/>
  <c r="AD183" i="23"/>
  <c r="AE183" i="23"/>
  <c r="AF183" i="23"/>
  <c r="AG183" i="23"/>
  <c r="AH183" i="23"/>
  <c r="AI183" i="23"/>
  <c r="AJ183" i="23"/>
  <c r="AK183" i="23"/>
  <c r="AL183" i="23"/>
  <c r="AM183" i="23"/>
  <c r="AN183" i="23"/>
  <c r="AO183" i="23"/>
  <c r="AP183" i="23"/>
  <c r="AQ183" i="23"/>
  <c r="AR183" i="23"/>
  <c r="AS183" i="23"/>
  <c r="AT183" i="23"/>
  <c r="AU183" i="23"/>
  <c r="AV183" i="23"/>
  <c r="AW183" i="23"/>
  <c r="AX183" i="23"/>
  <c r="AY183" i="23"/>
  <c r="AZ183" i="23"/>
  <c r="BA183" i="23"/>
  <c r="BB183" i="23"/>
  <c r="BC183" i="23"/>
  <c r="BD183" i="23"/>
  <c r="BE183" i="23"/>
  <c r="BF183" i="23"/>
  <c r="BG183" i="23"/>
  <c r="BH183" i="23"/>
  <c r="E182" i="23"/>
  <c r="F182" i="23"/>
  <c r="G182" i="23"/>
  <c r="H182" i="23"/>
  <c r="I182" i="23"/>
  <c r="J182" i="23"/>
  <c r="K182" i="23"/>
  <c r="L182" i="23"/>
  <c r="M182" i="23"/>
  <c r="N182" i="23"/>
  <c r="O182" i="23"/>
  <c r="P182" i="23"/>
  <c r="Q182" i="23"/>
  <c r="R182" i="23"/>
  <c r="S182" i="23"/>
  <c r="T182" i="23"/>
  <c r="U182" i="23"/>
  <c r="V182" i="23"/>
  <c r="W182" i="23"/>
  <c r="X182" i="23"/>
  <c r="Y182" i="23"/>
  <c r="Z182" i="23"/>
  <c r="AA182" i="23"/>
  <c r="AB182" i="23"/>
  <c r="AC182" i="23"/>
  <c r="AD182" i="23"/>
  <c r="AE182" i="23"/>
  <c r="AF182" i="23"/>
  <c r="AG182" i="23"/>
  <c r="AH182" i="23"/>
  <c r="AI182" i="23"/>
  <c r="AJ182" i="23"/>
  <c r="AK182" i="23"/>
  <c r="AL182" i="23"/>
  <c r="AM182" i="23"/>
  <c r="AN182" i="23"/>
  <c r="AO182" i="23"/>
  <c r="AP182" i="23"/>
  <c r="AQ182" i="23"/>
  <c r="AR182" i="23"/>
  <c r="AS182" i="23"/>
  <c r="AT182" i="23"/>
  <c r="AU182" i="23"/>
  <c r="AV182" i="23"/>
  <c r="AW182" i="23"/>
  <c r="AX182" i="23"/>
  <c r="AY182" i="23"/>
  <c r="AZ182" i="23"/>
  <c r="BA182" i="23"/>
  <c r="BB182" i="23"/>
  <c r="BC182" i="23"/>
  <c r="BD182" i="23"/>
  <c r="BE182" i="23"/>
  <c r="BF182" i="23"/>
  <c r="BG182" i="23"/>
  <c r="BH182" i="23"/>
  <c r="E181" i="23"/>
  <c r="F181" i="23"/>
  <c r="G181" i="23"/>
  <c r="H181" i="23"/>
  <c r="I181" i="23"/>
  <c r="J181" i="23"/>
  <c r="K181" i="23"/>
  <c r="L181" i="23"/>
  <c r="M181" i="23"/>
  <c r="N181" i="23"/>
  <c r="O181" i="23"/>
  <c r="P181" i="23"/>
  <c r="Q181" i="23"/>
  <c r="R181" i="23"/>
  <c r="S181" i="23"/>
  <c r="T181" i="23"/>
  <c r="U181" i="23"/>
  <c r="V181" i="23"/>
  <c r="W181" i="23"/>
  <c r="X181" i="23"/>
  <c r="Y181" i="23"/>
  <c r="Z181" i="23"/>
  <c r="AA181" i="23"/>
  <c r="AB181" i="23"/>
  <c r="AC181" i="23"/>
  <c r="AD181" i="23"/>
  <c r="AE181" i="23"/>
  <c r="AF181" i="23"/>
  <c r="AG181" i="23"/>
  <c r="AH181" i="23"/>
  <c r="AI181" i="23"/>
  <c r="AJ181" i="23"/>
  <c r="AK181" i="23"/>
  <c r="AL181" i="23"/>
  <c r="AM181" i="23"/>
  <c r="AN181" i="23"/>
  <c r="AO181" i="23"/>
  <c r="AP181" i="23"/>
  <c r="AQ181" i="23"/>
  <c r="AR181" i="23"/>
  <c r="AS181" i="23"/>
  <c r="AT181" i="23"/>
  <c r="AU181" i="23"/>
  <c r="AV181" i="23"/>
  <c r="AW181" i="23"/>
  <c r="AX181" i="23"/>
  <c r="AY181" i="23"/>
  <c r="AZ181" i="23"/>
  <c r="BA181" i="23"/>
  <c r="BB181" i="23"/>
  <c r="BC181" i="23"/>
  <c r="BD181" i="23"/>
  <c r="BE181" i="23"/>
  <c r="BF181" i="23"/>
  <c r="BG181" i="23"/>
  <c r="BH181" i="23"/>
  <c r="E180" i="23"/>
  <c r="F180" i="23"/>
  <c r="G180" i="23"/>
  <c r="H180" i="23"/>
  <c r="I180" i="23"/>
  <c r="J180" i="23"/>
  <c r="K180" i="23"/>
  <c r="L180" i="23"/>
  <c r="M180" i="23"/>
  <c r="N180" i="23"/>
  <c r="O180" i="23"/>
  <c r="P180" i="23"/>
  <c r="Q180" i="23"/>
  <c r="R180" i="23"/>
  <c r="S180" i="23"/>
  <c r="T180" i="23"/>
  <c r="U180" i="23"/>
  <c r="V180" i="23"/>
  <c r="W180" i="23"/>
  <c r="X180" i="23"/>
  <c r="Y180" i="23"/>
  <c r="Z180" i="23"/>
  <c r="AA180" i="23"/>
  <c r="AB180" i="23"/>
  <c r="AC180" i="23"/>
  <c r="AD180" i="23"/>
  <c r="AE180" i="23"/>
  <c r="AF180" i="23"/>
  <c r="AG180" i="23"/>
  <c r="AH180" i="23"/>
  <c r="AI180" i="23"/>
  <c r="AJ180" i="23"/>
  <c r="AK180" i="23"/>
  <c r="AL180" i="23"/>
  <c r="AM180" i="23"/>
  <c r="AN180" i="23"/>
  <c r="AO180" i="23"/>
  <c r="AP180" i="23"/>
  <c r="AQ180" i="23"/>
  <c r="AR180" i="23"/>
  <c r="AS180" i="23"/>
  <c r="AT180" i="23"/>
  <c r="AU180" i="23"/>
  <c r="AV180" i="23"/>
  <c r="AW180" i="23"/>
  <c r="AX180" i="23"/>
  <c r="AY180" i="23"/>
  <c r="AZ180" i="23"/>
  <c r="BA180" i="23"/>
  <c r="BB180" i="23"/>
  <c r="BC180" i="23"/>
  <c r="BD180" i="23"/>
  <c r="BE180" i="23"/>
  <c r="BF180" i="23"/>
  <c r="BG180" i="23"/>
  <c r="BH180" i="23"/>
  <c r="E179" i="23"/>
  <c r="F179" i="23"/>
  <c r="G179" i="23"/>
  <c r="H179" i="23"/>
  <c r="I179" i="23"/>
  <c r="J179" i="23"/>
  <c r="K179" i="23"/>
  <c r="L179" i="23"/>
  <c r="M179" i="23"/>
  <c r="N179" i="23"/>
  <c r="O179" i="23"/>
  <c r="P179" i="23"/>
  <c r="Q179" i="23"/>
  <c r="R179" i="23"/>
  <c r="S179" i="23"/>
  <c r="T179" i="23"/>
  <c r="U179" i="23"/>
  <c r="V179" i="23"/>
  <c r="W179" i="23"/>
  <c r="X179" i="23"/>
  <c r="Y179" i="23"/>
  <c r="Z179" i="23"/>
  <c r="AA179" i="23"/>
  <c r="AB179" i="23"/>
  <c r="AC179" i="23"/>
  <c r="AD179" i="23"/>
  <c r="AE179" i="23"/>
  <c r="AF179" i="23"/>
  <c r="AG179" i="23"/>
  <c r="AH179" i="23"/>
  <c r="AI179" i="23"/>
  <c r="AJ179" i="23"/>
  <c r="AK179" i="23"/>
  <c r="AL179" i="23"/>
  <c r="AM179" i="23"/>
  <c r="AN179" i="23"/>
  <c r="AO179" i="23"/>
  <c r="AP179" i="23"/>
  <c r="AQ179" i="23"/>
  <c r="AR179" i="23"/>
  <c r="AS179" i="23"/>
  <c r="AT179" i="23"/>
  <c r="AU179" i="23"/>
  <c r="AV179" i="23"/>
  <c r="AW179" i="23"/>
  <c r="AX179" i="23"/>
  <c r="AY179" i="23"/>
  <c r="AZ179" i="23"/>
  <c r="BA179" i="23"/>
  <c r="BB179" i="23"/>
  <c r="BC179" i="23"/>
  <c r="BD179" i="23"/>
  <c r="BE179" i="23"/>
  <c r="BF179" i="23"/>
  <c r="BG179" i="23"/>
  <c r="BH179" i="23"/>
  <c r="E178" i="23"/>
  <c r="F178" i="23"/>
  <c r="G178" i="23"/>
  <c r="H178" i="23"/>
  <c r="I178" i="23"/>
  <c r="J178" i="23"/>
  <c r="K178" i="23"/>
  <c r="L178" i="23"/>
  <c r="M178" i="23"/>
  <c r="N178" i="23"/>
  <c r="O178" i="23"/>
  <c r="P178" i="23"/>
  <c r="Q178" i="23"/>
  <c r="R178" i="23"/>
  <c r="S178" i="23"/>
  <c r="T178" i="23"/>
  <c r="U178" i="23"/>
  <c r="V178" i="23"/>
  <c r="W178" i="23"/>
  <c r="X178" i="23"/>
  <c r="Y178" i="23"/>
  <c r="Z178" i="23"/>
  <c r="AA178" i="23"/>
  <c r="AB178" i="23"/>
  <c r="AC178" i="23"/>
  <c r="AD178" i="23"/>
  <c r="AE178" i="23"/>
  <c r="AF178" i="23"/>
  <c r="AG178" i="23"/>
  <c r="AH178" i="23"/>
  <c r="AI178" i="23"/>
  <c r="AJ178" i="23"/>
  <c r="AK178" i="23"/>
  <c r="AL178" i="23"/>
  <c r="AM178" i="23"/>
  <c r="AN178" i="23"/>
  <c r="AO178" i="23"/>
  <c r="AP178" i="23"/>
  <c r="AQ178" i="23"/>
  <c r="AR178" i="23"/>
  <c r="AS178" i="23"/>
  <c r="AT178" i="23"/>
  <c r="AU178" i="23"/>
  <c r="AV178" i="23"/>
  <c r="AW178" i="23"/>
  <c r="AX178" i="23"/>
  <c r="AY178" i="23"/>
  <c r="AZ178" i="23"/>
  <c r="BA178" i="23"/>
  <c r="BB178" i="23"/>
  <c r="BC178" i="23"/>
  <c r="BD178" i="23"/>
  <c r="BE178" i="23"/>
  <c r="BF178" i="23"/>
  <c r="BG178" i="23"/>
  <c r="BH178" i="23"/>
  <c r="E177" i="23"/>
  <c r="F177" i="23"/>
  <c r="G177" i="23"/>
  <c r="H177" i="23"/>
  <c r="I177" i="23"/>
  <c r="J177" i="23"/>
  <c r="K177" i="23"/>
  <c r="L177" i="23"/>
  <c r="M177" i="23"/>
  <c r="N177" i="23"/>
  <c r="O177" i="23"/>
  <c r="P177" i="23"/>
  <c r="Q177" i="23"/>
  <c r="R177" i="23"/>
  <c r="S177" i="23"/>
  <c r="T177" i="23"/>
  <c r="U177" i="23"/>
  <c r="V177" i="23"/>
  <c r="W177" i="23"/>
  <c r="X177" i="23"/>
  <c r="Y177" i="23"/>
  <c r="Z177" i="23"/>
  <c r="AA177" i="23"/>
  <c r="AB177" i="23"/>
  <c r="AC177" i="23"/>
  <c r="AD177" i="23"/>
  <c r="AE177" i="23"/>
  <c r="AF177" i="23"/>
  <c r="AG177" i="23"/>
  <c r="AH177" i="23"/>
  <c r="AI177" i="23"/>
  <c r="AJ177" i="23"/>
  <c r="AK177" i="23"/>
  <c r="AL177" i="23"/>
  <c r="AM177" i="23"/>
  <c r="AN177" i="23"/>
  <c r="AO177" i="23"/>
  <c r="AP177" i="23"/>
  <c r="AQ177" i="23"/>
  <c r="AR177" i="23"/>
  <c r="AS177" i="23"/>
  <c r="AT177" i="23"/>
  <c r="AU177" i="23"/>
  <c r="AV177" i="23"/>
  <c r="AW177" i="23"/>
  <c r="AX177" i="23"/>
  <c r="AY177" i="23"/>
  <c r="AZ177" i="23"/>
  <c r="BA177" i="23"/>
  <c r="BB177" i="23"/>
  <c r="BC177" i="23"/>
  <c r="BD177" i="23"/>
  <c r="BE177" i="23"/>
  <c r="BF177" i="23"/>
  <c r="BG177" i="23"/>
  <c r="BH177" i="23"/>
  <c r="E176" i="23"/>
  <c r="F176" i="23"/>
  <c r="G176" i="23"/>
  <c r="H176" i="23"/>
  <c r="I176" i="23"/>
  <c r="J176" i="23"/>
  <c r="K176" i="23"/>
  <c r="L176" i="23"/>
  <c r="M176" i="23"/>
  <c r="N176" i="23"/>
  <c r="O176" i="23"/>
  <c r="P176" i="23"/>
  <c r="Q176" i="23"/>
  <c r="R176" i="23"/>
  <c r="S176" i="23"/>
  <c r="T176" i="23"/>
  <c r="U176" i="23"/>
  <c r="V176" i="23"/>
  <c r="W176" i="23"/>
  <c r="X176" i="23"/>
  <c r="Y176" i="23"/>
  <c r="Z176" i="23"/>
  <c r="AA176" i="23"/>
  <c r="AB176" i="23"/>
  <c r="AC176" i="23"/>
  <c r="AD176" i="23"/>
  <c r="AE176" i="23"/>
  <c r="AF176" i="23"/>
  <c r="AG176" i="23"/>
  <c r="AH176" i="23"/>
  <c r="AI176" i="23"/>
  <c r="AJ176" i="23"/>
  <c r="AK176" i="23"/>
  <c r="AL176" i="23"/>
  <c r="AM176" i="23"/>
  <c r="AN176" i="23"/>
  <c r="AO176" i="23"/>
  <c r="AP176" i="23"/>
  <c r="AQ176" i="23"/>
  <c r="AR176" i="23"/>
  <c r="AS176" i="23"/>
  <c r="AT176" i="23"/>
  <c r="AU176" i="23"/>
  <c r="AV176" i="23"/>
  <c r="AW176" i="23"/>
  <c r="AX176" i="23"/>
  <c r="AY176" i="23"/>
  <c r="AZ176" i="23"/>
  <c r="BA176" i="23"/>
  <c r="BB176" i="23"/>
  <c r="BC176" i="23"/>
  <c r="BD176" i="23"/>
  <c r="BE176" i="23"/>
  <c r="BF176" i="23"/>
  <c r="BG176" i="23"/>
  <c r="BH176" i="23"/>
  <c r="E175" i="23"/>
  <c r="F175" i="23"/>
  <c r="G175" i="23"/>
  <c r="H175" i="23"/>
  <c r="I175" i="23"/>
  <c r="J175" i="23"/>
  <c r="K175" i="23"/>
  <c r="L175" i="23"/>
  <c r="M175" i="23"/>
  <c r="N175" i="23"/>
  <c r="O175" i="23"/>
  <c r="P175" i="23"/>
  <c r="Q175" i="23"/>
  <c r="R175" i="23"/>
  <c r="S175" i="23"/>
  <c r="T175" i="23"/>
  <c r="U175" i="23"/>
  <c r="V175" i="23"/>
  <c r="W175" i="23"/>
  <c r="X175" i="23"/>
  <c r="Y175" i="23"/>
  <c r="Z175" i="23"/>
  <c r="AA175" i="23"/>
  <c r="AB175" i="23"/>
  <c r="AC175" i="23"/>
  <c r="AD175" i="23"/>
  <c r="AE175" i="23"/>
  <c r="AF175" i="23"/>
  <c r="AG175" i="23"/>
  <c r="AH175" i="23"/>
  <c r="AI175" i="23"/>
  <c r="AJ175" i="23"/>
  <c r="AK175" i="23"/>
  <c r="AL175" i="23"/>
  <c r="AM175" i="23"/>
  <c r="AN175" i="23"/>
  <c r="AO175" i="23"/>
  <c r="AP175" i="23"/>
  <c r="AQ175" i="23"/>
  <c r="AR175" i="23"/>
  <c r="AS175" i="23"/>
  <c r="AT175" i="23"/>
  <c r="AU175" i="23"/>
  <c r="AV175" i="23"/>
  <c r="AW175" i="23"/>
  <c r="AX175" i="23"/>
  <c r="AY175" i="23"/>
  <c r="AZ175" i="23"/>
  <c r="BA175" i="23"/>
  <c r="BB175" i="23"/>
  <c r="BC175" i="23"/>
  <c r="BD175" i="23"/>
  <c r="BE175" i="23"/>
  <c r="BF175" i="23"/>
  <c r="BG175" i="23"/>
  <c r="BH175" i="23"/>
  <c r="E174" i="23"/>
  <c r="F174" i="23"/>
  <c r="G174" i="23"/>
  <c r="H174" i="23"/>
  <c r="I174" i="23"/>
  <c r="J174" i="23"/>
  <c r="K174" i="23"/>
  <c r="L174" i="23"/>
  <c r="M174" i="23"/>
  <c r="N174" i="23"/>
  <c r="O174" i="23"/>
  <c r="P174" i="23"/>
  <c r="Q174" i="23"/>
  <c r="R174" i="23"/>
  <c r="S174" i="23"/>
  <c r="T174" i="23"/>
  <c r="U174" i="23"/>
  <c r="V174" i="23"/>
  <c r="W174" i="23"/>
  <c r="X174" i="23"/>
  <c r="Y174" i="23"/>
  <c r="Z174" i="23"/>
  <c r="AA174" i="23"/>
  <c r="AB174" i="23"/>
  <c r="AC174" i="23"/>
  <c r="AD174" i="23"/>
  <c r="AE174" i="23"/>
  <c r="AF174" i="23"/>
  <c r="AG174" i="23"/>
  <c r="AH174" i="23"/>
  <c r="AI174" i="23"/>
  <c r="AJ174" i="23"/>
  <c r="AK174" i="23"/>
  <c r="AL174" i="23"/>
  <c r="AM174" i="23"/>
  <c r="AN174" i="23"/>
  <c r="AO174" i="23"/>
  <c r="AP174" i="23"/>
  <c r="AQ174" i="23"/>
  <c r="AR174" i="23"/>
  <c r="AS174" i="23"/>
  <c r="AT174" i="23"/>
  <c r="AU174" i="23"/>
  <c r="AV174" i="23"/>
  <c r="AW174" i="23"/>
  <c r="AX174" i="23"/>
  <c r="AY174" i="23"/>
  <c r="AZ174" i="23"/>
  <c r="BA174" i="23"/>
  <c r="BB174" i="23"/>
  <c r="BC174" i="23"/>
  <c r="BD174" i="23"/>
  <c r="BE174" i="23"/>
  <c r="BF174" i="23"/>
  <c r="BG174" i="23"/>
  <c r="BH174" i="23"/>
  <c r="E173" i="23"/>
  <c r="F173" i="23"/>
  <c r="G173" i="23"/>
  <c r="H173" i="23"/>
  <c r="I173" i="23"/>
  <c r="J173" i="23"/>
  <c r="K173" i="23"/>
  <c r="L173" i="23"/>
  <c r="M173" i="23"/>
  <c r="N173" i="23"/>
  <c r="O173" i="23"/>
  <c r="P173" i="23"/>
  <c r="Q173" i="23"/>
  <c r="R173" i="23"/>
  <c r="S173" i="23"/>
  <c r="T173" i="23"/>
  <c r="U173" i="23"/>
  <c r="V173" i="23"/>
  <c r="W173" i="23"/>
  <c r="X173" i="23"/>
  <c r="Y173" i="23"/>
  <c r="Z173" i="23"/>
  <c r="AA173" i="23"/>
  <c r="AB173" i="23"/>
  <c r="AC173" i="23"/>
  <c r="AD173" i="23"/>
  <c r="AE173" i="23"/>
  <c r="AF173" i="23"/>
  <c r="AG173" i="23"/>
  <c r="AH173" i="23"/>
  <c r="AI173" i="23"/>
  <c r="AJ173" i="23"/>
  <c r="AK173" i="23"/>
  <c r="AL173" i="23"/>
  <c r="AM173" i="23"/>
  <c r="AN173" i="23"/>
  <c r="AO173" i="23"/>
  <c r="AP173" i="23"/>
  <c r="AQ173" i="23"/>
  <c r="AR173" i="23"/>
  <c r="AS173" i="23"/>
  <c r="AT173" i="23"/>
  <c r="AU173" i="23"/>
  <c r="AV173" i="23"/>
  <c r="AW173" i="23"/>
  <c r="AX173" i="23"/>
  <c r="AY173" i="23"/>
  <c r="AZ173" i="23"/>
  <c r="BA173" i="23"/>
  <c r="BB173" i="23"/>
  <c r="BC173" i="23"/>
  <c r="BD173" i="23"/>
  <c r="BE173" i="23"/>
  <c r="BF173" i="23"/>
  <c r="BG173" i="23"/>
  <c r="BH173" i="23"/>
  <c r="E172" i="23"/>
  <c r="F172" i="23"/>
  <c r="G172" i="23"/>
  <c r="H172" i="23"/>
  <c r="I172" i="23"/>
  <c r="J172" i="23"/>
  <c r="K172" i="23"/>
  <c r="L172" i="23"/>
  <c r="M172" i="23"/>
  <c r="N172" i="23"/>
  <c r="O172" i="23"/>
  <c r="P172" i="23"/>
  <c r="Q172" i="23"/>
  <c r="R172" i="23"/>
  <c r="S172" i="23"/>
  <c r="T172" i="23"/>
  <c r="U172" i="23"/>
  <c r="V172" i="23"/>
  <c r="W172" i="23"/>
  <c r="X172" i="23"/>
  <c r="Y172" i="23"/>
  <c r="Z172" i="23"/>
  <c r="AA172" i="23"/>
  <c r="AB172" i="23"/>
  <c r="AC172" i="23"/>
  <c r="AD172" i="23"/>
  <c r="AE172" i="23"/>
  <c r="AF172" i="23"/>
  <c r="AG172" i="23"/>
  <c r="AH172" i="23"/>
  <c r="AI172" i="23"/>
  <c r="AJ172" i="23"/>
  <c r="AK172" i="23"/>
  <c r="AL172" i="23"/>
  <c r="AM172" i="23"/>
  <c r="AN172" i="23"/>
  <c r="AO172" i="23"/>
  <c r="AP172" i="23"/>
  <c r="AQ172" i="23"/>
  <c r="AR172" i="23"/>
  <c r="AS172" i="23"/>
  <c r="AT172" i="23"/>
  <c r="AU172" i="23"/>
  <c r="AV172" i="23"/>
  <c r="AW172" i="23"/>
  <c r="AX172" i="23"/>
  <c r="AY172" i="23"/>
  <c r="AZ172" i="23"/>
  <c r="BA172" i="23"/>
  <c r="BB172" i="23"/>
  <c r="BC172" i="23"/>
  <c r="BD172" i="23"/>
  <c r="BE172" i="23"/>
  <c r="BF172" i="23"/>
  <c r="BG172" i="23"/>
  <c r="BH172" i="23"/>
  <c r="E171" i="23"/>
  <c r="F171" i="23"/>
  <c r="G171" i="23"/>
  <c r="H171" i="23"/>
  <c r="I171" i="23"/>
  <c r="J171" i="23"/>
  <c r="K171" i="23"/>
  <c r="L171" i="23"/>
  <c r="M171" i="23"/>
  <c r="N171" i="23"/>
  <c r="O171" i="23"/>
  <c r="P171" i="23"/>
  <c r="Q171" i="23"/>
  <c r="R171" i="23"/>
  <c r="S171" i="23"/>
  <c r="T171" i="23"/>
  <c r="U171" i="23"/>
  <c r="V171" i="23"/>
  <c r="W171" i="23"/>
  <c r="X171" i="23"/>
  <c r="Y171" i="23"/>
  <c r="Z171" i="23"/>
  <c r="AA171" i="23"/>
  <c r="AB171" i="23"/>
  <c r="AC171" i="23"/>
  <c r="AD171" i="23"/>
  <c r="AE171" i="23"/>
  <c r="AF171" i="23"/>
  <c r="AG171" i="23"/>
  <c r="AH171" i="23"/>
  <c r="AI171" i="23"/>
  <c r="AJ171" i="23"/>
  <c r="AK171" i="23"/>
  <c r="AL171" i="23"/>
  <c r="AM171" i="23"/>
  <c r="AN171" i="23"/>
  <c r="AO171" i="23"/>
  <c r="AP171" i="23"/>
  <c r="AQ171" i="23"/>
  <c r="AR171" i="23"/>
  <c r="AS171" i="23"/>
  <c r="AT171" i="23"/>
  <c r="AU171" i="23"/>
  <c r="AV171" i="23"/>
  <c r="AW171" i="23"/>
  <c r="AX171" i="23"/>
  <c r="AY171" i="23"/>
  <c r="AZ171" i="23"/>
  <c r="BA171" i="23"/>
  <c r="BB171" i="23"/>
  <c r="BC171" i="23"/>
  <c r="BD171" i="23"/>
  <c r="BE171" i="23"/>
  <c r="BF171" i="23"/>
  <c r="BG171" i="23"/>
  <c r="BH171" i="23"/>
  <c r="E170" i="23"/>
  <c r="F170" i="23"/>
  <c r="G170" i="23"/>
  <c r="H170" i="23"/>
  <c r="I170" i="23"/>
  <c r="J170" i="23"/>
  <c r="K170" i="23"/>
  <c r="L170" i="23"/>
  <c r="M170" i="23"/>
  <c r="N170" i="23"/>
  <c r="O170" i="23"/>
  <c r="P170" i="23"/>
  <c r="Q170" i="23"/>
  <c r="R170" i="23"/>
  <c r="S170" i="23"/>
  <c r="T170" i="23"/>
  <c r="U170" i="23"/>
  <c r="V170" i="23"/>
  <c r="W170" i="23"/>
  <c r="X170" i="23"/>
  <c r="Y170" i="23"/>
  <c r="Z170" i="23"/>
  <c r="AA170" i="23"/>
  <c r="AB170" i="23"/>
  <c r="AC170" i="23"/>
  <c r="AD170" i="23"/>
  <c r="AE170" i="23"/>
  <c r="AF170" i="23"/>
  <c r="AG170" i="23"/>
  <c r="AH170" i="23"/>
  <c r="AI170" i="23"/>
  <c r="AJ170" i="23"/>
  <c r="AK170" i="23"/>
  <c r="AL170" i="23"/>
  <c r="AM170" i="23"/>
  <c r="AN170" i="23"/>
  <c r="AO170" i="23"/>
  <c r="AP170" i="23"/>
  <c r="AQ170" i="23"/>
  <c r="AR170" i="23"/>
  <c r="AS170" i="23"/>
  <c r="AT170" i="23"/>
  <c r="AU170" i="23"/>
  <c r="AV170" i="23"/>
  <c r="AW170" i="23"/>
  <c r="AX170" i="23"/>
  <c r="AY170" i="23"/>
  <c r="AZ170" i="23"/>
  <c r="BA170" i="23"/>
  <c r="BB170" i="23"/>
  <c r="BC170" i="23"/>
  <c r="BD170" i="23"/>
  <c r="BE170" i="23"/>
  <c r="BF170" i="23"/>
  <c r="BG170" i="23"/>
  <c r="BH170" i="23"/>
  <c r="E169" i="23"/>
  <c r="F169" i="23"/>
  <c r="G169" i="23"/>
  <c r="H169" i="23"/>
  <c r="I169" i="23"/>
  <c r="J169" i="23"/>
  <c r="K169" i="23"/>
  <c r="L169" i="23"/>
  <c r="M169" i="23"/>
  <c r="N169" i="23"/>
  <c r="O169" i="23"/>
  <c r="P169" i="23"/>
  <c r="Q169" i="23"/>
  <c r="R169" i="23"/>
  <c r="S169" i="23"/>
  <c r="T169" i="23"/>
  <c r="U169" i="23"/>
  <c r="V169" i="23"/>
  <c r="W169" i="23"/>
  <c r="X169" i="23"/>
  <c r="Y169" i="23"/>
  <c r="Z169" i="23"/>
  <c r="AA169" i="23"/>
  <c r="AB169" i="23"/>
  <c r="AC169" i="23"/>
  <c r="AD169" i="23"/>
  <c r="AE169" i="23"/>
  <c r="AF169" i="23"/>
  <c r="AG169" i="23"/>
  <c r="AH169" i="23"/>
  <c r="AI169" i="23"/>
  <c r="AJ169" i="23"/>
  <c r="AK169" i="23"/>
  <c r="AL169" i="23"/>
  <c r="AM169" i="23"/>
  <c r="AN169" i="23"/>
  <c r="AO169" i="23"/>
  <c r="AP169" i="23"/>
  <c r="AQ169" i="23"/>
  <c r="AR169" i="23"/>
  <c r="AS169" i="23"/>
  <c r="AT169" i="23"/>
  <c r="AU169" i="23"/>
  <c r="AV169" i="23"/>
  <c r="AW169" i="23"/>
  <c r="AX169" i="23"/>
  <c r="AY169" i="23"/>
  <c r="AZ169" i="23"/>
  <c r="BA169" i="23"/>
  <c r="BB169" i="23"/>
  <c r="BC169" i="23"/>
  <c r="BD169" i="23"/>
  <c r="BE169" i="23"/>
  <c r="BF169" i="23"/>
  <c r="BG169" i="23"/>
  <c r="BH169" i="23"/>
  <c r="E168" i="23"/>
  <c r="F168" i="23"/>
  <c r="G168" i="23"/>
  <c r="H168" i="23"/>
  <c r="I168" i="23"/>
  <c r="J168" i="23"/>
  <c r="K168" i="23"/>
  <c r="L168" i="23"/>
  <c r="M168" i="23"/>
  <c r="N168" i="23"/>
  <c r="O168" i="23"/>
  <c r="P168" i="23"/>
  <c r="Q168" i="23"/>
  <c r="R168" i="23"/>
  <c r="S168" i="23"/>
  <c r="T168" i="23"/>
  <c r="U168" i="23"/>
  <c r="V168" i="23"/>
  <c r="W168" i="23"/>
  <c r="X168" i="23"/>
  <c r="Y168" i="23"/>
  <c r="Z168" i="23"/>
  <c r="AA168" i="23"/>
  <c r="AB168" i="23"/>
  <c r="AC168" i="23"/>
  <c r="AD168" i="23"/>
  <c r="AE168" i="23"/>
  <c r="AF168" i="23"/>
  <c r="AG168" i="23"/>
  <c r="AH168" i="23"/>
  <c r="AI168" i="23"/>
  <c r="AJ168" i="23"/>
  <c r="AK168" i="23"/>
  <c r="AL168" i="23"/>
  <c r="AM168" i="23"/>
  <c r="AN168" i="23"/>
  <c r="AO168" i="23"/>
  <c r="AP168" i="23"/>
  <c r="AQ168" i="23"/>
  <c r="AR168" i="23"/>
  <c r="AS168" i="23"/>
  <c r="AT168" i="23"/>
  <c r="AU168" i="23"/>
  <c r="AV168" i="23"/>
  <c r="AW168" i="23"/>
  <c r="AX168" i="23"/>
  <c r="AY168" i="23"/>
  <c r="AZ168" i="23"/>
  <c r="BA168" i="23"/>
  <c r="BB168" i="23"/>
  <c r="BC168" i="23"/>
  <c r="BD168" i="23"/>
  <c r="BE168" i="23"/>
  <c r="BF168" i="23"/>
  <c r="BG168" i="23"/>
  <c r="BH168" i="23"/>
  <c r="E167" i="23"/>
  <c r="F167" i="23"/>
  <c r="G167" i="23"/>
  <c r="H167" i="23"/>
  <c r="I167" i="23"/>
  <c r="J167" i="23"/>
  <c r="K167" i="23"/>
  <c r="L167" i="23"/>
  <c r="M167" i="23"/>
  <c r="N167" i="23"/>
  <c r="O167" i="23"/>
  <c r="P167" i="23"/>
  <c r="Q167" i="23"/>
  <c r="R167" i="23"/>
  <c r="S167" i="23"/>
  <c r="T167" i="23"/>
  <c r="U167" i="23"/>
  <c r="V167" i="23"/>
  <c r="W167" i="23"/>
  <c r="X167" i="23"/>
  <c r="Y167" i="23"/>
  <c r="Z167" i="23"/>
  <c r="AA167" i="23"/>
  <c r="AB167" i="23"/>
  <c r="AC167" i="23"/>
  <c r="AD167" i="23"/>
  <c r="AE167" i="23"/>
  <c r="AF167" i="23"/>
  <c r="AG167" i="23"/>
  <c r="AH167" i="23"/>
  <c r="AI167" i="23"/>
  <c r="AJ167" i="23"/>
  <c r="AK167" i="23"/>
  <c r="AL167" i="23"/>
  <c r="AM167" i="23"/>
  <c r="AN167" i="23"/>
  <c r="AO167" i="23"/>
  <c r="AP167" i="23"/>
  <c r="AQ167" i="23"/>
  <c r="AR167" i="23"/>
  <c r="AS167" i="23"/>
  <c r="AT167" i="23"/>
  <c r="AU167" i="23"/>
  <c r="AV167" i="23"/>
  <c r="AW167" i="23"/>
  <c r="AX167" i="23"/>
  <c r="AY167" i="23"/>
  <c r="AZ167" i="23"/>
  <c r="BA167" i="23"/>
  <c r="BB167" i="23"/>
  <c r="BC167" i="23"/>
  <c r="BD167" i="23"/>
  <c r="BE167" i="23"/>
  <c r="BF167" i="23"/>
  <c r="BG167" i="23"/>
  <c r="BH167" i="23"/>
  <c r="E166" i="23"/>
  <c r="F166" i="23"/>
  <c r="G166" i="23"/>
  <c r="H166" i="23"/>
  <c r="I166" i="23"/>
  <c r="J166" i="23"/>
  <c r="K166" i="23"/>
  <c r="L166" i="23"/>
  <c r="M166" i="23"/>
  <c r="N166" i="23"/>
  <c r="O166" i="23"/>
  <c r="P166" i="23"/>
  <c r="Q166" i="23"/>
  <c r="R166" i="23"/>
  <c r="S166" i="23"/>
  <c r="T166" i="23"/>
  <c r="U166" i="23"/>
  <c r="V166" i="23"/>
  <c r="W166" i="23"/>
  <c r="X166" i="23"/>
  <c r="Y166" i="23"/>
  <c r="Z166" i="23"/>
  <c r="AA166" i="23"/>
  <c r="AB166" i="23"/>
  <c r="AC166" i="23"/>
  <c r="AD166" i="23"/>
  <c r="AE166" i="23"/>
  <c r="AF166" i="23"/>
  <c r="AG166" i="23"/>
  <c r="AH166" i="23"/>
  <c r="AI166" i="23"/>
  <c r="AJ166" i="23"/>
  <c r="AK166" i="23"/>
  <c r="AL166" i="23"/>
  <c r="AM166" i="23"/>
  <c r="AN166" i="23"/>
  <c r="AO166" i="23"/>
  <c r="AP166" i="23"/>
  <c r="AQ166" i="23"/>
  <c r="AR166" i="23"/>
  <c r="AS166" i="23"/>
  <c r="AT166" i="23"/>
  <c r="AU166" i="23"/>
  <c r="AV166" i="23"/>
  <c r="AW166" i="23"/>
  <c r="AX166" i="23"/>
  <c r="AY166" i="23"/>
  <c r="AZ166" i="23"/>
  <c r="BA166" i="23"/>
  <c r="BB166" i="23"/>
  <c r="BC166" i="23"/>
  <c r="BD166" i="23"/>
  <c r="BE166" i="23"/>
  <c r="BF166" i="23"/>
  <c r="BG166" i="23"/>
  <c r="BH166" i="23"/>
  <c r="E165" i="23"/>
  <c r="F165" i="23"/>
  <c r="G165" i="23"/>
  <c r="H165" i="23"/>
  <c r="I165" i="23"/>
  <c r="J165" i="23"/>
  <c r="K165" i="23"/>
  <c r="L165" i="23"/>
  <c r="M165" i="23"/>
  <c r="N165" i="23"/>
  <c r="O165" i="23"/>
  <c r="P165" i="23"/>
  <c r="Q165" i="23"/>
  <c r="R165" i="23"/>
  <c r="S165" i="23"/>
  <c r="T165" i="23"/>
  <c r="U165" i="23"/>
  <c r="V165" i="23"/>
  <c r="W165" i="23"/>
  <c r="X165" i="23"/>
  <c r="Y165" i="23"/>
  <c r="Z165" i="23"/>
  <c r="AA165" i="23"/>
  <c r="AB165" i="23"/>
  <c r="AC165" i="23"/>
  <c r="AD165" i="23"/>
  <c r="AE165" i="23"/>
  <c r="AF165" i="23"/>
  <c r="AG165" i="23"/>
  <c r="AH165" i="23"/>
  <c r="AI165" i="23"/>
  <c r="AJ165" i="23"/>
  <c r="AK165" i="23"/>
  <c r="AL165" i="23"/>
  <c r="AM165" i="23"/>
  <c r="AN165" i="23"/>
  <c r="AO165" i="23"/>
  <c r="AP165" i="23"/>
  <c r="AQ165" i="23"/>
  <c r="AR165" i="23"/>
  <c r="AS165" i="23"/>
  <c r="AT165" i="23"/>
  <c r="AU165" i="23"/>
  <c r="AV165" i="23"/>
  <c r="AW165" i="23"/>
  <c r="AX165" i="23"/>
  <c r="AY165" i="23"/>
  <c r="AZ165" i="23"/>
  <c r="BA165" i="23"/>
  <c r="BB165" i="23"/>
  <c r="BC165" i="23"/>
  <c r="BD165" i="23"/>
  <c r="BE165" i="23"/>
  <c r="BF165" i="23"/>
  <c r="BG165" i="23"/>
  <c r="BH165" i="23"/>
  <c r="E164" i="23"/>
  <c r="F164" i="23"/>
  <c r="G164" i="23"/>
  <c r="H164" i="23"/>
  <c r="I164" i="23"/>
  <c r="J164" i="23"/>
  <c r="K164" i="23"/>
  <c r="L164" i="23"/>
  <c r="M164" i="23"/>
  <c r="N164" i="23"/>
  <c r="O164" i="23"/>
  <c r="P164" i="23"/>
  <c r="Q164" i="23"/>
  <c r="R164" i="23"/>
  <c r="S164" i="23"/>
  <c r="T164" i="23"/>
  <c r="U164" i="23"/>
  <c r="V164" i="23"/>
  <c r="W164" i="23"/>
  <c r="X164" i="23"/>
  <c r="Y164" i="23"/>
  <c r="Z164" i="23"/>
  <c r="AA164" i="23"/>
  <c r="AB164" i="23"/>
  <c r="AC164" i="23"/>
  <c r="AD164" i="23"/>
  <c r="AE164" i="23"/>
  <c r="AF164" i="23"/>
  <c r="AG164" i="23"/>
  <c r="AH164" i="23"/>
  <c r="AI164" i="23"/>
  <c r="AJ164" i="23"/>
  <c r="AK164" i="23"/>
  <c r="AL164" i="23"/>
  <c r="AM164" i="23"/>
  <c r="AN164" i="23"/>
  <c r="AO164" i="23"/>
  <c r="AP164" i="23"/>
  <c r="AQ164" i="23"/>
  <c r="AR164" i="23"/>
  <c r="AS164" i="23"/>
  <c r="AT164" i="23"/>
  <c r="AU164" i="23"/>
  <c r="AV164" i="23"/>
  <c r="AW164" i="23"/>
  <c r="AX164" i="23"/>
  <c r="AY164" i="23"/>
  <c r="AZ164" i="23"/>
  <c r="BA164" i="23"/>
  <c r="BB164" i="23"/>
  <c r="BC164" i="23"/>
  <c r="BD164" i="23"/>
  <c r="BE164" i="23"/>
  <c r="BF164" i="23"/>
  <c r="BG164" i="23"/>
  <c r="BH164" i="23"/>
  <c r="E163" i="23"/>
  <c r="F163" i="23"/>
  <c r="G163" i="23"/>
  <c r="H163" i="23"/>
  <c r="I163" i="23"/>
  <c r="J163" i="23"/>
  <c r="K163" i="23"/>
  <c r="L163" i="23"/>
  <c r="M163" i="23"/>
  <c r="N163" i="23"/>
  <c r="O163" i="23"/>
  <c r="P163" i="23"/>
  <c r="Q163" i="23"/>
  <c r="R163" i="23"/>
  <c r="S163" i="23"/>
  <c r="T163" i="23"/>
  <c r="U163" i="23"/>
  <c r="V163" i="23"/>
  <c r="W163" i="23"/>
  <c r="X163" i="23"/>
  <c r="Y163" i="23"/>
  <c r="Z163" i="23"/>
  <c r="AA163" i="23"/>
  <c r="AB163" i="23"/>
  <c r="AC163" i="23"/>
  <c r="AD163" i="23"/>
  <c r="AE163" i="23"/>
  <c r="AF163" i="23"/>
  <c r="AG163" i="23"/>
  <c r="AH163" i="23"/>
  <c r="AI163" i="23"/>
  <c r="AJ163" i="23"/>
  <c r="AK163" i="23"/>
  <c r="AL163" i="23"/>
  <c r="AM163" i="23"/>
  <c r="AN163" i="23"/>
  <c r="AO163" i="23"/>
  <c r="AP163" i="23"/>
  <c r="AQ163" i="23"/>
  <c r="AR163" i="23"/>
  <c r="AS163" i="23"/>
  <c r="AT163" i="23"/>
  <c r="AU163" i="23"/>
  <c r="AV163" i="23"/>
  <c r="AW163" i="23"/>
  <c r="AX163" i="23"/>
  <c r="AY163" i="23"/>
  <c r="AZ163" i="23"/>
  <c r="BA163" i="23"/>
  <c r="BB163" i="23"/>
  <c r="BC163" i="23"/>
  <c r="BD163" i="23"/>
  <c r="BE163" i="23"/>
  <c r="BF163" i="23"/>
  <c r="BG163" i="23"/>
  <c r="BH163" i="23"/>
  <c r="E162" i="23"/>
  <c r="F162" i="23"/>
  <c r="G162" i="23"/>
  <c r="H162" i="23"/>
  <c r="I162" i="23"/>
  <c r="J162" i="23"/>
  <c r="K162" i="23"/>
  <c r="L162" i="23"/>
  <c r="M162" i="23"/>
  <c r="N162" i="23"/>
  <c r="O162" i="23"/>
  <c r="P162" i="23"/>
  <c r="Q162" i="23"/>
  <c r="R162" i="23"/>
  <c r="S162" i="23"/>
  <c r="T162" i="23"/>
  <c r="U162" i="23"/>
  <c r="V162" i="23"/>
  <c r="W162" i="23"/>
  <c r="X162" i="23"/>
  <c r="Y162" i="23"/>
  <c r="Z162" i="23"/>
  <c r="AA162" i="23"/>
  <c r="AB162" i="23"/>
  <c r="AC162" i="23"/>
  <c r="AD162" i="23"/>
  <c r="AE162" i="23"/>
  <c r="AF162" i="23"/>
  <c r="AG162" i="23"/>
  <c r="AH162" i="23"/>
  <c r="AI162" i="23"/>
  <c r="AJ162" i="23"/>
  <c r="AK162" i="23"/>
  <c r="AL162" i="23"/>
  <c r="AM162" i="23"/>
  <c r="AN162" i="23"/>
  <c r="AO162" i="23"/>
  <c r="AP162" i="23"/>
  <c r="AQ162" i="23"/>
  <c r="AR162" i="23"/>
  <c r="AS162" i="23"/>
  <c r="AT162" i="23"/>
  <c r="AU162" i="23"/>
  <c r="AV162" i="23"/>
  <c r="AW162" i="23"/>
  <c r="AX162" i="23"/>
  <c r="AY162" i="23"/>
  <c r="AZ162" i="23"/>
  <c r="BA162" i="23"/>
  <c r="BB162" i="23"/>
  <c r="BC162" i="23"/>
  <c r="BD162" i="23"/>
  <c r="BE162" i="23"/>
  <c r="BF162" i="23"/>
  <c r="BG162" i="23"/>
  <c r="BH162" i="23"/>
  <c r="E161" i="23"/>
  <c r="F161" i="23"/>
  <c r="G161" i="23"/>
  <c r="H161" i="23"/>
  <c r="I161" i="23"/>
  <c r="J161" i="23"/>
  <c r="K161" i="23"/>
  <c r="L161" i="23"/>
  <c r="M161" i="23"/>
  <c r="N161" i="23"/>
  <c r="O161" i="23"/>
  <c r="P161" i="23"/>
  <c r="Q161" i="23"/>
  <c r="R161" i="23"/>
  <c r="S161" i="23"/>
  <c r="T161" i="23"/>
  <c r="U161" i="23"/>
  <c r="V161" i="23"/>
  <c r="W161" i="23"/>
  <c r="X161" i="23"/>
  <c r="Y161" i="23"/>
  <c r="Z161" i="23"/>
  <c r="AA161" i="23"/>
  <c r="AB161" i="23"/>
  <c r="AC161" i="23"/>
  <c r="AD161" i="23"/>
  <c r="AE161" i="23"/>
  <c r="AF161" i="23"/>
  <c r="AG161" i="23"/>
  <c r="AH161" i="23"/>
  <c r="AI161" i="23"/>
  <c r="AJ161" i="23"/>
  <c r="AK161" i="23"/>
  <c r="AL161" i="23"/>
  <c r="AM161" i="23"/>
  <c r="AN161" i="23"/>
  <c r="AO161" i="23"/>
  <c r="AP161" i="23"/>
  <c r="AQ161" i="23"/>
  <c r="AR161" i="23"/>
  <c r="AS161" i="23"/>
  <c r="AT161" i="23"/>
  <c r="AU161" i="23"/>
  <c r="AV161" i="23"/>
  <c r="AW161" i="23"/>
  <c r="AX161" i="23"/>
  <c r="AY161" i="23"/>
  <c r="AZ161" i="23"/>
  <c r="BA161" i="23"/>
  <c r="BB161" i="23"/>
  <c r="BC161" i="23"/>
  <c r="BD161" i="23"/>
  <c r="BE161" i="23"/>
  <c r="BF161" i="23"/>
  <c r="BG161" i="23"/>
  <c r="BH161" i="23"/>
  <c r="E160" i="23"/>
  <c r="F160" i="23"/>
  <c r="G160" i="23"/>
  <c r="H160" i="23"/>
  <c r="I160" i="23"/>
  <c r="J160" i="23"/>
  <c r="K160" i="23"/>
  <c r="L160" i="23"/>
  <c r="M160" i="23"/>
  <c r="N160" i="23"/>
  <c r="O160" i="23"/>
  <c r="P160" i="23"/>
  <c r="Q160" i="23"/>
  <c r="R160" i="23"/>
  <c r="S160" i="23"/>
  <c r="T160" i="23"/>
  <c r="U160" i="23"/>
  <c r="V160" i="23"/>
  <c r="W160" i="23"/>
  <c r="X160" i="23"/>
  <c r="Y160" i="23"/>
  <c r="Z160" i="23"/>
  <c r="AA160" i="23"/>
  <c r="AB160" i="23"/>
  <c r="AC160" i="23"/>
  <c r="AD160" i="23"/>
  <c r="AE160" i="23"/>
  <c r="AF160" i="23"/>
  <c r="AG160" i="23"/>
  <c r="AH160" i="23"/>
  <c r="AI160" i="23"/>
  <c r="AJ160" i="23"/>
  <c r="AK160" i="23"/>
  <c r="AL160" i="23"/>
  <c r="AM160" i="23"/>
  <c r="AN160" i="23"/>
  <c r="AO160" i="23"/>
  <c r="AP160" i="23"/>
  <c r="AQ160" i="23"/>
  <c r="AR160" i="23"/>
  <c r="AS160" i="23"/>
  <c r="AT160" i="23"/>
  <c r="AU160" i="23"/>
  <c r="AV160" i="23"/>
  <c r="AW160" i="23"/>
  <c r="AX160" i="23"/>
  <c r="AY160" i="23"/>
  <c r="AZ160" i="23"/>
  <c r="BA160" i="23"/>
  <c r="BB160" i="23"/>
  <c r="BC160" i="23"/>
  <c r="BD160" i="23"/>
  <c r="BE160" i="23"/>
  <c r="BF160" i="23"/>
  <c r="BG160" i="23"/>
  <c r="BH160" i="23"/>
  <c r="E159" i="23"/>
  <c r="F159" i="23"/>
  <c r="G159" i="23"/>
  <c r="H159" i="23"/>
  <c r="I159" i="23"/>
  <c r="J159" i="23"/>
  <c r="K159" i="23"/>
  <c r="L159" i="23"/>
  <c r="M159" i="23"/>
  <c r="N159" i="23"/>
  <c r="O159" i="23"/>
  <c r="P159" i="23"/>
  <c r="Q159" i="23"/>
  <c r="R159" i="23"/>
  <c r="S159" i="23"/>
  <c r="T159" i="23"/>
  <c r="U159" i="23"/>
  <c r="V159" i="23"/>
  <c r="W159" i="23"/>
  <c r="X159" i="23"/>
  <c r="Y159" i="23"/>
  <c r="Z159" i="23"/>
  <c r="AA159" i="23"/>
  <c r="AB159" i="23"/>
  <c r="AC159" i="23"/>
  <c r="AD159" i="23"/>
  <c r="AE159" i="23"/>
  <c r="AF159" i="23"/>
  <c r="AG159" i="23"/>
  <c r="AH159" i="23"/>
  <c r="AI159" i="23"/>
  <c r="AJ159" i="23"/>
  <c r="AK159" i="23"/>
  <c r="AL159" i="23"/>
  <c r="AM159" i="23"/>
  <c r="AN159" i="23"/>
  <c r="AO159" i="23"/>
  <c r="AP159" i="23"/>
  <c r="AQ159" i="23"/>
  <c r="AR159" i="23"/>
  <c r="AS159" i="23"/>
  <c r="AT159" i="23"/>
  <c r="AU159" i="23"/>
  <c r="AV159" i="23"/>
  <c r="AW159" i="23"/>
  <c r="AX159" i="23"/>
  <c r="AY159" i="23"/>
  <c r="AZ159" i="23"/>
  <c r="BA159" i="23"/>
  <c r="BB159" i="23"/>
  <c r="BC159" i="23"/>
  <c r="BD159" i="23"/>
  <c r="BE159" i="23"/>
  <c r="BF159" i="23"/>
  <c r="BG159" i="23"/>
  <c r="BH159" i="23"/>
  <c r="E158" i="23"/>
  <c r="F158" i="23"/>
  <c r="G158" i="23"/>
  <c r="H158" i="23"/>
  <c r="I158" i="23"/>
  <c r="J158" i="23"/>
  <c r="K158" i="23"/>
  <c r="L158" i="23"/>
  <c r="M158" i="23"/>
  <c r="N158" i="23"/>
  <c r="O158" i="23"/>
  <c r="P158" i="23"/>
  <c r="Q158" i="23"/>
  <c r="R158" i="23"/>
  <c r="S158" i="23"/>
  <c r="T158" i="23"/>
  <c r="U158" i="23"/>
  <c r="V158" i="23"/>
  <c r="W158" i="23"/>
  <c r="X158" i="23"/>
  <c r="Y158" i="23"/>
  <c r="Z158" i="23"/>
  <c r="AA158" i="23"/>
  <c r="AB158" i="23"/>
  <c r="AC158" i="23"/>
  <c r="AD158" i="23"/>
  <c r="AE158" i="23"/>
  <c r="AF158" i="23"/>
  <c r="AG158" i="23"/>
  <c r="AH158" i="23"/>
  <c r="AI158" i="23"/>
  <c r="AJ158" i="23"/>
  <c r="AK158" i="23"/>
  <c r="AL158" i="23"/>
  <c r="AM158" i="23"/>
  <c r="AN158" i="23"/>
  <c r="AO158" i="23"/>
  <c r="AP158" i="23"/>
  <c r="AQ158" i="23"/>
  <c r="AR158" i="23"/>
  <c r="AS158" i="23"/>
  <c r="AT158" i="23"/>
  <c r="AU158" i="23"/>
  <c r="AV158" i="23"/>
  <c r="AW158" i="23"/>
  <c r="AX158" i="23"/>
  <c r="AY158" i="23"/>
  <c r="AZ158" i="23"/>
  <c r="BA158" i="23"/>
  <c r="BB158" i="23"/>
  <c r="BC158" i="23"/>
  <c r="BD158" i="23"/>
  <c r="BE158" i="23"/>
  <c r="BF158" i="23"/>
  <c r="BG158" i="23"/>
  <c r="BH158" i="23"/>
  <c r="E157" i="23"/>
  <c r="F157" i="23"/>
  <c r="G157" i="23"/>
  <c r="H157" i="23"/>
  <c r="I157" i="23"/>
  <c r="J157" i="23"/>
  <c r="K157" i="23"/>
  <c r="L157" i="23"/>
  <c r="M157" i="23"/>
  <c r="N157" i="23"/>
  <c r="O157" i="23"/>
  <c r="P157" i="23"/>
  <c r="Q157" i="23"/>
  <c r="R157" i="23"/>
  <c r="S157" i="23"/>
  <c r="T157" i="23"/>
  <c r="U157" i="23"/>
  <c r="V157" i="23"/>
  <c r="W157" i="23"/>
  <c r="X157" i="23"/>
  <c r="Y157" i="23"/>
  <c r="Z157" i="23"/>
  <c r="AA157" i="23"/>
  <c r="AB157" i="23"/>
  <c r="AC157" i="23"/>
  <c r="AD157" i="23"/>
  <c r="AE157" i="23"/>
  <c r="AF157" i="23"/>
  <c r="AG157" i="23"/>
  <c r="AH157" i="23"/>
  <c r="AI157" i="23"/>
  <c r="AJ157" i="23"/>
  <c r="AK157" i="23"/>
  <c r="AL157" i="23"/>
  <c r="AM157" i="23"/>
  <c r="AN157" i="23"/>
  <c r="AO157" i="23"/>
  <c r="AP157" i="23"/>
  <c r="AQ157" i="23"/>
  <c r="AR157" i="23"/>
  <c r="AS157" i="23"/>
  <c r="AT157" i="23"/>
  <c r="AU157" i="23"/>
  <c r="AV157" i="23"/>
  <c r="AW157" i="23"/>
  <c r="AX157" i="23"/>
  <c r="AY157" i="23"/>
  <c r="AZ157" i="23"/>
  <c r="BA157" i="23"/>
  <c r="BB157" i="23"/>
  <c r="BC157" i="23"/>
  <c r="BD157" i="23"/>
  <c r="BE157" i="23"/>
  <c r="BF157" i="23"/>
  <c r="BG157" i="23"/>
  <c r="BH157" i="23"/>
  <c r="E156" i="23"/>
  <c r="F156" i="23"/>
  <c r="G156" i="23"/>
  <c r="H156" i="23"/>
  <c r="I156" i="23"/>
  <c r="J156" i="23"/>
  <c r="K156" i="23"/>
  <c r="L156" i="23"/>
  <c r="M156" i="23"/>
  <c r="N156" i="23"/>
  <c r="O156" i="23"/>
  <c r="P156" i="23"/>
  <c r="Q156" i="23"/>
  <c r="R156" i="23"/>
  <c r="S156" i="23"/>
  <c r="T156" i="23"/>
  <c r="U156" i="23"/>
  <c r="V156" i="23"/>
  <c r="W156" i="23"/>
  <c r="X156" i="23"/>
  <c r="Y156" i="23"/>
  <c r="Z156" i="23"/>
  <c r="AA156" i="23"/>
  <c r="AB156" i="23"/>
  <c r="AC156" i="23"/>
  <c r="AD156" i="23"/>
  <c r="AE156" i="23"/>
  <c r="AF156" i="23"/>
  <c r="AG156" i="23"/>
  <c r="AH156" i="23"/>
  <c r="AI156" i="23"/>
  <c r="AJ156" i="23"/>
  <c r="AK156" i="23"/>
  <c r="AL156" i="23"/>
  <c r="AM156" i="23"/>
  <c r="AN156" i="23"/>
  <c r="AO156" i="23"/>
  <c r="AP156" i="23"/>
  <c r="AQ156" i="23"/>
  <c r="AR156" i="23"/>
  <c r="AS156" i="23"/>
  <c r="AT156" i="23"/>
  <c r="AU156" i="23"/>
  <c r="AV156" i="23"/>
  <c r="AW156" i="23"/>
  <c r="AX156" i="23"/>
  <c r="AY156" i="23"/>
  <c r="AZ156" i="23"/>
  <c r="BA156" i="23"/>
  <c r="BB156" i="23"/>
  <c r="BC156" i="23"/>
  <c r="BD156" i="23"/>
  <c r="BE156" i="23"/>
  <c r="BF156" i="23"/>
  <c r="BG156" i="23"/>
  <c r="BH156" i="23"/>
  <c r="E155" i="23"/>
  <c r="F155" i="23"/>
  <c r="G155" i="23"/>
  <c r="H155" i="23"/>
  <c r="I155" i="23"/>
  <c r="J155" i="23"/>
  <c r="K155" i="23"/>
  <c r="L155" i="23"/>
  <c r="M155" i="23"/>
  <c r="N155" i="23"/>
  <c r="O155" i="23"/>
  <c r="P155" i="23"/>
  <c r="Q155" i="23"/>
  <c r="R155" i="23"/>
  <c r="S155" i="23"/>
  <c r="T155" i="23"/>
  <c r="U155" i="23"/>
  <c r="V155" i="23"/>
  <c r="W155" i="23"/>
  <c r="X155" i="23"/>
  <c r="Y155" i="23"/>
  <c r="Z155" i="23"/>
  <c r="AA155" i="23"/>
  <c r="AB155" i="23"/>
  <c r="AC155" i="23"/>
  <c r="AD155" i="23"/>
  <c r="AE155" i="23"/>
  <c r="AF155" i="23"/>
  <c r="AG155" i="23"/>
  <c r="AH155" i="23"/>
  <c r="AI155" i="23"/>
  <c r="AJ155" i="23"/>
  <c r="AK155" i="23"/>
  <c r="AL155" i="23"/>
  <c r="AM155" i="23"/>
  <c r="AN155" i="23"/>
  <c r="AO155" i="23"/>
  <c r="AP155" i="23"/>
  <c r="AQ155" i="23"/>
  <c r="AR155" i="23"/>
  <c r="AS155" i="23"/>
  <c r="AT155" i="23"/>
  <c r="AU155" i="23"/>
  <c r="AV155" i="23"/>
  <c r="AW155" i="23"/>
  <c r="AX155" i="23"/>
  <c r="AY155" i="23"/>
  <c r="AZ155" i="23"/>
  <c r="BA155" i="23"/>
  <c r="BB155" i="23"/>
  <c r="BC155" i="23"/>
  <c r="BD155" i="23"/>
  <c r="BE155" i="23"/>
  <c r="BF155" i="23"/>
  <c r="BG155" i="23"/>
  <c r="BH155" i="23"/>
  <c r="E154" i="23"/>
  <c r="F154" i="23"/>
  <c r="G154" i="23"/>
  <c r="H154" i="23"/>
  <c r="I154" i="23"/>
  <c r="J154" i="23"/>
  <c r="K154" i="23"/>
  <c r="L154" i="23"/>
  <c r="M154" i="23"/>
  <c r="N154" i="23"/>
  <c r="O154" i="23"/>
  <c r="P154" i="23"/>
  <c r="Q154" i="23"/>
  <c r="R154" i="23"/>
  <c r="S154" i="23"/>
  <c r="T154" i="23"/>
  <c r="U154" i="23"/>
  <c r="V154" i="23"/>
  <c r="W154" i="23"/>
  <c r="X154" i="23"/>
  <c r="Y154" i="23"/>
  <c r="Z154" i="23"/>
  <c r="AA154" i="23"/>
  <c r="AB154" i="23"/>
  <c r="AC154" i="23"/>
  <c r="AD154" i="23"/>
  <c r="AE154" i="23"/>
  <c r="AF154" i="23"/>
  <c r="AG154" i="23"/>
  <c r="AH154" i="23"/>
  <c r="AI154" i="23"/>
  <c r="AJ154" i="23"/>
  <c r="AK154" i="23"/>
  <c r="AL154" i="23"/>
  <c r="AM154" i="23"/>
  <c r="AN154" i="23"/>
  <c r="AO154" i="23"/>
  <c r="AP154" i="23"/>
  <c r="AQ154" i="23"/>
  <c r="AR154" i="23"/>
  <c r="AS154" i="23"/>
  <c r="AT154" i="23"/>
  <c r="AU154" i="23"/>
  <c r="AV154" i="23"/>
  <c r="AW154" i="23"/>
  <c r="AX154" i="23"/>
  <c r="AY154" i="23"/>
  <c r="AZ154" i="23"/>
  <c r="BA154" i="23"/>
  <c r="BB154" i="23"/>
  <c r="BC154" i="23"/>
  <c r="BD154" i="23"/>
  <c r="BE154" i="23"/>
  <c r="BF154" i="23"/>
  <c r="BG154" i="23"/>
  <c r="BH154" i="23"/>
  <c r="E153" i="23"/>
  <c r="F153" i="23"/>
  <c r="G153" i="23"/>
  <c r="H153" i="23"/>
  <c r="I153" i="23"/>
  <c r="J153" i="23"/>
  <c r="K153" i="23"/>
  <c r="L153" i="23"/>
  <c r="M153" i="23"/>
  <c r="N153" i="23"/>
  <c r="O153" i="23"/>
  <c r="P153" i="23"/>
  <c r="Q153" i="23"/>
  <c r="R153" i="23"/>
  <c r="S153" i="23"/>
  <c r="T153" i="23"/>
  <c r="U153" i="23"/>
  <c r="V153" i="23"/>
  <c r="W153" i="23"/>
  <c r="X153" i="23"/>
  <c r="Y153" i="23"/>
  <c r="Z153" i="23"/>
  <c r="AA153" i="23"/>
  <c r="AB153" i="23"/>
  <c r="AC153" i="23"/>
  <c r="AD153" i="23"/>
  <c r="AE153" i="23"/>
  <c r="AF153" i="23"/>
  <c r="AG153" i="23"/>
  <c r="AH153" i="23"/>
  <c r="AI153" i="23"/>
  <c r="AJ153" i="23"/>
  <c r="AK153" i="23"/>
  <c r="AL153" i="23"/>
  <c r="AM153" i="23"/>
  <c r="AN153" i="23"/>
  <c r="AO153" i="23"/>
  <c r="AP153" i="23"/>
  <c r="AQ153" i="23"/>
  <c r="AR153" i="23"/>
  <c r="AS153" i="23"/>
  <c r="AT153" i="23"/>
  <c r="AU153" i="23"/>
  <c r="AV153" i="23"/>
  <c r="AW153" i="23"/>
  <c r="AX153" i="23"/>
  <c r="AY153" i="23"/>
  <c r="AZ153" i="23"/>
  <c r="BA153" i="23"/>
  <c r="BB153" i="23"/>
  <c r="BC153" i="23"/>
  <c r="BD153" i="23"/>
  <c r="BE153" i="23"/>
  <c r="BF153" i="23"/>
  <c r="BG153" i="23"/>
  <c r="BH153" i="23"/>
  <c r="E152" i="23"/>
  <c r="F152" i="23"/>
  <c r="G152" i="23"/>
  <c r="H152" i="23"/>
  <c r="I152" i="23"/>
  <c r="J152" i="23"/>
  <c r="K152" i="23"/>
  <c r="L152" i="23"/>
  <c r="M152" i="23"/>
  <c r="N152" i="23"/>
  <c r="O152" i="23"/>
  <c r="P152" i="23"/>
  <c r="Q152" i="23"/>
  <c r="R152" i="23"/>
  <c r="S152" i="23"/>
  <c r="T152" i="23"/>
  <c r="U152" i="23"/>
  <c r="V152" i="23"/>
  <c r="W152" i="23"/>
  <c r="X152" i="23"/>
  <c r="Y152" i="23"/>
  <c r="Z152" i="23"/>
  <c r="AA152" i="23"/>
  <c r="AB152" i="23"/>
  <c r="AC152" i="23"/>
  <c r="AD152" i="23"/>
  <c r="AE152" i="23"/>
  <c r="AF152" i="23"/>
  <c r="AG152" i="23"/>
  <c r="AH152" i="23"/>
  <c r="AI152" i="23"/>
  <c r="AJ152" i="23"/>
  <c r="AK152" i="23"/>
  <c r="AL152" i="23"/>
  <c r="AM152" i="23"/>
  <c r="AN152" i="23"/>
  <c r="AO152" i="23"/>
  <c r="AP152" i="23"/>
  <c r="AQ152" i="23"/>
  <c r="AR152" i="23"/>
  <c r="AS152" i="23"/>
  <c r="AT152" i="23"/>
  <c r="AU152" i="23"/>
  <c r="AV152" i="23"/>
  <c r="AW152" i="23"/>
  <c r="AX152" i="23"/>
  <c r="AY152" i="23"/>
  <c r="AZ152" i="23"/>
  <c r="BA152" i="23"/>
  <c r="BB152" i="23"/>
  <c r="BC152" i="23"/>
  <c r="BD152" i="23"/>
  <c r="BE152" i="23"/>
  <c r="BF152" i="23"/>
  <c r="BG152" i="23"/>
  <c r="BH152" i="23"/>
  <c r="E151" i="23"/>
  <c r="F151" i="23"/>
  <c r="G151" i="23"/>
  <c r="H151" i="23"/>
  <c r="I151" i="23"/>
  <c r="J151" i="23"/>
  <c r="K151" i="23"/>
  <c r="L151" i="23"/>
  <c r="M151" i="23"/>
  <c r="N151" i="23"/>
  <c r="O151" i="23"/>
  <c r="P151" i="23"/>
  <c r="Q151" i="23"/>
  <c r="R151" i="23"/>
  <c r="S151" i="23"/>
  <c r="T151" i="23"/>
  <c r="U151" i="23"/>
  <c r="V151" i="23"/>
  <c r="W151" i="23"/>
  <c r="X151" i="23"/>
  <c r="Y151" i="23"/>
  <c r="Z151" i="23"/>
  <c r="AA151" i="23"/>
  <c r="AB151" i="23"/>
  <c r="AC151" i="23"/>
  <c r="AD151" i="23"/>
  <c r="AE151" i="23"/>
  <c r="AF151" i="23"/>
  <c r="AG151" i="23"/>
  <c r="AH151" i="23"/>
  <c r="AI151" i="23"/>
  <c r="AJ151" i="23"/>
  <c r="AK151" i="23"/>
  <c r="AL151" i="23"/>
  <c r="AM151" i="23"/>
  <c r="AN151" i="23"/>
  <c r="AO151" i="23"/>
  <c r="AP151" i="23"/>
  <c r="AQ151" i="23"/>
  <c r="AR151" i="23"/>
  <c r="AS151" i="23"/>
  <c r="AT151" i="23"/>
  <c r="AU151" i="23"/>
  <c r="AV151" i="23"/>
  <c r="AW151" i="23"/>
  <c r="AX151" i="23"/>
  <c r="AY151" i="23"/>
  <c r="AZ151" i="23"/>
  <c r="BA151" i="23"/>
  <c r="BB151" i="23"/>
  <c r="BC151" i="23"/>
  <c r="BD151" i="23"/>
  <c r="BE151" i="23"/>
  <c r="BF151" i="23"/>
  <c r="BG151" i="23"/>
  <c r="BH151" i="23"/>
  <c r="E150" i="23"/>
  <c r="F150" i="23"/>
  <c r="G150" i="23"/>
  <c r="H150" i="23"/>
  <c r="I150" i="23"/>
  <c r="J150" i="23"/>
  <c r="K150" i="23"/>
  <c r="L150" i="23"/>
  <c r="M150" i="23"/>
  <c r="N150" i="23"/>
  <c r="O150" i="23"/>
  <c r="P150" i="23"/>
  <c r="Q150" i="23"/>
  <c r="R150" i="23"/>
  <c r="S150" i="23"/>
  <c r="T150" i="23"/>
  <c r="U150" i="23"/>
  <c r="V150" i="23"/>
  <c r="W150" i="23"/>
  <c r="X150" i="23"/>
  <c r="Y150" i="23"/>
  <c r="Z150" i="23"/>
  <c r="AA150" i="23"/>
  <c r="AB150" i="23"/>
  <c r="AC150" i="23"/>
  <c r="AD150" i="23"/>
  <c r="AE150" i="23"/>
  <c r="AF150" i="23"/>
  <c r="AG150" i="23"/>
  <c r="AH150" i="23"/>
  <c r="AI150" i="23"/>
  <c r="AJ150" i="23"/>
  <c r="AK150" i="23"/>
  <c r="AL150" i="23"/>
  <c r="AM150" i="23"/>
  <c r="AN150" i="23"/>
  <c r="AO150" i="23"/>
  <c r="AP150" i="23"/>
  <c r="AQ150" i="23"/>
  <c r="AR150" i="23"/>
  <c r="AS150" i="23"/>
  <c r="AT150" i="23"/>
  <c r="AU150" i="23"/>
  <c r="AV150" i="23"/>
  <c r="AW150" i="23"/>
  <c r="AX150" i="23"/>
  <c r="AY150" i="23"/>
  <c r="AZ150" i="23"/>
  <c r="BA150" i="23"/>
  <c r="BB150" i="23"/>
  <c r="BC150" i="23"/>
  <c r="BD150" i="23"/>
  <c r="BE150" i="23"/>
  <c r="BF150" i="23"/>
  <c r="BG150" i="23"/>
  <c r="BH150" i="23"/>
  <c r="E149" i="23"/>
  <c r="F149" i="23"/>
  <c r="G149" i="23"/>
  <c r="H149" i="23"/>
  <c r="I149" i="23"/>
  <c r="J149" i="23"/>
  <c r="K149" i="23"/>
  <c r="L149" i="23"/>
  <c r="M149" i="23"/>
  <c r="N149" i="23"/>
  <c r="O149" i="23"/>
  <c r="P149" i="23"/>
  <c r="Q149" i="23"/>
  <c r="R149" i="23"/>
  <c r="S149" i="23"/>
  <c r="T149" i="23"/>
  <c r="U149" i="23"/>
  <c r="V149" i="23"/>
  <c r="W149" i="23"/>
  <c r="X149" i="23"/>
  <c r="Y149" i="23"/>
  <c r="Z149" i="23"/>
  <c r="AA149" i="23"/>
  <c r="AB149" i="23"/>
  <c r="AC149" i="23"/>
  <c r="AD149" i="23"/>
  <c r="AE149" i="23"/>
  <c r="AF149" i="23"/>
  <c r="AG149" i="23"/>
  <c r="AH149" i="23"/>
  <c r="AI149" i="23"/>
  <c r="AJ149" i="23"/>
  <c r="AK149" i="23"/>
  <c r="AL149" i="23"/>
  <c r="AM149" i="23"/>
  <c r="AN149" i="23"/>
  <c r="AO149" i="23"/>
  <c r="AP149" i="23"/>
  <c r="AQ149" i="23"/>
  <c r="AR149" i="23"/>
  <c r="AS149" i="23"/>
  <c r="AT149" i="23"/>
  <c r="AU149" i="23"/>
  <c r="AV149" i="23"/>
  <c r="AW149" i="23"/>
  <c r="AX149" i="23"/>
  <c r="AY149" i="23"/>
  <c r="AZ149" i="23"/>
  <c r="BA149" i="23"/>
  <c r="BB149" i="23"/>
  <c r="BC149" i="23"/>
  <c r="BD149" i="23"/>
  <c r="BE149" i="23"/>
  <c r="BF149" i="23"/>
  <c r="BG149" i="23"/>
  <c r="BH149" i="23"/>
  <c r="E148" i="23"/>
  <c r="F148" i="23"/>
  <c r="G148" i="23"/>
  <c r="H148" i="23"/>
  <c r="I148" i="23"/>
  <c r="J148" i="23"/>
  <c r="K148" i="23"/>
  <c r="L148" i="23"/>
  <c r="M148" i="23"/>
  <c r="N148" i="23"/>
  <c r="O148" i="23"/>
  <c r="P148" i="23"/>
  <c r="Q148" i="23"/>
  <c r="R148" i="23"/>
  <c r="S148" i="23"/>
  <c r="T148" i="23"/>
  <c r="U148" i="23"/>
  <c r="V148" i="23"/>
  <c r="W148" i="23"/>
  <c r="X148" i="23"/>
  <c r="Y148" i="23"/>
  <c r="Z148" i="23"/>
  <c r="AA148" i="23"/>
  <c r="AB148" i="23"/>
  <c r="AC148" i="23"/>
  <c r="AD148" i="23"/>
  <c r="AE148" i="23"/>
  <c r="AF148" i="23"/>
  <c r="AG148" i="23"/>
  <c r="AH148" i="23"/>
  <c r="AI148" i="23"/>
  <c r="AJ148" i="23"/>
  <c r="AK148" i="23"/>
  <c r="AL148" i="23"/>
  <c r="AM148" i="23"/>
  <c r="AN148" i="23"/>
  <c r="AO148" i="23"/>
  <c r="AP148" i="23"/>
  <c r="AQ148" i="23"/>
  <c r="AR148" i="23"/>
  <c r="AS148" i="23"/>
  <c r="AT148" i="23"/>
  <c r="AU148" i="23"/>
  <c r="AV148" i="23"/>
  <c r="AW148" i="23"/>
  <c r="AX148" i="23"/>
  <c r="AY148" i="23"/>
  <c r="AZ148" i="23"/>
  <c r="BA148" i="23"/>
  <c r="BB148" i="23"/>
  <c r="BC148" i="23"/>
  <c r="BD148" i="23"/>
  <c r="BE148" i="23"/>
  <c r="BF148" i="23"/>
  <c r="BG148" i="23"/>
  <c r="BH148" i="23"/>
  <c r="E147" i="23"/>
  <c r="F147" i="23"/>
  <c r="G147" i="23"/>
  <c r="H147" i="23"/>
  <c r="I147" i="23"/>
  <c r="J147" i="23"/>
  <c r="K147" i="23"/>
  <c r="L147" i="23"/>
  <c r="M147" i="23"/>
  <c r="N147" i="23"/>
  <c r="O147" i="23"/>
  <c r="P147" i="23"/>
  <c r="Q147" i="23"/>
  <c r="R147" i="23"/>
  <c r="S147" i="23"/>
  <c r="T147" i="23"/>
  <c r="U147" i="23"/>
  <c r="V147" i="23"/>
  <c r="W147" i="23"/>
  <c r="X147" i="23"/>
  <c r="Y147" i="23"/>
  <c r="Z147" i="23"/>
  <c r="AA147" i="23"/>
  <c r="AB147" i="23"/>
  <c r="AC147" i="23"/>
  <c r="AD147" i="23"/>
  <c r="AE147" i="23"/>
  <c r="AF147" i="23"/>
  <c r="AG147" i="23"/>
  <c r="AH147" i="23"/>
  <c r="AI147" i="23"/>
  <c r="AJ147" i="23"/>
  <c r="AK147" i="23"/>
  <c r="AL147" i="23"/>
  <c r="AM147" i="23"/>
  <c r="AN147" i="23"/>
  <c r="AO147" i="23"/>
  <c r="AP147" i="23"/>
  <c r="AQ147" i="23"/>
  <c r="AR147" i="23"/>
  <c r="AS147" i="23"/>
  <c r="AT147" i="23"/>
  <c r="AU147" i="23"/>
  <c r="AV147" i="23"/>
  <c r="AW147" i="23"/>
  <c r="AX147" i="23"/>
  <c r="AY147" i="23"/>
  <c r="AZ147" i="23"/>
  <c r="BA147" i="23"/>
  <c r="BB147" i="23"/>
  <c r="BC147" i="23"/>
  <c r="BD147" i="23"/>
  <c r="BE147" i="23"/>
  <c r="BF147" i="23"/>
  <c r="BG147" i="23"/>
  <c r="BH147" i="23"/>
  <c r="E146" i="23"/>
  <c r="F146" i="23"/>
  <c r="G146" i="23"/>
  <c r="H146" i="23"/>
  <c r="I146" i="23"/>
  <c r="J146" i="23"/>
  <c r="K146" i="23"/>
  <c r="L146" i="23"/>
  <c r="M146" i="23"/>
  <c r="N146" i="23"/>
  <c r="O146" i="23"/>
  <c r="P146" i="23"/>
  <c r="Q146" i="23"/>
  <c r="R146" i="23"/>
  <c r="S146" i="23"/>
  <c r="T146" i="23"/>
  <c r="U146" i="23"/>
  <c r="V146" i="23"/>
  <c r="W146" i="23"/>
  <c r="X146" i="23"/>
  <c r="Y146" i="23"/>
  <c r="Z146" i="23"/>
  <c r="AA146" i="23"/>
  <c r="AB146" i="23"/>
  <c r="AC146" i="23"/>
  <c r="AD146" i="23"/>
  <c r="AE146" i="23"/>
  <c r="AF146" i="23"/>
  <c r="AG146" i="23"/>
  <c r="AH146" i="23"/>
  <c r="AI146" i="23"/>
  <c r="AJ146" i="23"/>
  <c r="AK146" i="23"/>
  <c r="AL146" i="23"/>
  <c r="AM146" i="23"/>
  <c r="AN146" i="23"/>
  <c r="AO146" i="23"/>
  <c r="AP146" i="23"/>
  <c r="AQ146" i="23"/>
  <c r="AR146" i="23"/>
  <c r="AS146" i="23"/>
  <c r="AT146" i="23"/>
  <c r="AU146" i="23"/>
  <c r="AV146" i="23"/>
  <c r="AW146" i="23"/>
  <c r="AX146" i="23"/>
  <c r="AY146" i="23"/>
  <c r="AZ146" i="23"/>
  <c r="BA146" i="23"/>
  <c r="BB146" i="23"/>
  <c r="BC146" i="23"/>
  <c r="BD146" i="23"/>
  <c r="BE146" i="23"/>
  <c r="BF146" i="23"/>
  <c r="BG146" i="23"/>
  <c r="BH146" i="23"/>
  <c r="E145" i="23"/>
  <c r="F145" i="23"/>
  <c r="G145" i="23"/>
  <c r="H145" i="23"/>
  <c r="I145" i="23"/>
  <c r="J145" i="23"/>
  <c r="K145" i="23"/>
  <c r="L145" i="23"/>
  <c r="M145" i="23"/>
  <c r="N145" i="23"/>
  <c r="O145" i="23"/>
  <c r="P145" i="23"/>
  <c r="Q145" i="23"/>
  <c r="R145" i="23"/>
  <c r="S145" i="23"/>
  <c r="T145" i="23"/>
  <c r="U145" i="23"/>
  <c r="V145" i="23"/>
  <c r="W145" i="23"/>
  <c r="X145" i="23"/>
  <c r="Y145" i="23"/>
  <c r="Z145" i="23"/>
  <c r="AA145" i="23"/>
  <c r="AB145" i="23"/>
  <c r="AC145" i="23"/>
  <c r="AD145" i="23"/>
  <c r="AE145" i="23"/>
  <c r="AF145" i="23"/>
  <c r="AG145" i="23"/>
  <c r="AH145" i="23"/>
  <c r="AI145" i="23"/>
  <c r="AJ145" i="23"/>
  <c r="AK145" i="23"/>
  <c r="AL145" i="23"/>
  <c r="AM145" i="23"/>
  <c r="AN145" i="23"/>
  <c r="AO145" i="23"/>
  <c r="AP145" i="23"/>
  <c r="AQ145" i="23"/>
  <c r="AR145" i="23"/>
  <c r="AS145" i="23"/>
  <c r="AT145" i="23"/>
  <c r="AU145" i="23"/>
  <c r="AV145" i="23"/>
  <c r="AW145" i="23"/>
  <c r="AX145" i="23"/>
  <c r="AY145" i="23"/>
  <c r="AZ145" i="23"/>
  <c r="BA145" i="23"/>
  <c r="BB145" i="23"/>
  <c r="BC145" i="23"/>
  <c r="BD145" i="23"/>
  <c r="BE145" i="23"/>
  <c r="BF145" i="23"/>
  <c r="BG145" i="23"/>
  <c r="BH145" i="23"/>
  <c r="E144" i="23"/>
  <c r="F144" i="23"/>
  <c r="G144" i="23"/>
  <c r="H144" i="23"/>
  <c r="I144" i="23"/>
  <c r="J144" i="23"/>
  <c r="K144" i="23"/>
  <c r="L144" i="23"/>
  <c r="M144" i="23"/>
  <c r="N144" i="23"/>
  <c r="O144" i="23"/>
  <c r="P144" i="23"/>
  <c r="Q144" i="23"/>
  <c r="R144" i="23"/>
  <c r="S144" i="23"/>
  <c r="T144" i="23"/>
  <c r="U144" i="23"/>
  <c r="V144" i="23"/>
  <c r="W144" i="23"/>
  <c r="X144" i="23"/>
  <c r="Y144" i="23"/>
  <c r="Z144" i="23"/>
  <c r="AA144" i="23"/>
  <c r="AB144" i="23"/>
  <c r="AC144" i="23"/>
  <c r="AD144" i="23"/>
  <c r="AE144" i="23"/>
  <c r="AF144" i="23"/>
  <c r="AG144" i="23"/>
  <c r="AH144" i="23"/>
  <c r="AI144" i="23"/>
  <c r="AJ144" i="23"/>
  <c r="AK144" i="23"/>
  <c r="AL144" i="23"/>
  <c r="AM144" i="23"/>
  <c r="AN144" i="23"/>
  <c r="AO144" i="23"/>
  <c r="AP144" i="23"/>
  <c r="AQ144" i="23"/>
  <c r="AR144" i="23"/>
  <c r="AS144" i="23"/>
  <c r="AT144" i="23"/>
  <c r="AU144" i="23"/>
  <c r="AV144" i="23"/>
  <c r="AW144" i="23"/>
  <c r="AX144" i="23"/>
  <c r="AY144" i="23"/>
  <c r="AZ144" i="23"/>
  <c r="BA144" i="23"/>
  <c r="BB144" i="23"/>
  <c r="BC144" i="23"/>
  <c r="BD144" i="23"/>
  <c r="BE144" i="23"/>
  <c r="BF144" i="23"/>
  <c r="BG144" i="23"/>
  <c r="BH144" i="23"/>
  <c r="E143" i="23"/>
  <c r="F143" i="23"/>
  <c r="G143" i="23"/>
  <c r="H143" i="23"/>
  <c r="I143" i="23"/>
  <c r="J143" i="23"/>
  <c r="K143" i="23"/>
  <c r="L143" i="23"/>
  <c r="M143" i="23"/>
  <c r="N143" i="23"/>
  <c r="O143" i="23"/>
  <c r="P143" i="23"/>
  <c r="Q143" i="23"/>
  <c r="R143" i="23"/>
  <c r="S143" i="23"/>
  <c r="T143" i="23"/>
  <c r="U143" i="23"/>
  <c r="V143" i="23"/>
  <c r="W143" i="23"/>
  <c r="X143" i="23"/>
  <c r="Y143" i="23"/>
  <c r="Z143" i="23"/>
  <c r="AA143" i="23"/>
  <c r="AB143" i="23"/>
  <c r="AC143" i="23"/>
  <c r="AD143" i="23"/>
  <c r="AE143" i="23"/>
  <c r="AF143" i="23"/>
  <c r="AG143" i="23"/>
  <c r="AH143" i="23"/>
  <c r="AI143" i="23"/>
  <c r="AJ143" i="23"/>
  <c r="AK143" i="23"/>
  <c r="AL143" i="23"/>
  <c r="AM143" i="23"/>
  <c r="AN143" i="23"/>
  <c r="AO143" i="23"/>
  <c r="AP143" i="23"/>
  <c r="AQ143" i="23"/>
  <c r="AR143" i="23"/>
  <c r="AS143" i="23"/>
  <c r="AT143" i="23"/>
  <c r="AU143" i="23"/>
  <c r="AV143" i="23"/>
  <c r="AW143" i="23"/>
  <c r="AX143" i="23"/>
  <c r="AY143" i="23"/>
  <c r="AZ143" i="23"/>
  <c r="BA143" i="23"/>
  <c r="BB143" i="23"/>
  <c r="BC143" i="23"/>
  <c r="BD143" i="23"/>
  <c r="BE143" i="23"/>
  <c r="BF143" i="23"/>
  <c r="BG143" i="23"/>
  <c r="BH143" i="23"/>
  <c r="E142" i="23"/>
  <c r="F142" i="23"/>
  <c r="G142" i="23"/>
  <c r="H142" i="23"/>
  <c r="I142" i="23"/>
  <c r="J142" i="23"/>
  <c r="K142" i="23"/>
  <c r="L142" i="23"/>
  <c r="M142" i="23"/>
  <c r="N142" i="23"/>
  <c r="O142" i="23"/>
  <c r="P142" i="23"/>
  <c r="Q142" i="23"/>
  <c r="R142" i="23"/>
  <c r="S142" i="23"/>
  <c r="T142" i="23"/>
  <c r="U142" i="23"/>
  <c r="V142" i="23"/>
  <c r="W142" i="23"/>
  <c r="X142" i="23"/>
  <c r="Y142" i="23"/>
  <c r="Z142" i="23"/>
  <c r="AA142" i="23"/>
  <c r="AB142" i="23"/>
  <c r="AC142" i="23"/>
  <c r="AD142" i="23"/>
  <c r="AE142" i="23"/>
  <c r="AF142" i="23"/>
  <c r="AG142" i="23"/>
  <c r="AH142" i="23"/>
  <c r="AI142" i="23"/>
  <c r="AJ142" i="23"/>
  <c r="AK142" i="23"/>
  <c r="AL142" i="23"/>
  <c r="AM142" i="23"/>
  <c r="AN142" i="23"/>
  <c r="AO142" i="23"/>
  <c r="AP142" i="23"/>
  <c r="AQ142" i="23"/>
  <c r="AR142" i="23"/>
  <c r="AS142" i="23"/>
  <c r="AT142" i="23"/>
  <c r="AU142" i="23"/>
  <c r="AV142" i="23"/>
  <c r="AW142" i="23"/>
  <c r="AX142" i="23"/>
  <c r="AY142" i="23"/>
  <c r="AZ142" i="23"/>
  <c r="BA142" i="23"/>
  <c r="BB142" i="23"/>
  <c r="BC142" i="23"/>
  <c r="BD142" i="23"/>
  <c r="BE142" i="23"/>
  <c r="BF142" i="23"/>
  <c r="BG142" i="23"/>
  <c r="BH142" i="23"/>
  <c r="E141" i="23"/>
  <c r="F141" i="23"/>
  <c r="G141" i="23"/>
  <c r="H141" i="23"/>
  <c r="I141" i="23"/>
  <c r="J141" i="23"/>
  <c r="K141" i="23"/>
  <c r="L141" i="23"/>
  <c r="M141" i="23"/>
  <c r="N141" i="23"/>
  <c r="O141" i="23"/>
  <c r="P141" i="23"/>
  <c r="Q141" i="23"/>
  <c r="R141" i="23"/>
  <c r="S141" i="23"/>
  <c r="T141" i="23"/>
  <c r="U141" i="23"/>
  <c r="V141" i="23"/>
  <c r="W141" i="23"/>
  <c r="X141" i="23"/>
  <c r="Y141" i="23"/>
  <c r="Z141" i="23"/>
  <c r="AA141" i="23"/>
  <c r="AB141" i="23"/>
  <c r="AC141" i="23"/>
  <c r="AD141" i="23"/>
  <c r="AE141" i="23"/>
  <c r="AF141" i="23"/>
  <c r="AG141" i="23"/>
  <c r="AH141" i="23"/>
  <c r="AI141" i="23"/>
  <c r="AJ141" i="23"/>
  <c r="AK141" i="23"/>
  <c r="AL141" i="23"/>
  <c r="AM141" i="23"/>
  <c r="AN141" i="23"/>
  <c r="AO141" i="23"/>
  <c r="AP141" i="23"/>
  <c r="AQ141" i="23"/>
  <c r="AR141" i="23"/>
  <c r="AS141" i="23"/>
  <c r="AT141" i="23"/>
  <c r="AU141" i="23"/>
  <c r="AV141" i="23"/>
  <c r="AW141" i="23"/>
  <c r="AX141" i="23"/>
  <c r="AY141" i="23"/>
  <c r="AZ141" i="23"/>
  <c r="BA141" i="23"/>
  <c r="BB141" i="23"/>
  <c r="BC141" i="23"/>
  <c r="BD141" i="23"/>
  <c r="BE141" i="23"/>
  <c r="BF141" i="23"/>
  <c r="BG141" i="23"/>
  <c r="BH141" i="23"/>
  <c r="E140" i="23"/>
  <c r="F140" i="23"/>
  <c r="G140" i="23"/>
  <c r="H140" i="23"/>
  <c r="I140" i="23"/>
  <c r="J140" i="23"/>
  <c r="K140" i="23"/>
  <c r="L140" i="23"/>
  <c r="M140" i="23"/>
  <c r="N140" i="23"/>
  <c r="O140" i="23"/>
  <c r="P140" i="23"/>
  <c r="Q140" i="23"/>
  <c r="R140" i="23"/>
  <c r="S140" i="23"/>
  <c r="T140" i="23"/>
  <c r="U140" i="23"/>
  <c r="V140" i="23"/>
  <c r="W140" i="23"/>
  <c r="X140" i="23"/>
  <c r="Y140" i="23"/>
  <c r="Z140" i="23"/>
  <c r="AA140" i="23"/>
  <c r="AB140" i="23"/>
  <c r="AC140" i="23"/>
  <c r="AD140" i="23"/>
  <c r="AE140" i="23"/>
  <c r="AF140" i="23"/>
  <c r="AG140" i="23"/>
  <c r="AH140" i="23"/>
  <c r="AI140" i="23"/>
  <c r="AJ140" i="23"/>
  <c r="AK140" i="23"/>
  <c r="AL140" i="23"/>
  <c r="AM140" i="23"/>
  <c r="AN140" i="23"/>
  <c r="AO140" i="23"/>
  <c r="AP140" i="23"/>
  <c r="AQ140" i="23"/>
  <c r="AR140" i="23"/>
  <c r="AS140" i="23"/>
  <c r="AT140" i="23"/>
  <c r="AU140" i="23"/>
  <c r="AV140" i="23"/>
  <c r="AW140" i="23"/>
  <c r="AX140" i="23"/>
  <c r="AY140" i="23"/>
  <c r="AZ140" i="23"/>
  <c r="BA140" i="23"/>
  <c r="BB140" i="23"/>
  <c r="BC140" i="23"/>
  <c r="BD140" i="23"/>
  <c r="BE140" i="23"/>
  <c r="BF140" i="23"/>
  <c r="BG140" i="23"/>
  <c r="BH140" i="23"/>
  <c r="E139" i="23"/>
  <c r="F139" i="23"/>
  <c r="G139" i="23"/>
  <c r="H139" i="23"/>
  <c r="I139" i="23"/>
  <c r="J139" i="23"/>
  <c r="K139" i="23"/>
  <c r="L139" i="23"/>
  <c r="M139" i="23"/>
  <c r="N139" i="23"/>
  <c r="O139" i="23"/>
  <c r="P139" i="23"/>
  <c r="Q139" i="23"/>
  <c r="R139" i="23"/>
  <c r="S139" i="23"/>
  <c r="T139" i="23"/>
  <c r="U139" i="23"/>
  <c r="V139" i="23"/>
  <c r="W139" i="23"/>
  <c r="X139" i="23"/>
  <c r="Y139" i="23"/>
  <c r="Z139" i="23"/>
  <c r="AA139" i="23"/>
  <c r="AB139" i="23"/>
  <c r="AC139" i="23"/>
  <c r="AD139" i="23"/>
  <c r="AE139" i="23"/>
  <c r="AF139" i="23"/>
  <c r="AG139" i="23"/>
  <c r="AH139" i="23"/>
  <c r="AI139" i="23"/>
  <c r="AJ139" i="23"/>
  <c r="AK139" i="23"/>
  <c r="AL139" i="23"/>
  <c r="AM139" i="23"/>
  <c r="AN139" i="23"/>
  <c r="AO139" i="23"/>
  <c r="AP139" i="23"/>
  <c r="AQ139" i="23"/>
  <c r="AR139" i="23"/>
  <c r="AS139" i="23"/>
  <c r="AT139" i="23"/>
  <c r="AU139" i="23"/>
  <c r="AV139" i="23"/>
  <c r="AW139" i="23"/>
  <c r="AX139" i="23"/>
  <c r="AY139" i="23"/>
  <c r="AZ139" i="23"/>
  <c r="BA139" i="23"/>
  <c r="BB139" i="23"/>
  <c r="BC139" i="23"/>
  <c r="BD139" i="23"/>
  <c r="BE139" i="23"/>
  <c r="BF139" i="23"/>
  <c r="BG139" i="23"/>
  <c r="BH139" i="23"/>
  <c r="E138" i="23"/>
  <c r="F138" i="23"/>
  <c r="G138" i="23"/>
  <c r="H138" i="23"/>
  <c r="I138" i="23"/>
  <c r="J138" i="23"/>
  <c r="K138" i="23"/>
  <c r="L138" i="23"/>
  <c r="M138" i="23"/>
  <c r="N138" i="23"/>
  <c r="O138" i="23"/>
  <c r="P138" i="23"/>
  <c r="Q138" i="23"/>
  <c r="R138" i="23"/>
  <c r="S138" i="23"/>
  <c r="T138" i="23"/>
  <c r="U138" i="23"/>
  <c r="V138" i="23"/>
  <c r="W138" i="23"/>
  <c r="X138" i="23"/>
  <c r="Y138" i="23"/>
  <c r="Z138" i="23"/>
  <c r="AA138" i="23"/>
  <c r="AB138" i="23"/>
  <c r="AC138" i="23"/>
  <c r="AD138" i="23"/>
  <c r="AE138" i="23"/>
  <c r="AF138" i="23"/>
  <c r="AG138" i="23"/>
  <c r="AH138" i="23"/>
  <c r="AI138" i="23"/>
  <c r="AJ138" i="23"/>
  <c r="AK138" i="23"/>
  <c r="AL138" i="23"/>
  <c r="AM138" i="23"/>
  <c r="AN138" i="23"/>
  <c r="AO138" i="23"/>
  <c r="AP138" i="23"/>
  <c r="AQ138" i="23"/>
  <c r="AR138" i="23"/>
  <c r="AS138" i="23"/>
  <c r="AT138" i="23"/>
  <c r="AU138" i="23"/>
  <c r="AV138" i="23"/>
  <c r="AW138" i="23"/>
  <c r="AX138" i="23"/>
  <c r="AY138" i="23"/>
  <c r="AZ138" i="23"/>
  <c r="BA138" i="23"/>
  <c r="BB138" i="23"/>
  <c r="BC138" i="23"/>
  <c r="BD138" i="23"/>
  <c r="BE138" i="23"/>
  <c r="BF138" i="23"/>
  <c r="BG138" i="23"/>
  <c r="BH138" i="23"/>
  <c r="E137" i="23"/>
  <c r="F137" i="23"/>
  <c r="G137" i="23"/>
  <c r="H137" i="23"/>
  <c r="I137" i="23"/>
  <c r="J137" i="23"/>
  <c r="K137" i="23"/>
  <c r="L137" i="23"/>
  <c r="M137" i="23"/>
  <c r="N137" i="23"/>
  <c r="O137" i="23"/>
  <c r="P137" i="23"/>
  <c r="Q137" i="23"/>
  <c r="R137" i="23"/>
  <c r="S137" i="23"/>
  <c r="T137" i="23"/>
  <c r="U137" i="23"/>
  <c r="V137" i="23"/>
  <c r="W137" i="23"/>
  <c r="X137" i="23"/>
  <c r="Y137" i="23"/>
  <c r="Z137" i="23"/>
  <c r="AA137" i="23"/>
  <c r="AB137" i="23"/>
  <c r="AC137" i="23"/>
  <c r="AD137" i="23"/>
  <c r="AE137" i="23"/>
  <c r="AF137" i="23"/>
  <c r="AG137" i="23"/>
  <c r="AH137" i="23"/>
  <c r="AI137" i="23"/>
  <c r="AJ137" i="23"/>
  <c r="AK137" i="23"/>
  <c r="AL137" i="23"/>
  <c r="AM137" i="23"/>
  <c r="AN137" i="23"/>
  <c r="AO137" i="23"/>
  <c r="AP137" i="23"/>
  <c r="AQ137" i="23"/>
  <c r="AR137" i="23"/>
  <c r="AS137" i="23"/>
  <c r="AT137" i="23"/>
  <c r="AU137" i="23"/>
  <c r="AV137" i="23"/>
  <c r="AW137" i="23"/>
  <c r="AX137" i="23"/>
  <c r="AY137" i="23"/>
  <c r="AZ137" i="23"/>
  <c r="BA137" i="23"/>
  <c r="BB137" i="23"/>
  <c r="BC137" i="23"/>
  <c r="BD137" i="23"/>
  <c r="BE137" i="23"/>
  <c r="BF137" i="23"/>
  <c r="BG137" i="23"/>
  <c r="BH137" i="23"/>
  <c r="E136" i="23"/>
  <c r="F136" i="23"/>
  <c r="G136" i="23"/>
  <c r="H136" i="23"/>
  <c r="I136" i="23"/>
  <c r="J136" i="23"/>
  <c r="K136" i="23"/>
  <c r="L136" i="23"/>
  <c r="M136" i="23"/>
  <c r="N136" i="23"/>
  <c r="O136" i="23"/>
  <c r="P136" i="23"/>
  <c r="Q136" i="23"/>
  <c r="R136" i="23"/>
  <c r="S136" i="23"/>
  <c r="T136" i="23"/>
  <c r="U136" i="23"/>
  <c r="V136" i="23"/>
  <c r="W136" i="23"/>
  <c r="X136" i="23"/>
  <c r="Y136" i="23"/>
  <c r="Z136" i="23"/>
  <c r="AA136" i="23"/>
  <c r="AB136" i="23"/>
  <c r="AC136" i="23"/>
  <c r="AD136" i="23"/>
  <c r="AE136" i="23"/>
  <c r="AF136" i="23"/>
  <c r="AG136" i="23"/>
  <c r="AH136" i="23"/>
  <c r="AI136" i="23"/>
  <c r="AJ136" i="23"/>
  <c r="AK136" i="23"/>
  <c r="AL136" i="23"/>
  <c r="AM136" i="23"/>
  <c r="AN136" i="23"/>
  <c r="AO136" i="23"/>
  <c r="AP136" i="23"/>
  <c r="AQ136" i="23"/>
  <c r="AR136" i="23"/>
  <c r="AS136" i="23"/>
  <c r="AT136" i="23"/>
  <c r="AU136" i="23"/>
  <c r="AV136" i="23"/>
  <c r="AW136" i="23"/>
  <c r="AX136" i="23"/>
  <c r="AY136" i="23"/>
  <c r="AZ136" i="23"/>
  <c r="BA136" i="23"/>
  <c r="BB136" i="23"/>
  <c r="BC136" i="23"/>
  <c r="BD136" i="23"/>
  <c r="BE136" i="23"/>
  <c r="BF136" i="23"/>
  <c r="BG136" i="23"/>
  <c r="BH136" i="23"/>
  <c r="E135" i="23"/>
  <c r="F135" i="23"/>
  <c r="G135" i="23"/>
  <c r="H135" i="23"/>
  <c r="I135" i="23"/>
  <c r="J135" i="23"/>
  <c r="K135" i="23"/>
  <c r="L135" i="23"/>
  <c r="M135" i="23"/>
  <c r="N135" i="23"/>
  <c r="O135" i="23"/>
  <c r="P135" i="23"/>
  <c r="Q135" i="23"/>
  <c r="R135" i="23"/>
  <c r="S135" i="23"/>
  <c r="T135" i="23"/>
  <c r="U135" i="23"/>
  <c r="V135" i="23"/>
  <c r="W135" i="23"/>
  <c r="X135" i="23"/>
  <c r="Y135" i="23"/>
  <c r="Z135" i="23"/>
  <c r="AA135" i="23"/>
  <c r="AB135" i="23"/>
  <c r="AC135" i="23"/>
  <c r="AD135" i="23"/>
  <c r="AE135" i="23"/>
  <c r="AF135" i="23"/>
  <c r="AG135" i="23"/>
  <c r="AH135" i="23"/>
  <c r="AI135" i="23"/>
  <c r="AJ135" i="23"/>
  <c r="AK135" i="23"/>
  <c r="AL135" i="23"/>
  <c r="AM135" i="23"/>
  <c r="AN135" i="23"/>
  <c r="AO135" i="23"/>
  <c r="AP135" i="23"/>
  <c r="AQ135" i="23"/>
  <c r="AR135" i="23"/>
  <c r="AS135" i="23"/>
  <c r="AT135" i="23"/>
  <c r="AU135" i="23"/>
  <c r="AV135" i="23"/>
  <c r="AW135" i="23"/>
  <c r="AX135" i="23"/>
  <c r="AY135" i="23"/>
  <c r="AZ135" i="23"/>
  <c r="BA135" i="23"/>
  <c r="BB135" i="23"/>
  <c r="BC135" i="23"/>
  <c r="BD135" i="23"/>
  <c r="BE135" i="23"/>
  <c r="BF135" i="23"/>
  <c r="BG135" i="23"/>
  <c r="BH135" i="23"/>
  <c r="E134" i="23"/>
  <c r="F134" i="23"/>
  <c r="G134" i="23"/>
  <c r="H134" i="23"/>
  <c r="I134" i="23"/>
  <c r="J134" i="23"/>
  <c r="K134" i="23"/>
  <c r="L134" i="23"/>
  <c r="M134" i="23"/>
  <c r="N134" i="23"/>
  <c r="O134" i="23"/>
  <c r="P134" i="23"/>
  <c r="Q134" i="23"/>
  <c r="R134" i="23"/>
  <c r="S134" i="23"/>
  <c r="T134" i="23"/>
  <c r="U134" i="23"/>
  <c r="V134" i="23"/>
  <c r="W134" i="23"/>
  <c r="X134" i="23"/>
  <c r="Y134" i="23"/>
  <c r="Z134" i="23"/>
  <c r="AA134" i="23"/>
  <c r="AB134" i="23"/>
  <c r="AC134" i="23"/>
  <c r="AD134" i="23"/>
  <c r="AE134" i="23"/>
  <c r="AF134" i="23"/>
  <c r="AG134" i="23"/>
  <c r="AH134" i="23"/>
  <c r="AI134" i="23"/>
  <c r="AJ134" i="23"/>
  <c r="AK134" i="23"/>
  <c r="AL134" i="23"/>
  <c r="AM134" i="23"/>
  <c r="AN134" i="23"/>
  <c r="AO134" i="23"/>
  <c r="AP134" i="23"/>
  <c r="AQ134" i="23"/>
  <c r="AR134" i="23"/>
  <c r="AS134" i="23"/>
  <c r="AT134" i="23"/>
  <c r="AU134" i="23"/>
  <c r="AV134" i="23"/>
  <c r="AW134" i="23"/>
  <c r="AX134" i="23"/>
  <c r="AY134" i="23"/>
  <c r="AZ134" i="23"/>
  <c r="BA134" i="23"/>
  <c r="BB134" i="23"/>
  <c r="BC134" i="23"/>
  <c r="BD134" i="23"/>
  <c r="BE134" i="23"/>
  <c r="BF134" i="23"/>
  <c r="BG134" i="23"/>
  <c r="BH134" i="23"/>
  <c r="E133" i="23"/>
  <c r="F133" i="23"/>
  <c r="G133" i="23"/>
  <c r="H133" i="23"/>
  <c r="I133" i="23"/>
  <c r="J133" i="23"/>
  <c r="K133" i="23"/>
  <c r="L133" i="23"/>
  <c r="M133" i="23"/>
  <c r="N133" i="23"/>
  <c r="O133" i="23"/>
  <c r="P133" i="23"/>
  <c r="Q133" i="23"/>
  <c r="R133" i="23"/>
  <c r="S133" i="23"/>
  <c r="T133" i="23"/>
  <c r="U133" i="23"/>
  <c r="V133" i="23"/>
  <c r="W133" i="23"/>
  <c r="X133" i="23"/>
  <c r="Y133" i="23"/>
  <c r="Z133" i="23"/>
  <c r="AA133" i="23"/>
  <c r="AB133" i="23"/>
  <c r="AC133" i="23"/>
  <c r="AD133" i="23"/>
  <c r="AE133" i="23"/>
  <c r="AF133" i="23"/>
  <c r="AG133" i="23"/>
  <c r="AH133" i="23"/>
  <c r="AI133" i="23"/>
  <c r="AJ133" i="23"/>
  <c r="AK133" i="23"/>
  <c r="AL133" i="23"/>
  <c r="AM133" i="23"/>
  <c r="AN133" i="23"/>
  <c r="AO133" i="23"/>
  <c r="AP133" i="23"/>
  <c r="AQ133" i="23"/>
  <c r="AR133" i="23"/>
  <c r="AS133" i="23"/>
  <c r="AT133" i="23"/>
  <c r="AU133" i="23"/>
  <c r="AV133" i="23"/>
  <c r="AW133" i="23"/>
  <c r="AX133" i="23"/>
  <c r="AY133" i="23"/>
  <c r="AZ133" i="23"/>
  <c r="BA133" i="23"/>
  <c r="BB133" i="23"/>
  <c r="BC133" i="23"/>
  <c r="BD133" i="23"/>
  <c r="BE133" i="23"/>
  <c r="BF133" i="23"/>
  <c r="BG133" i="23"/>
  <c r="BH133" i="23"/>
  <c r="E132" i="23"/>
  <c r="F132" i="23"/>
  <c r="G132" i="23"/>
  <c r="H132" i="23"/>
  <c r="I132" i="23"/>
  <c r="J132" i="23"/>
  <c r="K132" i="23"/>
  <c r="L132" i="23"/>
  <c r="M132" i="23"/>
  <c r="N132" i="23"/>
  <c r="O132" i="23"/>
  <c r="P132" i="23"/>
  <c r="Q132" i="23"/>
  <c r="R132" i="23"/>
  <c r="S132" i="23"/>
  <c r="T132" i="23"/>
  <c r="U132" i="23"/>
  <c r="V132" i="23"/>
  <c r="W132" i="23"/>
  <c r="X132" i="23"/>
  <c r="Y132" i="23"/>
  <c r="Z132" i="23"/>
  <c r="AA132" i="23"/>
  <c r="AB132" i="23"/>
  <c r="AC132" i="23"/>
  <c r="AD132" i="23"/>
  <c r="AE132" i="23"/>
  <c r="AF132" i="23"/>
  <c r="AG132" i="23"/>
  <c r="AH132" i="23"/>
  <c r="AI132" i="23"/>
  <c r="AJ132" i="23"/>
  <c r="AK132" i="23"/>
  <c r="AL132" i="23"/>
  <c r="AM132" i="23"/>
  <c r="AN132" i="23"/>
  <c r="AO132" i="23"/>
  <c r="AP132" i="23"/>
  <c r="AQ132" i="23"/>
  <c r="AR132" i="23"/>
  <c r="AS132" i="23"/>
  <c r="AT132" i="23"/>
  <c r="AU132" i="23"/>
  <c r="AV132" i="23"/>
  <c r="AW132" i="23"/>
  <c r="AX132" i="23"/>
  <c r="AY132" i="23"/>
  <c r="AZ132" i="23"/>
  <c r="BA132" i="23"/>
  <c r="BB132" i="23"/>
  <c r="BC132" i="23"/>
  <c r="BD132" i="23"/>
  <c r="BE132" i="23"/>
  <c r="BF132" i="23"/>
  <c r="BG132" i="23"/>
  <c r="BH132" i="23"/>
  <c r="E131" i="23"/>
  <c r="F131" i="23"/>
  <c r="G131" i="23"/>
  <c r="H131" i="23"/>
  <c r="I131" i="23"/>
  <c r="J131" i="23"/>
  <c r="K131" i="23"/>
  <c r="L131" i="23"/>
  <c r="M131" i="23"/>
  <c r="N131" i="23"/>
  <c r="O131" i="23"/>
  <c r="P131" i="23"/>
  <c r="Q131" i="23"/>
  <c r="R131" i="23"/>
  <c r="S131" i="23"/>
  <c r="T131" i="23"/>
  <c r="U131" i="23"/>
  <c r="V131" i="23"/>
  <c r="W131" i="23"/>
  <c r="X131" i="23"/>
  <c r="Y131" i="23"/>
  <c r="Z131" i="23"/>
  <c r="AA131" i="23"/>
  <c r="AB131" i="23"/>
  <c r="AC131" i="23"/>
  <c r="AD131" i="23"/>
  <c r="AE131" i="23"/>
  <c r="AF131" i="23"/>
  <c r="AG131" i="23"/>
  <c r="AH131" i="23"/>
  <c r="AI131" i="23"/>
  <c r="AJ131" i="23"/>
  <c r="AK131" i="23"/>
  <c r="AL131" i="23"/>
  <c r="AM131" i="23"/>
  <c r="AN131" i="23"/>
  <c r="AO131" i="23"/>
  <c r="AP131" i="23"/>
  <c r="AQ131" i="23"/>
  <c r="AR131" i="23"/>
  <c r="AS131" i="23"/>
  <c r="AT131" i="23"/>
  <c r="AU131" i="23"/>
  <c r="AV131" i="23"/>
  <c r="AW131" i="23"/>
  <c r="AX131" i="23"/>
  <c r="AY131" i="23"/>
  <c r="AZ131" i="23"/>
  <c r="BA131" i="23"/>
  <c r="BB131" i="23"/>
  <c r="BC131" i="23"/>
  <c r="BD131" i="23"/>
  <c r="BE131" i="23"/>
  <c r="BF131" i="23"/>
  <c r="BG131" i="23"/>
  <c r="BH131" i="23"/>
  <c r="E130" i="23"/>
  <c r="F130" i="23"/>
  <c r="G130" i="23"/>
  <c r="H130" i="23"/>
  <c r="I130" i="23"/>
  <c r="J130" i="23"/>
  <c r="K130" i="23"/>
  <c r="L130" i="23"/>
  <c r="M130" i="23"/>
  <c r="N130" i="23"/>
  <c r="O130" i="23"/>
  <c r="P130" i="23"/>
  <c r="Q130" i="23"/>
  <c r="R130" i="23"/>
  <c r="S130" i="23"/>
  <c r="T130" i="23"/>
  <c r="U130" i="23"/>
  <c r="V130" i="23"/>
  <c r="W130" i="23"/>
  <c r="X130" i="23"/>
  <c r="Y130" i="23"/>
  <c r="Z130" i="23"/>
  <c r="AA130" i="23"/>
  <c r="AB130" i="23"/>
  <c r="AC130" i="23"/>
  <c r="AD130" i="23"/>
  <c r="AE130" i="23"/>
  <c r="AF130" i="23"/>
  <c r="AG130" i="23"/>
  <c r="AH130" i="23"/>
  <c r="AI130" i="23"/>
  <c r="AJ130" i="23"/>
  <c r="AK130" i="23"/>
  <c r="AL130" i="23"/>
  <c r="AM130" i="23"/>
  <c r="AN130" i="23"/>
  <c r="AO130" i="23"/>
  <c r="AP130" i="23"/>
  <c r="AQ130" i="23"/>
  <c r="AR130" i="23"/>
  <c r="AS130" i="23"/>
  <c r="AT130" i="23"/>
  <c r="AU130" i="23"/>
  <c r="AV130" i="23"/>
  <c r="AW130" i="23"/>
  <c r="AX130" i="23"/>
  <c r="AY130" i="23"/>
  <c r="AZ130" i="23"/>
  <c r="BA130" i="23"/>
  <c r="BB130" i="23"/>
  <c r="BC130" i="23"/>
  <c r="BD130" i="23"/>
  <c r="BE130" i="23"/>
  <c r="BF130" i="23"/>
  <c r="BG130" i="23"/>
  <c r="BH130" i="23"/>
  <c r="E129" i="23"/>
  <c r="F129" i="23"/>
  <c r="G129" i="23"/>
  <c r="H129" i="23"/>
  <c r="I129" i="23"/>
  <c r="J129" i="23"/>
  <c r="K129" i="23"/>
  <c r="L129" i="23"/>
  <c r="M129" i="23"/>
  <c r="N129" i="23"/>
  <c r="O129" i="23"/>
  <c r="P129" i="23"/>
  <c r="Q129" i="23"/>
  <c r="R129" i="23"/>
  <c r="S129" i="23"/>
  <c r="T129" i="23"/>
  <c r="U129" i="23"/>
  <c r="V129" i="23"/>
  <c r="W129" i="23"/>
  <c r="X129" i="23"/>
  <c r="Y129" i="23"/>
  <c r="Z129" i="23"/>
  <c r="AA129" i="23"/>
  <c r="AB129" i="23"/>
  <c r="AC129" i="23"/>
  <c r="AD129" i="23"/>
  <c r="AE129" i="23"/>
  <c r="AF129" i="23"/>
  <c r="AG129" i="23"/>
  <c r="AH129" i="23"/>
  <c r="AI129" i="23"/>
  <c r="AJ129" i="23"/>
  <c r="AK129" i="23"/>
  <c r="AL129" i="23"/>
  <c r="AM129" i="23"/>
  <c r="AN129" i="23"/>
  <c r="AO129" i="23"/>
  <c r="AP129" i="23"/>
  <c r="AQ129" i="23"/>
  <c r="AR129" i="23"/>
  <c r="AS129" i="23"/>
  <c r="AT129" i="23"/>
  <c r="AU129" i="23"/>
  <c r="AV129" i="23"/>
  <c r="AW129" i="23"/>
  <c r="AX129" i="23"/>
  <c r="AY129" i="23"/>
  <c r="AZ129" i="23"/>
  <c r="BA129" i="23"/>
  <c r="BB129" i="23"/>
  <c r="BC129" i="23"/>
  <c r="BD129" i="23"/>
  <c r="BE129" i="23"/>
  <c r="BF129" i="23"/>
  <c r="BG129" i="23"/>
  <c r="BH129" i="23"/>
  <c r="E128" i="23"/>
  <c r="F128" i="23"/>
  <c r="G128" i="23"/>
  <c r="H128" i="23"/>
  <c r="I128" i="23"/>
  <c r="J128" i="23"/>
  <c r="K128" i="23"/>
  <c r="L128" i="23"/>
  <c r="M128" i="23"/>
  <c r="N128" i="23"/>
  <c r="O128" i="23"/>
  <c r="P128" i="23"/>
  <c r="Q128" i="23"/>
  <c r="R128" i="23"/>
  <c r="S128" i="23"/>
  <c r="T128" i="23"/>
  <c r="U128" i="23"/>
  <c r="V128" i="23"/>
  <c r="W128" i="23"/>
  <c r="X128" i="23"/>
  <c r="Y128" i="23"/>
  <c r="Z128" i="23"/>
  <c r="AA128" i="23"/>
  <c r="AB128" i="23"/>
  <c r="AC128" i="23"/>
  <c r="AD128" i="23"/>
  <c r="AE128" i="23"/>
  <c r="AF128" i="23"/>
  <c r="AG128" i="23"/>
  <c r="AH128" i="23"/>
  <c r="AI128" i="23"/>
  <c r="AJ128" i="23"/>
  <c r="AK128" i="23"/>
  <c r="AL128" i="23"/>
  <c r="AM128" i="23"/>
  <c r="AN128" i="23"/>
  <c r="AO128" i="23"/>
  <c r="AP128" i="23"/>
  <c r="AQ128" i="23"/>
  <c r="AR128" i="23"/>
  <c r="AS128" i="23"/>
  <c r="AT128" i="23"/>
  <c r="AU128" i="23"/>
  <c r="AV128" i="23"/>
  <c r="AW128" i="23"/>
  <c r="AX128" i="23"/>
  <c r="AY128" i="23"/>
  <c r="AZ128" i="23"/>
  <c r="BA128" i="23"/>
  <c r="BB128" i="23"/>
  <c r="BC128" i="23"/>
  <c r="BD128" i="23"/>
  <c r="BE128" i="23"/>
  <c r="BF128" i="23"/>
  <c r="BG128" i="23"/>
  <c r="BH128" i="23"/>
  <c r="E127" i="23"/>
  <c r="F127" i="23"/>
  <c r="G127" i="23"/>
  <c r="H127" i="23"/>
  <c r="I127" i="23"/>
  <c r="J127" i="23"/>
  <c r="K127" i="23"/>
  <c r="L127" i="23"/>
  <c r="M127" i="23"/>
  <c r="N127" i="23"/>
  <c r="O127" i="23"/>
  <c r="P127" i="23"/>
  <c r="Q127" i="23"/>
  <c r="R127" i="23"/>
  <c r="S127" i="23"/>
  <c r="T127" i="23"/>
  <c r="U127" i="23"/>
  <c r="V127" i="23"/>
  <c r="W127" i="23"/>
  <c r="X127" i="23"/>
  <c r="Y127" i="23"/>
  <c r="Z127" i="23"/>
  <c r="AA127" i="23"/>
  <c r="AB127" i="23"/>
  <c r="AC127" i="23"/>
  <c r="AD127" i="23"/>
  <c r="AE127" i="23"/>
  <c r="AF127" i="23"/>
  <c r="AG127" i="23"/>
  <c r="AH127" i="23"/>
  <c r="AI127" i="23"/>
  <c r="AJ127" i="23"/>
  <c r="AK127" i="23"/>
  <c r="AL127" i="23"/>
  <c r="AM127" i="23"/>
  <c r="AN127" i="23"/>
  <c r="AO127" i="23"/>
  <c r="AP127" i="23"/>
  <c r="AQ127" i="23"/>
  <c r="AR127" i="23"/>
  <c r="AS127" i="23"/>
  <c r="AT127" i="23"/>
  <c r="AU127" i="23"/>
  <c r="AV127" i="23"/>
  <c r="AW127" i="23"/>
  <c r="AX127" i="23"/>
  <c r="AY127" i="23"/>
  <c r="AZ127" i="23"/>
  <c r="BA127" i="23"/>
  <c r="BB127" i="23"/>
  <c r="BC127" i="23"/>
  <c r="BD127" i="23"/>
  <c r="BE127" i="23"/>
  <c r="BF127" i="23"/>
  <c r="BG127" i="23"/>
  <c r="BH127" i="23"/>
  <c r="E126" i="23"/>
  <c r="F126" i="23"/>
  <c r="G126" i="23"/>
  <c r="H126" i="23"/>
  <c r="I126" i="23"/>
  <c r="J126" i="23"/>
  <c r="K126" i="23"/>
  <c r="L126" i="23"/>
  <c r="M126" i="23"/>
  <c r="N126" i="23"/>
  <c r="O126" i="23"/>
  <c r="P126" i="23"/>
  <c r="Q126" i="23"/>
  <c r="R126" i="23"/>
  <c r="S126" i="23"/>
  <c r="T126" i="23"/>
  <c r="U126" i="23"/>
  <c r="V126" i="23"/>
  <c r="W126" i="23"/>
  <c r="X126" i="23"/>
  <c r="Y126" i="23"/>
  <c r="Z126" i="23"/>
  <c r="AA126" i="23"/>
  <c r="AB126" i="23"/>
  <c r="AC126" i="23"/>
  <c r="AD126" i="23"/>
  <c r="AE126" i="23"/>
  <c r="AF126" i="23"/>
  <c r="AG126" i="23"/>
  <c r="AH126" i="23"/>
  <c r="AI126" i="23"/>
  <c r="AJ126" i="23"/>
  <c r="AK126" i="23"/>
  <c r="AL126" i="23"/>
  <c r="AM126" i="23"/>
  <c r="AN126" i="23"/>
  <c r="AO126" i="23"/>
  <c r="AP126" i="23"/>
  <c r="AQ126" i="23"/>
  <c r="AR126" i="23"/>
  <c r="AS126" i="23"/>
  <c r="AT126" i="23"/>
  <c r="AU126" i="23"/>
  <c r="AV126" i="23"/>
  <c r="AW126" i="23"/>
  <c r="AX126" i="23"/>
  <c r="AY126" i="23"/>
  <c r="AZ126" i="23"/>
  <c r="BA126" i="23"/>
  <c r="BB126" i="23"/>
  <c r="BC126" i="23"/>
  <c r="BD126" i="23"/>
  <c r="BE126" i="23"/>
  <c r="BF126" i="23"/>
  <c r="BG126" i="23"/>
  <c r="BH126" i="23"/>
  <c r="E125" i="23"/>
  <c r="F125" i="23"/>
  <c r="G125" i="23"/>
  <c r="H125" i="23"/>
  <c r="I125" i="23"/>
  <c r="J125" i="23"/>
  <c r="K125" i="23"/>
  <c r="L125" i="23"/>
  <c r="M125" i="23"/>
  <c r="N125" i="23"/>
  <c r="O125" i="23"/>
  <c r="P125" i="23"/>
  <c r="Q125" i="23"/>
  <c r="R125" i="23"/>
  <c r="S125" i="23"/>
  <c r="T125" i="23"/>
  <c r="U125" i="23"/>
  <c r="V125" i="23"/>
  <c r="W125" i="23"/>
  <c r="X125" i="23"/>
  <c r="Y125" i="23"/>
  <c r="Z125" i="23"/>
  <c r="AA125" i="23"/>
  <c r="AB125" i="23"/>
  <c r="AC125" i="23"/>
  <c r="AD125" i="23"/>
  <c r="AE125" i="23"/>
  <c r="AF125" i="23"/>
  <c r="AG125" i="23"/>
  <c r="AH125" i="23"/>
  <c r="AI125" i="23"/>
  <c r="AJ125" i="23"/>
  <c r="AK125" i="23"/>
  <c r="AL125" i="23"/>
  <c r="AM125" i="23"/>
  <c r="AN125" i="23"/>
  <c r="AO125" i="23"/>
  <c r="AP125" i="23"/>
  <c r="AQ125" i="23"/>
  <c r="AR125" i="23"/>
  <c r="AS125" i="23"/>
  <c r="AT125" i="23"/>
  <c r="AU125" i="23"/>
  <c r="AV125" i="23"/>
  <c r="AW125" i="23"/>
  <c r="AX125" i="23"/>
  <c r="AY125" i="23"/>
  <c r="AZ125" i="23"/>
  <c r="BA125" i="23"/>
  <c r="BB125" i="23"/>
  <c r="BC125" i="23"/>
  <c r="BD125" i="23"/>
  <c r="BE125" i="23"/>
  <c r="BF125" i="23"/>
  <c r="BG125" i="23"/>
  <c r="BH125" i="23"/>
  <c r="E124" i="23"/>
  <c r="F124" i="23"/>
  <c r="G124" i="23"/>
  <c r="H124" i="23"/>
  <c r="I124" i="23"/>
  <c r="J124" i="23"/>
  <c r="K124" i="23"/>
  <c r="L124" i="23"/>
  <c r="M124" i="23"/>
  <c r="N124" i="23"/>
  <c r="O124" i="23"/>
  <c r="P124" i="23"/>
  <c r="Q124" i="23"/>
  <c r="R124" i="23"/>
  <c r="S124" i="23"/>
  <c r="T124" i="23"/>
  <c r="U124" i="23"/>
  <c r="V124" i="23"/>
  <c r="W124" i="23"/>
  <c r="X124" i="23"/>
  <c r="Y124" i="23"/>
  <c r="Z124" i="23"/>
  <c r="AA124" i="23"/>
  <c r="AB124" i="23"/>
  <c r="AC124" i="23"/>
  <c r="AD124" i="23"/>
  <c r="AE124" i="23"/>
  <c r="AF124" i="23"/>
  <c r="AG124" i="23"/>
  <c r="AH124" i="23"/>
  <c r="AI124" i="23"/>
  <c r="AJ124" i="23"/>
  <c r="AK124" i="23"/>
  <c r="AL124" i="23"/>
  <c r="AM124" i="23"/>
  <c r="AN124" i="23"/>
  <c r="AO124" i="23"/>
  <c r="AP124" i="23"/>
  <c r="AQ124" i="23"/>
  <c r="AR124" i="23"/>
  <c r="AS124" i="23"/>
  <c r="AT124" i="23"/>
  <c r="AU124" i="23"/>
  <c r="AV124" i="23"/>
  <c r="AW124" i="23"/>
  <c r="AX124" i="23"/>
  <c r="AY124" i="23"/>
  <c r="AZ124" i="23"/>
  <c r="BA124" i="23"/>
  <c r="BB124" i="23"/>
  <c r="BC124" i="23"/>
  <c r="BD124" i="23"/>
  <c r="BE124" i="23"/>
  <c r="BF124" i="23"/>
  <c r="BG124" i="23"/>
  <c r="BH124" i="23"/>
  <c r="E123" i="23"/>
  <c r="F123" i="23"/>
  <c r="G123" i="23"/>
  <c r="H123" i="23"/>
  <c r="I123" i="23"/>
  <c r="J123" i="23"/>
  <c r="K123" i="23"/>
  <c r="L123" i="23"/>
  <c r="M123" i="23"/>
  <c r="N123" i="23"/>
  <c r="O123" i="23"/>
  <c r="P123" i="23"/>
  <c r="Q123" i="23"/>
  <c r="R123" i="23"/>
  <c r="S123" i="23"/>
  <c r="T123" i="23"/>
  <c r="U123" i="23"/>
  <c r="V123" i="23"/>
  <c r="W123" i="23"/>
  <c r="X123" i="23"/>
  <c r="Y123" i="23"/>
  <c r="Z123" i="23"/>
  <c r="AA123" i="23"/>
  <c r="AB123" i="23"/>
  <c r="AC123" i="23"/>
  <c r="AD123" i="23"/>
  <c r="AE123" i="23"/>
  <c r="AF123" i="23"/>
  <c r="AG123" i="23"/>
  <c r="AH123" i="23"/>
  <c r="AI123" i="23"/>
  <c r="AJ123" i="23"/>
  <c r="AK123" i="23"/>
  <c r="AL123" i="23"/>
  <c r="AM123" i="23"/>
  <c r="AN123" i="23"/>
  <c r="AO123" i="23"/>
  <c r="AP123" i="23"/>
  <c r="AQ123" i="23"/>
  <c r="AR123" i="23"/>
  <c r="AS123" i="23"/>
  <c r="AT123" i="23"/>
  <c r="AU123" i="23"/>
  <c r="AV123" i="23"/>
  <c r="AW123" i="23"/>
  <c r="AX123" i="23"/>
  <c r="AY123" i="23"/>
  <c r="AZ123" i="23"/>
  <c r="BA123" i="23"/>
  <c r="BB123" i="23"/>
  <c r="BC123" i="23"/>
  <c r="BD123" i="23"/>
  <c r="BE123" i="23"/>
  <c r="BF123" i="23"/>
  <c r="BG123" i="23"/>
  <c r="BH123" i="23"/>
  <c r="E122" i="23"/>
  <c r="F122" i="23"/>
  <c r="G122" i="23"/>
  <c r="H122" i="23"/>
  <c r="I122" i="23"/>
  <c r="J122" i="23"/>
  <c r="K122" i="23"/>
  <c r="L122" i="23"/>
  <c r="M122" i="23"/>
  <c r="N122" i="23"/>
  <c r="O122" i="23"/>
  <c r="P122" i="23"/>
  <c r="Q122" i="23"/>
  <c r="R122" i="23"/>
  <c r="S122" i="23"/>
  <c r="T122" i="23"/>
  <c r="U122" i="23"/>
  <c r="V122" i="23"/>
  <c r="W122" i="23"/>
  <c r="X122" i="23"/>
  <c r="Y122" i="23"/>
  <c r="Z122" i="23"/>
  <c r="AA122" i="23"/>
  <c r="AB122" i="23"/>
  <c r="AC122" i="23"/>
  <c r="AD122" i="23"/>
  <c r="AE122" i="23"/>
  <c r="AF122" i="23"/>
  <c r="AG122" i="23"/>
  <c r="AH122" i="23"/>
  <c r="AI122" i="23"/>
  <c r="AJ122" i="23"/>
  <c r="AK122" i="23"/>
  <c r="AL122" i="23"/>
  <c r="AM122" i="23"/>
  <c r="AN122" i="23"/>
  <c r="AO122" i="23"/>
  <c r="AP122" i="23"/>
  <c r="AQ122" i="23"/>
  <c r="AR122" i="23"/>
  <c r="AS122" i="23"/>
  <c r="AT122" i="23"/>
  <c r="AU122" i="23"/>
  <c r="AV122" i="23"/>
  <c r="AW122" i="23"/>
  <c r="AX122" i="23"/>
  <c r="AY122" i="23"/>
  <c r="AZ122" i="23"/>
  <c r="BA122" i="23"/>
  <c r="BB122" i="23"/>
  <c r="BC122" i="23"/>
  <c r="BD122" i="23"/>
  <c r="BE122" i="23"/>
  <c r="BF122" i="23"/>
  <c r="BG122" i="23"/>
  <c r="BH122" i="23"/>
  <c r="E121" i="23"/>
  <c r="F121" i="23"/>
  <c r="G121" i="23"/>
  <c r="H121" i="23"/>
  <c r="I121" i="23"/>
  <c r="J121" i="23"/>
  <c r="K121" i="23"/>
  <c r="L121" i="23"/>
  <c r="M121" i="23"/>
  <c r="N121" i="23"/>
  <c r="O121" i="23"/>
  <c r="P121" i="23"/>
  <c r="Q121" i="23"/>
  <c r="R121" i="23"/>
  <c r="S121" i="23"/>
  <c r="T121" i="23"/>
  <c r="U121" i="23"/>
  <c r="V121" i="23"/>
  <c r="W121" i="23"/>
  <c r="X121" i="23"/>
  <c r="Y121" i="23"/>
  <c r="Z121" i="23"/>
  <c r="AA121" i="23"/>
  <c r="AB121" i="23"/>
  <c r="AC121" i="23"/>
  <c r="AD121" i="23"/>
  <c r="AE121" i="23"/>
  <c r="AF121" i="23"/>
  <c r="AG121" i="23"/>
  <c r="AH121" i="23"/>
  <c r="AI121" i="23"/>
  <c r="AJ121" i="23"/>
  <c r="AK121" i="23"/>
  <c r="AL121" i="23"/>
  <c r="AM121" i="23"/>
  <c r="AN121" i="23"/>
  <c r="AO121" i="23"/>
  <c r="AP121" i="23"/>
  <c r="AQ121" i="23"/>
  <c r="AR121" i="23"/>
  <c r="AS121" i="23"/>
  <c r="AT121" i="23"/>
  <c r="AU121" i="23"/>
  <c r="AV121" i="23"/>
  <c r="AW121" i="23"/>
  <c r="AX121" i="23"/>
  <c r="AY121" i="23"/>
  <c r="AZ121" i="23"/>
  <c r="BA121" i="23"/>
  <c r="BB121" i="23"/>
  <c r="BC121" i="23"/>
  <c r="BD121" i="23"/>
  <c r="BE121" i="23"/>
  <c r="BF121" i="23"/>
  <c r="BG121" i="23"/>
  <c r="BH121" i="23"/>
  <c r="E120" i="23"/>
  <c r="F120" i="23"/>
  <c r="G120" i="23"/>
  <c r="H120" i="23"/>
  <c r="I120" i="23"/>
  <c r="J120" i="23"/>
  <c r="K120" i="23"/>
  <c r="L120" i="23"/>
  <c r="M120" i="23"/>
  <c r="N120" i="23"/>
  <c r="O120" i="23"/>
  <c r="P120" i="23"/>
  <c r="Q120" i="23"/>
  <c r="R120" i="23"/>
  <c r="S120" i="23"/>
  <c r="T120" i="23"/>
  <c r="U120" i="23"/>
  <c r="V120" i="23"/>
  <c r="W120" i="23"/>
  <c r="X120" i="23"/>
  <c r="Y120" i="23"/>
  <c r="Z120" i="23"/>
  <c r="AA120" i="23"/>
  <c r="AB120" i="23"/>
  <c r="AC120" i="23"/>
  <c r="AD120" i="23"/>
  <c r="AE120" i="23"/>
  <c r="AF120" i="23"/>
  <c r="AG120" i="23"/>
  <c r="AH120" i="23"/>
  <c r="AI120" i="23"/>
  <c r="AJ120" i="23"/>
  <c r="AK120" i="23"/>
  <c r="AL120" i="23"/>
  <c r="AM120" i="23"/>
  <c r="AN120" i="23"/>
  <c r="AO120" i="23"/>
  <c r="AP120" i="23"/>
  <c r="AQ120" i="23"/>
  <c r="AR120" i="23"/>
  <c r="AS120" i="23"/>
  <c r="AT120" i="23"/>
  <c r="AU120" i="23"/>
  <c r="AV120" i="23"/>
  <c r="AW120" i="23"/>
  <c r="AX120" i="23"/>
  <c r="AY120" i="23"/>
  <c r="AZ120" i="23"/>
  <c r="BA120" i="23"/>
  <c r="BB120" i="23"/>
  <c r="BC120" i="23"/>
  <c r="BD120" i="23"/>
  <c r="BE120" i="23"/>
  <c r="BF120" i="23"/>
  <c r="BG120" i="23"/>
  <c r="BH120" i="23"/>
  <c r="E119" i="23"/>
  <c r="F119" i="23"/>
  <c r="G119" i="23"/>
  <c r="H119" i="23"/>
  <c r="I119" i="23"/>
  <c r="J119" i="23"/>
  <c r="K119" i="23"/>
  <c r="L119" i="23"/>
  <c r="M119" i="23"/>
  <c r="N119" i="23"/>
  <c r="O119" i="23"/>
  <c r="P119" i="23"/>
  <c r="Q119" i="23"/>
  <c r="R119" i="23"/>
  <c r="S119" i="23"/>
  <c r="T119" i="23"/>
  <c r="U119" i="23"/>
  <c r="V119" i="23"/>
  <c r="W119" i="23"/>
  <c r="X119" i="23"/>
  <c r="Y119" i="23"/>
  <c r="Z119" i="23"/>
  <c r="AA119" i="23"/>
  <c r="AB119" i="23"/>
  <c r="AC119" i="23"/>
  <c r="AD119" i="23"/>
  <c r="AE119" i="23"/>
  <c r="AF119" i="23"/>
  <c r="AG119" i="23"/>
  <c r="AH119" i="23"/>
  <c r="AI119" i="23"/>
  <c r="AJ119" i="23"/>
  <c r="AK119" i="23"/>
  <c r="AL119" i="23"/>
  <c r="AM119" i="23"/>
  <c r="AN119" i="23"/>
  <c r="AO119" i="23"/>
  <c r="AP119" i="23"/>
  <c r="AQ119" i="23"/>
  <c r="AR119" i="23"/>
  <c r="AS119" i="23"/>
  <c r="AT119" i="23"/>
  <c r="AU119" i="23"/>
  <c r="AV119" i="23"/>
  <c r="AW119" i="23"/>
  <c r="AX119" i="23"/>
  <c r="AY119" i="23"/>
  <c r="AZ119" i="23"/>
  <c r="BA119" i="23"/>
  <c r="BB119" i="23"/>
  <c r="BC119" i="23"/>
  <c r="BD119" i="23"/>
  <c r="BE119" i="23"/>
  <c r="BF119" i="23"/>
  <c r="BG119" i="23"/>
  <c r="BH119" i="23"/>
  <c r="E118" i="23"/>
  <c r="F118" i="23"/>
  <c r="G118" i="23"/>
  <c r="H118" i="23"/>
  <c r="I118" i="23"/>
  <c r="J118" i="23"/>
  <c r="K118" i="23"/>
  <c r="L118" i="23"/>
  <c r="M118" i="23"/>
  <c r="N118" i="23"/>
  <c r="O118" i="23"/>
  <c r="P118" i="23"/>
  <c r="Q118" i="23"/>
  <c r="R118" i="23"/>
  <c r="S118" i="23"/>
  <c r="T118" i="23"/>
  <c r="U118" i="23"/>
  <c r="V118" i="23"/>
  <c r="W118" i="23"/>
  <c r="X118" i="23"/>
  <c r="Y118" i="23"/>
  <c r="Z118" i="23"/>
  <c r="AA118" i="23"/>
  <c r="AB118" i="23"/>
  <c r="AC118" i="23"/>
  <c r="AD118" i="23"/>
  <c r="AE118" i="23"/>
  <c r="AF118" i="23"/>
  <c r="AG118" i="23"/>
  <c r="AH118" i="23"/>
  <c r="AI118" i="23"/>
  <c r="AJ118" i="23"/>
  <c r="AK118" i="23"/>
  <c r="AL118" i="23"/>
  <c r="AM118" i="23"/>
  <c r="AN118" i="23"/>
  <c r="AO118" i="23"/>
  <c r="AP118" i="23"/>
  <c r="AQ118" i="23"/>
  <c r="AR118" i="23"/>
  <c r="AS118" i="23"/>
  <c r="AT118" i="23"/>
  <c r="AU118" i="23"/>
  <c r="AV118" i="23"/>
  <c r="AW118" i="23"/>
  <c r="AX118" i="23"/>
  <c r="AY118" i="23"/>
  <c r="AZ118" i="23"/>
  <c r="BA118" i="23"/>
  <c r="BB118" i="23"/>
  <c r="BC118" i="23"/>
  <c r="BD118" i="23"/>
  <c r="BE118" i="23"/>
  <c r="BF118" i="23"/>
  <c r="BG118" i="23"/>
  <c r="BH118" i="23"/>
  <c r="E117" i="23"/>
  <c r="F117" i="23"/>
  <c r="G117" i="23"/>
  <c r="H117" i="23"/>
  <c r="I117" i="23"/>
  <c r="J117" i="23"/>
  <c r="K117" i="23"/>
  <c r="L117" i="23"/>
  <c r="M117" i="23"/>
  <c r="N117" i="23"/>
  <c r="O117" i="23"/>
  <c r="P117" i="23"/>
  <c r="Q117" i="23"/>
  <c r="R117" i="23"/>
  <c r="S117" i="23"/>
  <c r="T117" i="23"/>
  <c r="U117" i="23"/>
  <c r="V117" i="23"/>
  <c r="W117" i="23"/>
  <c r="X117" i="23"/>
  <c r="Y117" i="23"/>
  <c r="Z117" i="23"/>
  <c r="AA117" i="23"/>
  <c r="AB117" i="23"/>
  <c r="AC117" i="23"/>
  <c r="AD117" i="23"/>
  <c r="AE117" i="23"/>
  <c r="AF117" i="23"/>
  <c r="AG117" i="23"/>
  <c r="AH117" i="23"/>
  <c r="AI117" i="23"/>
  <c r="AJ117" i="23"/>
  <c r="AK117" i="23"/>
  <c r="AL117" i="23"/>
  <c r="AM117" i="23"/>
  <c r="AN117" i="23"/>
  <c r="AO117" i="23"/>
  <c r="AP117" i="23"/>
  <c r="AQ117" i="23"/>
  <c r="AR117" i="23"/>
  <c r="AS117" i="23"/>
  <c r="AT117" i="23"/>
  <c r="AU117" i="23"/>
  <c r="AV117" i="23"/>
  <c r="AW117" i="23"/>
  <c r="AX117" i="23"/>
  <c r="AY117" i="23"/>
  <c r="AZ117" i="23"/>
  <c r="BA117" i="23"/>
  <c r="BB117" i="23"/>
  <c r="BC117" i="23"/>
  <c r="BD117" i="23"/>
  <c r="BE117" i="23"/>
  <c r="BF117" i="23"/>
  <c r="BG117" i="23"/>
  <c r="BH117" i="23"/>
  <c r="E116" i="23"/>
  <c r="F116" i="23"/>
  <c r="G116" i="23"/>
  <c r="H116" i="23"/>
  <c r="I116" i="23"/>
  <c r="J116" i="23"/>
  <c r="K116" i="23"/>
  <c r="L116" i="23"/>
  <c r="M116" i="23"/>
  <c r="N116" i="23"/>
  <c r="O116" i="23"/>
  <c r="P116" i="23"/>
  <c r="Q116" i="23"/>
  <c r="R116" i="23"/>
  <c r="S116" i="23"/>
  <c r="T116" i="23"/>
  <c r="U116" i="23"/>
  <c r="V116" i="23"/>
  <c r="W116" i="23"/>
  <c r="X116" i="23"/>
  <c r="Y116" i="23"/>
  <c r="Z116" i="23"/>
  <c r="AA116" i="23"/>
  <c r="AB116" i="23"/>
  <c r="AC116" i="23"/>
  <c r="AD116" i="23"/>
  <c r="AE116" i="23"/>
  <c r="AF116" i="23"/>
  <c r="AG116" i="23"/>
  <c r="AH116" i="23"/>
  <c r="AI116" i="23"/>
  <c r="AJ116" i="23"/>
  <c r="AK116" i="23"/>
  <c r="AL116" i="23"/>
  <c r="AM116" i="23"/>
  <c r="AN116" i="23"/>
  <c r="AO116" i="23"/>
  <c r="AP116" i="23"/>
  <c r="AQ116" i="23"/>
  <c r="AR116" i="23"/>
  <c r="AS116" i="23"/>
  <c r="AT116" i="23"/>
  <c r="AU116" i="23"/>
  <c r="AV116" i="23"/>
  <c r="AW116" i="23"/>
  <c r="AX116" i="23"/>
  <c r="AY116" i="23"/>
  <c r="AZ116" i="23"/>
  <c r="BA116" i="23"/>
  <c r="BB116" i="23"/>
  <c r="BC116" i="23"/>
  <c r="BD116" i="23"/>
  <c r="BE116" i="23"/>
  <c r="BF116" i="23"/>
  <c r="BG116" i="23"/>
  <c r="BH116" i="23"/>
  <c r="E115" i="23"/>
  <c r="F115" i="23"/>
  <c r="G115" i="23"/>
  <c r="H115" i="23"/>
  <c r="I115" i="23"/>
  <c r="J115" i="23"/>
  <c r="K115" i="23"/>
  <c r="L115" i="23"/>
  <c r="M115" i="23"/>
  <c r="N115" i="23"/>
  <c r="O115" i="23"/>
  <c r="P115" i="23"/>
  <c r="Q115" i="23"/>
  <c r="R115" i="23"/>
  <c r="S115" i="23"/>
  <c r="T115" i="23"/>
  <c r="U115" i="23"/>
  <c r="V115" i="23"/>
  <c r="W115" i="23"/>
  <c r="X115" i="23"/>
  <c r="Y115" i="23"/>
  <c r="Z115" i="23"/>
  <c r="AA115" i="23"/>
  <c r="AB115" i="23"/>
  <c r="AC115" i="23"/>
  <c r="AD115" i="23"/>
  <c r="AE115" i="23"/>
  <c r="AF115" i="23"/>
  <c r="AG115" i="23"/>
  <c r="AH115" i="23"/>
  <c r="AI115" i="23"/>
  <c r="AJ115" i="23"/>
  <c r="AK115" i="23"/>
  <c r="AL115" i="23"/>
  <c r="AM115" i="23"/>
  <c r="AN115" i="23"/>
  <c r="AO115" i="23"/>
  <c r="AP115" i="23"/>
  <c r="AQ115" i="23"/>
  <c r="AR115" i="23"/>
  <c r="AS115" i="23"/>
  <c r="AT115" i="23"/>
  <c r="AU115" i="23"/>
  <c r="AV115" i="23"/>
  <c r="AW115" i="23"/>
  <c r="AX115" i="23"/>
  <c r="AY115" i="23"/>
  <c r="AZ115" i="23"/>
  <c r="BA115" i="23"/>
  <c r="BB115" i="23"/>
  <c r="BC115" i="23"/>
  <c r="BD115" i="23"/>
  <c r="BE115" i="23"/>
  <c r="BF115" i="23"/>
  <c r="BG115" i="23"/>
  <c r="BH115" i="23"/>
  <c r="E114" i="23"/>
  <c r="F114" i="23"/>
  <c r="G114" i="23"/>
  <c r="H114" i="23"/>
  <c r="I114" i="23"/>
  <c r="J114" i="23"/>
  <c r="K114" i="23"/>
  <c r="L114" i="23"/>
  <c r="M114" i="23"/>
  <c r="N114" i="23"/>
  <c r="O114" i="23"/>
  <c r="P114" i="23"/>
  <c r="Q114" i="23"/>
  <c r="R114" i="23"/>
  <c r="S114" i="23"/>
  <c r="T114" i="23"/>
  <c r="U114" i="23"/>
  <c r="V114" i="23"/>
  <c r="W114" i="23"/>
  <c r="X114" i="23"/>
  <c r="Y114" i="23"/>
  <c r="Z114" i="23"/>
  <c r="AA114" i="23"/>
  <c r="AB114" i="23"/>
  <c r="AC114" i="23"/>
  <c r="AD114" i="23"/>
  <c r="AE114" i="23"/>
  <c r="AF114" i="23"/>
  <c r="AG114" i="23"/>
  <c r="AH114" i="23"/>
  <c r="AI114" i="23"/>
  <c r="AJ114" i="23"/>
  <c r="AK114" i="23"/>
  <c r="AL114" i="23"/>
  <c r="AM114" i="23"/>
  <c r="AN114" i="23"/>
  <c r="AO114" i="23"/>
  <c r="AP114" i="23"/>
  <c r="AQ114" i="23"/>
  <c r="AR114" i="23"/>
  <c r="AS114" i="23"/>
  <c r="AT114" i="23"/>
  <c r="AU114" i="23"/>
  <c r="AV114" i="23"/>
  <c r="AW114" i="23"/>
  <c r="AX114" i="23"/>
  <c r="AY114" i="23"/>
  <c r="AZ114" i="23"/>
  <c r="BA114" i="23"/>
  <c r="BB114" i="23"/>
  <c r="BC114" i="23"/>
  <c r="BD114" i="23"/>
  <c r="BE114" i="23"/>
  <c r="BF114" i="23"/>
  <c r="BG114" i="23"/>
  <c r="BH114" i="23"/>
  <c r="E113" i="23"/>
  <c r="F113" i="23"/>
  <c r="G113" i="23"/>
  <c r="H113" i="23"/>
  <c r="I113" i="23"/>
  <c r="J113" i="23"/>
  <c r="K113" i="23"/>
  <c r="L113" i="23"/>
  <c r="M113" i="23"/>
  <c r="N113" i="23"/>
  <c r="O113" i="23"/>
  <c r="P113" i="23"/>
  <c r="Q113" i="23"/>
  <c r="R113" i="23"/>
  <c r="S113" i="23"/>
  <c r="T113" i="23"/>
  <c r="U113" i="23"/>
  <c r="V113" i="23"/>
  <c r="W113" i="23"/>
  <c r="X113" i="23"/>
  <c r="Y113" i="23"/>
  <c r="Z113" i="23"/>
  <c r="AA113" i="23"/>
  <c r="AB113" i="23"/>
  <c r="AC113" i="23"/>
  <c r="AD113" i="23"/>
  <c r="AE113" i="23"/>
  <c r="AF113" i="23"/>
  <c r="AG113" i="23"/>
  <c r="AH113" i="23"/>
  <c r="AI113" i="23"/>
  <c r="AJ113" i="23"/>
  <c r="AK113" i="23"/>
  <c r="AL113" i="23"/>
  <c r="AM113" i="23"/>
  <c r="AN113" i="23"/>
  <c r="AO113" i="23"/>
  <c r="AP113" i="23"/>
  <c r="AQ113" i="23"/>
  <c r="AR113" i="23"/>
  <c r="AS113" i="23"/>
  <c r="AT113" i="23"/>
  <c r="AU113" i="23"/>
  <c r="AV113" i="23"/>
  <c r="AW113" i="23"/>
  <c r="AX113" i="23"/>
  <c r="AY113" i="23"/>
  <c r="AZ113" i="23"/>
  <c r="BA113" i="23"/>
  <c r="BB113" i="23"/>
  <c r="BC113" i="23"/>
  <c r="BD113" i="23"/>
  <c r="BE113" i="23"/>
  <c r="BF113" i="23"/>
  <c r="BG113" i="23"/>
  <c r="BH113" i="23"/>
  <c r="E112" i="23"/>
  <c r="F112" i="23"/>
  <c r="G112" i="23"/>
  <c r="H112" i="23"/>
  <c r="I112" i="23"/>
  <c r="J112" i="23"/>
  <c r="K112" i="23"/>
  <c r="L112" i="23"/>
  <c r="M112" i="23"/>
  <c r="N112" i="23"/>
  <c r="O112" i="23"/>
  <c r="P112" i="23"/>
  <c r="Q112" i="23"/>
  <c r="R112" i="23"/>
  <c r="S112" i="23"/>
  <c r="T112" i="23"/>
  <c r="U112" i="23"/>
  <c r="V112" i="23"/>
  <c r="W112" i="23"/>
  <c r="X112" i="23"/>
  <c r="Y112" i="23"/>
  <c r="Z112" i="23"/>
  <c r="AA112" i="23"/>
  <c r="AB112" i="23"/>
  <c r="AC112" i="23"/>
  <c r="AD112" i="23"/>
  <c r="AE112" i="23"/>
  <c r="AF112" i="23"/>
  <c r="AG112" i="23"/>
  <c r="AH112" i="23"/>
  <c r="AI112" i="23"/>
  <c r="AJ112" i="23"/>
  <c r="AK112" i="23"/>
  <c r="AL112" i="23"/>
  <c r="AM112" i="23"/>
  <c r="AN112" i="23"/>
  <c r="AO112" i="23"/>
  <c r="AP112" i="23"/>
  <c r="AQ112" i="23"/>
  <c r="AR112" i="23"/>
  <c r="AS112" i="23"/>
  <c r="AT112" i="23"/>
  <c r="AU112" i="23"/>
  <c r="AV112" i="23"/>
  <c r="AW112" i="23"/>
  <c r="AX112" i="23"/>
  <c r="AY112" i="23"/>
  <c r="AZ112" i="23"/>
  <c r="BA112" i="23"/>
  <c r="BB112" i="23"/>
  <c r="BC112" i="23"/>
  <c r="BD112" i="23"/>
  <c r="BE112" i="23"/>
  <c r="BF112" i="23"/>
  <c r="BG112" i="23"/>
  <c r="BH112" i="23"/>
  <c r="E111" i="23"/>
  <c r="F111" i="23"/>
  <c r="G111" i="23"/>
  <c r="H111" i="23"/>
  <c r="I111" i="23"/>
  <c r="J111" i="23"/>
  <c r="K111" i="23"/>
  <c r="L111" i="23"/>
  <c r="M111" i="23"/>
  <c r="N111" i="23"/>
  <c r="O111" i="23"/>
  <c r="P111" i="23"/>
  <c r="Q111" i="23"/>
  <c r="R111" i="23"/>
  <c r="S111" i="23"/>
  <c r="T111" i="23"/>
  <c r="U111" i="23"/>
  <c r="V111" i="23"/>
  <c r="W111" i="23"/>
  <c r="X111" i="23"/>
  <c r="Y111" i="23"/>
  <c r="Z111" i="23"/>
  <c r="AA111" i="23"/>
  <c r="AB111" i="23"/>
  <c r="AC111" i="23"/>
  <c r="AD111" i="23"/>
  <c r="AE111" i="23"/>
  <c r="AF111" i="23"/>
  <c r="AG111" i="23"/>
  <c r="AH111" i="23"/>
  <c r="AI111" i="23"/>
  <c r="AJ111" i="23"/>
  <c r="AK111" i="23"/>
  <c r="AL111" i="23"/>
  <c r="AM111" i="23"/>
  <c r="AN111" i="23"/>
  <c r="AO111" i="23"/>
  <c r="AP111" i="23"/>
  <c r="AQ111" i="23"/>
  <c r="AR111" i="23"/>
  <c r="AS111" i="23"/>
  <c r="AT111" i="23"/>
  <c r="AU111" i="23"/>
  <c r="AV111" i="23"/>
  <c r="AW111" i="23"/>
  <c r="AX111" i="23"/>
  <c r="AY111" i="23"/>
  <c r="AZ111" i="23"/>
  <c r="BA111" i="23"/>
  <c r="BB111" i="23"/>
  <c r="BC111" i="23"/>
  <c r="BD111" i="23"/>
  <c r="BE111" i="23"/>
  <c r="BF111" i="23"/>
  <c r="BG111" i="23"/>
  <c r="BH111" i="23"/>
  <c r="E110" i="23"/>
  <c r="F110" i="23"/>
  <c r="G110" i="23"/>
  <c r="H110" i="23"/>
  <c r="I110" i="23"/>
  <c r="J110" i="23"/>
  <c r="K110" i="23"/>
  <c r="L110" i="23"/>
  <c r="M110" i="23"/>
  <c r="N110" i="23"/>
  <c r="O110" i="23"/>
  <c r="P110" i="23"/>
  <c r="Q110" i="23"/>
  <c r="R110" i="23"/>
  <c r="S110" i="23"/>
  <c r="T110" i="23"/>
  <c r="U110" i="23"/>
  <c r="V110" i="23"/>
  <c r="W110" i="23"/>
  <c r="X110" i="23"/>
  <c r="Y110" i="23"/>
  <c r="Z110" i="23"/>
  <c r="AA110" i="23"/>
  <c r="AB110" i="23"/>
  <c r="AC110" i="23"/>
  <c r="AD110" i="23"/>
  <c r="AE110" i="23"/>
  <c r="AF110" i="23"/>
  <c r="AG110" i="23"/>
  <c r="AH110" i="23"/>
  <c r="AI110" i="23"/>
  <c r="AJ110" i="23"/>
  <c r="AK110" i="23"/>
  <c r="AL110" i="23"/>
  <c r="AM110" i="23"/>
  <c r="AN110" i="23"/>
  <c r="AO110" i="23"/>
  <c r="AP110" i="23"/>
  <c r="AQ110" i="23"/>
  <c r="AR110" i="23"/>
  <c r="AS110" i="23"/>
  <c r="AT110" i="23"/>
  <c r="AU110" i="23"/>
  <c r="AV110" i="23"/>
  <c r="AW110" i="23"/>
  <c r="AX110" i="23"/>
  <c r="AY110" i="23"/>
  <c r="AZ110" i="23"/>
  <c r="BA110" i="23"/>
  <c r="BB110" i="23"/>
  <c r="BC110" i="23"/>
  <c r="BD110" i="23"/>
  <c r="BE110" i="23"/>
  <c r="BF110" i="23"/>
  <c r="BG110" i="23"/>
  <c r="BH110" i="23"/>
  <c r="E109" i="23"/>
  <c r="F109" i="23"/>
  <c r="G109" i="23"/>
  <c r="H109" i="23"/>
  <c r="I109" i="23"/>
  <c r="J109" i="23"/>
  <c r="K109" i="23"/>
  <c r="L109" i="23"/>
  <c r="M109" i="23"/>
  <c r="N109" i="23"/>
  <c r="O109" i="23"/>
  <c r="P109" i="23"/>
  <c r="Q109" i="23"/>
  <c r="R109" i="23"/>
  <c r="S109" i="23"/>
  <c r="T109" i="23"/>
  <c r="U109" i="23"/>
  <c r="V109" i="23"/>
  <c r="W109" i="23"/>
  <c r="X109" i="23"/>
  <c r="Y109" i="23"/>
  <c r="Z109" i="23"/>
  <c r="AA109" i="23"/>
  <c r="AB109" i="23"/>
  <c r="AC109" i="23"/>
  <c r="AD109" i="23"/>
  <c r="AE109" i="23"/>
  <c r="AF109" i="23"/>
  <c r="AG109" i="23"/>
  <c r="AH109" i="23"/>
  <c r="AI109" i="23"/>
  <c r="AJ109" i="23"/>
  <c r="AK109" i="23"/>
  <c r="AL109" i="23"/>
  <c r="AM109" i="23"/>
  <c r="AN109" i="23"/>
  <c r="AO109" i="23"/>
  <c r="AP109" i="23"/>
  <c r="AQ109" i="23"/>
  <c r="AR109" i="23"/>
  <c r="AS109" i="23"/>
  <c r="AT109" i="23"/>
  <c r="AU109" i="23"/>
  <c r="AV109" i="23"/>
  <c r="AW109" i="23"/>
  <c r="AX109" i="23"/>
  <c r="AY109" i="23"/>
  <c r="AZ109" i="23"/>
  <c r="BA109" i="23"/>
  <c r="BB109" i="23"/>
  <c r="BC109" i="23"/>
  <c r="BD109" i="23"/>
  <c r="BE109" i="23"/>
  <c r="BF109" i="23"/>
  <c r="BG109" i="23"/>
  <c r="BH109" i="23"/>
  <c r="E108" i="23"/>
  <c r="F108" i="23"/>
  <c r="G108" i="23"/>
  <c r="H108" i="23"/>
  <c r="I108" i="23"/>
  <c r="J108" i="23"/>
  <c r="K108" i="23"/>
  <c r="L108" i="23"/>
  <c r="M108" i="23"/>
  <c r="N108" i="23"/>
  <c r="O108" i="23"/>
  <c r="P108" i="23"/>
  <c r="Q108" i="23"/>
  <c r="R108" i="23"/>
  <c r="S108" i="23"/>
  <c r="T108" i="23"/>
  <c r="U108" i="23"/>
  <c r="V108" i="23"/>
  <c r="W108" i="23"/>
  <c r="X108" i="23"/>
  <c r="Y108" i="23"/>
  <c r="Z108" i="23"/>
  <c r="AA108" i="23"/>
  <c r="AB108" i="23"/>
  <c r="AC108" i="23"/>
  <c r="AD108" i="23"/>
  <c r="AE108" i="23"/>
  <c r="AF108" i="23"/>
  <c r="AG108" i="23"/>
  <c r="AH108" i="23"/>
  <c r="AI108" i="23"/>
  <c r="AJ108" i="23"/>
  <c r="AK108" i="23"/>
  <c r="AL108" i="23"/>
  <c r="AM108" i="23"/>
  <c r="AN108" i="23"/>
  <c r="AO108" i="23"/>
  <c r="AP108" i="23"/>
  <c r="AQ108" i="23"/>
  <c r="AR108" i="23"/>
  <c r="AS108" i="23"/>
  <c r="AT108" i="23"/>
  <c r="AU108" i="23"/>
  <c r="AV108" i="23"/>
  <c r="AW108" i="23"/>
  <c r="AX108" i="23"/>
  <c r="AY108" i="23"/>
  <c r="AZ108" i="23"/>
  <c r="BA108" i="23"/>
  <c r="BB108" i="23"/>
  <c r="BC108" i="23"/>
  <c r="BD108" i="23"/>
  <c r="BE108" i="23"/>
  <c r="BF108" i="23"/>
  <c r="BG108" i="23"/>
  <c r="BH108" i="23"/>
  <c r="E107" i="23"/>
  <c r="F107" i="23"/>
  <c r="G107" i="23"/>
  <c r="H107" i="23"/>
  <c r="I107" i="23"/>
  <c r="J107" i="23"/>
  <c r="K107" i="23"/>
  <c r="L107" i="23"/>
  <c r="M107" i="23"/>
  <c r="N107" i="23"/>
  <c r="O107" i="23"/>
  <c r="P107" i="23"/>
  <c r="Q107" i="23"/>
  <c r="R107" i="23"/>
  <c r="S107" i="23"/>
  <c r="T107" i="23"/>
  <c r="U107" i="23"/>
  <c r="V107" i="23"/>
  <c r="W107" i="23"/>
  <c r="X107" i="23"/>
  <c r="Y107" i="23"/>
  <c r="Z107" i="23"/>
  <c r="AA107" i="23"/>
  <c r="AB107" i="23"/>
  <c r="AC107" i="23"/>
  <c r="AD107" i="23"/>
  <c r="AE107" i="23"/>
  <c r="AF107" i="23"/>
  <c r="AG107" i="23"/>
  <c r="AH107" i="23"/>
  <c r="AI107" i="23"/>
  <c r="AJ107" i="23"/>
  <c r="AK107" i="23"/>
  <c r="AL107" i="23"/>
  <c r="AM107" i="23"/>
  <c r="AN107" i="23"/>
  <c r="AO107" i="23"/>
  <c r="AP107" i="23"/>
  <c r="AQ107" i="23"/>
  <c r="AR107" i="23"/>
  <c r="AS107" i="23"/>
  <c r="AT107" i="23"/>
  <c r="AU107" i="23"/>
  <c r="AV107" i="23"/>
  <c r="AW107" i="23"/>
  <c r="AX107" i="23"/>
  <c r="AY107" i="23"/>
  <c r="AZ107" i="23"/>
  <c r="BA107" i="23"/>
  <c r="BB107" i="23"/>
  <c r="BC107" i="23"/>
  <c r="BD107" i="23"/>
  <c r="BE107" i="23"/>
  <c r="BF107" i="23"/>
  <c r="BG107" i="23"/>
  <c r="BH107" i="23"/>
  <c r="E106" i="23"/>
  <c r="F106" i="23"/>
  <c r="G106" i="23"/>
  <c r="H106" i="23"/>
  <c r="I106" i="23"/>
  <c r="J106" i="23"/>
  <c r="K106" i="23"/>
  <c r="L106" i="23"/>
  <c r="M106" i="23"/>
  <c r="N106" i="23"/>
  <c r="O106" i="23"/>
  <c r="P106" i="23"/>
  <c r="Q106" i="23"/>
  <c r="R106" i="23"/>
  <c r="S106" i="23"/>
  <c r="T106" i="23"/>
  <c r="U106" i="23"/>
  <c r="V106" i="23"/>
  <c r="W106" i="23"/>
  <c r="X106" i="23"/>
  <c r="Y106" i="23"/>
  <c r="Z106" i="23"/>
  <c r="AA106" i="23"/>
  <c r="AB106" i="23"/>
  <c r="AC106" i="23"/>
  <c r="AD106" i="23"/>
  <c r="AE106" i="23"/>
  <c r="AF106" i="23"/>
  <c r="AG106" i="23"/>
  <c r="AH106" i="23"/>
  <c r="AI106" i="23"/>
  <c r="AJ106" i="23"/>
  <c r="AK106" i="23"/>
  <c r="AL106" i="23"/>
  <c r="AM106" i="23"/>
  <c r="AN106" i="23"/>
  <c r="AO106" i="23"/>
  <c r="AP106" i="23"/>
  <c r="AQ106" i="23"/>
  <c r="AR106" i="23"/>
  <c r="AS106" i="23"/>
  <c r="AT106" i="23"/>
  <c r="AU106" i="23"/>
  <c r="AV106" i="23"/>
  <c r="AW106" i="23"/>
  <c r="AX106" i="23"/>
  <c r="AY106" i="23"/>
  <c r="AZ106" i="23"/>
  <c r="BA106" i="23"/>
  <c r="BB106" i="23"/>
  <c r="BC106" i="23"/>
  <c r="BD106" i="23"/>
  <c r="BE106" i="23"/>
  <c r="BF106" i="23"/>
  <c r="BG106" i="23"/>
  <c r="BH106" i="23"/>
  <c r="E105" i="23"/>
  <c r="F105" i="23"/>
  <c r="G105" i="23"/>
  <c r="H105" i="23"/>
  <c r="I105" i="23"/>
  <c r="J105" i="23"/>
  <c r="K105" i="23"/>
  <c r="L105" i="23"/>
  <c r="M105" i="23"/>
  <c r="N105" i="23"/>
  <c r="O105" i="23"/>
  <c r="P105" i="23"/>
  <c r="Q105" i="23"/>
  <c r="R105" i="23"/>
  <c r="S105" i="23"/>
  <c r="T105" i="23"/>
  <c r="U105" i="23"/>
  <c r="V105" i="23"/>
  <c r="W105" i="23"/>
  <c r="X105" i="23"/>
  <c r="Y105" i="23"/>
  <c r="Z105" i="23"/>
  <c r="AA105" i="23"/>
  <c r="AB105" i="23"/>
  <c r="AC105" i="23"/>
  <c r="AD105" i="23"/>
  <c r="AE105" i="23"/>
  <c r="AF105" i="23"/>
  <c r="AG105" i="23"/>
  <c r="AH105" i="23"/>
  <c r="AI105" i="23"/>
  <c r="AJ105" i="23"/>
  <c r="AK105" i="23"/>
  <c r="AL105" i="23"/>
  <c r="AM105" i="23"/>
  <c r="AN105" i="23"/>
  <c r="AO105" i="23"/>
  <c r="AP105" i="23"/>
  <c r="AQ105" i="23"/>
  <c r="AR105" i="23"/>
  <c r="AS105" i="23"/>
  <c r="AT105" i="23"/>
  <c r="AU105" i="23"/>
  <c r="AV105" i="23"/>
  <c r="AW105" i="23"/>
  <c r="AX105" i="23"/>
  <c r="AY105" i="23"/>
  <c r="AZ105" i="23"/>
  <c r="BA105" i="23"/>
  <c r="BB105" i="23"/>
  <c r="BC105" i="23"/>
  <c r="BD105" i="23"/>
  <c r="BE105" i="23"/>
  <c r="BF105" i="23"/>
  <c r="BG105" i="23"/>
  <c r="BH105" i="23"/>
  <c r="E104" i="23"/>
  <c r="F104" i="23"/>
  <c r="G104" i="23"/>
  <c r="H104" i="23"/>
  <c r="I104" i="23"/>
  <c r="J104" i="23"/>
  <c r="K104" i="23"/>
  <c r="L104" i="23"/>
  <c r="M104" i="23"/>
  <c r="N104" i="23"/>
  <c r="O104" i="23"/>
  <c r="P104" i="23"/>
  <c r="Q104" i="23"/>
  <c r="R104" i="23"/>
  <c r="S104" i="23"/>
  <c r="T104" i="23"/>
  <c r="U104" i="23"/>
  <c r="V104" i="23"/>
  <c r="W104" i="23"/>
  <c r="X104" i="23"/>
  <c r="Y104" i="23"/>
  <c r="Z104" i="23"/>
  <c r="AA104" i="23"/>
  <c r="AB104" i="23"/>
  <c r="AC104" i="23"/>
  <c r="AD104" i="23"/>
  <c r="AE104" i="23"/>
  <c r="AF104" i="23"/>
  <c r="AG104" i="23"/>
  <c r="AH104" i="23"/>
  <c r="AI104" i="23"/>
  <c r="AJ104" i="23"/>
  <c r="AK104" i="23"/>
  <c r="AL104" i="23"/>
  <c r="AM104" i="23"/>
  <c r="AN104" i="23"/>
  <c r="AO104" i="23"/>
  <c r="AP104" i="23"/>
  <c r="AQ104" i="23"/>
  <c r="AR104" i="23"/>
  <c r="AS104" i="23"/>
  <c r="AT104" i="23"/>
  <c r="AU104" i="23"/>
  <c r="AV104" i="23"/>
  <c r="AW104" i="23"/>
  <c r="AX104" i="23"/>
  <c r="AY104" i="23"/>
  <c r="AZ104" i="23"/>
  <c r="BA104" i="23"/>
  <c r="BB104" i="23"/>
  <c r="BC104" i="23"/>
  <c r="BD104" i="23"/>
  <c r="BE104" i="23"/>
  <c r="BF104" i="23"/>
  <c r="BG104" i="23"/>
  <c r="BH104" i="23"/>
  <c r="E103" i="23"/>
  <c r="F103" i="23"/>
  <c r="G103" i="23"/>
  <c r="H103" i="23"/>
  <c r="I103" i="23"/>
  <c r="J103" i="23"/>
  <c r="K103" i="23"/>
  <c r="L103" i="23"/>
  <c r="M103" i="23"/>
  <c r="N103" i="23"/>
  <c r="O103" i="23"/>
  <c r="P103" i="23"/>
  <c r="Q103" i="23"/>
  <c r="R103" i="23"/>
  <c r="S103" i="23"/>
  <c r="T103" i="23"/>
  <c r="U103" i="23"/>
  <c r="V103" i="23"/>
  <c r="W103" i="23"/>
  <c r="X103" i="23"/>
  <c r="Y103" i="23"/>
  <c r="Z103" i="23"/>
  <c r="AA103" i="23"/>
  <c r="AB103" i="23"/>
  <c r="AC103" i="23"/>
  <c r="AD103" i="23"/>
  <c r="AE103" i="23"/>
  <c r="AF103" i="23"/>
  <c r="AG103" i="23"/>
  <c r="AH103" i="23"/>
  <c r="AI103" i="23"/>
  <c r="AJ103" i="23"/>
  <c r="AK103" i="23"/>
  <c r="AL103" i="23"/>
  <c r="AM103" i="23"/>
  <c r="AN103" i="23"/>
  <c r="AO103" i="23"/>
  <c r="AP103" i="23"/>
  <c r="AQ103" i="23"/>
  <c r="AR103" i="23"/>
  <c r="AS103" i="23"/>
  <c r="AT103" i="23"/>
  <c r="AU103" i="23"/>
  <c r="AV103" i="23"/>
  <c r="AW103" i="23"/>
  <c r="AX103" i="23"/>
  <c r="AY103" i="23"/>
  <c r="AZ103" i="23"/>
  <c r="BA103" i="23"/>
  <c r="BB103" i="23"/>
  <c r="BC103" i="23"/>
  <c r="BD103" i="23"/>
  <c r="BE103" i="23"/>
  <c r="BF103" i="23"/>
  <c r="BG103" i="23"/>
  <c r="BH103" i="23"/>
  <c r="E102" i="23"/>
  <c r="F102" i="23"/>
  <c r="G102" i="23"/>
  <c r="H102" i="23"/>
  <c r="I102" i="23"/>
  <c r="J102" i="23"/>
  <c r="K102" i="23"/>
  <c r="L102" i="23"/>
  <c r="M102" i="23"/>
  <c r="N102" i="23"/>
  <c r="O102" i="23"/>
  <c r="P102" i="23"/>
  <c r="Q102" i="23"/>
  <c r="R102" i="23"/>
  <c r="S102" i="23"/>
  <c r="T102" i="23"/>
  <c r="U102" i="23"/>
  <c r="V102" i="23"/>
  <c r="W102" i="23"/>
  <c r="X102" i="23"/>
  <c r="Y102" i="23"/>
  <c r="Z102" i="23"/>
  <c r="AA102" i="23"/>
  <c r="AB102" i="23"/>
  <c r="AC102" i="23"/>
  <c r="AD102" i="23"/>
  <c r="AE102" i="23"/>
  <c r="AF102" i="23"/>
  <c r="AG102" i="23"/>
  <c r="AH102" i="23"/>
  <c r="AI102" i="23"/>
  <c r="AJ102" i="23"/>
  <c r="AK102" i="23"/>
  <c r="AL102" i="23"/>
  <c r="AM102" i="23"/>
  <c r="AN102" i="23"/>
  <c r="AO102" i="23"/>
  <c r="AP102" i="23"/>
  <c r="AQ102" i="23"/>
  <c r="AR102" i="23"/>
  <c r="AS102" i="23"/>
  <c r="AT102" i="23"/>
  <c r="AU102" i="23"/>
  <c r="AV102" i="23"/>
  <c r="AW102" i="23"/>
  <c r="AX102" i="23"/>
  <c r="AY102" i="23"/>
  <c r="AZ102" i="23"/>
  <c r="BA102" i="23"/>
  <c r="BB102" i="23"/>
  <c r="BC102" i="23"/>
  <c r="BD102" i="23"/>
  <c r="BE102" i="23"/>
  <c r="BF102" i="23"/>
  <c r="BG102" i="23"/>
  <c r="BH102" i="23"/>
  <c r="E101" i="23"/>
  <c r="F101" i="23"/>
  <c r="G101" i="23"/>
  <c r="H101" i="23"/>
  <c r="I101" i="23"/>
  <c r="J101" i="23"/>
  <c r="K101" i="23"/>
  <c r="L101" i="23"/>
  <c r="M101" i="23"/>
  <c r="N101" i="23"/>
  <c r="O101" i="23"/>
  <c r="P101" i="23"/>
  <c r="Q101" i="23"/>
  <c r="R101" i="23"/>
  <c r="S101" i="23"/>
  <c r="T101" i="23"/>
  <c r="U101" i="23"/>
  <c r="V101" i="23"/>
  <c r="W101" i="23"/>
  <c r="X101" i="23"/>
  <c r="Y101" i="23"/>
  <c r="Z101" i="23"/>
  <c r="AA101" i="23"/>
  <c r="AB101" i="23"/>
  <c r="AC101" i="23"/>
  <c r="AD101" i="23"/>
  <c r="AE101" i="23"/>
  <c r="AF101" i="23"/>
  <c r="AG101" i="23"/>
  <c r="AH101" i="23"/>
  <c r="AI101" i="23"/>
  <c r="AJ101" i="23"/>
  <c r="AK101" i="23"/>
  <c r="AL101" i="23"/>
  <c r="AM101" i="23"/>
  <c r="AN101" i="23"/>
  <c r="AO101" i="23"/>
  <c r="AP101" i="23"/>
  <c r="AQ101" i="23"/>
  <c r="AR101" i="23"/>
  <c r="AS101" i="23"/>
  <c r="AT101" i="23"/>
  <c r="AU101" i="23"/>
  <c r="AV101" i="23"/>
  <c r="AW101" i="23"/>
  <c r="AX101" i="23"/>
  <c r="AY101" i="23"/>
  <c r="AZ101" i="23"/>
  <c r="BA101" i="23"/>
  <c r="BB101" i="23"/>
  <c r="BC101" i="23"/>
  <c r="BD101" i="23"/>
  <c r="BE101" i="23"/>
  <c r="BF101" i="23"/>
  <c r="BG101" i="23"/>
  <c r="BH101" i="23"/>
  <c r="E100" i="23"/>
  <c r="F100" i="23"/>
  <c r="G100" i="23"/>
  <c r="H100" i="23"/>
  <c r="I100" i="23"/>
  <c r="J100" i="23"/>
  <c r="K100" i="23"/>
  <c r="L100" i="23"/>
  <c r="M100" i="23"/>
  <c r="N100" i="23"/>
  <c r="O100" i="23"/>
  <c r="P100" i="23"/>
  <c r="Q100" i="23"/>
  <c r="R100" i="23"/>
  <c r="S100" i="23"/>
  <c r="T100" i="23"/>
  <c r="U100" i="23"/>
  <c r="V100" i="23"/>
  <c r="W100" i="23"/>
  <c r="X100" i="23"/>
  <c r="Y100" i="23"/>
  <c r="Z100" i="23"/>
  <c r="AA100" i="23"/>
  <c r="AB100" i="23"/>
  <c r="AC100" i="23"/>
  <c r="AD100" i="23"/>
  <c r="AE100" i="23"/>
  <c r="AF100" i="23"/>
  <c r="AG100" i="23"/>
  <c r="AH100" i="23"/>
  <c r="AI100" i="23"/>
  <c r="AJ100" i="23"/>
  <c r="AK100" i="23"/>
  <c r="AL100" i="23"/>
  <c r="AM100" i="23"/>
  <c r="AN100" i="23"/>
  <c r="AO100" i="23"/>
  <c r="AP100" i="23"/>
  <c r="AQ100" i="23"/>
  <c r="AR100" i="23"/>
  <c r="AS100" i="23"/>
  <c r="AT100" i="23"/>
  <c r="AU100" i="23"/>
  <c r="AV100" i="23"/>
  <c r="AW100" i="23"/>
  <c r="AX100" i="23"/>
  <c r="AY100" i="23"/>
  <c r="AZ100" i="23"/>
  <c r="BA100" i="23"/>
  <c r="BB100" i="23"/>
  <c r="BC100" i="23"/>
  <c r="BD100" i="23"/>
  <c r="BE100" i="23"/>
  <c r="BF100" i="23"/>
  <c r="BG100" i="23"/>
  <c r="BH100" i="23"/>
  <c r="E99" i="23"/>
  <c r="F99" i="23"/>
  <c r="G99" i="23"/>
  <c r="H99" i="23"/>
  <c r="I99" i="23"/>
  <c r="J99" i="23"/>
  <c r="K99" i="23"/>
  <c r="L99" i="23"/>
  <c r="M99" i="23"/>
  <c r="N99" i="23"/>
  <c r="O99" i="23"/>
  <c r="P99" i="23"/>
  <c r="Q99" i="23"/>
  <c r="R99" i="23"/>
  <c r="S99" i="23"/>
  <c r="T99" i="23"/>
  <c r="U99" i="23"/>
  <c r="V99" i="23"/>
  <c r="W99" i="23"/>
  <c r="X99" i="23"/>
  <c r="Y99" i="23"/>
  <c r="Z99" i="23"/>
  <c r="AA99" i="23"/>
  <c r="AB99" i="23"/>
  <c r="AC99" i="23"/>
  <c r="AD99" i="23"/>
  <c r="AE99" i="23"/>
  <c r="AF99" i="23"/>
  <c r="AG99" i="23"/>
  <c r="AH99" i="23"/>
  <c r="AI99" i="23"/>
  <c r="AJ99" i="23"/>
  <c r="AK99" i="23"/>
  <c r="AL99" i="23"/>
  <c r="AM99" i="23"/>
  <c r="AN99" i="23"/>
  <c r="AO99" i="23"/>
  <c r="AP99" i="23"/>
  <c r="AQ99" i="23"/>
  <c r="AR99" i="23"/>
  <c r="AS99" i="23"/>
  <c r="AT99" i="23"/>
  <c r="AU99" i="23"/>
  <c r="AV99" i="23"/>
  <c r="AW99" i="23"/>
  <c r="AX99" i="23"/>
  <c r="AY99" i="23"/>
  <c r="AZ99" i="23"/>
  <c r="BA99" i="23"/>
  <c r="BB99" i="23"/>
  <c r="BC99" i="23"/>
  <c r="BD99" i="23"/>
  <c r="BE99" i="23"/>
  <c r="BF99" i="23"/>
  <c r="BG99" i="23"/>
  <c r="BH99" i="23"/>
  <c r="E98" i="23"/>
  <c r="F98" i="23"/>
  <c r="G98" i="23"/>
  <c r="H98" i="23"/>
  <c r="I98" i="23"/>
  <c r="J98" i="23"/>
  <c r="K98" i="23"/>
  <c r="L98" i="23"/>
  <c r="M98" i="23"/>
  <c r="N98" i="23"/>
  <c r="O98" i="23"/>
  <c r="P98" i="23"/>
  <c r="Q98" i="23"/>
  <c r="R98" i="23"/>
  <c r="S98" i="23"/>
  <c r="T98" i="23"/>
  <c r="U98" i="23"/>
  <c r="V98" i="23"/>
  <c r="W98" i="23"/>
  <c r="X98" i="23"/>
  <c r="Y98" i="23"/>
  <c r="Z98" i="23"/>
  <c r="AA98" i="23"/>
  <c r="AB98" i="23"/>
  <c r="AC98" i="23"/>
  <c r="AD98" i="23"/>
  <c r="AE98" i="23"/>
  <c r="AF98" i="23"/>
  <c r="AG98" i="23"/>
  <c r="AH98" i="23"/>
  <c r="AI98" i="23"/>
  <c r="AJ98" i="23"/>
  <c r="AK98" i="23"/>
  <c r="AL98" i="23"/>
  <c r="AM98" i="23"/>
  <c r="AN98" i="23"/>
  <c r="AO98" i="23"/>
  <c r="AP98" i="23"/>
  <c r="AQ98" i="23"/>
  <c r="AR98" i="23"/>
  <c r="AS98" i="23"/>
  <c r="AT98" i="23"/>
  <c r="AU98" i="23"/>
  <c r="AV98" i="23"/>
  <c r="AW98" i="23"/>
  <c r="AX98" i="23"/>
  <c r="AY98" i="23"/>
  <c r="AZ98" i="23"/>
  <c r="BA98" i="23"/>
  <c r="BB98" i="23"/>
  <c r="BC98" i="23"/>
  <c r="BD98" i="23"/>
  <c r="BE98" i="23"/>
  <c r="BF98" i="23"/>
  <c r="BG98" i="23"/>
  <c r="BH98" i="23"/>
  <c r="E97" i="23"/>
  <c r="F97" i="23"/>
  <c r="G97" i="23"/>
  <c r="H97" i="23"/>
  <c r="I97" i="23"/>
  <c r="J97" i="23"/>
  <c r="K97" i="23"/>
  <c r="L97" i="23"/>
  <c r="M97" i="23"/>
  <c r="N97" i="23"/>
  <c r="O97" i="23"/>
  <c r="P97" i="23"/>
  <c r="Q97" i="23"/>
  <c r="R97" i="23"/>
  <c r="S97" i="23"/>
  <c r="T97" i="23"/>
  <c r="U97" i="23"/>
  <c r="V97" i="23"/>
  <c r="W97" i="23"/>
  <c r="X97" i="23"/>
  <c r="Y97" i="23"/>
  <c r="Z97" i="23"/>
  <c r="AA97" i="23"/>
  <c r="AB97" i="23"/>
  <c r="AC97" i="23"/>
  <c r="AD97" i="23"/>
  <c r="AE97" i="23"/>
  <c r="AF97" i="23"/>
  <c r="AG97" i="23"/>
  <c r="AH97" i="23"/>
  <c r="AI97" i="23"/>
  <c r="AJ97" i="23"/>
  <c r="AK97" i="23"/>
  <c r="AL97" i="23"/>
  <c r="AM97" i="23"/>
  <c r="AN97" i="23"/>
  <c r="AO97" i="23"/>
  <c r="AP97" i="23"/>
  <c r="AQ97" i="23"/>
  <c r="AR97" i="23"/>
  <c r="AS97" i="23"/>
  <c r="AT97" i="23"/>
  <c r="AU97" i="23"/>
  <c r="AV97" i="23"/>
  <c r="AW97" i="23"/>
  <c r="AX97" i="23"/>
  <c r="AY97" i="23"/>
  <c r="AZ97" i="23"/>
  <c r="BA97" i="23"/>
  <c r="BB97" i="23"/>
  <c r="BC97" i="23"/>
  <c r="BD97" i="23"/>
  <c r="BE97" i="23"/>
  <c r="BF97" i="23"/>
  <c r="BG97" i="23"/>
  <c r="BH97" i="23"/>
  <c r="E96" i="23"/>
  <c r="F96" i="23"/>
  <c r="G96" i="23"/>
  <c r="H96" i="23"/>
  <c r="I96" i="23"/>
  <c r="J96" i="23"/>
  <c r="K96" i="23"/>
  <c r="L96" i="23"/>
  <c r="M96" i="23"/>
  <c r="N96" i="23"/>
  <c r="O96" i="23"/>
  <c r="P96" i="23"/>
  <c r="Q96" i="23"/>
  <c r="R96" i="23"/>
  <c r="S96" i="23"/>
  <c r="T96" i="23"/>
  <c r="U96" i="23"/>
  <c r="V96" i="23"/>
  <c r="W96" i="23"/>
  <c r="X96" i="23"/>
  <c r="Y96" i="23"/>
  <c r="Z96" i="23"/>
  <c r="AA96" i="23"/>
  <c r="AB96" i="23"/>
  <c r="AC96" i="23"/>
  <c r="AD96" i="23"/>
  <c r="AE96" i="23"/>
  <c r="AF96" i="23"/>
  <c r="AG96" i="23"/>
  <c r="AH96" i="23"/>
  <c r="AI96" i="23"/>
  <c r="AJ96" i="23"/>
  <c r="AK96" i="23"/>
  <c r="AL96" i="23"/>
  <c r="AM96" i="23"/>
  <c r="AN96" i="23"/>
  <c r="AO96" i="23"/>
  <c r="AP96" i="23"/>
  <c r="AQ96" i="23"/>
  <c r="AR96" i="23"/>
  <c r="AS96" i="23"/>
  <c r="AT96" i="23"/>
  <c r="AU96" i="23"/>
  <c r="AV96" i="23"/>
  <c r="AW96" i="23"/>
  <c r="AX96" i="23"/>
  <c r="AY96" i="23"/>
  <c r="AZ96" i="23"/>
  <c r="BA96" i="23"/>
  <c r="BB96" i="23"/>
  <c r="BC96" i="23"/>
  <c r="BD96" i="23"/>
  <c r="BE96" i="23"/>
  <c r="BF96" i="23"/>
  <c r="BG96" i="23"/>
  <c r="BH96" i="23"/>
  <c r="E95" i="23"/>
  <c r="F95" i="23"/>
  <c r="G95" i="23"/>
  <c r="H95" i="23"/>
  <c r="I95" i="23"/>
  <c r="J95" i="23"/>
  <c r="K95" i="23"/>
  <c r="L95" i="23"/>
  <c r="M95" i="23"/>
  <c r="N95" i="23"/>
  <c r="O95" i="23"/>
  <c r="P95" i="23"/>
  <c r="Q95" i="23"/>
  <c r="R95" i="23"/>
  <c r="S95" i="23"/>
  <c r="T95" i="23"/>
  <c r="U95" i="23"/>
  <c r="V95" i="23"/>
  <c r="W95" i="23"/>
  <c r="X95" i="23"/>
  <c r="Y95" i="23"/>
  <c r="Z95" i="23"/>
  <c r="AA95" i="23"/>
  <c r="AB95" i="23"/>
  <c r="AC95" i="23"/>
  <c r="AD95" i="23"/>
  <c r="AE95" i="23"/>
  <c r="AF95" i="23"/>
  <c r="AG95" i="23"/>
  <c r="AH95" i="23"/>
  <c r="AI95" i="23"/>
  <c r="AJ95" i="23"/>
  <c r="AK95" i="23"/>
  <c r="AL95" i="23"/>
  <c r="AM95" i="23"/>
  <c r="AN95" i="23"/>
  <c r="AO95" i="23"/>
  <c r="AP95" i="23"/>
  <c r="AQ95" i="23"/>
  <c r="AR95" i="23"/>
  <c r="AS95" i="23"/>
  <c r="AT95" i="23"/>
  <c r="AU95" i="23"/>
  <c r="AV95" i="23"/>
  <c r="AW95" i="23"/>
  <c r="AX95" i="23"/>
  <c r="AY95" i="23"/>
  <c r="AZ95" i="23"/>
  <c r="BA95" i="23"/>
  <c r="BB95" i="23"/>
  <c r="BC95" i="23"/>
  <c r="BD95" i="23"/>
  <c r="BE95" i="23"/>
  <c r="BF95" i="23"/>
  <c r="BG95" i="23"/>
  <c r="BH95" i="23"/>
  <c r="E94" i="23"/>
  <c r="F94" i="23"/>
  <c r="G94" i="23"/>
  <c r="H94" i="23"/>
  <c r="I94" i="23"/>
  <c r="J94" i="23"/>
  <c r="K94" i="23"/>
  <c r="L94" i="23"/>
  <c r="M94" i="23"/>
  <c r="N94" i="23"/>
  <c r="O94" i="23"/>
  <c r="P94" i="23"/>
  <c r="Q94" i="23"/>
  <c r="R94" i="23"/>
  <c r="S94" i="23"/>
  <c r="T94" i="23"/>
  <c r="U94" i="23"/>
  <c r="V94" i="23"/>
  <c r="W94" i="23"/>
  <c r="X94" i="23"/>
  <c r="Y94" i="23"/>
  <c r="Z94" i="23"/>
  <c r="AA94" i="23"/>
  <c r="AB94" i="23"/>
  <c r="AC94" i="23"/>
  <c r="AD94" i="23"/>
  <c r="AE94" i="23"/>
  <c r="AF94" i="23"/>
  <c r="AG94" i="23"/>
  <c r="AH94" i="23"/>
  <c r="AI94" i="23"/>
  <c r="AJ94" i="23"/>
  <c r="AK94" i="23"/>
  <c r="AL94" i="23"/>
  <c r="AM94" i="23"/>
  <c r="AN94" i="23"/>
  <c r="AO94" i="23"/>
  <c r="AP94" i="23"/>
  <c r="AQ94" i="23"/>
  <c r="AR94" i="23"/>
  <c r="AS94" i="23"/>
  <c r="AT94" i="23"/>
  <c r="AU94" i="23"/>
  <c r="AV94" i="23"/>
  <c r="AW94" i="23"/>
  <c r="AX94" i="23"/>
  <c r="AY94" i="23"/>
  <c r="AZ94" i="23"/>
  <c r="BA94" i="23"/>
  <c r="BB94" i="23"/>
  <c r="BC94" i="23"/>
  <c r="BD94" i="23"/>
  <c r="BE94" i="23"/>
  <c r="BF94" i="23"/>
  <c r="BG94" i="23"/>
  <c r="BH94" i="23"/>
  <c r="E93" i="23"/>
  <c r="F93" i="23"/>
  <c r="G93" i="23"/>
  <c r="H93" i="23"/>
  <c r="I93" i="23"/>
  <c r="J93" i="23"/>
  <c r="K93" i="23"/>
  <c r="L93" i="23"/>
  <c r="M93" i="23"/>
  <c r="N93" i="23"/>
  <c r="O93" i="23"/>
  <c r="P93" i="23"/>
  <c r="Q93" i="23"/>
  <c r="R93" i="23"/>
  <c r="S93" i="23"/>
  <c r="T93" i="23"/>
  <c r="U93" i="23"/>
  <c r="V93" i="23"/>
  <c r="W93" i="23"/>
  <c r="X93" i="23"/>
  <c r="Y93" i="23"/>
  <c r="Z93" i="23"/>
  <c r="AA93" i="23"/>
  <c r="AB93" i="23"/>
  <c r="AC93" i="23"/>
  <c r="AD93" i="23"/>
  <c r="AE93" i="23"/>
  <c r="AF93" i="23"/>
  <c r="AG93" i="23"/>
  <c r="AH93" i="23"/>
  <c r="AI93" i="23"/>
  <c r="AJ93" i="23"/>
  <c r="AK93" i="23"/>
  <c r="AL93" i="23"/>
  <c r="AM93" i="23"/>
  <c r="AN93" i="23"/>
  <c r="AO93" i="23"/>
  <c r="AP93" i="23"/>
  <c r="AQ93" i="23"/>
  <c r="AR93" i="23"/>
  <c r="AS93" i="23"/>
  <c r="AT93" i="23"/>
  <c r="AU93" i="23"/>
  <c r="AV93" i="23"/>
  <c r="AW93" i="23"/>
  <c r="AX93" i="23"/>
  <c r="AY93" i="23"/>
  <c r="AZ93" i="23"/>
  <c r="BA93" i="23"/>
  <c r="BB93" i="23"/>
  <c r="BC93" i="23"/>
  <c r="BD93" i="23"/>
  <c r="BE93" i="23"/>
  <c r="BF93" i="23"/>
  <c r="BG93" i="23"/>
  <c r="BH93" i="23"/>
  <c r="E92" i="23"/>
  <c r="F92" i="23"/>
  <c r="G92" i="23"/>
  <c r="H92" i="23"/>
  <c r="I92" i="23"/>
  <c r="J92" i="23"/>
  <c r="K92" i="23"/>
  <c r="L92" i="23"/>
  <c r="M92" i="23"/>
  <c r="N92" i="23"/>
  <c r="O92" i="23"/>
  <c r="P92" i="23"/>
  <c r="Q92" i="23"/>
  <c r="R92" i="23"/>
  <c r="S92" i="23"/>
  <c r="T92" i="23"/>
  <c r="U92" i="23"/>
  <c r="V92" i="23"/>
  <c r="W92" i="23"/>
  <c r="X92" i="23"/>
  <c r="Y92" i="23"/>
  <c r="Z92" i="23"/>
  <c r="AA92" i="23"/>
  <c r="AB92" i="23"/>
  <c r="AC92" i="23"/>
  <c r="AD92" i="23"/>
  <c r="AE92" i="23"/>
  <c r="AF92" i="23"/>
  <c r="AG92" i="23"/>
  <c r="AH92" i="23"/>
  <c r="AI92" i="23"/>
  <c r="AJ92" i="23"/>
  <c r="AK92" i="23"/>
  <c r="AL92" i="23"/>
  <c r="AM92" i="23"/>
  <c r="AN92" i="23"/>
  <c r="AO92" i="23"/>
  <c r="AP92" i="23"/>
  <c r="AQ92" i="23"/>
  <c r="AR92" i="23"/>
  <c r="AS92" i="23"/>
  <c r="AT92" i="23"/>
  <c r="AU92" i="23"/>
  <c r="AV92" i="23"/>
  <c r="AW92" i="23"/>
  <c r="AX92" i="23"/>
  <c r="AY92" i="23"/>
  <c r="AZ92" i="23"/>
  <c r="BA92" i="23"/>
  <c r="BB92" i="23"/>
  <c r="BC92" i="23"/>
  <c r="BD92" i="23"/>
  <c r="BE92" i="23"/>
  <c r="BF92" i="23"/>
  <c r="BG92" i="23"/>
  <c r="BH92" i="23"/>
  <c r="E91" i="23"/>
  <c r="F91" i="23"/>
  <c r="G91" i="23"/>
  <c r="H91" i="23"/>
  <c r="I91" i="23"/>
  <c r="J91" i="23"/>
  <c r="K91" i="23"/>
  <c r="L91" i="23"/>
  <c r="M91" i="23"/>
  <c r="N91" i="23"/>
  <c r="O91" i="23"/>
  <c r="P91" i="23"/>
  <c r="Q91" i="23"/>
  <c r="R91" i="23"/>
  <c r="S91" i="23"/>
  <c r="T91" i="23"/>
  <c r="U91" i="23"/>
  <c r="V91" i="23"/>
  <c r="W91" i="23"/>
  <c r="X91" i="23"/>
  <c r="Y91" i="23"/>
  <c r="Z91" i="23"/>
  <c r="AA91" i="23"/>
  <c r="AB91" i="23"/>
  <c r="AC91" i="23"/>
  <c r="AD91" i="23"/>
  <c r="AE91" i="23"/>
  <c r="AF91" i="23"/>
  <c r="AG91" i="23"/>
  <c r="AH91" i="23"/>
  <c r="AI91" i="23"/>
  <c r="AJ91" i="23"/>
  <c r="AK91" i="23"/>
  <c r="AL91" i="23"/>
  <c r="AM91" i="23"/>
  <c r="AN91" i="23"/>
  <c r="AO91" i="23"/>
  <c r="AP91" i="23"/>
  <c r="AQ91" i="23"/>
  <c r="AR91" i="23"/>
  <c r="AS91" i="23"/>
  <c r="AT91" i="23"/>
  <c r="AU91" i="23"/>
  <c r="AV91" i="23"/>
  <c r="AW91" i="23"/>
  <c r="AX91" i="23"/>
  <c r="AY91" i="23"/>
  <c r="AZ91" i="23"/>
  <c r="BA91" i="23"/>
  <c r="BB91" i="23"/>
  <c r="BC91" i="23"/>
  <c r="BD91" i="23"/>
  <c r="BE91" i="23"/>
  <c r="BF91" i="23"/>
  <c r="BG91" i="23"/>
  <c r="BH91" i="23"/>
  <c r="E90" i="23"/>
  <c r="F90" i="23"/>
  <c r="G90" i="23"/>
  <c r="H90" i="23"/>
  <c r="I90" i="23"/>
  <c r="J90" i="23"/>
  <c r="K90" i="23"/>
  <c r="L90" i="23"/>
  <c r="M90" i="23"/>
  <c r="N90" i="23"/>
  <c r="O90" i="23"/>
  <c r="P90" i="23"/>
  <c r="Q90" i="23"/>
  <c r="R90" i="23"/>
  <c r="S90" i="23"/>
  <c r="T90" i="23"/>
  <c r="U90" i="23"/>
  <c r="V90" i="23"/>
  <c r="W90" i="23"/>
  <c r="X90" i="23"/>
  <c r="Y90" i="23"/>
  <c r="Z90" i="23"/>
  <c r="AA90" i="23"/>
  <c r="AB90" i="23"/>
  <c r="AC90" i="23"/>
  <c r="AD90" i="23"/>
  <c r="AE90" i="23"/>
  <c r="AF90" i="23"/>
  <c r="AG90" i="23"/>
  <c r="AH90" i="23"/>
  <c r="AI90" i="23"/>
  <c r="AJ90" i="23"/>
  <c r="AK90" i="23"/>
  <c r="AL90" i="23"/>
  <c r="AM90" i="23"/>
  <c r="AN90" i="23"/>
  <c r="AO90" i="23"/>
  <c r="AP90" i="23"/>
  <c r="AQ90" i="23"/>
  <c r="AR90" i="23"/>
  <c r="AS90" i="23"/>
  <c r="AT90" i="23"/>
  <c r="AU90" i="23"/>
  <c r="AV90" i="23"/>
  <c r="AW90" i="23"/>
  <c r="AX90" i="23"/>
  <c r="AY90" i="23"/>
  <c r="AZ90" i="23"/>
  <c r="BA90" i="23"/>
  <c r="BB90" i="23"/>
  <c r="BC90" i="23"/>
  <c r="BD90" i="23"/>
  <c r="BE90" i="23"/>
  <c r="BF90" i="23"/>
  <c r="BG90" i="23"/>
  <c r="BH90" i="23"/>
  <c r="E89" i="23"/>
  <c r="F89" i="23"/>
  <c r="G89" i="23"/>
  <c r="H89" i="23"/>
  <c r="I89" i="23"/>
  <c r="J89" i="23"/>
  <c r="K89" i="23"/>
  <c r="L89" i="23"/>
  <c r="M89" i="23"/>
  <c r="N89" i="23"/>
  <c r="O89" i="23"/>
  <c r="P89" i="23"/>
  <c r="Q89" i="23"/>
  <c r="R89" i="23"/>
  <c r="S89" i="23"/>
  <c r="T89" i="23"/>
  <c r="U89" i="23"/>
  <c r="V89" i="23"/>
  <c r="W89" i="23"/>
  <c r="X89" i="23"/>
  <c r="Y89" i="23"/>
  <c r="Z89" i="23"/>
  <c r="AA89" i="23"/>
  <c r="AB89" i="23"/>
  <c r="AC89" i="23"/>
  <c r="AD89" i="23"/>
  <c r="AE89" i="23"/>
  <c r="AF89" i="23"/>
  <c r="AG89" i="23"/>
  <c r="AH89" i="23"/>
  <c r="AI89" i="23"/>
  <c r="AJ89" i="23"/>
  <c r="AK89" i="23"/>
  <c r="AL89" i="23"/>
  <c r="AM89" i="23"/>
  <c r="AN89" i="23"/>
  <c r="AO89" i="23"/>
  <c r="AP89" i="23"/>
  <c r="AQ89" i="23"/>
  <c r="AR89" i="23"/>
  <c r="AS89" i="23"/>
  <c r="AT89" i="23"/>
  <c r="AU89" i="23"/>
  <c r="AV89" i="23"/>
  <c r="AW89" i="23"/>
  <c r="AX89" i="23"/>
  <c r="AY89" i="23"/>
  <c r="AZ89" i="23"/>
  <c r="BA89" i="23"/>
  <c r="BB89" i="23"/>
  <c r="BC89" i="23"/>
  <c r="BD89" i="23"/>
  <c r="BE89" i="23"/>
  <c r="BF89" i="23"/>
  <c r="BG89" i="23"/>
  <c r="BH89" i="23"/>
  <c r="E88" i="23"/>
  <c r="F88" i="23"/>
  <c r="G88" i="23"/>
  <c r="H88" i="23"/>
  <c r="I88" i="23"/>
  <c r="J88" i="23"/>
  <c r="K88" i="23"/>
  <c r="L88" i="23"/>
  <c r="M88" i="23"/>
  <c r="N88" i="23"/>
  <c r="O88" i="23"/>
  <c r="P88" i="23"/>
  <c r="Q88" i="23"/>
  <c r="R88" i="23"/>
  <c r="S88" i="23"/>
  <c r="T88" i="23"/>
  <c r="U88" i="23"/>
  <c r="V88" i="23"/>
  <c r="W88" i="23"/>
  <c r="X88" i="23"/>
  <c r="Y88" i="23"/>
  <c r="Z88" i="23"/>
  <c r="AA88" i="23"/>
  <c r="AB88" i="23"/>
  <c r="AC88" i="23"/>
  <c r="AD88" i="23"/>
  <c r="AE88" i="23"/>
  <c r="AF88" i="23"/>
  <c r="AG88" i="23"/>
  <c r="AH88" i="23"/>
  <c r="AI88" i="23"/>
  <c r="AJ88" i="23"/>
  <c r="AK88" i="23"/>
  <c r="AL88" i="23"/>
  <c r="AM88" i="23"/>
  <c r="AN88" i="23"/>
  <c r="AO88" i="23"/>
  <c r="AP88" i="23"/>
  <c r="AQ88" i="23"/>
  <c r="AR88" i="23"/>
  <c r="AS88" i="23"/>
  <c r="AT88" i="23"/>
  <c r="AU88" i="23"/>
  <c r="AV88" i="23"/>
  <c r="AW88" i="23"/>
  <c r="AX88" i="23"/>
  <c r="AY88" i="23"/>
  <c r="AZ88" i="23"/>
  <c r="BA88" i="23"/>
  <c r="BB88" i="23"/>
  <c r="BC88" i="23"/>
  <c r="BD88" i="23"/>
  <c r="BE88" i="23"/>
  <c r="BF88" i="23"/>
  <c r="BG88" i="23"/>
  <c r="BH88" i="23"/>
  <c r="E87" i="23"/>
  <c r="F87" i="23"/>
  <c r="G87" i="23"/>
  <c r="H87" i="23"/>
  <c r="I87" i="23"/>
  <c r="J87" i="23"/>
  <c r="K87" i="23"/>
  <c r="L87" i="23"/>
  <c r="M87" i="23"/>
  <c r="N87" i="23"/>
  <c r="O87" i="23"/>
  <c r="P87" i="23"/>
  <c r="Q87" i="23"/>
  <c r="R87" i="23"/>
  <c r="S87" i="23"/>
  <c r="T87" i="23"/>
  <c r="U87" i="23"/>
  <c r="V87" i="23"/>
  <c r="W87" i="23"/>
  <c r="X87" i="23"/>
  <c r="Y87" i="23"/>
  <c r="Z87" i="23"/>
  <c r="AA87" i="23"/>
  <c r="AB87" i="23"/>
  <c r="AC87" i="23"/>
  <c r="AD87" i="23"/>
  <c r="AE87" i="23"/>
  <c r="AF87" i="23"/>
  <c r="AG87" i="23"/>
  <c r="AH87" i="23"/>
  <c r="AI87" i="23"/>
  <c r="AJ87" i="23"/>
  <c r="AK87" i="23"/>
  <c r="AL87" i="23"/>
  <c r="AM87" i="23"/>
  <c r="AN87" i="23"/>
  <c r="AO87" i="23"/>
  <c r="AP87" i="23"/>
  <c r="AQ87" i="23"/>
  <c r="AR87" i="23"/>
  <c r="AS87" i="23"/>
  <c r="AT87" i="23"/>
  <c r="AU87" i="23"/>
  <c r="AV87" i="23"/>
  <c r="AW87" i="23"/>
  <c r="AX87" i="23"/>
  <c r="AY87" i="23"/>
  <c r="AZ87" i="23"/>
  <c r="BA87" i="23"/>
  <c r="BB87" i="23"/>
  <c r="BC87" i="23"/>
  <c r="BD87" i="23"/>
  <c r="BE87" i="23"/>
  <c r="BF87" i="23"/>
  <c r="BG87" i="23"/>
  <c r="BH87" i="23"/>
  <c r="E86" i="23"/>
  <c r="F86" i="23"/>
  <c r="G86" i="23"/>
  <c r="H86" i="23"/>
  <c r="I86" i="23"/>
  <c r="J86" i="23"/>
  <c r="K86" i="23"/>
  <c r="L86" i="23"/>
  <c r="M86" i="23"/>
  <c r="N86" i="23"/>
  <c r="O86" i="23"/>
  <c r="P86" i="23"/>
  <c r="Q86" i="23"/>
  <c r="R86" i="23"/>
  <c r="S86" i="23"/>
  <c r="T86" i="23"/>
  <c r="U86" i="23"/>
  <c r="V86" i="23"/>
  <c r="W86" i="23"/>
  <c r="X86" i="23"/>
  <c r="Y86" i="23"/>
  <c r="Z86" i="23"/>
  <c r="AA86" i="23"/>
  <c r="AB86" i="23"/>
  <c r="AC86" i="23"/>
  <c r="AD86" i="23"/>
  <c r="AE86" i="23"/>
  <c r="AF86" i="23"/>
  <c r="AG86" i="23"/>
  <c r="AH86" i="23"/>
  <c r="AI86" i="23"/>
  <c r="AJ86" i="23"/>
  <c r="AK86" i="23"/>
  <c r="AL86" i="23"/>
  <c r="AM86" i="23"/>
  <c r="AN86" i="23"/>
  <c r="AO86" i="23"/>
  <c r="AP86" i="23"/>
  <c r="AQ86" i="23"/>
  <c r="AR86" i="23"/>
  <c r="AS86" i="23"/>
  <c r="AT86" i="23"/>
  <c r="AU86" i="23"/>
  <c r="AV86" i="23"/>
  <c r="AW86" i="23"/>
  <c r="AX86" i="23"/>
  <c r="AY86" i="23"/>
  <c r="AZ86" i="23"/>
  <c r="BA86" i="23"/>
  <c r="BB86" i="23"/>
  <c r="BC86" i="23"/>
  <c r="BD86" i="23"/>
  <c r="BE86" i="23"/>
  <c r="BF86" i="23"/>
  <c r="BG86" i="23"/>
  <c r="BH86" i="23"/>
  <c r="E85" i="23"/>
  <c r="F85" i="23"/>
  <c r="G85" i="23"/>
  <c r="H85" i="23"/>
  <c r="I85" i="23"/>
  <c r="J85" i="23"/>
  <c r="K85" i="23"/>
  <c r="L85" i="23"/>
  <c r="M85" i="23"/>
  <c r="N85" i="23"/>
  <c r="O85" i="23"/>
  <c r="P85" i="23"/>
  <c r="Q85" i="23"/>
  <c r="R85" i="23"/>
  <c r="S85" i="23"/>
  <c r="T85" i="23"/>
  <c r="U85" i="23"/>
  <c r="V85" i="23"/>
  <c r="W85" i="23"/>
  <c r="X85" i="23"/>
  <c r="Y85" i="23"/>
  <c r="Z85" i="23"/>
  <c r="AA85" i="23"/>
  <c r="AB85" i="23"/>
  <c r="AC85" i="23"/>
  <c r="AD85" i="23"/>
  <c r="AE85" i="23"/>
  <c r="AF85" i="23"/>
  <c r="AG85" i="23"/>
  <c r="AH85" i="23"/>
  <c r="AI85" i="23"/>
  <c r="AJ85" i="23"/>
  <c r="AK85" i="23"/>
  <c r="AL85" i="23"/>
  <c r="AM85" i="23"/>
  <c r="AN85" i="23"/>
  <c r="AO85" i="23"/>
  <c r="AP85" i="23"/>
  <c r="AQ85" i="23"/>
  <c r="AR85" i="23"/>
  <c r="AS85" i="23"/>
  <c r="AT85" i="23"/>
  <c r="AU85" i="23"/>
  <c r="AV85" i="23"/>
  <c r="AW85" i="23"/>
  <c r="AX85" i="23"/>
  <c r="AY85" i="23"/>
  <c r="AZ85" i="23"/>
  <c r="BA85" i="23"/>
  <c r="BB85" i="23"/>
  <c r="BC85" i="23"/>
  <c r="BD85" i="23"/>
  <c r="BE85" i="23"/>
  <c r="BF85" i="23"/>
  <c r="BG85" i="23"/>
  <c r="BH85" i="23"/>
  <c r="E84" i="23"/>
  <c r="F84" i="23"/>
  <c r="G84" i="23"/>
  <c r="H84" i="23"/>
  <c r="I84" i="23"/>
  <c r="J84" i="23"/>
  <c r="K84" i="23"/>
  <c r="L84" i="23"/>
  <c r="M84" i="23"/>
  <c r="N84" i="23"/>
  <c r="O84" i="23"/>
  <c r="P84" i="23"/>
  <c r="Q84" i="23"/>
  <c r="R84" i="23"/>
  <c r="S84" i="23"/>
  <c r="T84" i="23"/>
  <c r="U84" i="23"/>
  <c r="V84" i="23"/>
  <c r="W84" i="23"/>
  <c r="X84" i="23"/>
  <c r="Y84" i="23"/>
  <c r="Z84" i="23"/>
  <c r="AA84" i="23"/>
  <c r="AB84" i="23"/>
  <c r="AC84" i="23"/>
  <c r="AD84" i="23"/>
  <c r="AE84" i="23"/>
  <c r="AF84" i="23"/>
  <c r="AG84" i="23"/>
  <c r="AH84" i="23"/>
  <c r="AI84" i="23"/>
  <c r="AJ84" i="23"/>
  <c r="AK84" i="23"/>
  <c r="AL84" i="23"/>
  <c r="AM84" i="23"/>
  <c r="AN84" i="23"/>
  <c r="AO84" i="23"/>
  <c r="AP84" i="23"/>
  <c r="AQ84" i="23"/>
  <c r="AR84" i="23"/>
  <c r="AS84" i="23"/>
  <c r="AT84" i="23"/>
  <c r="AU84" i="23"/>
  <c r="AV84" i="23"/>
  <c r="AW84" i="23"/>
  <c r="AX84" i="23"/>
  <c r="AY84" i="23"/>
  <c r="AZ84" i="23"/>
  <c r="BA84" i="23"/>
  <c r="BB84" i="23"/>
  <c r="BC84" i="23"/>
  <c r="BD84" i="23"/>
  <c r="BE84" i="23"/>
  <c r="BF84" i="23"/>
  <c r="BG84" i="23"/>
  <c r="BH84" i="23"/>
  <c r="E83" i="23"/>
  <c r="F83" i="23"/>
  <c r="G83" i="23"/>
  <c r="H83" i="23"/>
  <c r="I83" i="23"/>
  <c r="J83" i="23"/>
  <c r="K83" i="23"/>
  <c r="L83" i="23"/>
  <c r="M83" i="23"/>
  <c r="N83" i="23"/>
  <c r="O83" i="23"/>
  <c r="P83" i="23"/>
  <c r="Q83" i="23"/>
  <c r="R83" i="23"/>
  <c r="S83" i="23"/>
  <c r="T83" i="23"/>
  <c r="U83" i="23"/>
  <c r="V83" i="23"/>
  <c r="W83" i="23"/>
  <c r="X83" i="23"/>
  <c r="Y83" i="23"/>
  <c r="Z83" i="23"/>
  <c r="AA83" i="23"/>
  <c r="AB83" i="23"/>
  <c r="AC83" i="23"/>
  <c r="AD83" i="23"/>
  <c r="AE83" i="23"/>
  <c r="AF83" i="23"/>
  <c r="AG83" i="23"/>
  <c r="AH83" i="23"/>
  <c r="AI83" i="23"/>
  <c r="AJ83" i="23"/>
  <c r="AK83" i="23"/>
  <c r="AL83" i="23"/>
  <c r="AM83" i="23"/>
  <c r="AN83" i="23"/>
  <c r="AO83" i="23"/>
  <c r="AP83" i="23"/>
  <c r="AQ83" i="23"/>
  <c r="AR83" i="23"/>
  <c r="AS83" i="23"/>
  <c r="AT83" i="23"/>
  <c r="AU83" i="23"/>
  <c r="AV83" i="23"/>
  <c r="AW83" i="23"/>
  <c r="AX83" i="23"/>
  <c r="AY83" i="23"/>
  <c r="AZ83" i="23"/>
  <c r="BA83" i="23"/>
  <c r="BB83" i="23"/>
  <c r="BC83" i="23"/>
  <c r="BD83" i="23"/>
  <c r="BE83" i="23"/>
  <c r="BF83" i="23"/>
  <c r="BG83" i="23"/>
  <c r="BH83" i="23"/>
  <c r="E82" i="23"/>
  <c r="F82" i="23"/>
  <c r="G82" i="23"/>
  <c r="H82" i="23"/>
  <c r="I82" i="23"/>
  <c r="J82" i="23"/>
  <c r="K82" i="23"/>
  <c r="L82" i="23"/>
  <c r="M82" i="23"/>
  <c r="N82" i="23"/>
  <c r="O82" i="23"/>
  <c r="P82" i="23"/>
  <c r="Q82" i="23"/>
  <c r="R82" i="23"/>
  <c r="S82" i="23"/>
  <c r="T82" i="23"/>
  <c r="U82" i="23"/>
  <c r="V82" i="23"/>
  <c r="W82" i="23"/>
  <c r="X82" i="23"/>
  <c r="Y82" i="23"/>
  <c r="Z82" i="23"/>
  <c r="AA82" i="23"/>
  <c r="AB82" i="23"/>
  <c r="AC82" i="23"/>
  <c r="AD82" i="23"/>
  <c r="AE82" i="23"/>
  <c r="AF82" i="23"/>
  <c r="AG82" i="23"/>
  <c r="AH82" i="23"/>
  <c r="AI82" i="23"/>
  <c r="AJ82" i="23"/>
  <c r="AK82" i="23"/>
  <c r="AL82" i="23"/>
  <c r="AM82" i="23"/>
  <c r="AN82" i="23"/>
  <c r="AO82" i="23"/>
  <c r="AP82" i="23"/>
  <c r="AQ82" i="23"/>
  <c r="AR82" i="23"/>
  <c r="AS82" i="23"/>
  <c r="AT82" i="23"/>
  <c r="AU82" i="23"/>
  <c r="AV82" i="23"/>
  <c r="AW82" i="23"/>
  <c r="AX82" i="23"/>
  <c r="AY82" i="23"/>
  <c r="AZ82" i="23"/>
  <c r="BA82" i="23"/>
  <c r="BB82" i="23"/>
  <c r="BC82" i="23"/>
  <c r="BD82" i="23"/>
  <c r="BE82" i="23"/>
  <c r="BF82" i="23"/>
  <c r="BG82" i="23"/>
  <c r="BH82" i="23"/>
  <c r="E81" i="23"/>
  <c r="F81" i="23"/>
  <c r="G81" i="23"/>
  <c r="H81" i="23"/>
  <c r="I81" i="23"/>
  <c r="J81" i="23"/>
  <c r="K81" i="23"/>
  <c r="L81" i="23"/>
  <c r="M81" i="23"/>
  <c r="N81" i="23"/>
  <c r="O81" i="23"/>
  <c r="P81" i="23"/>
  <c r="Q81" i="23"/>
  <c r="R81" i="23"/>
  <c r="S81" i="23"/>
  <c r="T81" i="23"/>
  <c r="U81" i="23"/>
  <c r="V81" i="23"/>
  <c r="W81" i="23"/>
  <c r="X81" i="23"/>
  <c r="Y81" i="23"/>
  <c r="Z81" i="23"/>
  <c r="AA81" i="23"/>
  <c r="AB81" i="23"/>
  <c r="AC81" i="23"/>
  <c r="AD81" i="23"/>
  <c r="AE81" i="23"/>
  <c r="AF81" i="23"/>
  <c r="AG81" i="23"/>
  <c r="AH81" i="23"/>
  <c r="AI81" i="23"/>
  <c r="AJ81" i="23"/>
  <c r="AK81" i="23"/>
  <c r="AL81" i="23"/>
  <c r="AM81" i="23"/>
  <c r="AN81" i="23"/>
  <c r="AO81" i="23"/>
  <c r="AP81" i="23"/>
  <c r="AQ81" i="23"/>
  <c r="AR81" i="23"/>
  <c r="AS81" i="23"/>
  <c r="AT81" i="23"/>
  <c r="AU81" i="23"/>
  <c r="AV81" i="23"/>
  <c r="AW81" i="23"/>
  <c r="AX81" i="23"/>
  <c r="AY81" i="23"/>
  <c r="AZ81" i="23"/>
  <c r="BA81" i="23"/>
  <c r="BB81" i="23"/>
  <c r="BC81" i="23"/>
  <c r="BD81" i="23"/>
  <c r="BE81" i="23"/>
  <c r="BF81" i="23"/>
  <c r="BG81" i="23"/>
  <c r="BH81" i="23"/>
  <c r="E80" i="23"/>
  <c r="F80" i="23"/>
  <c r="G80" i="23"/>
  <c r="H80" i="23"/>
  <c r="I80" i="23"/>
  <c r="J80" i="23"/>
  <c r="K80" i="23"/>
  <c r="L80" i="23"/>
  <c r="M80" i="23"/>
  <c r="N80" i="23"/>
  <c r="O80" i="23"/>
  <c r="P80" i="23"/>
  <c r="Q80" i="23"/>
  <c r="R80" i="23"/>
  <c r="S80" i="23"/>
  <c r="T80" i="23"/>
  <c r="U80" i="23"/>
  <c r="V80" i="23"/>
  <c r="W80" i="23"/>
  <c r="X80" i="23"/>
  <c r="Y80" i="23"/>
  <c r="Z80" i="23"/>
  <c r="AA80" i="23"/>
  <c r="AB80" i="23"/>
  <c r="AC80" i="23"/>
  <c r="AD80" i="23"/>
  <c r="AE80" i="23"/>
  <c r="AF80" i="23"/>
  <c r="AG80" i="23"/>
  <c r="AH80" i="23"/>
  <c r="AI80" i="23"/>
  <c r="AJ80" i="23"/>
  <c r="AK80" i="23"/>
  <c r="AL80" i="23"/>
  <c r="AM80" i="23"/>
  <c r="AN80" i="23"/>
  <c r="AO80" i="23"/>
  <c r="AP80" i="23"/>
  <c r="AQ80" i="23"/>
  <c r="AR80" i="23"/>
  <c r="AS80" i="23"/>
  <c r="AT80" i="23"/>
  <c r="AU80" i="23"/>
  <c r="AV80" i="23"/>
  <c r="AW80" i="23"/>
  <c r="AX80" i="23"/>
  <c r="AY80" i="23"/>
  <c r="AZ80" i="23"/>
  <c r="BA80" i="23"/>
  <c r="BB80" i="23"/>
  <c r="BC80" i="23"/>
  <c r="BD80" i="23"/>
  <c r="BE80" i="23"/>
  <c r="BF80" i="23"/>
  <c r="BG80" i="23"/>
  <c r="BH80" i="23"/>
  <c r="E79" i="23"/>
  <c r="F79" i="23"/>
  <c r="G79" i="23"/>
  <c r="H79" i="23"/>
  <c r="I79" i="23"/>
  <c r="J79" i="23"/>
  <c r="K79" i="23"/>
  <c r="L79" i="23"/>
  <c r="M79" i="23"/>
  <c r="N79" i="23"/>
  <c r="O79" i="23"/>
  <c r="P79" i="23"/>
  <c r="Q79" i="23"/>
  <c r="R79" i="23"/>
  <c r="S79" i="23"/>
  <c r="T79" i="23"/>
  <c r="U79" i="23"/>
  <c r="V79" i="23"/>
  <c r="W79" i="23"/>
  <c r="X79" i="23"/>
  <c r="Y79" i="23"/>
  <c r="Z79" i="23"/>
  <c r="AA79" i="23"/>
  <c r="AB79" i="23"/>
  <c r="AC79" i="23"/>
  <c r="AD79" i="23"/>
  <c r="AE79" i="23"/>
  <c r="AF79" i="23"/>
  <c r="AG79" i="23"/>
  <c r="AH79" i="23"/>
  <c r="AI79" i="23"/>
  <c r="AJ79" i="23"/>
  <c r="AK79" i="23"/>
  <c r="AL79" i="23"/>
  <c r="AM79" i="23"/>
  <c r="AN79" i="23"/>
  <c r="AO79" i="23"/>
  <c r="AP79" i="23"/>
  <c r="AQ79" i="23"/>
  <c r="AR79" i="23"/>
  <c r="AS79" i="23"/>
  <c r="AT79" i="23"/>
  <c r="AU79" i="23"/>
  <c r="AV79" i="23"/>
  <c r="AW79" i="23"/>
  <c r="AX79" i="23"/>
  <c r="AY79" i="23"/>
  <c r="AZ79" i="23"/>
  <c r="BA79" i="23"/>
  <c r="BB79" i="23"/>
  <c r="BC79" i="23"/>
  <c r="BD79" i="23"/>
  <c r="BE79" i="23"/>
  <c r="BF79" i="23"/>
  <c r="BG79" i="23"/>
  <c r="BH79" i="23"/>
  <c r="E78" i="23"/>
  <c r="F78" i="23"/>
  <c r="G78" i="23"/>
  <c r="H78" i="23"/>
  <c r="I78" i="23"/>
  <c r="J78" i="23"/>
  <c r="K78" i="23"/>
  <c r="L78" i="23"/>
  <c r="M78" i="23"/>
  <c r="N78" i="23"/>
  <c r="O78" i="23"/>
  <c r="P78" i="23"/>
  <c r="Q78" i="23"/>
  <c r="R78" i="23"/>
  <c r="S78" i="23"/>
  <c r="T78" i="23"/>
  <c r="U78" i="23"/>
  <c r="V78" i="23"/>
  <c r="W78" i="23"/>
  <c r="X78" i="23"/>
  <c r="Y78" i="23"/>
  <c r="Z78" i="23"/>
  <c r="AA78" i="23"/>
  <c r="AB78" i="23"/>
  <c r="AC78" i="23"/>
  <c r="AD78" i="23"/>
  <c r="AE78" i="23"/>
  <c r="AF78" i="23"/>
  <c r="AG78" i="23"/>
  <c r="AH78" i="23"/>
  <c r="AI78" i="23"/>
  <c r="AJ78" i="23"/>
  <c r="AK78" i="23"/>
  <c r="AL78" i="23"/>
  <c r="AM78" i="23"/>
  <c r="AN78" i="23"/>
  <c r="AO78" i="23"/>
  <c r="AP78" i="23"/>
  <c r="AQ78" i="23"/>
  <c r="AR78" i="23"/>
  <c r="AS78" i="23"/>
  <c r="AT78" i="23"/>
  <c r="AU78" i="23"/>
  <c r="AV78" i="23"/>
  <c r="AW78" i="23"/>
  <c r="AX78" i="23"/>
  <c r="AY78" i="23"/>
  <c r="AZ78" i="23"/>
  <c r="BA78" i="23"/>
  <c r="BB78" i="23"/>
  <c r="BC78" i="23"/>
  <c r="BD78" i="23"/>
  <c r="BE78" i="23"/>
  <c r="BF78" i="23"/>
  <c r="BG78" i="23"/>
  <c r="BH78" i="23"/>
  <c r="E77" i="23"/>
  <c r="F77" i="23"/>
  <c r="G77" i="23"/>
  <c r="H77" i="23"/>
  <c r="I77" i="23"/>
  <c r="J77" i="23"/>
  <c r="K77" i="23"/>
  <c r="L77" i="23"/>
  <c r="M77" i="23"/>
  <c r="N77" i="23"/>
  <c r="O77" i="23"/>
  <c r="P77" i="23"/>
  <c r="Q77" i="23"/>
  <c r="R77" i="23"/>
  <c r="S77" i="23"/>
  <c r="T77" i="23"/>
  <c r="U77" i="23"/>
  <c r="V77" i="23"/>
  <c r="W77" i="23"/>
  <c r="X77" i="23"/>
  <c r="Y77" i="23"/>
  <c r="Z77" i="23"/>
  <c r="AA77" i="23"/>
  <c r="AB77" i="23"/>
  <c r="AC77" i="23"/>
  <c r="AD77" i="23"/>
  <c r="AE77" i="23"/>
  <c r="AF77" i="23"/>
  <c r="AG77" i="23"/>
  <c r="AH77" i="23"/>
  <c r="AI77" i="23"/>
  <c r="AJ77" i="23"/>
  <c r="AK77" i="23"/>
  <c r="AL77" i="23"/>
  <c r="AM77" i="23"/>
  <c r="AN77" i="23"/>
  <c r="AO77" i="23"/>
  <c r="AP77" i="23"/>
  <c r="AQ77" i="23"/>
  <c r="AR77" i="23"/>
  <c r="AS77" i="23"/>
  <c r="AT77" i="23"/>
  <c r="AU77" i="23"/>
  <c r="AV77" i="23"/>
  <c r="AW77" i="23"/>
  <c r="AX77" i="23"/>
  <c r="AY77" i="23"/>
  <c r="AZ77" i="23"/>
  <c r="BA77" i="23"/>
  <c r="BB77" i="23"/>
  <c r="BC77" i="23"/>
  <c r="BD77" i="23"/>
  <c r="BE77" i="23"/>
  <c r="BF77" i="23"/>
  <c r="BG77" i="23"/>
  <c r="BH77" i="23"/>
  <c r="E76" i="23"/>
  <c r="F76" i="23"/>
  <c r="G76" i="23"/>
  <c r="H76" i="23"/>
  <c r="I76" i="23"/>
  <c r="J76" i="23"/>
  <c r="K76" i="23"/>
  <c r="L76" i="23"/>
  <c r="M76" i="23"/>
  <c r="N76" i="23"/>
  <c r="O76" i="23"/>
  <c r="P76" i="23"/>
  <c r="Q76" i="23"/>
  <c r="R76" i="23"/>
  <c r="S76" i="23"/>
  <c r="T76" i="23"/>
  <c r="U76" i="23"/>
  <c r="V76" i="23"/>
  <c r="W76" i="23"/>
  <c r="X76" i="23"/>
  <c r="Y76" i="23"/>
  <c r="Z76" i="23"/>
  <c r="AA76" i="23"/>
  <c r="AB76" i="23"/>
  <c r="AC76" i="23"/>
  <c r="AD76" i="23"/>
  <c r="AE76" i="23"/>
  <c r="AF76" i="23"/>
  <c r="AG76" i="23"/>
  <c r="AH76" i="23"/>
  <c r="AI76" i="23"/>
  <c r="AJ76" i="23"/>
  <c r="AK76" i="23"/>
  <c r="AL76" i="23"/>
  <c r="AM76" i="23"/>
  <c r="AN76" i="23"/>
  <c r="AO76" i="23"/>
  <c r="AP76" i="23"/>
  <c r="AQ76" i="23"/>
  <c r="AR76" i="23"/>
  <c r="AS76" i="23"/>
  <c r="AT76" i="23"/>
  <c r="AU76" i="23"/>
  <c r="AV76" i="23"/>
  <c r="AW76" i="23"/>
  <c r="AX76" i="23"/>
  <c r="AY76" i="23"/>
  <c r="AZ76" i="23"/>
  <c r="BA76" i="23"/>
  <c r="BB76" i="23"/>
  <c r="BC76" i="23"/>
  <c r="BD76" i="23"/>
  <c r="BE76" i="23"/>
  <c r="BF76" i="23"/>
  <c r="BG76" i="23"/>
  <c r="BH76" i="23"/>
  <c r="E75" i="23"/>
  <c r="F75" i="23"/>
  <c r="G75" i="23"/>
  <c r="H75" i="23"/>
  <c r="I75" i="23"/>
  <c r="J75" i="23"/>
  <c r="K75" i="23"/>
  <c r="L75" i="23"/>
  <c r="M75" i="23"/>
  <c r="N75" i="23"/>
  <c r="O75" i="23"/>
  <c r="P75" i="23"/>
  <c r="Q75" i="23"/>
  <c r="R75" i="23"/>
  <c r="S75" i="23"/>
  <c r="T75" i="23"/>
  <c r="U75" i="23"/>
  <c r="V75" i="23"/>
  <c r="W75" i="23"/>
  <c r="X75" i="23"/>
  <c r="Y75" i="23"/>
  <c r="Z75" i="23"/>
  <c r="AA75" i="23"/>
  <c r="AB75" i="23"/>
  <c r="AC75" i="23"/>
  <c r="AD75" i="23"/>
  <c r="AE75" i="23"/>
  <c r="AF75" i="23"/>
  <c r="AG75" i="23"/>
  <c r="AH75" i="23"/>
  <c r="AI75" i="23"/>
  <c r="AJ75" i="23"/>
  <c r="AK75" i="23"/>
  <c r="AL75" i="23"/>
  <c r="AM75" i="23"/>
  <c r="AN75" i="23"/>
  <c r="AO75" i="23"/>
  <c r="AP75" i="23"/>
  <c r="AQ75" i="23"/>
  <c r="AR75" i="23"/>
  <c r="AS75" i="23"/>
  <c r="AT75" i="23"/>
  <c r="AU75" i="23"/>
  <c r="AV75" i="23"/>
  <c r="AW75" i="23"/>
  <c r="AX75" i="23"/>
  <c r="AY75" i="23"/>
  <c r="AZ75" i="23"/>
  <c r="BA75" i="23"/>
  <c r="BB75" i="23"/>
  <c r="BC75" i="23"/>
  <c r="BD75" i="23"/>
  <c r="BE75" i="23"/>
  <c r="BF75" i="23"/>
  <c r="BG75" i="23"/>
  <c r="BH75" i="23"/>
  <c r="E74" i="23"/>
  <c r="F74" i="23"/>
  <c r="G74" i="23"/>
  <c r="H74" i="23"/>
  <c r="I74" i="23"/>
  <c r="J74" i="23"/>
  <c r="K74" i="23"/>
  <c r="L74" i="23"/>
  <c r="M74" i="23"/>
  <c r="N74" i="23"/>
  <c r="O74" i="23"/>
  <c r="P74" i="23"/>
  <c r="Q74" i="23"/>
  <c r="R74" i="23"/>
  <c r="S74" i="23"/>
  <c r="T74" i="23"/>
  <c r="U74" i="23"/>
  <c r="V74" i="23"/>
  <c r="W74" i="23"/>
  <c r="X74" i="23"/>
  <c r="Y74" i="23"/>
  <c r="Z74" i="23"/>
  <c r="AA74" i="23"/>
  <c r="AB74" i="23"/>
  <c r="AC74" i="23"/>
  <c r="AD74" i="23"/>
  <c r="AE74" i="23"/>
  <c r="AF74" i="23"/>
  <c r="AG74" i="23"/>
  <c r="AH74" i="23"/>
  <c r="AI74" i="23"/>
  <c r="AJ74" i="23"/>
  <c r="AK74" i="23"/>
  <c r="AL74" i="23"/>
  <c r="AM74" i="23"/>
  <c r="AN74" i="23"/>
  <c r="AO74" i="23"/>
  <c r="AP74" i="23"/>
  <c r="AQ74" i="23"/>
  <c r="AR74" i="23"/>
  <c r="AS74" i="23"/>
  <c r="AT74" i="23"/>
  <c r="AU74" i="23"/>
  <c r="AV74" i="23"/>
  <c r="AW74" i="23"/>
  <c r="AX74" i="23"/>
  <c r="AY74" i="23"/>
  <c r="AZ74" i="23"/>
  <c r="BA74" i="23"/>
  <c r="BB74" i="23"/>
  <c r="BC74" i="23"/>
  <c r="BD74" i="23"/>
  <c r="BE74" i="23"/>
  <c r="BF74" i="23"/>
  <c r="BG74" i="23"/>
  <c r="BH74" i="23"/>
  <c r="E73" i="23"/>
  <c r="F73" i="23"/>
  <c r="G73" i="23"/>
  <c r="H73" i="23"/>
  <c r="I73" i="23"/>
  <c r="J73" i="23"/>
  <c r="K73" i="23"/>
  <c r="L73" i="23"/>
  <c r="M73" i="23"/>
  <c r="N73" i="23"/>
  <c r="O73" i="23"/>
  <c r="P73" i="23"/>
  <c r="Q73" i="23"/>
  <c r="R73" i="23"/>
  <c r="S73" i="23"/>
  <c r="T73" i="23"/>
  <c r="U73" i="23"/>
  <c r="V73" i="23"/>
  <c r="W73" i="23"/>
  <c r="X73" i="23"/>
  <c r="Y73" i="23"/>
  <c r="Z73" i="23"/>
  <c r="AA73" i="23"/>
  <c r="AB73" i="23"/>
  <c r="AC73" i="23"/>
  <c r="AD73" i="23"/>
  <c r="AE73" i="23"/>
  <c r="AF73" i="23"/>
  <c r="AG73" i="23"/>
  <c r="AH73" i="23"/>
  <c r="AI73" i="23"/>
  <c r="AJ73" i="23"/>
  <c r="AK73" i="23"/>
  <c r="AL73" i="23"/>
  <c r="AM73" i="23"/>
  <c r="AN73" i="23"/>
  <c r="AO73" i="23"/>
  <c r="AP73" i="23"/>
  <c r="AQ73" i="23"/>
  <c r="AR73" i="23"/>
  <c r="AS73" i="23"/>
  <c r="AT73" i="23"/>
  <c r="AU73" i="23"/>
  <c r="AV73" i="23"/>
  <c r="AW73" i="23"/>
  <c r="AX73" i="23"/>
  <c r="AY73" i="23"/>
  <c r="AZ73" i="23"/>
  <c r="BA73" i="23"/>
  <c r="BB73" i="23"/>
  <c r="BC73" i="23"/>
  <c r="BD73" i="23"/>
  <c r="BE73" i="23"/>
  <c r="BF73" i="23"/>
  <c r="BG73" i="23"/>
  <c r="BH73" i="23"/>
  <c r="E72" i="23"/>
  <c r="F72" i="23"/>
  <c r="G72" i="23"/>
  <c r="H72" i="23"/>
  <c r="I72" i="23"/>
  <c r="J72" i="23"/>
  <c r="K72" i="23"/>
  <c r="L72" i="23"/>
  <c r="M72" i="23"/>
  <c r="N72" i="23"/>
  <c r="O72" i="23"/>
  <c r="P72" i="23"/>
  <c r="Q72" i="23"/>
  <c r="R72" i="23"/>
  <c r="S72" i="23"/>
  <c r="T72" i="23"/>
  <c r="U72" i="23"/>
  <c r="V72" i="23"/>
  <c r="W72" i="23"/>
  <c r="X72" i="23"/>
  <c r="Y72" i="23"/>
  <c r="Z72" i="23"/>
  <c r="AA72" i="23"/>
  <c r="AB72" i="23"/>
  <c r="AC72" i="23"/>
  <c r="AD72" i="23"/>
  <c r="AE72" i="23"/>
  <c r="AF72" i="23"/>
  <c r="AG72" i="23"/>
  <c r="AH72" i="23"/>
  <c r="AI72" i="23"/>
  <c r="AJ72" i="23"/>
  <c r="AK72" i="23"/>
  <c r="AL72" i="23"/>
  <c r="AM72" i="23"/>
  <c r="AN72" i="23"/>
  <c r="AO72" i="23"/>
  <c r="AP72" i="23"/>
  <c r="AQ72" i="23"/>
  <c r="AR72" i="23"/>
  <c r="AS72" i="23"/>
  <c r="AT72" i="23"/>
  <c r="AU72" i="23"/>
  <c r="AV72" i="23"/>
  <c r="AW72" i="23"/>
  <c r="AX72" i="23"/>
  <c r="AY72" i="23"/>
  <c r="AZ72" i="23"/>
  <c r="BA72" i="23"/>
  <c r="BB72" i="23"/>
  <c r="BC72" i="23"/>
  <c r="BD72" i="23"/>
  <c r="BE72" i="23"/>
  <c r="BF72" i="23"/>
  <c r="BG72" i="23"/>
  <c r="BH72" i="23"/>
  <c r="E71" i="23"/>
  <c r="F71" i="23"/>
  <c r="G71" i="23"/>
  <c r="H71" i="23"/>
  <c r="I71" i="23"/>
  <c r="J71" i="23"/>
  <c r="K71" i="23"/>
  <c r="L71" i="23"/>
  <c r="M71" i="23"/>
  <c r="N71" i="23"/>
  <c r="O71" i="23"/>
  <c r="P71" i="23"/>
  <c r="Q71" i="23"/>
  <c r="R71" i="23"/>
  <c r="S71" i="23"/>
  <c r="T71" i="23"/>
  <c r="U71" i="23"/>
  <c r="V71" i="23"/>
  <c r="W71" i="23"/>
  <c r="X71" i="23"/>
  <c r="Y71" i="23"/>
  <c r="Z71" i="23"/>
  <c r="AA71" i="23"/>
  <c r="AB71" i="23"/>
  <c r="AC71" i="23"/>
  <c r="AD71" i="23"/>
  <c r="AE71" i="23"/>
  <c r="AF71" i="23"/>
  <c r="AG71" i="23"/>
  <c r="AH71" i="23"/>
  <c r="AI71" i="23"/>
  <c r="AJ71" i="23"/>
  <c r="AK71" i="23"/>
  <c r="AL71" i="23"/>
  <c r="AM71" i="23"/>
  <c r="AN71" i="23"/>
  <c r="AO71" i="23"/>
  <c r="AP71" i="23"/>
  <c r="AQ71" i="23"/>
  <c r="AR71" i="23"/>
  <c r="AS71" i="23"/>
  <c r="AT71" i="23"/>
  <c r="AU71" i="23"/>
  <c r="AV71" i="23"/>
  <c r="AW71" i="23"/>
  <c r="AX71" i="23"/>
  <c r="AY71" i="23"/>
  <c r="AZ71" i="23"/>
  <c r="BA71" i="23"/>
  <c r="BB71" i="23"/>
  <c r="BC71" i="23"/>
  <c r="BD71" i="23"/>
  <c r="BE71" i="23"/>
  <c r="BF71" i="23"/>
  <c r="BG71" i="23"/>
  <c r="BH71" i="23"/>
  <c r="E70" i="23"/>
  <c r="F70" i="23"/>
  <c r="G70" i="23"/>
  <c r="H70" i="23"/>
  <c r="I70" i="23"/>
  <c r="J70" i="23"/>
  <c r="K70" i="23"/>
  <c r="L70" i="23"/>
  <c r="M70" i="23"/>
  <c r="N70" i="23"/>
  <c r="O70" i="23"/>
  <c r="P70" i="23"/>
  <c r="Q70" i="23"/>
  <c r="R70" i="23"/>
  <c r="S70" i="23"/>
  <c r="T70" i="23"/>
  <c r="U70" i="23"/>
  <c r="V70" i="23"/>
  <c r="W70" i="23"/>
  <c r="X70" i="23"/>
  <c r="Y70" i="23"/>
  <c r="Z70" i="23"/>
  <c r="AA70" i="23"/>
  <c r="AB70" i="23"/>
  <c r="AC70" i="23"/>
  <c r="AD70" i="23"/>
  <c r="AE70" i="23"/>
  <c r="AF70" i="23"/>
  <c r="AG70" i="23"/>
  <c r="AH70" i="23"/>
  <c r="AI70" i="23"/>
  <c r="AJ70" i="23"/>
  <c r="AK70" i="23"/>
  <c r="AL70" i="23"/>
  <c r="AM70" i="23"/>
  <c r="AN70" i="23"/>
  <c r="AO70" i="23"/>
  <c r="AP70" i="23"/>
  <c r="AQ70" i="23"/>
  <c r="AR70" i="23"/>
  <c r="AS70" i="23"/>
  <c r="AT70" i="23"/>
  <c r="AU70" i="23"/>
  <c r="AV70" i="23"/>
  <c r="AW70" i="23"/>
  <c r="AX70" i="23"/>
  <c r="AY70" i="23"/>
  <c r="AZ70" i="23"/>
  <c r="BA70" i="23"/>
  <c r="BB70" i="23"/>
  <c r="BC70" i="23"/>
  <c r="BD70" i="23"/>
  <c r="BE70" i="23"/>
  <c r="BF70" i="23"/>
  <c r="BG70" i="23"/>
  <c r="BH70" i="23"/>
  <c r="E69" i="23"/>
  <c r="F69" i="23"/>
  <c r="G69" i="23"/>
  <c r="H69" i="23"/>
  <c r="I69" i="23"/>
  <c r="J69" i="23"/>
  <c r="K69" i="23"/>
  <c r="L69" i="23"/>
  <c r="M69" i="23"/>
  <c r="N69" i="23"/>
  <c r="O69" i="23"/>
  <c r="P69" i="23"/>
  <c r="Q69" i="23"/>
  <c r="R69" i="23"/>
  <c r="S69" i="23"/>
  <c r="T69" i="23"/>
  <c r="U69" i="23"/>
  <c r="V69" i="23"/>
  <c r="W69" i="23"/>
  <c r="X69" i="23"/>
  <c r="Y69" i="23"/>
  <c r="Z69" i="23"/>
  <c r="AA69" i="23"/>
  <c r="AB69" i="23"/>
  <c r="AC69" i="23"/>
  <c r="AD69" i="23"/>
  <c r="AE69" i="23"/>
  <c r="AF69" i="23"/>
  <c r="AG69" i="23"/>
  <c r="AH69" i="23"/>
  <c r="AI69" i="23"/>
  <c r="AJ69" i="23"/>
  <c r="AK69" i="23"/>
  <c r="AL69" i="23"/>
  <c r="AM69" i="23"/>
  <c r="AN69" i="23"/>
  <c r="AO69" i="23"/>
  <c r="AP69" i="23"/>
  <c r="AQ69" i="23"/>
  <c r="AR69" i="23"/>
  <c r="AS69" i="23"/>
  <c r="AT69" i="23"/>
  <c r="AU69" i="23"/>
  <c r="AV69" i="23"/>
  <c r="AW69" i="23"/>
  <c r="AX69" i="23"/>
  <c r="AY69" i="23"/>
  <c r="AZ69" i="23"/>
  <c r="BA69" i="23"/>
  <c r="BB69" i="23"/>
  <c r="BC69" i="23"/>
  <c r="BD69" i="23"/>
  <c r="BE69" i="23"/>
  <c r="BF69" i="23"/>
  <c r="BG69" i="23"/>
  <c r="BH69" i="23"/>
  <c r="E68" i="23"/>
  <c r="F68" i="23"/>
  <c r="G68" i="23"/>
  <c r="H68" i="23"/>
  <c r="I68" i="23"/>
  <c r="J68" i="23"/>
  <c r="K68" i="23"/>
  <c r="L68" i="23"/>
  <c r="M68" i="23"/>
  <c r="N68" i="23"/>
  <c r="O68" i="23"/>
  <c r="P68" i="23"/>
  <c r="Q68" i="23"/>
  <c r="R68" i="23"/>
  <c r="S68" i="23"/>
  <c r="T68" i="23"/>
  <c r="U68" i="23"/>
  <c r="V68" i="23"/>
  <c r="W68" i="23"/>
  <c r="X68" i="23"/>
  <c r="Y68" i="23"/>
  <c r="Z68" i="23"/>
  <c r="AA68" i="23"/>
  <c r="AB68" i="23"/>
  <c r="AC68" i="23"/>
  <c r="AD68" i="23"/>
  <c r="AE68" i="23"/>
  <c r="AF68" i="23"/>
  <c r="AG68" i="23"/>
  <c r="AH68" i="23"/>
  <c r="AI68" i="23"/>
  <c r="AJ68" i="23"/>
  <c r="AK68" i="23"/>
  <c r="AL68" i="23"/>
  <c r="AM68" i="23"/>
  <c r="AN68" i="23"/>
  <c r="AO68" i="23"/>
  <c r="AP68" i="23"/>
  <c r="AQ68" i="23"/>
  <c r="AR68" i="23"/>
  <c r="AS68" i="23"/>
  <c r="AT68" i="23"/>
  <c r="AU68" i="23"/>
  <c r="AV68" i="23"/>
  <c r="AW68" i="23"/>
  <c r="AX68" i="23"/>
  <c r="AY68" i="23"/>
  <c r="AZ68" i="23"/>
  <c r="BA68" i="23"/>
  <c r="BB68" i="23"/>
  <c r="BC68" i="23"/>
  <c r="BD68" i="23"/>
  <c r="BE68" i="23"/>
  <c r="BF68" i="23"/>
  <c r="BG68" i="23"/>
  <c r="BH68" i="23"/>
  <c r="E67" i="23"/>
  <c r="F67" i="23"/>
  <c r="G67" i="23"/>
  <c r="H67" i="23"/>
  <c r="I67" i="23"/>
  <c r="J67" i="23"/>
  <c r="K67" i="23"/>
  <c r="L67" i="23"/>
  <c r="M67" i="23"/>
  <c r="N67" i="23"/>
  <c r="O67" i="23"/>
  <c r="P67" i="23"/>
  <c r="Q67" i="23"/>
  <c r="R67" i="23"/>
  <c r="S67" i="23"/>
  <c r="T67" i="23"/>
  <c r="U67" i="23"/>
  <c r="V67" i="23"/>
  <c r="W67" i="23"/>
  <c r="X67" i="23"/>
  <c r="Y67" i="23"/>
  <c r="Z67" i="23"/>
  <c r="AA67" i="23"/>
  <c r="AB67" i="23"/>
  <c r="AC67" i="23"/>
  <c r="AD67" i="23"/>
  <c r="AE67" i="23"/>
  <c r="AF67" i="23"/>
  <c r="AG67" i="23"/>
  <c r="AH67" i="23"/>
  <c r="AI67" i="23"/>
  <c r="AJ67" i="23"/>
  <c r="AK67" i="23"/>
  <c r="AL67" i="23"/>
  <c r="AM67" i="23"/>
  <c r="AN67" i="23"/>
  <c r="AO67" i="23"/>
  <c r="AP67" i="23"/>
  <c r="AQ67" i="23"/>
  <c r="AR67" i="23"/>
  <c r="AS67" i="23"/>
  <c r="AT67" i="23"/>
  <c r="AU67" i="23"/>
  <c r="AV67" i="23"/>
  <c r="AW67" i="23"/>
  <c r="AX67" i="23"/>
  <c r="AY67" i="23"/>
  <c r="AZ67" i="23"/>
  <c r="BA67" i="23"/>
  <c r="BB67" i="23"/>
  <c r="BC67" i="23"/>
  <c r="BD67" i="23"/>
  <c r="BE67" i="23"/>
  <c r="BF67" i="23"/>
  <c r="BG67" i="23"/>
  <c r="BH67" i="23"/>
  <c r="E66" i="23"/>
  <c r="F66" i="23"/>
  <c r="G66" i="23"/>
  <c r="H66" i="23"/>
  <c r="I66" i="23"/>
  <c r="J66" i="23"/>
  <c r="K66" i="23"/>
  <c r="L66" i="23"/>
  <c r="M66" i="23"/>
  <c r="N66" i="23"/>
  <c r="O66" i="23"/>
  <c r="P66" i="23"/>
  <c r="Q66" i="23"/>
  <c r="R66" i="23"/>
  <c r="S66" i="23"/>
  <c r="T66" i="23"/>
  <c r="U66" i="23"/>
  <c r="V66" i="23"/>
  <c r="W66" i="23"/>
  <c r="X66" i="23"/>
  <c r="Y66" i="23"/>
  <c r="Z66" i="23"/>
  <c r="AA66" i="23"/>
  <c r="AB66" i="23"/>
  <c r="AC66" i="23"/>
  <c r="AD66" i="23"/>
  <c r="AE66" i="23"/>
  <c r="AF66" i="23"/>
  <c r="AG66" i="23"/>
  <c r="AH66" i="23"/>
  <c r="AI66" i="23"/>
  <c r="AJ66" i="23"/>
  <c r="AK66" i="23"/>
  <c r="AL66" i="23"/>
  <c r="AM66" i="23"/>
  <c r="AN66" i="23"/>
  <c r="AO66" i="23"/>
  <c r="AP66" i="23"/>
  <c r="AQ66" i="23"/>
  <c r="AR66" i="23"/>
  <c r="AS66" i="23"/>
  <c r="AT66" i="23"/>
  <c r="AU66" i="23"/>
  <c r="AV66" i="23"/>
  <c r="AW66" i="23"/>
  <c r="AX66" i="23"/>
  <c r="AY66" i="23"/>
  <c r="AZ66" i="23"/>
  <c r="BA66" i="23"/>
  <c r="BB66" i="23"/>
  <c r="BC66" i="23"/>
  <c r="BD66" i="23"/>
  <c r="BE66" i="23"/>
  <c r="BF66" i="23"/>
  <c r="BG66" i="23"/>
  <c r="BH66" i="23"/>
  <c r="E65" i="23"/>
  <c r="F65" i="23"/>
  <c r="G65" i="23"/>
  <c r="H65" i="23"/>
  <c r="I65" i="23"/>
  <c r="J65" i="23"/>
  <c r="K65" i="23"/>
  <c r="L65" i="23"/>
  <c r="M65" i="23"/>
  <c r="N65" i="23"/>
  <c r="O65" i="23"/>
  <c r="P65" i="23"/>
  <c r="Q65" i="23"/>
  <c r="R65" i="23"/>
  <c r="S65" i="23"/>
  <c r="T65" i="23"/>
  <c r="U65" i="23"/>
  <c r="V65" i="23"/>
  <c r="W65" i="23"/>
  <c r="X65" i="23"/>
  <c r="Y65" i="23"/>
  <c r="Z65" i="23"/>
  <c r="AA65" i="23"/>
  <c r="AB65" i="23"/>
  <c r="AC65" i="23"/>
  <c r="AD65" i="23"/>
  <c r="AE65" i="23"/>
  <c r="AF65" i="23"/>
  <c r="AG65" i="23"/>
  <c r="AH65" i="23"/>
  <c r="AI65" i="23"/>
  <c r="AJ65" i="23"/>
  <c r="AK65" i="23"/>
  <c r="AL65" i="23"/>
  <c r="AM65" i="23"/>
  <c r="AN65" i="23"/>
  <c r="AO65" i="23"/>
  <c r="AP65" i="23"/>
  <c r="AQ65" i="23"/>
  <c r="AR65" i="23"/>
  <c r="AS65" i="23"/>
  <c r="AT65" i="23"/>
  <c r="AU65" i="23"/>
  <c r="AV65" i="23"/>
  <c r="AW65" i="23"/>
  <c r="AX65" i="23"/>
  <c r="AY65" i="23"/>
  <c r="AZ65" i="23"/>
  <c r="BA65" i="23"/>
  <c r="BB65" i="23"/>
  <c r="BC65" i="23"/>
  <c r="BD65" i="23"/>
  <c r="BE65" i="23"/>
  <c r="BF65" i="23"/>
  <c r="BG65" i="23"/>
  <c r="BH65" i="23"/>
  <c r="E64" i="23"/>
  <c r="F64" i="23"/>
  <c r="G64" i="23"/>
  <c r="H64" i="23"/>
  <c r="I64" i="23"/>
  <c r="J64" i="23"/>
  <c r="K64" i="23"/>
  <c r="L64" i="23"/>
  <c r="M64" i="23"/>
  <c r="N64" i="23"/>
  <c r="O64" i="23"/>
  <c r="P64" i="23"/>
  <c r="Q64" i="23"/>
  <c r="R64" i="23"/>
  <c r="S64" i="23"/>
  <c r="T64" i="23"/>
  <c r="U64" i="23"/>
  <c r="V64" i="23"/>
  <c r="W64" i="23"/>
  <c r="X64" i="23"/>
  <c r="Y64" i="23"/>
  <c r="Z64" i="23"/>
  <c r="AA64" i="23"/>
  <c r="AB64" i="23"/>
  <c r="AC64" i="23"/>
  <c r="AD64" i="23"/>
  <c r="AE64" i="23"/>
  <c r="AF64" i="23"/>
  <c r="AG64" i="23"/>
  <c r="AH64" i="23"/>
  <c r="AI64" i="23"/>
  <c r="AJ64" i="23"/>
  <c r="AK64" i="23"/>
  <c r="AL64" i="23"/>
  <c r="AM64" i="23"/>
  <c r="AN64" i="23"/>
  <c r="AO64" i="23"/>
  <c r="AP64" i="23"/>
  <c r="AQ64" i="23"/>
  <c r="AR64" i="23"/>
  <c r="AS64" i="23"/>
  <c r="AT64" i="23"/>
  <c r="AU64" i="23"/>
  <c r="AV64" i="23"/>
  <c r="AW64" i="23"/>
  <c r="AX64" i="23"/>
  <c r="AY64" i="23"/>
  <c r="AZ64" i="23"/>
  <c r="BA64" i="23"/>
  <c r="BB64" i="23"/>
  <c r="BC64" i="23"/>
  <c r="BD64" i="23"/>
  <c r="BE64" i="23"/>
  <c r="BF64" i="23"/>
  <c r="BG64" i="23"/>
  <c r="BH64" i="23"/>
  <c r="E63" i="23"/>
  <c r="F63" i="23"/>
  <c r="G63" i="23"/>
  <c r="H63" i="23"/>
  <c r="I63" i="23"/>
  <c r="J63" i="23"/>
  <c r="K63" i="23"/>
  <c r="L63" i="23"/>
  <c r="M63" i="23"/>
  <c r="N63" i="23"/>
  <c r="O63" i="23"/>
  <c r="P63" i="23"/>
  <c r="Q63" i="23"/>
  <c r="R63" i="23"/>
  <c r="S63" i="23"/>
  <c r="T63" i="23"/>
  <c r="U63" i="23"/>
  <c r="V63" i="23"/>
  <c r="W63" i="23"/>
  <c r="X63" i="23"/>
  <c r="Y63" i="23"/>
  <c r="Z63" i="23"/>
  <c r="AA63" i="23"/>
  <c r="AB63" i="23"/>
  <c r="AC63" i="23"/>
  <c r="AD63" i="23"/>
  <c r="AE63" i="23"/>
  <c r="AF63" i="23"/>
  <c r="AG63" i="23"/>
  <c r="AH63" i="23"/>
  <c r="AI63" i="23"/>
  <c r="AJ63" i="23"/>
  <c r="AK63" i="23"/>
  <c r="AL63" i="23"/>
  <c r="AM63" i="23"/>
  <c r="AN63" i="23"/>
  <c r="AO63" i="23"/>
  <c r="AP63" i="23"/>
  <c r="AQ63" i="23"/>
  <c r="AR63" i="23"/>
  <c r="AS63" i="23"/>
  <c r="AT63" i="23"/>
  <c r="AU63" i="23"/>
  <c r="AV63" i="23"/>
  <c r="AW63" i="23"/>
  <c r="AX63" i="23"/>
  <c r="AY63" i="23"/>
  <c r="AZ63" i="23"/>
  <c r="BA63" i="23"/>
  <c r="BB63" i="23"/>
  <c r="BC63" i="23"/>
  <c r="BD63" i="23"/>
  <c r="BE63" i="23"/>
  <c r="BF63" i="23"/>
  <c r="BG63" i="23"/>
  <c r="BH63" i="23"/>
  <c r="E62" i="23"/>
  <c r="F62" i="23"/>
  <c r="G62" i="23"/>
  <c r="H62" i="23"/>
  <c r="I62" i="23"/>
  <c r="J62" i="23"/>
  <c r="K62" i="23"/>
  <c r="L62" i="23"/>
  <c r="M62" i="23"/>
  <c r="N62" i="23"/>
  <c r="O62" i="23"/>
  <c r="P62" i="23"/>
  <c r="Q62" i="23"/>
  <c r="R62" i="23"/>
  <c r="S62" i="23"/>
  <c r="T62" i="23"/>
  <c r="U62" i="23"/>
  <c r="V62" i="23"/>
  <c r="W62" i="23"/>
  <c r="X62" i="23"/>
  <c r="Y62" i="23"/>
  <c r="Z62" i="23"/>
  <c r="AA62" i="23"/>
  <c r="AB62" i="23"/>
  <c r="AC62" i="23"/>
  <c r="AD62" i="23"/>
  <c r="AE62" i="23"/>
  <c r="AF62" i="23"/>
  <c r="AG62" i="23"/>
  <c r="AH62" i="23"/>
  <c r="AI62" i="23"/>
  <c r="AJ62" i="23"/>
  <c r="AK62" i="23"/>
  <c r="AL62" i="23"/>
  <c r="AM62" i="23"/>
  <c r="AN62" i="23"/>
  <c r="AO62" i="23"/>
  <c r="AP62" i="23"/>
  <c r="AQ62" i="23"/>
  <c r="AR62" i="23"/>
  <c r="AS62" i="23"/>
  <c r="AT62" i="23"/>
  <c r="AU62" i="23"/>
  <c r="AV62" i="23"/>
  <c r="AW62" i="23"/>
  <c r="AX62" i="23"/>
  <c r="AY62" i="23"/>
  <c r="AZ62" i="23"/>
  <c r="BA62" i="23"/>
  <c r="BB62" i="23"/>
  <c r="BC62" i="23"/>
  <c r="BD62" i="23"/>
  <c r="BE62" i="23"/>
  <c r="BF62" i="23"/>
  <c r="BG62" i="23"/>
  <c r="BH62" i="23"/>
  <c r="E61" i="23"/>
  <c r="F61" i="23"/>
  <c r="G61" i="23"/>
  <c r="H61" i="23"/>
  <c r="I61" i="23"/>
  <c r="J61" i="23"/>
  <c r="K61" i="23"/>
  <c r="L61" i="23"/>
  <c r="M61" i="23"/>
  <c r="N61" i="23"/>
  <c r="O61" i="23"/>
  <c r="P61" i="23"/>
  <c r="Q61" i="23"/>
  <c r="R61" i="23"/>
  <c r="S61" i="23"/>
  <c r="T61" i="23"/>
  <c r="U61" i="23"/>
  <c r="V61" i="23"/>
  <c r="W61" i="23"/>
  <c r="X61" i="23"/>
  <c r="Y61" i="23"/>
  <c r="Z61" i="23"/>
  <c r="AA61" i="23"/>
  <c r="AB61" i="23"/>
  <c r="AC61" i="23"/>
  <c r="AD61" i="23"/>
  <c r="AE61" i="23"/>
  <c r="AF61" i="23"/>
  <c r="AG61" i="23"/>
  <c r="AH61" i="23"/>
  <c r="AI61" i="23"/>
  <c r="AJ61" i="23"/>
  <c r="AK61" i="23"/>
  <c r="AL61" i="23"/>
  <c r="AM61" i="23"/>
  <c r="AN61" i="23"/>
  <c r="AO61" i="23"/>
  <c r="AP61" i="23"/>
  <c r="AQ61" i="23"/>
  <c r="AR61" i="23"/>
  <c r="AS61" i="23"/>
  <c r="AT61" i="23"/>
  <c r="AU61" i="23"/>
  <c r="AV61" i="23"/>
  <c r="AW61" i="23"/>
  <c r="AX61" i="23"/>
  <c r="AY61" i="23"/>
  <c r="AZ61" i="23"/>
  <c r="BA61" i="23"/>
  <c r="BB61" i="23"/>
  <c r="BC61" i="23"/>
  <c r="BD61" i="23"/>
  <c r="BE61" i="23"/>
  <c r="BF61" i="23"/>
  <c r="BG61" i="23"/>
  <c r="BH61" i="23"/>
  <c r="E60" i="23"/>
  <c r="F60" i="23"/>
  <c r="G60" i="23"/>
  <c r="H60" i="23"/>
  <c r="I60" i="23"/>
  <c r="J60" i="23"/>
  <c r="K60" i="23"/>
  <c r="L60" i="23"/>
  <c r="M60" i="23"/>
  <c r="N60" i="23"/>
  <c r="O60" i="23"/>
  <c r="P60" i="23"/>
  <c r="Q60" i="23"/>
  <c r="R60" i="23"/>
  <c r="S60" i="23"/>
  <c r="T60" i="23"/>
  <c r="U60" i="23"/>
  <c r="V60" i="23"/>
  <c r="W60" i="23"/>
  <c r="X60" i="23"/>
  <c r="Y60" i="23"/>
  <c r="Z60" i="23"/>
  <c r="AA60" i="23"/>
  <c r="AB60" i="23"/>
  <c r="AC60" i="23"/>
  <c r="AD60" i="23"/>
  <c r="AE60" i="23"/>
  <c r="AF60" i="23"/>
  <c r="AG60" i="23"/>
  <c r="AH60" i="23"/>
  <c r="AI60" i="23"/>
  <c r="AJ60" i="23"/>
  <c r="AK60" i="23"/>
  <c r="AL60" i="23"/>
  <c r="AM60" i="23"/>
  <c r="AN60" i="23"/>
  <c r="AO60" i="23"/>
  <c r="AP60" i="23"/>
  <c r="AQ60" i="23"/>
  <c r="AR60" i="23"/>
  <c r="AS60" i="23"/>
  <c r="AT60" i="23"/>
  <c r="AU60" i="23"/>
  <c r="AV60" i="23"/>
  <c r="AW60" i="23"/>
  <c r="AX60" i="23"/>
  <c r="AY60" i="23"/>
  <c r="AZ60" i="23"/>
  <c r="BA60" i="23"/>
  <c r="BB60" i="23"/>
  <c r="BC60" i="23"/>
  <c r="BD60" i="23"/>
  <c r="BE60" i="23"/>
  <c r="BF60" i="23"/>
  <c r="BG60" i="23"/>
  <c r="BH60" i="23"/>
  <c r="E59" i="23"/>
  <c r="F59" i="23"/>
  <c r="G59" i="23"/>
  <c r="H59" i="23"/>
  <c r="I59" i="23"/>
  <c r="J59" i="23"/>
  <c r="K59" i="23"/>
  <c r="L59" i="23"/>
  <c r="M59" i="23"/>
  <c r="N59" i="23"/>
  <c r="O59" i="23"/>
  <c r="P59" i="23"/>
  <c r="Q59" i="23"/>
  <c r="R59" i="23"/>
  <c r="S59" i="23"/>
  <c r="T59" i="23"/>
  <c r="U59" i="23"/>
  <c r="V59" i="23"/>
  <c r="W59" i="23"/>
  <c r="X59" i="23"/>
  <c r="Y59" i="23"/>
  <c r="Z59" i="23"/>
  <c r="AA59" i="23"/>
  <c r="AB59" i="23"/>
  <c r="AC59" i="23"/>
  <c r="AD59" i="23"/>
  <c r="AE59" i="23"/>
  <c r="AF59" i="23"/>
  <c r="AG59" i="23"/>
  <c r="AH59" i="23"/>
  <c r="AI59" i="23"/>
  <c r="AJ59" i="23"/>
  <c r="AK59" i="23"/>
  <c r="AL59" i="23"/>
  <c r="AM59" i="23"/>
  <c r="AN59" i="23"/>
  <c r="AO59" i="23"/>
  <c r="AP59" i="23"/>
  <c r="AQ59" i="23"/>
  <c r="AR59" i="23"/>
  <c r="AS59" i="23"/>
  <c r="AT59" i="23"/>
  <c r="AU59" i="23"/>
  <c r="AV59" i="23"/>
  <c r="AW59" i="23"/>
  <c r="AX59" i="23"/>
  <c r="AY59" i="23"/>
  <c r="AZ59" i="23"/>
  <c r="BA59" i="23"/>
  <c r="BB59" i="23"/>
  <c r="BC59" i="23"/>
  <c r="BD59" i="23"/>
  <c r="BE59" i="23"/>
  <c r="BF59" i="23"/>
  <c r="BG59" i="23"/>
  <c r="BH59" i="23"/>
  <c r="E58" i="23"/>
  <c r="F58" i="23"/>
  <c r="G58" i="23"/>
  <c r="H58" i="23"/>
  <c r="I58" i="23"/>
  <c r="J58" i="23"/>
  <c r="K58" i="23"/>
  <c r="L58" i="23"/>
  <c r="M58" i="23"/>
  <c r="N58" i="23"/>
  <c r="O58" i="23"/>
  <c r="P58" i="23"/>
  <c r="Q58" i="23"/>
  <c r="R58" i="23"/>
  <c r="S58" i="23"/>
  <c r="T58" i="23"/>
  <c r="U58" i="23"/>
  <c r="V58" i="23"/>
  <c r="W58" i="23"/>
  <c r="X58" i="23"/>
  <c r="Y58" i="23"/>
  <c r="Z58" i="23"/>
  <c r="AA58" i="23"/>
  <c r="AB58" i="23"/>
  <c r="AC58" i="23"/>
  <c r="AD58" i="23"/>
  <c r="AE58" i="23"/>
  <c r="AF58" i="23"/>
  <c r="AG58" i="23"/>
  <c r="AH58" i="23"/>
  <c r="AI58" i="23"/>
  <c r="AJ58" i="23"/>
  <c r="AK58" i="23"/>
  <c r="AL58" i="23"/>
  <c r="AM58" i="23"/>
  <c r="AN58" i="23"/>
  <c r="AO58" i="23"/>
  <c r="AP58" i="23"/>
  <c r="AQ58" i="23"/>
  <c r="AR58" i="23"/>
  <c r="AS58" i="23"/>
  <c r="AT58" i="23"/>
  <c r="AU58" i="23"/>
  <c r="AV58" i="23"/>
  <c r="AW58" i="23"/>
  <c r="AX58" i="23"/>
  <c r="AY58" i="23"/>
  <c r="AZ58" i="23"/>
  <c r="BA58" i="23"/>
  <c r="BB58" i="23"/>
  <c r="BC58" i="23"/>
  <c r="BD58" i="23"/>
  <c r="BE58" i="23"/>
  <c r="BF58" i="23"/>
  <c r="BG58" i="23"/>
  <c r="BH58" i="23"/>
  <c r="E57" i="23"/>
  <c r="F57" i="23"/>
  <c r="G57" i="23"/>
  <c r="H57" i="23"/>
  <c r="I57" i="23"/>
  <c r="J57" i="23"/>
  <c r="K57" i="23"/>
  <c r="L57" i="23"/>
  <c r="M57" i="23"/>
  <c r="N57" i="23"/>
  <c r="O57" i="23"/>
  <c r="P57" i="23"/>
  <c r="Q57" i="23"/>
  <c r="R57" i="23"/>
  <c r="S57" i="23"/>
  <c r="T57" i="23"/>
  <c r="U57" i="23"/>
  <c r="V57" i="23"/>
  <c r="W57" i="23"/>
  <c r="X57" i="23"/>
  <c r="Y57" i="23"/>
  <c r="Z57" i="23"/>
  <c r="AA57" i="23"/>
  <c r="AB57" i="23"/>
  <c r="AC57" i="23"/>
  <c r="AD57" i="23"/>
  <c r="AE57" i="23"/>
  <c r="AF57" i="23"/>
  <c r="AG57" i="23"/>
  <c r="AH57" i="23"/>
  <c r="AI57" i="23"/>
  <c r="AJ57" i="23"/>
  <c r="AK57" i="23"/>
  <c r="AL57" i="23"/>
  <c r="AM57" i="23"/>
  <c r="AN57" i="23"/>
  <c r="AO57" i="23"/>
  <c r="AP57" i="23"/>
  <c r="AQ57" i="23"/>
  <c r="AR57" i="23"/>
  <c r="AS57" i="23"/>
  <c r="AT57" i="23"/>
  <c r="AU57" i="23"/>
  <c r="AV57" i="23"/>
  <c r="AW57" i="23"/>
  <c r="AX57" i="23"/>
  <c r="AY57" i="23"/>
  <c r="AZ57" i="23"/>
  <c r="BA57" i="23"/>
  <c r="BB57" i="23"/>
  <c r="BC57" i="23"/>
  <c r="BD57" i="23"/>
  <c r="BE57" i="23"/>
  <c r="BF57" i="23"/>
  <c r="BG57" i="23"/>
  <c r="BH57" i="23"/>
  <c r="E56" i="23"/>
  <c r="F56" i="23"/>
  <c r="G56" i="23"/>
  <c r="H56" i="23"/>
  <c r="I56" i="23"/>
  <c r="J56" i="23"/>
  <c r="K56" i="23"/>
  <c r="L56" i="23"/>
  <c r="M56" i="23"/>
  <c r="N56" i="23"/>
  <c r="O56" i="23"/>
  <c r="P56" i="23"/>
  <c r="Q56" i="23"/>
  <c r="R56" i="23"/>
  <c r="S56" i="23"/>
  <c r="T56" i="23"/>
  <c r="U56" i="23"/>
  <c r="V56" i="23"/>
  <c r="W56" i="23"/>
  <c r="X56" i="23"/>
  <c r="Y56" i="23"/>
  <c r="Z56" i="23"/>
  <c r="AA56" i="23"/>
  <c r="AB56" i="23"/>
  <c r="AC56" i="23"/>
  <c r="AD56" i="23"/>
  <c r="AE56" i="23"/>
  <c r="AF56" i="23"/>
  <c r="AG56" i="23"/>
  <c r="AH56" i="23"/>
  <c r="AI56" i="23"/>
  <c r="AJ56" i="23"/>
  <c r="AK56" i="23"/>
  <c r="AL56" i="23"/>
  <c r="AM56" i="23"/>
  <c r="AN56" i="23"/>
  <c r="AO56" i="23"/>
  <c r="AP56" i="23"/>
  <c r="AQ56" i="23"/>
  <c r="AR56" i="23"/>
  <c r="AS56" i="23"/>
  <c r="AT56" i="23"/>
  <c r="AU56" i="23"/>
  <c r="AV56" i="23"/>
  <c r="AW56" i="23"/>
  <c r="AX56" i="23"/>
  <c r="AY56" i="23"/>
  <c r="AZ56" i="23"/>
  <c r="BA56" i="23"/>
  <c r="BB56" i="23"/>
  <c r="BC56" i="23"/>
  <c r="BD56" i="23"/>
  <c r="BE56" i="23"/>
  <c r="BF56" i="23"/>
  <c r="BG56" i="23"/>
  <c r="BH56" i="23"/>
  <c r="E55" i="23"/>
  <c r="F55" i="23"/>
  <c r="G55" i="23"/>
  <c r="H55" i="23"/>
  <c r="I55" i="23"/>
  <c r="J55" i="23"/>
  <c r="K55" i="23"/>
  <c r="L55" i="23"/>
  <c r="M55" i="23"/>
  <c r="N55" i="23"/>
  <c r="O55" i="23"/>
  <c r="P55" i="23"/>
  <c r="Q55" i="23"/>
  <c r="R55" i="23"/>
  <c r="S55" i="23"/>
  <c r="T55" i="23"/>
  <c r="U55" i="23"/>
  <c r="V55" i="23"/>
  <c r="W55" i="23"/>
  <c r="X55" i="23"/>
  <c r="Y55" i="23"/>
  <c r="Z55" i="23"/>
  <c r="AA55" i="23"/>
  <c r="AB55" i="23"/>
  <c r="AC55" i="23"/>
  <c r="AD55" i="23"/>
  <c r="AE55" i="23"/>
  <c r="AF55" i="23"/>
  <c r="AG55" i="23"/>
  <c r="AH55" i="23"/>
  <c r="AI55" i="23"/>
  <c r="AJ55" i="23"/>
  <c r="AK55" i="23"/>
  <c r="AL55" i="23"/>
  <c r="AM55" i="23"/>
  <c r="AN55" i="23"/>
  <c r="AO55" i="23"/>
  <c r="AP55" i="23"/>
  <c r="AQ55" i="23"/>
  <c r="AR55" i="23"/>
  <c r="AS55" i="23"/>
  <c r="AT55" i="23"/>
  <c r="AU55" i="23"/>
  <c r="AV55" i="23"/>
  <c r="AW55" i="23"/>
  <c r="AX55" i="23"/>
  <c r="AY55" i="23"/>
  <c r="AZ55" i="23"/>
  <c r="BA55" i="23"/>
  <c r="BB55" i="23"/>
  <c r="BC55" i="23"/>
  <c r="BD55" i="23"/>
  <c r="BE55" i="23"/>
  <c r="BF55" i="23"/>
  <c r="BG55" i="23"/>
  <c r="BH55" i="23"/>
  <c r="E54" i="23"/>
  <c r="F54" i="23"/>
  <c r="G54" i="23"/>
  <c r="H54" i="23"/>
  <c r="I54" i="23"/>
  <c r="J54" i="23"/>
  <c r="K54" i="23"/>
  <c r="L54" i="23"/>
  <c r="M54" i="23"/>
  <c r="N54" i="23"/>
  <c r="O54" i="23"/>
  <c r="P54" i="23"/>
  <c r="Q54" i="23"/>
  <c r="R54" i="23"/>
  <c r="S54" i="23"/>
  <c r="T54" i="23"/>
  <c r="U54" i="23"/>
  <c r="V54" i="23"/>
  <c r="W54" i="23"/>
  <c r="X54" i="23"/>
  <c r="Y54" i="23"/>
  <c r="Z54" i="23"/>
  <c r="AA54" i="23"/>
  <c r="AB54" i="23"/>
  <c r="AC54" i="23"/>
  <c r="AD54" i="23"/>
  <c r="AE54" i="23"/>
  <c r="AF54" i="23"/>
  <c r="AG54" i="23"/>
  <c r="AH54" i="23"/>
  <c r="AI54" i="23"/>
  <c r="AJ54" i="23"/>
  <c r="AK54" i="23"/>
  <c r="AL54" i="23"/>
  <c r="AM54" i="23"/>
  <c r="AN54" i="23"/>
  <c r="AO54" i="23"/>
  <c r="AP54" i="23"/>
  <c r="AQ54" i="23"/>
  <c r="AR54" i="23"/>
  <c r="AS54" i="23"/>
  <c r="AT54" i="23"/>
  <c r="AU54" i="23"/>
  <c r="AV54" i="23"/>
  <c r="AW54" i="23"/>
  <c r="AX54" i="23"/>
  <c r="AY54" i="23"/>
  <c r="AZ54" i="23"/>
  <c r="BA54" i="23"/>
  <c r="BB54" i="23"/>
  <c r="BC54" i="23"/>
  <c r="BD54" i="23"/>
  <c r="BE54" i="23"/>
  <c r="BF54" i="23"/>
  <c r="BG54" i="23"/>
  <c r="BH54" i="23"/>
  <c r="E53" i="23"/>
  <c r="F53" i="23"/>
  <c r="G53" i="23"/>
  <c r="H53" i="23"/>
  <c r="I53" i="23"/>
  <c r="J53" i="23"/>
  <c r="K53" i="23"/>
  <c r="L53" i="23"/>
  <c r="M53" i="23"/>
  <c r="N53" i="23"/>
  <c r="O53" i="23"/>
  <c r="P53" i="23"/>
  <c r="Q53" i="23"/>
  <c r="R53" i="23"/>
  <c r="S53" i="23"/>
  <c r="T53" i="23"/>
  <c r="U53" i="23"/>
  <c r="V53" i="23"/>
  <c r="W53" i="23"/>
  <c r="X53" i="23"/>
  <c r="Y53" i="23"/>
  <c r="Z53" i="23"/>
  <c r="AA53" i="23"/>
  <c r="AB53" i="23"/>
  <c r="AC53" i="23"/>
  <c r="AD53" i="23"/>
  <c r="AE53" i="23"/>
  <c r="AF53" i="23"/>
  <c r="AG53" i="23"/>
  <c r="AH53" i="23"/>
  <c r="AI53" i="23"/>
  <c r="AJ53" i="23"/>
  <c r="AK53" i="23"/>
  <c r="AL53" i="23"/>
  <c r="AM53" i="23"/>
  <c r="AN53" i="23"/>
  <c r="AO53" i="23"/>
  <c r="AP53" i="23"/>
  <c r="AQ53" i="23"/>
  <c r="AR53" i="23"/>
  <c r="AS53" i="23"/>
  <c r="AT53" i="23"/>
  <c r="AU53" i="23"/>
  <c r="AV53" i="23"/>
  <c r="AW53" i="23"/>
  <c r="AX53" i="23"/>
  <c r="AY53" i="23"/>
  <c r="AZ53" i="23"/>
  <c r="BA53" i="23"/>
  <c r="BB53" i="23"/>
  <c r="BC53" i="23"/>
  <c r="BD53" i="23"/>
  <c r="BE53" i="23"/>
  <c r="BF53" i="23"/>
  <c r="BG53" i="23"/>
  <c r="BH53" i="23"/>
  <c r="E52" i="23"/>
  <c r="F52" i="23"/>
  <c r="G52" i="23"/>
  <c r="H52" i="23"/>
  <c r="I52" i="23"/>
  <c r="J52" i="23"/>
  <c r="K52" i="23"/>
  <c r="L52" i="23"/>
  <c r="M52" i="23"/>
  <c r="N52" i="23"/>
  <c r="O52" i="23"/>
  <c r="P52" i="23"/>
  <c r="Q52" i="23"/>
  <c r="R52" i="23"/>
  <c r="S52" i="23"/>
  <c r="T52" i="23"/>
  <c r="U52" i="23"/>
  <c r="V52" i="23"/>
  <c r="W52" i="23"/>
  <c r="X52" i="23"/>
  <c r="Y52" i="23"/>
  <c r="Z52" i="23"/>
  <c r="AA52" i="23"/>
  <c r="AB52" i="23"/>
  <c r="AC52" i="23"/>
  <c r="AD52" i="23"/>
  <c r="AE52" i="23"/>
  <c r="AF52" i="23"/>
  <c r="AG52" i="23"/>
  <c r="AH52" i="23"/>
  <c r="AI52" i="23"/>
  <c r="AJ52" i="23"/>
  <c r="AK52" i="23"/>
  <c r="AL52" i="23"/>
  <c r="AM52" i="23"/>
  <c r="AN52" i="23"/>
  <c r="AO52" i="23"/>
  <c r="AP52" i="23"/>
  <c r="AQ52" i="23"/>
  <c r="AR52" i="23"/>
  <c r="AS52" i="23"/>
  <c r="AT52" i="23"/>
  <c r="AU52" i="23"/>
  <c r="AV52" i="23"/>
  <c r="AW52" i="23"/>
  <c r="AX52" i="23"/>
  <c r="AY52" i="23"/>
  <c r="AZ52" i="23"/>
  <c r="BA52" i="23"/>
  <c r="BB52" i="23"/>
  <c r="BC52" i="23"/>
  <c r="BD52" i="23"/>
  <c r="BE52" i="23"/>
  <c r="BF52" i="23"/>
  <c r="BG52" i="23"/>
  <c r="BH52" i="23"/>
  <c r="E51" i="23"/>
  <c r="F51" i="23"/>
  <c r="G51" i="23"/>
  <c r="H51" i="23"/>
  <c r="I51" i="23"/>
  <c r="J51" i="23"/>
  <c r="K51" i="23"/>
  <c r="L51" i="23"/>
  <c r="M51" i="23"/>
  <c r="N51" i="23"/>
  <c r="O51" i="23"/>
  <c r="P51" i="23"/>
  <c r="Q51" i="23"/>
  <c r="R51" i="23"/>
  <c r="S51" i="23"/>
  <c r="T51" i="23"/>
  <c r="U51" i="23"/>
  <c r="V51" i="23"/>
  <c r="W51" i="23"/>
  <c r="X51" i="23"/>
  <c r="Y51" i="23"/>
  <c r="Z51" i="23"/>
  <c r="AA51" i="23"/>
  <c r="AB51" i="23"/>
  <c r="AC51" i="23"/>
  <c r="AD51" i="23"/>
  <c r="AE51" i="23"/>
  <c r="AF51" i="23"/>
  <c r="AG51" i="23"/>
  <c r="AH51" i="23"/>
  <c r="AI51" i="23"/>
  <c r="AJ51" i="23"/>
  <c r="AK51" i="23"/>
  <c r="AL51" i="23"/>
  <c r="AM51" i="23"/>
  <c r="AN51" i="23"/>
  <c r="AO51" i="23"/>
  <c r="AP51" i="23"/>
  <c r="AQ51" i="23"/>
  <c r="AR51" i="23"/>
  <c r="AS51" i="23"/>
  <c r="AT51" i="23"/>
  <c r="AU51" i="23"/>
  <c r="AV51" i="23"/>
  <c r="AW51" i="23"/>
  <c r="AX51" i="23"/>
  <c r="AY51" i="23"/>
  <c r="AZ51" i="23"/>
  <c r="BA51" i="23"/>
  <c r="BB51" i="23"/>
  <c r="BC51" i="23"/>
  <c r="BD51" i="23"/>
  <c r="BE51" i="23"/>
  <c r="BF51" i="23"/>
  <c r="BG51" i="23"/>
  <c r="BH51" i="23"/>
  <c r="E50" i="23"/>
  <c r="F50" i="23"/>
  <c r="G50" i="23"/>
  <c r="H50" i="23"/>
  <c r="I50" i="23"/>
  <c r="J50" i="23"/>
  <c r="K50" i="23"/>
  <c r="L50" i="23"/>
  <c r="M50" i="23"/>
  <c r="N50" i="23"/>
  <c r="O50" i="23"/>
  <c r="P50" i="23"/>
  <c r="Q50" i="23"/>
  <c r="R50" i="23"/>
  <c r="S50" i="23"/>
  <c r="T50" i="23"/>
  <c r="U50" i="23"/>
  <c r="V50" i="23"/>
  <c r="W50" i="23"/>
  <c r="X50" i="23"/>
  <c r="Y50" i="23"/>
  <c r="Z50" i="23"/>
  <c r="AA50" i="23"/>
  <c r="AB50" i="23"/>
  <c r="AC50" i="23"/>
  <c r="AD50" i="23"/>
  <c r="AE50" i="23"/>
  <c r="AF50" i="23"/>
  <c r="AG50" i="23"/>
  <c r="AH50" i="23"/>
  <c r="AI50" i="23"/>
  <c r="AJ50" i="23"/>
  <c r="AK50" i="23"/>
  <c r="AL50" i="23"/>
  <c r="AM50" i="23"/>
  <c r="AN50" i="23"/>
  <c r="AO50" i="23"/>
  <c r="AP50" i="23"/>
  <c r="AQ50" i="23"/>
  <c r="AR50" i="23"/>
  <c r="AS50" i="23"/>
  <c r="AT50" i="23"/>
  <c r="AU50" i="23"/>
  <c r="AV50" i="23"/>
  <c r="AW50" i="23"/>
  <c r="AX50" i="23"/>
  <c r="AY50" i="23"/>
  <c r="AZ50" i="23"/>
  <c r="BA50" i="23"/>
  <c r="BB50" i="23"/>
  <c r="BC50" i="23"/>
  <c r="BD50" i="23"/>
  <c r="BE50" i="23"/>
  <c r="BF50" i="23"/>
  <c r="BG50" i="23"/>
  <c r="BH50" i="23"/>
  <c r="E49" i="23"/>
  <c r="F49" i="23"/>
  <c r="G49" i="23"/>
  <c r="H49" i="23"/>
  <c r="I49" i="23"/>
  <c r="J49" i="23"/>
  <c r="K49" i="23"/>
  <c r="L49" i="23"/>
  <c r="M49" i="23"/>
  <c r="N49" i="23"/>
  <c r="O49" i="23"/>
  <c r="P49" i="23"/>
  <c r="Q49" i="23"/>
  <c r="R49" i="23"/>
  <c r="S49" i="23"/>
  <c r="T49" i="23"/>
  <c r="U49" i="23"/>
  <c r="V49" i="23"/>
  <c r="W49" i="23"/>
  <c r="X49" i="23"/>
  <c r="Y49" i="23"/>
  <c r="Z49" i="23"/>
  <c r="AA49" i="23"/>
  <c r="AB49" i="23"/>
  <c r="AC49" i="23"/>
  <c r="AD49" i="23"/>
  <c r="AE49" i="23"/>
  <c r="AF49" i="23"/>
  <c r="AG49" i="23"/>
  <c r="AH49" i="23"/>
  <c r="AI49" i="23"/>
  <c r="AJ49" i="23"/>
  <c r="AK49" i="23"/>
  <c r="AL49" i="23"/>
  <c r="AM49" i="23"/>
  <c r="AN49" i="23"/>
  <c r="AO49" i="23"/>
  <c r="AP49" i="23"/>
  <c r="AQ49" i="23"/>
  <c r="AR49" i="23"/>
  <c r="AS49" i="23"/>
  <c r="AT49" i="23"/>
  <c r="AU49" i="23"/>
  <c r="AV49" i="23"/>
  <c r="AW49" i="23"/>
  <c r="AX49" i="23"/>
  <c r="AY49" i="23"/>
  <c r="AZ49" i="23"/>
  <c r="BA49" i="23"/>
  <c r="BB49" i="23"/>
  <c r="BC49" i="23"/>
  <c r="BD49" i="23"/>
  <c r="BE49" i="23"/>
  <c r="BF49" i="23"/>
  <c r="BG49" i="23"/>
  <c r="BH49" i="23"/>
  <c r="E48" i="23"/>
  <c r="F48" i="23"/>
  <c r="G48" i="23"/>
  <c r="H48" i="23"/>
  <c r="I48" i="23"/>
  <c r="J48" i="23"/>
  <c r="K48" i="23"/>
  <c r="L48" i="23"/>
  <c r="M48" i="23"/>
  <c r="N48" i="23"/>
  <c r="O48" i="23"/>
  <c r="P48" i="23"/>
  <c r="Q48" i="23"/>
  <c r="R48" i="23"/>
  <c r="S48" i="23"/>
  <c r="T48" i="23"/>
  <c r="U48" i="23"/>
  <c r="V48" i="23"/>
  <c r="W48" i="23"/>
  <c r="X48" i="23"/>
  <c r="Y48" i="23"/>
  <c r="Z48" i="23"/>
  <c r="AA48" i="23"/>
  <c r="AB48" i="23"/>
  <c r="AC48" i="23"/>
  <c r="AD48" i="23"/>
  <c r="AE48" i="23"/>
  <c r="AF48" i="23"/>
  <c r="AG48" i="23"/>
  <c r="AH48" i="23"/>
  <c r="AI48" i="23"/>
  <c r="AJ48" i="23"/>
  <c r="AK48" i="23"/>
  <c r="AL48" i="23"/>
  <c r="AM48" i="23"/>
  <c r="AN48" i="23"/>
  <c r="AO48" i="23"/>
  <c r="AP48" i="23"/>
  <c r="AQ48" i="23"/>
  <c r="AR48" i="23"/>
  <c r="AS48" i="23"/>
  <c r="AT48" i="23"/>
  <c r="AU48" i="23"/>
  <c r="AV48" i="23"/>
  <c r="AW48" i="23"/>
  <c r="AX48" i="23"/>
  <c r="AY48" i="23"/>
  <c r="AZ48" i="23"/>
  <c r="BA48" i="23"/>
  <c r="BB48" i="23"/>
  <c r="BC48" i="23"/>
  <c r="BD48" i="23"/>
  <c r="BE48" i="23"/>
  <c r="BF48" i="23"/>
  <c r="BG48" i="23"/>
  <c r="BH48" i="23"/>
  <c r="E47" i="23"/>
  <c r="F47" i="23"/>
  <c r="G47" i="23"/>
  <c r="H47" i="23"/>
  <c r="I47" i="23"/>
  <c r="J47" i="23"/>
  <c r="K47" i="23"/>
  <c r="L47" i="23"/>
  <c r="M47" i="23"/>
  <c r="N47" i="23"/>
  <c r="O47" i="23"/>
  <c r="P47" i="23"/>
  <c r="Q47" i="23"/>
  <c r="R47" i="23"/>
  <c r="S47" i="23"/>
  <c r="T47" i="23"/>
  <c r="U47" i="23"/>
  <c r="V47" i="23"/>
  <c r="W47" i="23"/>
  <c r="X47" i="23"/>
  <c r="Y47" i="23"/>
  <c r="Z47" i="23"/>
  <c r="AA47" i="23"/>
  <c r="AB47" i="23"/>
  <c r="AC47" i="23"/>
  <c r="AD47" i="23"/>
  <c r="AE47" i="23"/>
  <c r="AF47" i="23"/>
  <c r="AG47" i="23"/>
  <c r="AH47" i="23"/>
  <c r="AI47" i="23"/>
  <c r="AJ47" i="23"/>
  <c r="AK47" i="23"/>
  <c r="AL47" i="23"/>
  <c r="AM47" i="23"/>
  <c r="AN47" i="23"/>
  <c r="AO47" i="23"/>
  <c r="AP47" i="23"/>
  <c r="AQ47" i="23"/>
  <c r="AR47" i="23"/>
  <c r="AS47" i="23"/>
  <c r="AT47" i="23"/>
  <c r="AU47" i="23"/>
  <c r="AV47" i="23"/>
  <c r="AW47" i="23"/>
  <c r="AX47" i="23"/>
  <c r="AY47" i="23"/>
  <c r="AZ47" i="23"/>
  <c r="BA47" i="23"/>
  <c r="BB47" i="23"/>
  <c r="BC47" i="23"/>
  <c r="BD47" i="23"/>
  <c r="BE47" i="23"/>
  <c r="BF47" i="23"/>
  <c r="BG47" i="23"/>
  <c r="BH47" i="23"/>
  <c r="E46" i="23"/>
  <c r="F46" i="23"/>
  <c r="G46" i="23"/>
  <c r="H46" i="23"/>
  <c r="I46" i="23"/>
  <c r="J46" i="23"/>
  <c r="K46" i="23"/>
  <c r="L46" i="23"/>
  <c r="M46" i="23"/>
  <c r="N46" i="23"/>
  <c r="O46" i="23"/>
  <c r="P46" i="23"/>
  <c r="Q46" i="23"/>
  <c r="R46" i="23"/>
  <c r="S46" i="23"/>
  <c r="T46" i="23"/>
  <c r="U46" i="23"/>
  <c r="V46" i="23"/>
  <c r="W46" i="23"/>
  <c r="X46" i="23"/>
  <c r="Y46" i="23"/>
  <c r="Z46" i="23"/>
  <c r="AA46" i="23"/>
  <c r="AB46" i="23"/>
  <c r="AC46" i="23"/>
  <c r="AD46" i="23"/>
  <c r="AE46" i="23"/>
  <c r="AF46" i="23"/>
  <c r="AG46" i="23"/>
  <c r="AH46" i="23"/>
  <c r="AI46" i="23"/>
  <c r="AJ46" i="23"/>
  <c r="AK46" i="23"/>
  <c r="AL46" i="23"/>
  <c r="AM46" i="23"/>
  <c r="AN46" i="23"/>
  <c r="AO46" i="23"/>
  <c r="AP46" i="23"/>
  <c r="AQ46" i="23"/>
  <c r="AR46" i="23"/>
  <c r="AS46" i="23"/>
  <c r="AT46" i="23"/>
  <c r="AU46" i="23"/>
  <c r="AV46" i="23"/>
  <c r="AW46" i="23"/>
  <c r="AX46" i="23"/>
  <c r="AY46" i="23"/>
  <c r="AZ46" i="23"/>
  <c r="BA46" i="23"/>
  <c r="BB46" i="23"/>
  <c r="BC46" i="23"/>
  <c r="BD46" i="23"/>
  <c r="BE46" i="23"/>
  <c r="BF46" i="23"/>
  <c r="BG46" i="23"/>
  <c r="BH46" i="23"/>
  <c r="E45" i="23"/>
  <c r="F45" i="23"/>
  <c r="G45" i="23"/>
  <c r="H45" i="23"/>
  <c r="I45" i="23"/>
  <c r="J45" i="23"/>
  <c r="K45" i="23"/>
  <c r="L45" i="23"/>
  <c r="M45" i="23"/>
  <c r="N45" i="23"/>
  <c r="O45" i="23"/>
  <c r="P45" i="23"/>
  <c r="Q45" i="23"/>
  <c r="R45" i="23"/>
  <c r="S45" i="23"/>
  <c r="T45" i="23"/>
  <c r="U45" i="23"/>
  <c r="V45" i="23"/>
  <c r="W45" i="23"/>
  <c r="X45" i="23"/>
  <c r="Y45" i="23"/>
  <c r="Z45" i="23"/>
  <c r="AA45" i="23"/>
  <c r="AB45" i="23"/>
  <c r="AC45" i="23"/>
  <c r="AD45" i="23"/>
  <c r="AE45" i="23"/>
  <c r="AF45" i="23"/>
  <c r="AG45" i="23"/>
  <c r="AH45" i="23"/>
  <c r="AI45" i="23"/>
  <c r="AJ45" i="23"/>
  <c r="AK45" i="23"/>
  <c r="AL45" i="23"/>
  <c r="AM45" i="23"/>
  <c r="AN45" i="23"/>
  <c r="AO45" i="23"/>
  <c r="AP45" i="23"/>
  <c r="AQ45" i="23"/>
  <c r="AR45" i="23"/>
  <c r="AS45" i="23"/>
  <c r="AT45" i="23"/>
  <c r="AU45" i="23"/>
  <c r="AV45" i="23"/>
  <c r="AW45" i="23"/>
  <c r="AX45" i="23"/>
  <c r="AY45" i="23"/>
  <c r="AZ45" i="23"/>
  <c r="BA45" i="23"/>
  <c r="BB45" i="23"/>
  <c r="BC45" i="23"/>
  <c r="BD45" i="23"/>
  <c r="BE45" i="23"/>
  <c r="BF45" i="23"/>
  <c r="BG45" i="23"/>
  <c r="BH45" i="23"/>
  <c r="E44" i="23"/>
  <c r="F44" i="23"/>
  <c r="G44" i="23"/>
  <c r="H44" i="23"/>
  <c r="I44" i="23"/>
  <c r="J44" i="23"/>
  <c r="K44" i="23"/>
  <c r="L44" i="23"/>
  <c r="M44" i="23"/>
  <c r="N44" i="23"/>
  <c r="O44" i="23"/>
  <c r="P44" i="23"/>
  <c r="Q44" i="23"/>
  <c r="R44" i="23"/>
  <c r="S44" i="23"/>
  <c r="T44" i="23"/>
  <c r="U44" i="23"/>
  <c r="V44" i="23"/>
  <c r="W44" i="23"/>
  <c r="X44" i="23"/>
  <c r="Y44" i="23"/>
  <c r="Z44" i="23"/>
  <c r="AA44" i="23"/>
  <c r="AB44" i="23"/>
  <c r="AC44" i="23"/>
  <c r="AD44" i="23"/>
  <c r="AE44" i="23"/>
  <c r="AF44" i="23"/>
  <c r="AG44" i="23"/>
  <c r="AH44" i="23"/>
  <c r="AI44" i="23"/>
  <c r="AJ44" i="23"/>
  <c r="AK44" i="23"/>
  <c r="AL44" i="23"/>
  <c r="AM44" i="23"/>
  <c r="AN44" i="23"/>
  <c r="AO44" i="23"/>
  <c r="AP44" i="23"/>
  <c r="AQ44" i="23"/>
  <c r="AR44" i="23"/>
  <c r="AS44" i="23"/>
  <c r="AT44" i="23"/>
  <c r="AU44" i="23"/>
  <c r="AV44" i="23"/>
  <c r="AW44" i="23"/>
  <c r="AX44" i="23"/>
  <c r="AY44" i="23"/>
  <c r="AZ44" i="23"/>
  <c r="BA44" i="23"/>
  <c r="BB44" i="23"/>
  <c r="BC44" i="23"/>
  <c r="BD44" i="23"/>
  <c r="BE44" i="23"/>
  <c r="BF44" i="23"/>
  <c r="BG44" i="23"/>
  <c r="BH44" i="23"/>
  <c r="E43" i="23"/>
  <c r="F43" i="23"/>
  <c r="G43" i="23"/>
  <c r="H43" i="23"/>
  <c r="I43" i="23"/>
  <c r="J43" i="23"/>
  <c r="K43" i="23"/>
  <c r="L43" i="23"/>
  <c r="M43" i="23"/>
  <c r="N43" i="23"/>
  <c r="O43" i="23"/>
  <c r="P43" i="23"/>
  <c r="Q43" i="23"/>
  <c r="R43" i="23"/>
  <c r="S43" i="23"/>
  <c r="T43" i="23"/>
  <c r="U43" i="23"/>
  <c r="V43" i="23"/>
  <c r="W43" i="23"/>
  <c r="X43" i="23"/>
  <c r="Y43" i="23"/>
  <c r="Z43" i="23"/>
  <c r="AA43" i="23"/>
  <c r="AB43" i="23"/>
  <c r="AC43" i="23"/>
  <c r="AD43" i="23"/>
  <c r="AE43" i="23"/>
  <c r="AF43" i="23"/>
  <c r="AG43" i="23"/>
  <c r="AH43" i="23"/>
  <c r="AI43" i="23"/>
  <c r="AJ43" i="23"/>
  <c r="AK43" i="23"/>
  <c r="AL43" i="23"/>
  <c r="AM43" i="23"/>
  <c r="AN43" i="23"/>
  <c r="AO43" i="23"/>
  <c r="AP43" i="23"/>
  <c r="AQ43" i="23"/>
  <c r="AR43" i="23"/>
  <c r="AS43" i="23"/>
  <c r="AT43" i="23"/>
  <c r="AU43" i="23"/>
  <c r="AV43" i="23"/>
  <c r="AW43" i="23"/>
  <c r="AX43" i="23"/>
  <c r="AY43" i="23"/>
  <c r="AZ43" i="23"/>
  <c r="BA43" i="23"/>
  <c r="BB43" i="23"/>
  <c r="BC43" i="23"/>
  <c r="BD43" i="23"/>
  <c r="BE43" i="23"/>
  <c r="BF43" i="23"/>
  <c r="BG43" i="23"/>
  <c r="BH43" i="23"/>
  <c r="E42" i="23"/>
  <c r="F42" i="23"/>
  <c r="G42" i="23"/>
  <c r="H42" i="23"/>
  <c r="I42" i="23"/>
  <c r="J42" i="23"/>
  <c r="K42" i="23"/>
  <c r="L42" i="23"/>
  <c r="M42" i="23"/>
  <c r="N42" i="23"/>
  <c r="O42" i="23"/>
  <c r="P42" i="23"/>
  <c r="Q42" i="23"/>
  <c r="R42" i="23"/>
  <c r="S42" i="23"/>
  <c r="T42" i="23"/>
  <c r="U42" i="23"/>
  <c r="V42" i="23"/>
  <c r="W42" i="23"/>
  <c r="X42" i="23"/>
  <c r="Y42" i="23"/>
  <c r="Z42" i="23"/>
  <c r="AA42" i="23"/>
  <c r="AB42" i="23"/>
  <c r="AC42" i="23"/>
  <c r="AD42" i="23"/>
  <c r="AE42" i="23"/>
  <c r="AF42" i="23"/>
  <c r="AG42" i="23"/>
  <c r="AH42" i="23"/>
  <c r="AI42" i="23"/>
  <c r="AJ42" i="23"/>
  <c r="AK42" i="23"/>
  <c r="AL42" i="23"/>
  <c r="AM42" i="23"/>
  <c r="AN42" i="23"/>
  <c r="AO42" i="23"/>
  <c r="AP42" i="23"/>
  <c r="AQ42" i="23"/>
  <c r="AR42" i="23"/>
  <c r="AS42" i="23"/>
  <c r="AT42" i="23"/>
  <c r="AU42" i="23"/>
  <c r="AV42" i="23"/>
  <c r="AW42" i="23"/>
  <c r="AX42" i="23"/>
  <c r="AY42" i="23"/>
  <c r="AZ42" i="23"/>
  <c r="BA42" i="23"/>
  <c r="BB42" i="23"/>
  <c r="BC42" i="23"/>
  <c r="BD42" i="23"/>
  <c r="BE42" i="23"/>
  <c r="BF42" i="23"/>
  <c r="BG42" i="23"/>
  <c r="BH42" i="23"/>
  <c r="E41" i="23"/>
  <c r="F41" i="23"/>
  <c r="G41" i="23"/>
  <c r="H41" i="23"/>
  <c r="I41" i="23"/>
  <c r="J41" i="23"/>
  <c r="K41" i="23"/>
  <c r="L41" i="23"/>
  <c r="M41" i="23"/>
  <c r="N41" i="23"/>
  <c r="O41" i="23"/>
  <c r="P41" i="23"/>
  <c r="Q41" i="23"/>
  <c r="R41" i="23"/>
  <c r="S41" i="23"/>
  <c r="T41" i="23"/>
  <c r="U41" i="23"/>
  <c r="V41" i="23"/>
  <c r="W41" i="23"/>
  <c r="X41" i="23"/>
  <c r="Y41" i="23"/>
  <c r="Z41" i="23"/>
  <c r="AA41" i="23"/>
  <c r="AB41" i="23"/>
  <c r="AC41" i="23"/>
  <c r="AD41" i="23"/>
  <c r="AE41" i="23"/>
  <c r="AF41" i="23"/>
  <c r="AG41" i="23"/>
  <c r="AH41" i="23"/>
  <c r="AI41" i="23"/>
  <c r="AJ41" i="23"/>
  <c r="AK41" i="23"/>
  <c r="AL41" i="23"/>
  <c r="AM41" i="23"/>
  <c r="AN41" i="23"/>
  <c r="AO41" i="23"/>
  <c r="AP41" i="23"/>
  <c r="AQ41" i="23"/>
  <c r="AR41" i="23"/>
  <c r="AS41" i="23"/>
  <c r="AT41" i="23"/>
  <c r="AU41" i="23"/>
  <c r="AV41" i="23"/>
  <c r="AW41" i="23"/>
  <c r="AX41" i="23"/>
  <c r="AY41" i="23"/>
  <c r="AZ41" i="23"/>
  <c r="BA41" i="23"/>
  <c r="BB41" i="23"/>
  <c r="BC41" i="23"/>
  <c r="BD41" i="23"/>
  <c r="BE41" i="23"/>
  <c r="BF41" i="23"/>
  <c r="BG41" i="23"/>
  <c r="BH41" i="23"/>
  <c r="E40" i="23"/>
  <c r="F40" i="23"/>
  <c r="G40" i="23"/>
  <c r="H40" i="23"/>
  <c r="I40" i="23"/>
  <c r="J40" i="23"/>
  <c r="K40" i="23"/>
  <c r="L40" i="23"/>
  <c r="M40" i="23"/>
  <c r="N40" i="23"/>
  <c r="O40" i="23"/>
  <c r="P40" i="23"/>
  <c r="Q40" i="23"/>
  <c r="R40" i="23"/>
  <c r="S40" i="23"/>
  <c r="T40" i="23"/>
  <c r="U40" i="23"/>
  <c r="V40" i="23"/>
  <c r="W40" i="23"/>
  <c r="X40" i="23"/>
  <c r="Y40" i="23"/>
  <c r="Z40" i="23"/>
  <c r="AA40" i="23"/>
  <c r="AB40" i="23"/>
  <c r="AC40" i="23"/>
  <c r="AD40" i="23"/>
  <c r="AE40" i="23"/>
  <c r="AF40" i="23"/>
  <c r="AG40" i="23"/>
  <c r="AH40" i="23"/>
  <c r="AI40" i="23"/>
  <c r="AJ40" i="23"/>
  <c r="AK40" i="23"/>
  <c r="AL40" i="23"/>
  <c r="AM40" i="23"/>
  <c r="AN40" i="23"/>
  <c r="AO40" i="23"/>
  <c r="AP40" i="23"/>
  <c r="AQ40" i="23"/>
  <c r="AR40" i="23"/>
  <c r="AS40" i="23"/>
  <c r="AT40" i="23"/>
  <c r="AU40" i="23"/>
  <c r="AV40" i="23"/>
  <c r="AW40" i="23"/>
  <c r="AX40" i="23"/>
  <c r="AY40" i="23"/>
  <c r="AZ40" i="23"/>
  <c r="BA40" i="23"/>
  <c r="BB40" i="23"/>
  <c r="BC40" i="23"/>
  <c r="BD40" i="23"/>
  <c r="BE40" i="23"/>
  <c r="BF40" i="23"/>
  <c r="BG40" i="23"/>
  <c r="BH40" i="23"/>
  <c r="E39" i="23"/>
  <c r="F39" i="23"/>
  <c r="G39" i="23"/>
  <c r="H39" i="23"/>
  <c r="I39" i="23"/>
  <c r="J39" i="23"/>
  <c r="K39" i="23"/>
  <c r="L39" i="23"/>
  <c r="M39" i="23"/>
  <c r="N39" i="23"/>
  <c r="O39" i="23"/>
  <c r="P39" i="23"/>
  <c r="Q39" i="23"/>
  <c r="R39" i="23"/>
  <c r="S39" i="23"/>
  <c r="T39" i="23"/>
  <c r="U39" i="23"/>
  <c r="V39" i="23"/>
  <c r="W39" i="23"/>
  <c r="X39" i="23"/>
  <c r="Y39" i="23"/>
  <c r="Z39" i="23"/>
  <c r="AA39" i="23"/>
  <c r="AB39" i="23"/>
  <c r="AC39" i="23"/>
  <c r="AD39" i="23"/>
  <c r="AE39" i="23"/>
  <c r="AF39" i="23"/>
  <c r="AG39" i="23"/>
  <c r="AH39" i="23"/>
  <c r="AI39" i="23"/>
  <c r="AJ39" i="23"/>
  <c r="AK39" i="23"/>
  <c r="AL39" i="23"/>
  <c r="AM39" i="23"/>
  <c r="AN39" i="23"/>
  <c r="AO39" i="23"/>
  <c r="AP39" i="23"/>
  <c r="AQ39" i="23"/>
  <c r="AR39" i="23"/>
  <c r="AS39" i="23"/>
  <c r="AT39" i="23"/>
  <c r="AU39" i="23"/>
  <c r="AV39" i="23"/>
  <c r="AW39" i="23"/>
  <c r="AX39" i="23"/>
  <c r="AY39" i="23"/>
  <c r="AZ39" i="23"/>
  <c r="BA39" i="23"/>
  <c r="BB39" i="23"/>
  <c r="BC39" i="23"/>
  <c r="BD39" i="23"/>
  <c r="BE39" i="23"/>
  <c r="BF39" i="23"/>
  <c r="BG39" i="23"/>
  <c r="BH39" i="23"/>
  <c r="E38" i="23"/>
  <c r="F38" i="23"/>
  <c r="G38" i="23"/>
  <c r="H38" i="23"/>
  <c r="I38" i="23"/>
  <c r="J38" i="23"/>
  <c r="K38" i="23"/>
  <c r="L38" i="23"/>
  <c r="M38" i="23"/>
  <c r="N38" i="23"/>
  <c r="O38" i="23"/>
  <c r="P38" i="23"/>
  <c r="Q38" i="23"/>
  <c r="R38" i="23"/>
  <c r="S38" i="23"/>
  <c r="T38" i="23"/>
  <c r="U38" i="23"/>
  <c r="V38" i="23"/>
  <c r="W38" i="23"/>
  <c r="X38" i="23"/>
  <c r="Y38" i="23"/>
  <c r="Z38" i="23"/>
  <c r="AA38" i="23"/>
  <c r="AB38" i="23"/>
  <c r="AC38" i="23"/>
  <c r="AD38" i="23"/>
  <c r="AE38" i="23"/>
  <c r="AF38" i="23"/>
  <c r="AG38" i="23"/>
  <c r="AH38" i="23"/>
  <c r="AI38" i="23"/>
  <c r="AJ38" i="23"/>
  <c r="AK38" i="23"/>
  <c r="AL38" i="23"/>
  <c r="AM38" i="23"/>
  <c r="AN38" i="23"/>
  <c r="AO38" i="23"/>
  <c r="AP38" i="23"/>
  <c r="AQ38" i="23"/>
  <c r="AR38" i="23"/>
  <c r="AS38" i="23"/>
  <c r="AT38" i="23"/>
  <c r="AU38" i="23"/>
  <c r="AV38" i="23"/>
  <c r="AW38" i="23"/>
  <c r="AX38" i="23"/>
  <c r="AY38" i="23"/>
  <c r="AZ38" i="23"/>
  <c r="BA38" i="23"/>
  <c r="BB38" i="23"/>
  <c r="BC38" i="23"/>
  <c r="BD38" i="23"/>
  <c r="BE38" i="23"/>
  <c r="BF38" i="23"/>
  <c r="BG38" i="23"/>
  <c r="BH38" i="23"/>
  <c r="E37" i="23"/>
  <c r="F37" i="23"/>
  <c r="G37" i="23"/>
  <c r="H37" i="23"/>
  <c r="I37" i="23"/>
  <c r="J37" i="23"/>
  <c r="K37" i="23"/>
  <c r="L37" i="23"/>
  <c r="M37" i="23"/>
  <c r="N37" i="23"/>
  <c r="O37" i="23"/>
  <c r="P37" i="23"/>
  <c r="Q37" i="23"/>
  <c r="R37" i="23"/>
  <c r="S37" i="23"/>
  <c r="T37" i="23"/>
  <c r="U37" i="23"/>
  <c r="V37" i="23"/>
  <c r="W37" i="23"/>
  <c r="X37" i="23"/>
  <c r="Y37" i="23"/>
  <c r="Z37" i="23"/>
  <c r="AA37" i="23"/>
  <c r="AB37" i="23"/>
  <c r="AC37" i="23"/>
  <c r="AD37" i="23"/>
  <c r="AE37" i="23"/>
  <c r="AF37" i="23"/>
  <c r="AG37" i="23"/>
  <c r="AH37" i="23"/>
  <c r="AI37" i="23"/>
  <c r="AJ37" i="23"/>
  <c r="AK37" i="23"/>
  <c r="AL37" i="23"/>
  <c r="AM37" i="23"/>
  <c r="AN37" i="23"/>
  <c r="AO37" i="23"/>
  <c r="AP37" i="23"/>
  <c r="AQ37" i="23"/>
  <c r="AR37" i="23"/>
  <c r="AS37" i="23"/>
  <c r="AT37" i="23"/>
  <c r="AU37" i="23"/>
  <c r="AV37" i="23"/>
  <c r="AW37" i="23"/>
  <c r="AX37" i="23"/>
  <c r="AY37" i="23"/>
  <c r="AZ37" i="23"/>
  <c r="BA37" i="23"/>
  <c r="BB37" i="23"/>
  <c r="BC37" i="23"/>
  <c r="BD37" i="23"/>
  <c r="BE37" i="23"/>
  <c r="BF37" i="23"/>
  <c r="BG37" i="23"/>
  <c r="BH37" i="23"/>
  <c r="E36" i="23"/>
  <c r="F36" i="23"/>
  <c r="G36" i="23"/>
  <c r="H36" i="23"/>
  <c r="I36" i="23"/>
  <c r="J36" i="23"/>
  <c r="K36" i="23"/>
  <c r="L36" i="23"/>
  <c r="M36" i="23"/>
  <c r="N36" i="23"/>
  <c r="O36" i="23"/>
  <c r="P36" i="23"/>
  <c r="Q36" i="23"/>
  <c r="R36" i="23"/>
  <c r="S36" i="23"/>
  <c r="T36" i="23"/>
  <c r="U36" i="23"/>
  <c r="V36" i="23"/>
  <c r="W36" i="23"/>
  <c r="X36" i="23"/>
  <c r="Y36" i="23"/>
  <c r="Z36" i="23"/>
  <c r="AA36" i="23"/>
  <c r="AB36" i="23"/>
  <c r="AC36" i="23"/>
  <c r="AD36" i="23"/>
  <c r="AE36" i="23"/>
  <c r="AF36" i="23"/>
  <c r="AG36" i="23"/>
  <c r="AH36" i="23"/>
  <c r="AI36" i="23"/>
  <c r="AJ36" i="23"/>
  <c r="AK36" i="23"/>
  <c r="AL36" i="23"/>
  <c r="AM36" i="23"/>
  <c r="AN36" i="23"/>
  <c r="AO36" i="23"/>
  <c r="AP36" i="23"/>
  <c r="AQ36" i="23"/>
  <c r="AR36" i="23"/>
  <c r="AS36" i="23"/>
  <c r="AT36" i="23"/>
  <c r="AU36" i="23"/>
  <c r="AV36" i="23"/>
  <c r="AW36" i="23"/>
  <c r="AX36" i="23"/>
  <c r="AY36" i="23"/>
  <c r="AZ36" i="23"/>
  <c r="BA36" i="23"/>
  <c r="BB36" i="23"/>
  <c r="BC36" i="23"/>
  <c r="BD36" i="23"/>
  <c r="BE36" i="23"/>
  <c r="BF36" i="23"/>
  <c r="BG36" i="23"/>
  <c r="BH36" i="23"/>
  <c r="E35" i="23"/>
  <c r="F35" i="23"/>
  <c r="G35" i="23"/>
  <c r="H35" i="23"/>
  <c r="I35" i="23"/>
  <c r="J35" i="23"/>
  <c r="K35" i="23"/>
  <c r="L35" i="23"/>
  <c r="M35" i="23"/>
  <c r="N35" i="23"/>
  <c r="O35" i="23"/>
  <c r="P35" i="23"/>
  <c r="Q35" i="23"/>
  <c r="R35" i="23"/>
  <c r="S35" i="23"/>
  <c r="T35" i="23"/>
  <c r="U35" i="23"/>
  <c r="V35" i="23"/>
  <c r="W35" i="23"/>
  <c r="X35" i="23"/>
  <c r="Y35" i="23"/>
  <c r="Z35" i="23"/>
  <c r="AA35" i="23"/>
  <c r="AB35" i="23"/>
  <c r="AC35" i="23"/>
  <c r="AD35" i="23"/>
  <c r="AE35" i="23"/>
  <c r="AF35" i="23"/>
  <c r="AG35" i="23"/>
  <c r="AH35" i="23"/>
  <c r="AI35" i="23"/>
  <c r="AJ35" i="23"/>
  <c r="AK35" i="23"/>
  <c r="AL35" i="23"/>
  <c r="AM35" i="23"/>
  <c r="AN35" i="23"/>
  <c r="AO35" i="23"/>
  <c r="AP35" i="23"/>
  <c r="AQ35" i="23"/>
  <c r="AR35" i="23"/>
  <c r="AS35" i="23"/>
  <c r="AT35" i="23"/>
  <c r="AU35" i="23"/>
  <c r="AV35" i="23"/>
  <c r="AW35" i="23"/>
  <c r="AX35" i="23"/>
  <c r="AY35" i="23"/>
  <c r="AZ35" i="23"/>
  <c r="BA35" i="23"/>
  <c r="BB35" i="23"/>
  <c r="BC35" i="23"/>
  <c r="BD35" i="23"/>
  <c r="BE35" i="23"/>
  <c r="BF35" i="23"/>
  <c r="BG35" i="23"/>
  <c r="BH35" i="23"/>
  <c r="E34" i="23"/>
  <c r="F34" i="23"/>
  <c r="G34" i="23"/>
  <c r="H34" i="23"/>
  <c r="I34" i="23"/>
  <c r="J34" i="23"/>
  <c r="K34" i="23"/>
  <c r="L34" i="23"/>
  <c r="M34" i="23"/>
  <c r="N34" i="23"/>
  <c r="O34" i="23"/>
  <c r="P34" i="23"/>
  <c r="Q34" i="23"/>
  <c r="R34" i="23"/>
  <c r="S34" i="23"/>
  <c r="T34" i="23"/>
  <c r="U34" i="23"/>
  <c r="V34" i="23"/>
  <c r="W34" i="23"/>
  <c r="X34" i="23"/>
  <c r="Y34" i="23"/>
  <c r="Z34" i="23"/>
  <c r="AA34" i="23"/>
  <c r="AB34" i="23"/>
  <c r="AC34" i="23"/>
  <c r="AD34" i="23"/>
  <c r="AE34" i="23"/>
  <c r="AF34" i="23"/>
  <c r="AG34" i="23"/>
  <c r="AH34" i="23"/>
  <c r="AI34" i="23"/>
  <c r="AJ34" i="23"/>
  <c r="AK34" i="23"/>
  <c r="AL34" i="23"/>
  <c r="AM34" i="23"/>
  <c r="AN34" i="23"/>
  <c r="AO34" i="23"/>
  <c r="AP34" i="23"/>
  <c r="AQ34" i="23"/>
  <c r="AR34" i="23"/>
  <c r="AS34" i="23"/>
  <c r="AT34" i="23"/>
  <c r="AU34" i="23"/>
  <c r="AV34" i="23"/>
  <c r="AW34" i="23"/>
  <c r="AX34" i="23"/>
  <c r="AY34" i="23"/>
  <c r="AZ34" i="23"/>
  <c r="BA34" i="23"/>
  <c r="BB34" i="23"/>
  <c r="BC34" i="23"/>
  <c r="BD34" i="23"/>
  <c r="BE34" i="23"/>
  <c r="BF34" i="23"/>
  <c r="BG34" i="23"/>
  <c r="BH34" i="23"/>
  <c r="E33" i="23"/>
  <c r="F33" i="23"/>
  <c r="G33" i="23"/>
  <c r="H33" i="23"/>
  <c r="I33" i="23"/>
  <c r="J33" i="23"/>
  <c r="K33" i="23"/>
  <c r="L33" i="23"/>
  <c r="M33" i="23"/>
  <c r="N33" i="23"/>
  <c r="O33" i="23"/>
  <c r="P33" i="23"/>
  <c r="Q33" i="23"/>
  <c r="R33" i="23"/>
  <c r="S33" i="23"/>
  <c r="T33" i="23"/>
  <c r="U33" i="23"/>
  <c r="V33" i="23"/>
  <c r="W33" i="23"/>
  <c r="X33" i="23"/>
  <c r="Y33" i="23"/>
  <c r="Z33" i="23"/>
  <c r="AA33" i="23"/>
  <c r="AB33" i="23"/>
  <c r="AC33" i="23"/>
  <c r="AD33" i="23"/>
  <c r="AE33" i="23"/>
  <c r="AF33" i="23"/>
  <c r="AG33" i="23"/>
  <c r="AH33" i="23"/>
  <c r="AI33" i="23"/>
  <c r="AJ33" i="23"/>
  <c r="AK33" i="23"/>
  <c r="AL33" i="23"/>
  <c r="AM33" i="23"/>
  <c r="AN33" i="23"/>
  <c r="AO33" i="23"/>
  <c r="AP33" i="23"/>
  <c r="AQ33" i="23"/>
  <c r="AR33" i="23"/>
  <c r="AS33" i="23"/>
  <c r="AT33" i="23"/>
  <c r="AU33" i="23"/>
  <c r="AV33" i="23"/>
  <c r="AW33" i="23"/>
  <c r="AX33" i="23"/>
  <c r="AY33" i="23"/>
  <c r="AZ33" i="23"/>
  <c r="BA33" i="23"/>
  <c r="BB33" i="23"/>
  <c r="BC33" i="23"/>
  <c r="BD33" i="23"/>
  <c r="BE33" i="23"/>
  <c r="BF33" i="23"/>
  <c r="BG33" i="23"/>
  <c r="BH33" i="23"/>
  <c r="E32" i="23"/>
  <c r="F32" i="23"/>
  <c r="G32" i="23"/>
  <c r="H32" i="23"/>
  <c r="I32" i="23"/>
  <c r="J32" i="23"/>
  <c r="K32" i="23"/>
  <c r="L32" i="23"/>
  <c r="M32" i="23"/>
  <c r="N32" i="23"/>
  <c r="O32" i="23"/>
  <c r="P32" i="23"/>
  <c r="Q32" i="23"/>
  <c r="R32" i="23"/>
  <c r="S32" i="23"/>
  <c r="T32" i="23"/>
  <c r="U32" i="23"/>
  <c r="V32" i="23"/>
  <c r="W32" i="23"/>
  <c r="X32" i="23"/>
  <c r="Y32" i="23"/>
  <c r="Z32" i="23"/>
  <c r="AA32" i="23"/>
  <c r="AB32" i="23"/>
  <c r="AC32" i="23"/>
  <c r="AD32" i="23"/>
  <c r="AE32" i="23"/>
  <c r="AF32" i="23"/>
  <c r="AG32" i="23"/>
  <c r="AH32" i="23"/>
  <c r="AI32" i="23"/>
  <c r="AJ32" i="23"/>
  <c r="AK32" i="23"/>
  <c r="AL32" i="23"/>
  <c r="AM32" i="23"/>
  <c r="AN32" i="23"/>
  <c r="AO32" i="23"/>
  <c r="AP32" i="23"/>
  <c r="AQ32" i="23"/>
  <c r="AR32" i="23"/>
  <c r="AS32" i="23"/>
  <c r="AT32" i="23"/>
  <c r="AU32" i="23"/>
  <c r="AV32" i="23"/>
  <c r="AW32" i="23"/>
  <c r="AX32" i="23"/>
  <c r="AY32" i="23"/>
  <c r="AZ32" i="23"/>
  <c r="BA32" i="23"/>
  <c r="BB32" i="23"/>
  <c r="BC32" i="23"/>
  <c r="BD32" i="23"/>
  <c r="BE32" i="23"/>
  <c r="BF32" i="23"/>
  <c r="BG32" i="23"/>
  <c r="BH32" i="23"/>
  <c r="E31" i="23"/>
  <c r="F31" i="23"/>
  <c r="G31" i="23"/>
  <c r="H31" i="23"/>
  <c r="I31" i="23"/>
  <c r="J31" i="23"/>
  <c r="K31" i="23"/>
  <c r="L31" i="23"/>
  <c r="M31" i="23"/>
  <c r="N31" i="23"/>
  <c r="O31" i="23"/>
  <c r="P31" i="23"/>
  <c r="Q31" i="23"/>
  <c r="R31" i="23"/>
  <c r="S31" i="23"/>
  <c r="T31" i="23"/>
  <c r="U31" i="23"/>
  <c r="V31" i="23"/>
  <c r="W31" i="23"/>
  <c r="X31" i="23"/>
  <c r="Y31" i="23"/>
  <c r="Z31" i="23"/>
  <c r="AA31" i="23"/>
  <c r="AB31" i="23"/>
  <c r="AC31" i="23"/>
  <c r="AD31" i="23"/>
  <c r="AE31" i="23"/>
  <c r="AF31" i="23"/>
  <c r="AG31" i="23"/>
  <c r="AH31" i="23"/>
  <c r="AI31" i="23"/>
  <c r="AJ31" i="23"/>
  <c r="AK31" i="23"/>
  <c r="AL31" i="23"/>
  <c r="AM31" i="23"/>
  <c r="AN31" i="23"/>
  <c r="AO31" i="23"/>
  <c r="AP31" i="23"/>
  <c r="AQ31" i="23"/>
  <c r="AR31" i="23"/>
  <c r="AS31" i="23"/>
  <c r="AT31" i="23"/>
  <c r="AU31" i="23"/>
  <c r="AV31" i="23"/>
  <c r="AW31" i="23"/>
  <c r="AX31" i="23"/>
  <c r="AY31" i="23"/>
  <c r="AZ31" i="23"/>
  <c r="BA31" i="23"/>
  <c r="BB31" i="23"/>
  <c r="BC31" i="23"/>
  <c r="BD31" i="23"/>
  <c r="BE31" i="23"/>
  <c r="BF31" i="23"/>
  <c r="BG31" i="23"/>
  <c r="BH31" i="23"/>
  <c r="E30" i="23"/>
  <c r="F30" i="23"/>
  <c r="G30" i="23"/>
  <c r="H30" i="23"/>
  <c r="I30" i="23"/>
  <c r="J30" i="23"/>
  <c r="K30" i="23"/>
  <c r="L30" i="23"/>
  <c r="M30" i="23"/>
  <c r="N30" i="23"/>
  <c r="O30" i="23"/>
  <c r="P30" i="23"/>
  <c r="Q30" i="23"/>
  <c r="R30" i="23"/>
  <c r="S30" i="23"/>
  <c r="T30" i="23"/>
  <c r="U30" i="23"/>
  <c r="V30" i="23"/>
  <c r="W30" i="23"/>
  <c r="X30" i="23"/>
  <c r="Y30" i="23"/>
  <c r="Z30" i="23"/>
  <c r="AA30" i="23"/>
  <c r="AB30" i="23"/>
  <c r="AC30" i="23"/>
  <c r="AD30" i="23"/>
  <c r="AE30" i="23"/>
  <c r="AF30" i="23"/>
  <c r="AG30" i="23"/>
  <c r="AH30" i="23"/>
  <c r="AI30" i="23"/>
  <c r="AJ30" i="23"/>
  <c r="AK30" i="23"/>
  <c r="AL30" i="23"/>
  <c r="AM30" i="23"/>
  <c r="AN30" i="23"/>
  <c r="AO30" i="23"/>
  <c r="AP30" i="23"/>
  <c r="AQ30" i="23"/>
  <c r="AR30" i="23"/>
  <c r="AS30" i="23"/>
  <c r="AT30" i="23"/>
  <c r="AU30" i="23"/>
  <c r="AV30" i="23"/>
  <c r="AW30" i="23"/>
  <c r="AX30" i="23"/>
  <c r="AY30" i="23"/>
  <c r="AZ30" i="23"/>
  <c r="BA30" i="23"/>
  <c r="BB30" i="23"/>
  <c r="BC30" i="23"/>
  <c r="BD30" i="23"/>
  <c r="BE30" i="23"/>
  <c r="BF30" i="23"/>
  <c r="BG30" i="23"/>
  <c r="BH30" i="23"/>
  <c r="E29" i="23"/>
  <c r="F29" i="23"/>
  <c r="G29" i="23"/>
  <c r="H29" i="23"/>
  <c r="I29" i="23"/>
  <c r="J29" i="23"/>
  <c r="K29" i="23"/>
  <c r="L29" i="23"/>
  <c r="M29" i="23"/>
  <c r="N29" i="23"/>
  <c r="O29" i="23"/>
  <c r="P29" i="23"/>
  <c r="Q29" i="23"/>
  <c r="R29" i="23"/>
  <c r="S29" i="23"/>
  <c r="T29" i="23"/>
  <c r="U29" i="23"/>
  <c r="V29" i="23"/>
  <c r="W29" i="23"/>
  <c r="X29" i="23"/>
  <c r="Y29" i="23"/>
  <c r="Z29" i="23"/>
  <c r="AA29" i="23"/>
  <c r="AB29" i="23"/>
  <c r="AC29" i="23"/>
  <c r="AD29" i="23"/>
  <c r="AE29" i="23"/>
  <c r="AF29" i="23"/>
  <c r="AG29" i="23"/>
  <c r="AH29" i="23"/>
  <c r="AI29" i="23"/>
  <c r="AJ29" i="23"/>
  <c r="AK29" i="23"/>
  <c r="AL29" i="23"/>
  <c r="AM29" i="23"/>
  <c r="AN29" i="23"/>
  <c r="AO29" i="23"/>
  <c r="AP29" i="23"/>
  <c r="AQ29" i="23"/>
  <c r="AR29" i="23"/>
  <c r="AS29" i="23"/>
  <c r="AT29" i="23"/>
  <c r="AU29" i="23"/>
  <c r="AV29" i="23"/>
  <c r="AW29" i="23"/>
  <c r="AX29" i="23"/>
  <c r="AY29" i="23"/>
  <c r="AZ29" i="23"/>
  <c r="BA29" i="23"/>
  <c r="BB29" i="23"/>
  <c r="BC29" i="23"/>
  <c r="BD29" i="23"/>
  <c r="BE29" i="23"/>
  <c r="BF29" i="23"/>
  <c r="BG29" i="23"/>
  <c r="BH29" i="23"/>
  <c r="E28" i="23"/>
  <c r="F28" i="23"/>
  <c r="G28" i="23"/>
  <c r="H28" i="23"/>
  <c r="I28" i="23"/>
  <c r="J28" i="23"/>
  <c r="K28" i="23"/>
  <c r="L28" i="23"/>
  <c r="M28" i="23"/>
  <c r="N28" i="23"/>
  <c r="O28" i="23"/>
  <c r="P28" i="23"/>
  <c r="Q28" i="23"/>
  <c r="R28" i="23"/>
  <c r="S28" i="23"/>
  <c r="T28" i="23"/>
  <c r="U28" i="23"/>
  <c r="V28" i="23"/>
  <c r="W28" i="23"/>
  <c r="X28" i="23"/>
  <c r="Y28" i="23"/>
  <c r="Z28" i="23"/>
  <c r="AA28" i="23"/>
  <c r="AB28" i="23"/>
  <c r="AC28" i="23"/>
  <c r="AD28" i="23"/>
  <c r="AE28" i="23"/>
  <c r="AF28" i="23"/>
  <c r="AG28" i="23"/>
  <c r="AH28" i="23"/>
  <c r="AI28" i="23"/>
  <c r="AJ28" i="23"/>
  <c r="AK28" i="23"/>
  <c r="AL28" i="23"/>
  <c r="AM28" i="23"/>
  <c r="AN28" i="23"/>
  <c r="AO28" i="23"/>
  <c r="AP28" i="23"/>
  <c r="AQ28" i="23"/>
  <c r="AR28" i="23"/>
  <c r="AS28" i="23"/>
  <c r="AT28" i="23"/>
  <c r="AU28" i="23"/>
  <c r="AV28" i="23"/>
  <c r="AW28" i="23"/>
  <c r="AX28" i="23"/>
  <c r="AY28" i="23"/>
  <c r="AZ28" i="23"/>
  <c r="BA28" i="23"/>
  <c r="BB28" i="23"/>
  <c r="BC28" i="23"/>
  <c r="BD28" i="23"/>
  <c r="BE28" i="23"/>
  <c r="BF28" i="23"/>
  <c r="BG28" i="23"/>
  <c r="BH28" i="23"/>
  <c r="E27" i="23"/>
  <c r="F27" i="23"/>
  <c r="G27" i="23"/>
  <c r="H27" i="23"/>
  <c r="I27" i="23"/>
  <c r="J27" i="23"/>
  <c r="K27" i="23"/>
  <c r="L27" i="23"/>
  <c r="M27" i="23"/>
  <c r="N27" i="23"/>
  <c r="O27" i="23"/>
  <c r="P27" i="23"/>
  <c r="Q27" i="23"/>
  <c r="R27" i="23"/>
  <c r="S27" i="23"/>
  <c r="T27" i="23"/>
  <c r="U27" i="23"/>
  <c r="V27" i="23"/>
  <c r="W27" i="23"/>
  <c r="X27" i="23"/>
  <c r="Y27" i="23"/>
  <c r="Z27" i="23"/>
  <c r="AA27" i="23"/>
  <c r="AB27" i="23"/>
  <c r="AC27" i="23"/>
  <c r="AD27" i="23"/>
  <c r="AE27" i="23"/>
  <c r="AF27" i="23"/>
  <c r="AG27" i="23"/>
  <c r="AH27" i="23"/>
  <c r="AI27" i="23"/>
  <c r="AJ27" i="23"/>
  <c r="AK27" i="23"/>
  <c r="AL27" i="23"/>
  <c r="AM27" i="23"/>
  <c r="AN27" i="23"/>
  <c r="AO27" i="23"/>
  <c r="AP27" i="23"/>
  <c r="AQ27" i="23"/>
  <c r="AR27" i="23"/>
  <c r="AS27" i="23"/>
  <c r="AT27" i="23"/>
  <c r="AU27" i="23"/>
  <c r="AV27" i="23"/>
  <c r="AW27" i="23"/>
  <c r="AX27" i="23"/>
  <c r="AY27" i="23"/>
  <c r="AZ27" i="23"/>
  <c r="BA27" i="23"/>
  <c r="BB27" i="23"/>
  <c r="BC27" i="23"/>
  <c r="BD27" i="23"/>
  <c r="BE27" i="23"/>
  <c r="BF27" i="23"/>
  <c r="BG27" i="23"/>
  <c r="BH27" i="23"/>
  <c r="E26" i="23"/>
  <c r="F26" i="23"/>
  <c r="G26" i="23"/>
  <c r="H26" i="23"/>
  <c r="I26" i="23"/>
  <c r="J26" i="23"/>
  <c r="K26" i="23"/>
  <c r="L26" i="23"/>
  <c r="M26" i="23"/>
  <c r="N26" i="23"/>
  <c r="O26" i="23"/>
  <c r="P26" i="23"/>
  <c r="Q26" i="23"/>
  <c r="R26" i="23"/>
  <c r="S26" i="23"/>
  <c r="T26" i="23"/>
  <c r="U26" i="23"/>
  <c r="V26" i="23"/>
  <c r="W26" i="23"/>
  <c r="X26" i="23"/>
  <c r="Y26" i="23"/>
  <c r="Z26" i="23"/>
  <c r="AA26" i="23"/>
  <c r="AB26" i="23"/>
  <c r="AC26" i="23"/>
  <c r="AD26" i="23"/>
  <c r="AE26" i="23"/>
  <c r="AF26" i="23"/>
  <c r="AG26" i="23"/>
  <c r="AH26" i="23"/>
  <c r="AI26" i="23"/>
  <c r="AJ26" i="23"/>
  <c r="AK26" i="23"/>
  <c r="AL26" i="23"/>
  <c r="AM26" i="23"/>
  <c r="AN26" i="23"/>
  <c r="AO26" i="23"/>
  <c r="AP26" i="23"/>
  <c r="AQ26" i="23"/>
  <c r="AR26" i="23"/>
  <c r="AS26" i="23"/>
  <c r="AT26" i="23"/>
  <c r="AU26" i="23"/>
  <c r="AV26" i="23"/>
  <c r="AW26" i="23"/>
  <c r="AX26" i="23"/>
  <c r="AY26" i="23"/>
  <c r="AZ26" i="23"/>
  <c r="BA26" i="23"/>
  <c r="BB26" i="23"/>
  <c r="BC26" i="23"/>
  <c r="BD26" i="23"/>
  <c r="BE26" i="23"/>
  <c r="BF26" i="23"/>
  <c r="BG26" i="23"/>
  <c r="BH26" i="23"/>
  <c r="E25" i="23"/>
  <c r="F25" i="23"/>
  <c r="G25" i="23"/>
  <c r="H25" i="23"/>
  <c r="I25" i="23"/>
  <c r="J25" i="23"/>
  <c r="K25" i="23"/>
  <c r="L25" i="23"/>
  <c r="M25" i="23"/>
  <c r="N25" i="23"/>
  <c r="O25" i="23"/>
  <c r="P25" i="23"/>
  <c r="Q25" i="23"/>
  <c r="R25" i="23"/>
  <c r="S25" i="23"/>
  <c r="T25" i="23"/>
  <c r="U25" i="23"/>
  <c r="V25" i="23"/>
  <c r="W25" i="23"/>
  <c r="X25" i="23"/>
  <c r="Y25" i="23"/>
  <c r="Z25" i="23"/>
  <c r="AA25" i="23"/>
  <c r="AB25" i="23"/>
  <c r="AC25" i="23"/>
  <c r="AD25" i="23"/>
  <c r="AE25" i="23"/>
  <c r="AF25" i="23"/>
  <c r="AG25" i="23"/>
  <c r="AH25" i="23"/>
  <c r="AI25" i="23"/>
  <c r="AJ25" i="23"/>
  <c r="AK25" i="23"/>
  <c r="AL25" i="23"/>
  <c r="AM25" i="23"/>
  <c r="AN25" i="23"/>
  <c r="AO25" i="23"/>
  <c r="AP25" i="23"/>
  <c r="AQ25" i="23"/>
  <c r="AR25" i="23"/>
  <c r="AS25" i="23"/>
  <c r="AT25" i="23"/>
  <c r="AU25" i="23"/>
  <c r="AV25" i="23"/>
  <c r="AW25" i="23"/>
  <c r="AX25" i="23"/>
  <c r="AY25" i="23"/>
  <c r="AZ25" i="23"/>
  <c r="BA25" i="23"/>
  <c r="BB25" i="23"/>
  <c r="BC25" i="23"/>
  <c r="BD25" i="23"/>
  <c r="BE25" i="23"/>
  <c r="BF25" i="23"/>
  <c r="BG25" i="23"/>
  <c r="BH25" i="23"/>
  <c r="E24" i="23"/>
  <c r="F24" i="23"/>
  <c r="G24" i="23"/>
  <c r="H24" i="23"/>
  <c r="I24" i="23"/>
  <c r="J24" i="23"/>
  <c r="K24" i="23"/>
  <c r="L24" i="23"/>
  <c r="M24" i="23"/>
  <c r="N24" i="23"/>
  <c r="O24" i="23"/>
  <c r="P24" i="23"/>
  <c r="Q24" i="23"/>
  <c r="R24" i="23"/>
  <c r="S24" i="23"/>
  <c r="T24" i="23"/>
  <c r="U24" i="23"/>
  <c r="V24" i="23"/>
  <c r="W24" i="23"/>
  <c r="X24" i="23"/>
  <c r="Y24" i="23"/>
  <c r="Z24" i="23"/>
  <c r="AA24" i="23"/>
  <c r="AB24" i="23"/>
  <c r="AC24" i="23"/>
  <c r="AD24" i="23"/>
  <c r="AE24" i="23"/>
  <c r="AF24" i="23"/>
  <c r="AG24" i="23"/>
  <c r="AH24" i="23"/>
  <c r="AI24" i="23"/>
  <c r="AJ24" i="23"/>
  <c r="AK24" i="23"/>
  <c r="AL24" i="23"/>
  <c r="AM24" i="23"/>
  <c r="AN24" i="23"/>
  <c r="AO24" i="23"/>
  <c r="AP24" i="23"/>
  <c r="AQ24" i="23"/>
  <c r="AR24" i="23"/>
  <c r="AS24" i="23"/>
  <c r="AT24" i="23"/>
  <c r="AU24" i="23"/>
  <c r="AV24" i="23"/>
  <c r="AW24" i="23"/>
  <c r="AX24" i="23"/>
  <c r="AY24" i="23"/>
  <c r="AZ24" i="23"/>
  <c r="BA24" i="23"/>
  <c r="BB24" i="23"/>
  <c r="BC24" i="23"/>
  <c r="BD24" i="23"/>
  <c r="BE24" i="23"/>
  <c r="BF24" i="23"/>
  <c r="BG24" i="23"/>
  <c r="BH24" i="23"/>
  <c r="E23" i="23"/>
  <c r="F23" i="23"/>
  <c r="G23" i="23"/>
  <c r="H23" i="23"/>
  <c r="I23" i="23"/>
  <c r="J23" i="23"/>
  <c r="K23" i="23"/>
  <c r="L23" i="23"/>
  <c r="M23" i="23"/>
  <c r="N23" i="23"/>
  <c r="O23" i="23"/>
  <c r="P23" i="23"/>
  <c r="Q23" i="23"/>
  <c r="R23" i="23"/>
  <c r="S23" i="23"/>
  <c r="T23" i="23"/>
  <c r="U23" i="23"/>
  <c r="V23" i="23"/>
  <c r="W23" i="23"/>
  <c r="X23" i="23"/>
  <c r="Y23" i="23"/>
  <c r="Z23" i="23"/>
  <c r="AA23" i="23"/>
  <c r="AB23" i="23"/>
  <c r="AC23" i="23"/>
  <c r="AD23" i="23"/>
  <c r="AE23" i="23"/>
  <c r="AF23" i="23"/>
  <c r="AG23" i="23"/>
  <c r="AH23" i="23"/>
  <c r="AI23" i="23"/>
  <c r="AJ23" i="23"/>
  <c r="AK23" i="23"/>
  <c r="AL23" i="23"/>
  <c r="AM23" i="23"/>
  <c r="AN23" i="23"/>
  <c r="AO23" i="23"/>
  <c r="AP23" i="23"/>
  <c r="AQ23" i="23"/>
  <c r="AR23" i="23"/>
  <c r="AS23" i="23"/>
  <c r="AT23" i="23"/>
  <c r="AU23" i="23"/>
  <c r="AV23" i="23"/>
  <c r="AW23" i="23"/>
  <c r="AX23" i="23"/>
  <c r="AY23" i="23"/>
  <c r="AZ23" i="23"/>
  <c r="BA23" i="23"/>
  <c r="BB23" i="23"/>
  <c r="BC23" i="23"/>
  <c r="BD23" i="23"/>
  <c r="BE23" i="23"/>
  <c r="BF23" i="23"/>
  <c r="BG23" i="23"/>
  <c r="BH23" i="23"/>
  <c r="E22" i="23"/>
  <c r="F22" i="23"/>
  <c r="G22" i="23"/>
  <c r="H22" i="23"/>
  <c r="I22" i="23"/>
  <c r="J22" i="23"/>
  <c r="K22" i="23"/>
  <c r="L22" i="23"/>
  <c r="M22" i="23"/>
  <c r="N22" i="23"/>
  <c r="O22" i="23"/>
  <c r="P22" i="23"/>
  <c r="Q22" i="23"/>
  <c r="R22" i="23"/>
  <c r="S22" i="23"/>
  <c r="T22" i="23"/>
  <c r="U22" i="23"/>
  <c r="V22" i="23"/>
  <c r="W22" i="23"/>
  <c r="X22" i="23"/>
  <c r="Y22" i="23"/>
  <c r="Z22" i="23"/>
  <c r="AA22" i="23"/>
  <c r="AB22" i="23"/>
  <c r="AC22" i="23"/>
  <c r="AD22" i="23"/>
  <c r="AE22" i="23"/>
  <c r="AF22" i="23"/>
  <c r="AG22" i="23"/>
  <c r="AH22" i="23"/>
  <c r="AI22" i="23"/>
  <c r="AJ22" i="23"/>
  <c r="AK22" i="23"/>
  <c r="AL22" i="23"/>
  <c r="AM22" i="23"/>
  <c r="AN22" i="23"/>
  <c r="AO22" i="23"/>
  <c r="AP22" i="23"/>
  <c r="AQ22" i="23"/>
  <c r="AR22" i="23"/>
  <c r="AS22" i="23"/>
  <c r="AT22" i="23"/>
  <c r="AU22" i="23"/>
  <c r="AV22" i="23"/>
  <c r="AW22" i="23"/>
  <c r="AX22" i="23"/>
  <c r="AY22" i="23"/>
  <c r="AZ22" i="23"/>
  <c r="BA22" i="23"/>
  <c r="BB22" i="23"/>
  <c r="BC22" i="23"/>
  <c r="BD22" i="23"/>
  <c r="BE22" i="23"/>
  <c r="BF22" i="23"/>
  <c r="BG22" i="23"/>
  <c r="BH22" i="23"/>
  <c r="E21" i="23"/>
  <c r="F21" i="23"/>
  <c r="G21" i="23"/>
  <c r="H21" i="23"/>
  <c r="I21" i="23"/>
  <c r="J21" i="23"/>
  <c r="K21" i="23"/>
  <c r="L21" i="23"/>
  <c r="M21" i="23"/>
  <c r="N21" i="23"/>
  <c r="O21" i="23"/>
  <c r="P21" i="23"/>
  <c r="Q21" i="23"/>
  <c r="R21" i="23"/>
  <c r="S21" i="23"/>
  <c r="T21" i="23"/>
  <c r="U21" i="23"/>
  <c r="V21" i="23"/>
  <c r="W21" i="23"/>
  <c r="X21" i="23"/>
  <c r="Y21" i="23"/>
  <c r="Z21" i="23"/>
  <c r="AA21" i="23"/>
  <c r="AB21" i="23"/>
  <c r="AC21" i="23"/>
  <c r="AD21" i="23"/>
  <c r="AE21" i="23"/>
  <c r="AF21" i="23"/>
  <c r="AG21" i="23"/>
  <c r="AH21" i="23"/>
  <c r="AI21" i="23"/>
  <c r="AJ21" i="23"/>
  <c r="AK21" i="23"/>
  <c r="AL21" i="23"/>
  <c r="AM21" i="23"/>
  <c r="AN21" i="23"/>
  <c r="AO21" i="23"/>
  <c r="AP21" i="23"/>
  <c r="AQ21" i="23"/>
  <c r="AR21" i="23"/>
  <c r="AS21" i="23"/>
  <c r="AT21" i="23"/>
  <c r="AU21" i="23"/>
  <c r="AV21" i="23"/>
  <c r="AW21" i="23"/>
  <c r="AX21" i="23"/>
  <c r="AY21" i="23"/>
  <c r="AZ21" i="23"/>
  <c r="BA21" i="23"/>
  <c r="BB21" i="23"/>
  <c r="BC21" i="23"/>
  <c r="BD21" i="23"/>
  <c r="BE21" i="23"/>
  <c r="BF21" i="23"/>
  <c r="BG21" i="23"/>
  <c r="BH21" i="23"/>
  <c r="E20" i="23"/>
  <c r="F20" i="23"/>
  <c r="G20" i="23"/>
  <c r="H20" i="23"/>
  <c r="I20" i="23"/>
  <c r="J20" i="23"/>
  <c r="K20" i="23"/>
  <c r="L20" i="23"/>
  <c r="M20" i="23"/>
  <c r="N20" i="23"/>
  <c r="O20" i="23"/>
  <c r="P20" i="23"/>
  <c r="Q20" i="23"/>
  <c r="R20" i="23"/>
  <c r="S20" i="23"/>
  <c r="T20" i="23"/>
  <c r="U20" i="23"/>
  <c r="V20" i="23"/>
  <c r="W20" i="23"/>
  <c r="X20" i="23"/>
  <c r="Y20" i="23"/>
  <c r="Z20" i="23"/>
  <c r="AA20" i="23"/>
  <c r="AB20" i="23"/>
  <c r="AC20" i="23"/>
  <c r="AD20" i="23"/>
  <c r="AE20" i="23"/>
  <c r="AF20" i="23"/>
  <c r="AG20" i="23"/>
  <c r="AH20" i="23"/>
  <c r="AI20" i="23"/>
  <c r="AJ20" i="23"/>
  <c r="AK20" i="23"/>
  <c r="AL20" i="23"/>
  <c r="AM20" i="23"/>
  <c r="AN20" i="23"/>
  <c r="AO20" i="23"/>
  <c r="AP20" i="23"/>
  <c r="AQ20" i="23"/>
  <c r="AR20" i="23"/>
  <c r="AS20" i="23"/>
  <c r="AT20" i="23"/>
  <c r="AU20" i="23"/>
  <c r="AV20" i="23"/>
  <c r="AW20" i="23"/>
  <c r="AX20" i="23"/>
  <c r="AY20" i="23"/>
  <c r="AZ20" i="23"/>
  <c r="BA20" i="23"/>
  <c r="BB20" i="23"/>
  <c r="BC20" i="23"/>
  <c r="BD20" i="23"/>
  <c r="BE20" i="23"/>
  <c r="BF20" i="23"/>
  <c r="BG20" i="23"/>
  <c r="BH20" i="23"/>
  <c r="E19" i="23"/>
  <c r="F19" i="23"/>
  <c r="G19" i="23"/>
  <c r="H19" i="23"/>
  <c r="I19" i="23"/>
  <c r="J19" i="23"/>
  <c r="K19" i="23"/>
  <c r="L19" i="23"/>
  <c r="M19" i="23"/>
  <c r="N19" i="23"/>
  <c r="O19" i="23"/>
  <c r="P19" i="23"/>
  <c r="Q19" i="23"/>
  <c r="R19" i="23"/>
  <c r="S19" i="23"/>
  <c r="T19" i="23"/>
  <c r="U19" i="23"/>
  <c r="V19" i="23"/>
  <c r="W19" i="23"/>
  <c r="X19" i="23"/>
  <c r="Y19" i="23"/>
  <c r="Z19" i="23"/>
  <c r="AA19" i="23"/>
  <c r="AB19" i="23"/>
  <c r="AC19" i="23"/>
  <c r="AD19" i="23"/>
  <c r="AE19" i="23"/>
  <c r="AF19" i="23"/>
  <c r="AG19" i="23"/>
  <c r="AH19" i="23"/>
  <c r="AI19" i="23"/>
  <c r="AJ19" i="23"/>
  <c r="AK19" i="23"/>
  <c r="AL19" i="23"/>
  <c r="AM19" i="23"/>
  <c r="AN19" i="23"/>
  <c r="AO19" i="23"/>
  <c r="AP19" i="23"/>
  <c r="AQ19" i="23"/>
  <c r="AR19" i="23"/>
  <c r="AS19" i="23"/>
  <c r="AT19" i="23"/>
  <c r="AU19" i="23"/>
  <c r="AV19" i="23"/>
  <c r="AW19" i="23"/>
  <c r="AX19" i="23"/>
  <c r="AY19" i="23"/>
  <c r="AZ19" i="23"/>
  <c r="BA19" i="23"/>
  <c r="BB19" i="23"/>
  <c r="BC19" i="23"/>
  <c r="BD19" i="23"/>
  <c r="BE19" i="23"/>
  <c r="BF19" i="23"/>
  <c r="BG19" i="23"/>
  <c r="BH19" i="23"/>
  <c r="E18" i="23"/>
  <c r="F18" i="23"/>
  <c r="G18" i="23"/>
  <c r="H18" i="23"/>
  <c r="I18" i="23"/>
  <c r="J18" i="23"/>
  <c r="K18" i="23"/>
  <c r="L18" i="23"/>
  <c r="M18" i="23"/>
  <c r="N18" i="23"/>
  <c r="O18" i="23"/>
  <c r="P18" i="23"/>
  <c r="Q18" i="23"/>
  <c r="R18" i="23"/>
  <c r="S18" i="23"/>
  <c r="T18" i="23"/>
  <c r="U18" i="23"/>
  <c r="V18" i="23"/>
  <c r="W18" i="23"/>
  <c r="X18" i="23"/>
  <c r="Y18" i="23"/>
  <c r="Z18" i="23"/>
  <c r="AA18" i="23"/>
  <c r="AB18" i="23"/>
  <c r="AC18" i="23"/>
  <c r="AD18" i="23"/>
  <c r="AE18" i="23"/>
  <c r="AF18" i="23"/>
  <c r="AG18" i="23"/>
  <c r="AH18" i="23"/>
  <c r="AI18" i="23"/>
  <c r="AJ18" i="23"/>
  <c r="AK18" i="23"/>
  <c r="AL18" i="23"/>
  <c r="AM18" i="23"/>
  <c r="AN18" i="23"/>
  <c r="AO18" i="23"/>
  <c r="AP18" i="23"/>
  <c r="AQ18" i="23"/>
  <c r="AR18" i="23"/>
  <c r="AS18" i="23"/>
  <c r="AT18" i="23"/>
  <c r="AU18" i="23"/>
  <c r="AV18" i="23"/>
  <c r="AW18" i="23"/>
  <c r="AX18" i="23"/>
  <c r="AY18" i="23"/>
  <c r="AZ18" i="23"/>
  <c r="BA18" i="23"/>
  <c r="BB18" i="23"/>
  <c r="BC18" i="23"/>
  <c r="BD18" i="23"/>
  <c r="BE18" i="23"/>
  <c r="BF18" i="23"/>
  <c r="BG18" i="23"/>
  <c r="BH18" i="23"/>
  <c r="E17" i="23"/>
  <c r="F17" i="23"/>
  <c r="G17" i="23"/>
  <c r="H17" i="23"/>
  <c r="I17" i="23"/>
  <c r="J17" i="23"/>
  <c r="K17" i="23"/>
  <c r="L17" i="23"/>
  <c r="M17" i="23"/>
  <c r="N17" i="23"/>
  <c r="O17" i="23"/>
  <c r="P17" i="23"/>
  <c r="Q17" i="23"/>
  <c r="R17" i="23"/>
  <c r="S17" i="23"/>
  <c r="T17" i="23"/>
  <c r="U17" i="23"/>
  <c r="V17" i="23"/>
  <c r="W17" i="23"/>
  <c r="X17" i="23"/>
  <c r="Y17" i="23"/>
  <c r="Z17" i="23"/>
  <c r="AA17" i="23"/>
  <c r="AB17" i="23"/>
  <c r="AC17" i="23"/>
  <c r="AD17" i="23"/>
  <c r="AE17" i="23"/>
  <c r="AF17" i="23"/>
  <c r="AG17" i="23"/>
  <c r="AH17" i="23"/>
  <c r="AI17" i="23"/>
  <c r="AJ17" i="23"/>
  <c r="AK17" i="23"/>
  <c r="AL17" i="23"/>
  <c r="AM17" i="23"/>
  <c r="AN17" i="23"/>
  <c r="AO17" i="23"/>
  <c r="AP17" i="23"/>
  <c r="AQ17" i="23"/>
  <c r="AR17" i="23"/>
  <c r="AS17" i="23"/>
  <c r="AT17" i="23"/>
  <c r="AU17" i="23"/>
  <c r="AV17" i="23"/>
  <c r="AW17" i="23"/>
  <c r="AX17" i="23"/>
  <c r="AY17" i="23"/>
  <c r="AZ17" i="23"/>
  <c r="BA17" i="23"/>
  <c r="BB17" i="23"/>
  <c r="BC17" i="23"/>
  <c r="BD17" i="23"/>
  <c r="BE17" i="23"/>
  <c r="BF17" i="23"/>
  <c r="BG17" i="23"/>
  <c r="BH17" i="23"/>
  <c r="E16" i="23"/>
  <c r="F16" i="23"/>
  <c r="G16" i="23"/>
  <c r="H16" i="23"/>
  <c r="I16" i="23"/>
  <c r="J16" i="23"/>
  <c r="K16" i="23"/>
  <c r="L16" i="23"/>
  <c r="M16" i="23"/>
  <c r="N16" i="23"/>
  <c r="O16" i="23"/>
  <c r="P16" i="23"/>
  <c r="Q16" i="23"/>
  <c r="R16" i="23"/>
  <c r="S16" i="23"/>
  <c r="T16" i="23"/>
  <c r="U16" i="23"/>
  <c r="V16" i="23"/>
  <c r="W16" i="23"/>
  <c r="X16" i="23"/>
  <c r="Y16" i="23"/>
  <c r="Z16" i="23"/>
  <c r="AA16" i="23"/>
  <c r="AB16" i="23"/>
  <c r="AC16" i="23"/>
  <c r="AD16" i="23"/>
  <c r="AE16" i="23"/>
  <c r="AF16" i="23"/>
  <c r="AG16" i="23"/>
  <c r="AH16" i="23"/>
  <c r="AI16" i="23"/>
  <c r="AJ16" i="23"/>
  <c r="AK16" i="23"/>
  <c r="AL16" i="23"/>
  <c r="AM16" i="23"/>
  <c r="AN16" i="23"/>
  <c r="AO16" i="23"/>
  <c r="AP16" i="23"/>
  <c r="AQ16" i="23"/>
  <c r="AR16" i="23"/>
  <c r="AS16" i="23"/>
  <c r="AT16" i="23"/>
  <c r="AU16" i="23"/>
  <c r="AV16" i="23"/>
  <c r="AW16" i="23"/>
  <c r="AX16" i="23"/>
  <c r="AY16" i="23"/>
  <c r="AZ16" i="23"/>
  <c r="BA16" i="23"/>
  <c r="BB16" i="23"/>
  <c r="BC16" i="23"/>
  <c r="BD16" i="23"/>
  <c r="BE16" i="23"/>
  <c r="BF16" i="23"/>
  <c r="BG16" i="23"/>
  <c r="BH16" i="23"/>
  <c r="E15" i="23"/>
  <c r="F15" i="23"/>
  <c r="G15" i="23"/>
  <c r="H15" i="23"/>
  <c r="I15" i="23"/>
  <c r="J15" i="23"/>
  <c r="K15" i="23"/>
  <c r="L15" i="23"/>
  <c r="M15" i="23"/>
  <c r="N15" i="23"/>
  <c r="O15" i="23"/>
  <c r="P15" i="23"/>
  <c r="Q15" i="23"/>
  <c r="R15" i="23"/>
  <c r="S15" i="23"/>
  <c r="T15" i="23"/>
  <c r="U15" i="23"/>
  <c r="V15" i="23"/>
  <c r="W15" i="23"/>
  <c r="X15" i="23"/>
  <c r="Y15" i="23"/>
  <c r="Z15" i="23"/>
  <c r="AA15" i="23"/>
  <c r="AB15" i="23"/>
  <c r="AC15" i="23"/>
  <c r="AD15" i="23"/>
  <c r="AE15" i="23"/>
  <c r="AF15" i="23"/>
  <c r="AG15" i="23"/>
  <c r="AH15" i="23"/>
  <c r="AI15" i="23"/>
  <c r="AJ15" i="23"/>
  <c r="AK15" i="23"/>
  <c r="AL15" i="23"/>
  <c r="AM15" i="23"/>
  <c r="AN15" i="23"/>
  <c r="AO15" i="23"/>
  <c r="AP15" i="23"/>
  <c r="AQ15" i="23"/>
  <c r="AR15" i="23"/>
  <c r="AS15" i="23"/>
  <c r="AT15" i="23"/>
  <c r="AU15" i="23"/>
  <c r="AV15" i="23"/>
  <c r="AW15" i="23"/>
  <c r="AX15" i="23"/>
  <c r="AY15" i="23"/>
  <c r="AZ15" i="23"/>
  <c r="BA15" i="23"/>
  <c r="BB15" i="23"/>
  <c r="BC15" i="23"/>
  <c r="BD15" i="23"/>
  <c r="BE15" i="23"/>
  <c r="BF15" i="23"/>
  <c r="BG15" i="23"/>
  <c r="BH15" i="23"/>
  <c r="E14" i="23"/>
  <c r="F14" i="23"/>
  <c r="G14" i="23"/>
  <c r="H14" i="23"/>
  <c r="I14" i="23"/>
  <c r="J14" i="23"/>
  <c r="K14" i="23"/>
  <c r="L14" i="23"/>
  <c r="M14" i="23"/>
  <c r="N14" i="23"/>
  <c r="O14" i="23"/>
  <c r="P14" i="23"/>
  <c r="Q14" i="23"/>
  <c r="R14" i="23"/>
  <c r="S14" i="23"/>
  <c r="T14" i="23"/>
  <c r="U14" i="23"/>
  <c r="V14" i="23"/>
  <c r="W14" i="23"/>
  <c r="X14" i="23"/>
  <c r="Y14" i="23"/>
  <c r="Z14" i="23"/>
  <c r="AA14" i="23"/>
  <c r="AB14" i="23"/>
  <c r="AC14" i="23"/>
  <c r="AD14" i="23"/>
  <c r="AE14" i="23"/>
  <c r="AF14" i="23"/>
  <c r="AG14" i="23"/>
  <c r="AH14" i="23"/>
  <c r="AI14" i="23"/>
  <c r="AJ14" i="23"/>
  <c r="AK14" i="23"/>
  <c r="AL14" i="23"/>
  <c r="AM14" i="23"/>
  <c r="AN14" i="23"/>
  <c r="AO14" i="23"/>
  <c r="AP14" i="23"/>
  <c r="AQ14" i="23"/>
  <c r="AR14" i="23"/>
  <c r="AS14" i="23"/>
  <c r="AT14" i="23"/>
  <c r="AU14" i="23"/>
  <c r="AV14" i="23"/>
  <c r="AW14" i="23"/>
  <c r="AX14" i="23"/>
  <c r="AY14" i="23"/>
  <c r="AZ14" i="23"/>
  <c r="BA14" i="23"/>
  <c r="BB14" i="23"/>
  <c r="BC14" i="23"/>
  <c r="BD14" i="23"/>
  <c r="BE14" i="23"/>
  <c r="BF14" i="23"/>
  <c r="BG14" i="23"/>
  <c r="BH14" i="23"/>
  <c r="E13" i="23"/>
  <c r="F13" i="23"/>
  <c r="G13" i="23"/>
  <c r="H13" i="23"/>
  <c r="I13" i="23"/>
  <c r="J13" i="23"/>
  <c r="K13" i="23"/>
  <c r="L13" i="23"/>
  <c r="M13" i="23"/>
  <c r="N13" i="23"/>
  <c r="O13" i="23"/>
  <c r="P13" i="23"/>
  <c r="Q13" i="23"/>
  <c r="R13" i="23"/>
  <c r="S13" i="23"/>
  <c r="T13" i="23"/>
  <c r="U13" i="23"/>
  <c r="V13" i="23"/>
  <c r="W13" i="23"/>
  <c r="X13" i="23"/>
  <c r="Y13" i="23"/>
  <c r="Z13" i="23"/>
  <c r="AA13" i="23"/>
  <c r="AB13" i="23"/>
  <c r="AC13" i="23"/>
  <c r="AD13" i="23"/>
  <c r="AE13" i="23"/>
  <c r="AF13" i="23"/>
  <c r="AG13" i="23"/>
  <c r="AH13" i="23"/>
  <c r="AI13" i="23"/>
  <c r="AJ13" i="23"/>
  <c r="AK13" i="23"/>
  <c r="AL13" i="23"/>
  <c r="AM13" i="23"/>
  <c r="AN13" i="23"/>
  <c r="AO13" i="23"/>
  <c r="AP13" i="23"/>
  <c r="AQ13" i="23"/>
  <c r="AR13" i="23"/>
  <c r="AS13" i="23"/>
  <c r="AT13" i="23"/>
  <c r="AU13" i="23"/>
  <c r="AV13" i="23"/>
  <c r="AW13" i="23"/>
  <c r="AX13" i="23"/>
  <c r="AY13" i="23"/>
  <c r="AZ13" i="23"/>
  <c r="BA13" i="23"/>
  <c r="BB13" i="23"/>
  <c r="BC13" i="23"/>
  <c r="BD13" i="23"/>
  <c r="BE13" i="23"/>
  <c r="BF13" i="23"/>
  <c r="BG13" i="23"/>
  <c r="BH13" i="23"/>
  <c r="E12" i="23"/>
  <c r="F12" i="23"/>
  <c r="G12" i="23"/>
  <c r="H12" i="23"/>
  <c r="I12" i="23"/>
  <c r="J12" i="23"/>
  <c r="K12" i="23"/>
  <c r="L12" i="23"/>
  <c r="M12" i="23"/>
  <c r="N12" i="23"/>
  <c r="O12" i="23"/>
  <c r="P12" i="23"/>
  <c r="Q12" i="23"/>
  <c r="R12" i="23"/>
  <c r="S12" i="23"/>
  <c r="T12" i="23"/>
  <c r="U12" i="23"/>
  <c r="V12" i="23"/>
  <c r="W12" i="23"/>
  <c r="X12" i="23"/>
  <c r="Y12" i="23"/>
  <c r="Z12" i="23"/>
  <c r="AA12" i="23"/>
  <c r="AB12" i="23"/>
  <c r="AC12" i="23"/>
  <c r="AD12" i="23"/>
  <c r="AE12" i="23"/>
  <c r="AF12" i="23"/>
  <c r="AG12" i="23"/>
  <c r="AH12" i="23"/>
  <c r="AI12" i="23"/>
  <c r="AJ12" i="23"/>
  <c r="AK12" i="23"/>
  <c r="AL12" i="23"/>
  <c r="AM12" i="23"/>
  <c r="AN12" i="23"/>
  <c r="AO12" i="23"/>
  <c r="AP12" i="23"/>
  <c r="AQ12" i="23"/>
  <c r="AR12" i="23"/>
  <c r="AS12" i="23"/>
  <c r="AT12" i="23"/>
  <c r="AU12" i="23"/>
  <c r="AV12" i="23"/>
  <c r="AW12" i="23"/>
  <c r="AX12" i="23"/>
  <c r="AY12" i="23"/>
  <c r="AZ12" i="23"/>
  <c r="BA12" i="23"/>
  <c r="BB12" i="23"/>
  <c r="BC12" i="23"/>
  <c r="BD12" i="23"/>
  <c r="BE12" i="23"/>
  <c r="BF12" i="23"/>
  <c r="BG12" i="23"/>
  <c r="BH12" i="23"/>
  <c r="E11" i="23"/>
  <c r="F11" i="23"/>
  <c r="G11" i="23"/>
  <c r="H11" i="23"/>
  <c r="I11" i="23"/>
  <c r="J11" i="23"/>
  <c r="K11" i="23"/>
  <c r="L11" i="23"/>
  <c r="M11" i="23"/>
  <c r="N11" i="23"/>
  <c r="O11" i="23"/>
  <c r="P11" i="23"/>
  <c r="Q11" i="23"/>
  <c r="R11" i="23"/>
  <c r="S11" i="23"/>
  <c r="T11" i="23"/>
  <c r="U11" i="23"/>
  <c r="V11" i="23"/>
  <c r="W11" i="23"/>
  <c r="X11" i="23"/>
  <c r="Y11" i="23"/>
  <c r="Z11" i="23"/>
  <c r="AA11" i="23"/>
  <c r="AB11" i="23"/>
  <c r="AC11" i="23"/>
  <c r="AD11" i="23"/>
  <c r="AE11" i="23"/>
  <c r="AF11" i="23"/>
  <c r="AG11" i="23"/>
  <c r="AH11" i="23"/>
  <c r="AI11" i="23"/>
  <c r="AJ11" i="23"/>
  <c r="AK11" i="23"/>
  <c r="AL11" i="23"/>
  <c r="AM11" i="23"/>
  <c r="AN11" i="23"/>
  <c r="AO11" i="23"/>
  <c r="AP11" i="23"/>
  <c r="AQ11" i="23"/>
  <c r="AR11" i="23"/>
  <c r="AS11" i="23"/>
  <c r="AT11" i="23"/>
  <c r="AU11" i="23"/>
  <c r="AV11" i="23"/>
  <c r="AW11" i="23"/>
  <c r="AX11" i="23"/>
  <c r="AY11" i="23"/>
  <c r="AZ11" i="23"/>
  <c r="BA11" i="23"/>
  <c r="BB11" i="23"/>
  <c r="BC11" i="23"/>
  <c r="BD11" i="23"/>
  <c r="BE11" i="23"/>
  <c r="BF11" i="23"/>
  <c r="BG11" i="23"/>
  <c r="BH11" i="23"/>
  <c r="E10" i="23"/>
  <c r="F10" i="23"/>
  <c r="G10" i="23"/>
  <c r="H10" i="23"/>
  <c r="I10" i="23"/>
  <c r="J10" i="23"/>
  <c r="K10" i="23"/>
  <c r="L10" i="23"/>
  <c r="M10" i="23"/>
  <c r="N10" i="23"/>
  <c r="O10" i="23"/>
  <c r="P10" i="23"/>
  <c r="Q10" i="23"/>
  <c r="R10" i="23"/>
  <c r="S10" i="23"/>
  <c r="T10" i="23"/>
  <c r="U10" i="23"/>
  <c r="V10" i="23"/>
  <c r="W10" i="23"/>
  <c r="X10" i="23"/>
  <c r="Y10" i="23"/>
  <c r="Z10" i="23"/>
  <c r="AA10" i="23"/>
  <c r="AB10" i="23"/>
  <c r="AC10" i="23"/>
  <c r="AD10" i="23"/>
  <c r="AE10" i="23"/>
  <c r="AF10" i="23"/>
  <c r="AG10" i="23"/>
  <c r="AH10" i="23"/>
  <c r="AI10" i="23"/>
  <c r="AJ10" i="23"/>
  <c r="AK10" i="23"/>
  <c r="AL10" i="23"/>
  <c r="AM10" i="23"/>
  <c r="AN10" i="23"/>
  <c r="AO10" i="23"/>
  <c r="AP10" i="23"/>
  <c r="AQ10" i="23"/>
  <c r="AR10" i="23"/>
  <c r="AS10" i="23"/>
  <c r="AT10" i="23"/>
  <c r="AU10" i="23"/>
  <c r="AV10" i="23"/>
  <c r="AW10" i="23"/>
  <c r="AX10" i="23"/>
  <c r="AY10" i="23"/>
  <c r="AZ10" i="23"/>
  <c r="BA10" i="23"/>
  <c r="BB10" i="23"/>
  <c r="BC10" i="23"/>
  <c r="BD10" i="23"/>
  <c r="BE10" i="23"/>
  <c r="BF10" i="23"/>
  <c r="BG10" i="23"/>
  <c r="BH10" i="23"/>
  <c r="E9" i="23"/>
  <c r="F9" i="23"/>
  <c r="G9" i="23"/>
  <c r="H9" i="23"/>
  <c r="I9" i="23"/>
  <c r="J9" i="23"/>
  <c r="K9" i="23"/>
  <c r="L9" i="23"/>
  <c r="M9" i="23"/>
  <c r="N9" i="23"/>
  <c r="O9" i="23"/>
  <c r="P9" i="23"/>
  <c r="Q9" i="23"/>
  <c r="R9" i="23"/>
  <c r="S9" i="23"/>
  <c r="T9" i="23"/>
  <c r="U9" i="23"/>
  <c r="V9" i="23"/>
  <c r="W9" i="23"/>
  <c r="X9" i="23"/>
  <c r="Y9" i="23"/>
  <c r="Z9" i="23"/>
  <c r="AA9" i="23"/>
  <c r="AB9" i="23"/>
  <c r="AC9" i="23"/>
  <c r="AD9" i="23"/>
  <c r="AE9" i="23"/>
  <c r="AF9" i="23"/>
  <c r="AG9" i="23"/>
  <c r="AH9" i="23"/>
  <c r="AI9" i="23"/>
  <c r="AJ9" i="23"/>
  <c r="AK9" i="23"/>
  <c r="AL9" i="23"/>
  <c r="AM9" i="23"/>
  <c r="AN9" i="23"/>
  <c r="AO9" i="23"/>
  <c r="AP9" i="23"/>
  <c r="AQ9" i="23"/>
  <c r="AR9" i="23"/>
  <c r="AS9" i="23"/>
  <c r="AT9" i="23"/>
  <c r="AU9" i="23"/>
  <c r="AV9" i="23"/>
  <c r="AW9" i="23"/>
  <c r="AX9" i="23"/>
  <c r="AY9" i="23"/>
  <c r="AZ9" i="23"/>
  <c r="BA9" i="23"/>
  <c r="BB9" i="23"/>
  <c r="BC9" i="23"/>
  <c r="BD9" i="23"/>
  <c r="BE9" i="23"/>
  <c r="BF9" i="23"/>
  <c r="BG9" i="23"/>
  <c r="BH9" i="23"/>
  <c r="E8" i="23"/>
  <c r="F8" i="23"/>
  <c r="G8" i="23"/>
  <c r="H8" i="23"/>
  <c r="I8" i="23"/>
  <c r="J8" i="23"/>
  <c r="K8" i="23"/>
  <c r="L8" i="23"/>
  <c r="M8" i="23"/>
  <c r="N8" i="23"/>
  <c r="O8" i="23"/>
  <c r="P8" i="23"/>
  <c r="Q8" i="23"/>
  <c r="R8" i="23"/>
  <c r="S8" i="23"/>
  <c r="T8" i="23"/>
  <c r="U8" i="23"/>
  <c r="V8" i="23"/>
  <c r="W8" i="23"/>
  <c r="X8" i="23"/>
  <c r="Y8" i="23"/>
  <c r="Z8" i="23"/>
  <c r="AA8" i="23"/>
  <c r="AB8" i="23"/>
  <c r="AC8" i="23"/>
  <c r="AD8" i="23"/>
  <c r="AE8" i="23"/>
  <c r="AF8" i="23"/>
  <c r="AG8" i="23"/>
  <c r="AH8" i="23"/>
  <c r="AI8" i="23"/>
  <c r="AJ8" i="23"/>
  <c r="AK8" i="23"/>
  <c r="AL8" i="23"/>
  <c r="AM8" i="23"/>
  <c r="AN8" i="23"/>
  <c r="AO8" i="23"/>
  <c r="AP8" i="23"/>
  <c r="AQ8" i="23"/>
  <c r="AR8" i="23"/>
  <c r="AS8" i="23"/>
  <c r="AT8" i="23"/>
  <c r="AU8" i="23"/>
  <c r="AV8" i="23"/>
  <c r="AW8" i="23"/>
  <c r="AX8" i="23"/>
  <c r="AY8" i="23"/>
  <c r="AZ8" i="23"/>
  <c r="BA8" i="23"/>
  <c r="BB8" i="23"/>
  <c r="BC8" i="23"/>
  <c r="BD8" i="23"/>
  <c r="BE8" i="23"/>
  <c r="BF8" i="23"/>
  <c r="BG8" i="23"/>
  <c r="BH8" i="23"/>
  <c r="E7" i="23"/>
  <c r="F7" i="23"/>
  <c r="G7" i="23"/>
  <c r="H7" i="23"/>
  <c r="I7" i="23"/>
  <c r="J7" i="23"/>
  <c r="K7" i="23"/>
  <c r="L7" i="23"/>
  <c r="M7" i="23"/>
  <c r="N7" i="23"/>
  <c r="O7" i="23"/>
  <c r="P7" i="23"/>
  <c r="Q7" i="23"/>
  <c r="R7" i="23"/>
  <c r="S7" i="23"/>
  <c r="T7" i="23"/>
  <c r="U7" i="23"/>
  <c r="V7" i="23"/>
  <c r="W7" i="23"/>
  <c r="X7" i="23"/>
  <c r="Y7" i="23"/>
  <c r="Z7" i="23"/>
  <c r="AA7" i="23"/>
  <c r="AB7" i="23"/>
  <c r="AC7" i="23"/>
  <c r="AD7" i="23"/>
  <c r="AE7" i="23"/>
  <c r="AF7" i="23"/>
  <c r="AG7" i="23"/>
  <c r="AH7" i="23"/>
  <c r="AI7" i="23"/>
  <c r="AJ7" i="23"/>
  <c r="AK7" i="23"/>
  <c r="AL7" i="23"/>
  <c r="AM7" i="23"/>
  <c r="AN7" i="23"/>
  <c r="AO7" i="23"/>
  <c r="AP7" i="23"/>
  <c r="AQ7" i="23"/>
  <c r="AR7" i="23"/>
  <c r="AS7" i="23"/>
  <c r="AT7" i="23"/>
  <c r="AU7" i="23"/>
  <c r="AV7" i="23"/>
  <c r="AW7" i="23"/>
  <c r="AX7" i="23"/>
  <c r="AY7" i="23"/>
  <c r="AZ7" i="23"/>
  <c r="BA7" i="23"/>
  <c r="BB7" i="23"/>
  <c r="BC7" i="23"/>
  <c r="BD7" i="23"/>
  <c r="BE7" i="23"/>
  <c r="BF7" i="23"/>
  <c r="BG7" i="23"/>
  <c r="BH7" i="23"/>
  <c r="E6" i="23"/>
  <c r="F6" i="23"/>
  <c r="G6" i="23"/>
  <c r="H6" i="23"/>
  <c r="I6" i="23"/>
  <c r="J6" i="23"/>
  <c r="K6" i="23"/>
  <c r="L6" i="23"/>
  <c r="M6" i="23"/>
  <c r="N6" i="23"/>
  <c r="O6" i="23"/>
  <c r="P6" i="23"/>
  <c r="Q6" i="23"/>
  <c r="R6" i="23"/>
  <c r="S6" i="23"/>
  <c r="T6" i="23"/>
  <c r="U6" i="23"/>
  <c r="V6" i="23"/>
  <c r="W6" i="23"/>
  <c r="X6" i="23"/>
  <c r="Y6" i="23"/>
  <c r="Z6" i="23"/>
  <c r="AA6" i="23"/>
  <c r="AB6" i="23"/>
  <c r="AC6" i="23"/>
  <c r="AD6" i="23"/>
  <c r="AE6" i="23"/>
  <c r="AF6" i="23"/>
  <c r="AG6" i="23"/>
  <c r="AH6" i="23"/>
  <c r="AI6" i="23"/>
  <c r="AJ6" i="23"/>
  <c r="AK6" i="23"/>
  <c r="AL6" i="23"/>
  <c r="AM6" i="23"/>
  <c r="AN6" i="23"/>
  <c r="AO6" i="23"/>
  <c r="AP6" i="23"/>
  <c r="AQ6" i="23"/>
  <c r="AR6" i="23"/>
  <c r="AS6" i="23"/>
  <c r="AT6" i="23"/>
  <c r="AU6" i="23"/>
  <c r="AV6" i="23"/>
  <c r="AW6" i="23"/>
  <c r="AX6" i="23"/>
  <c r="AY6" i="23"/>
  <c r="AZ6" i="23"/>
  <c r="BA6" i="23"/>
  <c r="BB6" i="23"/>
  <c r="BC6" i="23"/>
  <c r="BD6" i="23"/>
  <c r="BE6" i="23"/>
  <c r="BF6" i="23"/>
  <c r="BG6" i="23"/>
  <c r="BH6" i="23"/>
  <c r="E5" i="23"/>
  <c r="F5" i="23"/>
  <c r="G5" i="23"/>
  <c r="H5" i="23"/>
  <c r="I5" i="23"/>
  <c r="J5" i="23"/>
  <c r="K5" i="23"/>
  <c r="L5" i="23"/>
  <c r="M5" i="23"/>
  <c r="N5" i="23"/>
  <c r="O5" i="23"/>
  <c r="P5" i="23"/>
  <c r="Q5" i="23"/>
  <c r="R5" i="23"/>
  <c r="S5" i="23"/>
  <c r="T5" i="23"/>
  <c r="U5" i="23"/>
  <c r="V5" i="23"/>
  <c r="W5" i="23"/>
  <c r="X5" i="23"/>
  <c r="Y5" i="23"/>
  <c r="Z5" i="23"/>
  <c r="AA5" i="23"/>
  <c r="AB5" i="23"/>
  <c r="AC5" i="23"/>
  <c r="AD5" i="23"/>
  <c r="AE5" i="23"/>
  <c r="AF5" i="23"/>
  <c r="AG5" i="23"/>
  <c r="AH5" i="23"/>
  <c r="AI5" i="23"/>
  <c r="AJ5" i="23"/>
  <c r="AK5" i="23"/>
  <c r="AL5" i="23"/>
  <c r="AM5" i="23"/>
  <c r="AN5" i="23"/>
  <c r="AO5" i="23"/>
  <c r="AP5" i="23"/>
  <c r="AQ5" i="23"/>
  <c r="AR5" i="23"/>
  <c r="AS5" i="23"/>
  <c r="AT5" i="23"/>
  <c r="AU5" i="23"/>
  <c r="AV5" i="23"/>
  <c r="AW5" i="23"/>
  <c r="AX5" i="23"/>
  <c r="AY5" i="23"/>
  <c r="AZ5" i="23"/>
  <c r="BA5" i="23"/>
  <c r="BB5" i="23"/>
  <c r="BC5" i="23"/>
  <c r="BD5" i="23"/>
  <c r="BE5" i="23"/>
  <c r="BF5" i="23"/>
  <c r="BG5" i="23"/>
  <c r="BH5" i="23"/>
  <c r="E4" i="23"/>
  <c r="F4" i="23"/>
  <c r="G4" i="23"/>
  <c r="H4" i="23"/>
  <c r="I4" i="23"/>
  <c r="J4" i="23"/>
  <c r="K4" i="23"/>
  <c r="L4" i="23"/>
  <c r="M4" i="23"/>
  <c r="N4" i="23"/>
  <c r="O4" i="23"/>
  <c r="P4" i="23"/>
  <c r="Q4" i="23"/>
  <c r="R4" i="23"/>
  <c r="S4" i="23"/>
  <c r="T4" i="23"/>
  <c r="U4" i="23"/>
  <c r="V4" i="23"/>
  <c r="W4" i="23"/>
  <c r="X4" i="23"/>
  <c r="Y4" i="23"/>
  <c r="Z4" i="23"/>
  <c r="AA4" i="23"/>
  <c r="AB4" i="23"/>
  <c r="AC4" i="23"/>
  <c r="AD4" i="23"/>
  <c r="AE4" i="23"/>
  <c r="AF4" i="23"/>
  <c r="AG4" i="23"/>
  <c r="AH4" i="23"/>
  <c r="AI4" i="23"/>
  <c r="AJ4" i="23"/>
  <c r="AK4" i="23"/>
  <c r="AL4" i="23"/>
  <c r="AM4" i="23"/>
  <c r="AN4" i="23"/>
  <c r="AO4" i="23"/>
  <c r="AP4" i="23"/>
  <c r="AQ4" i="23"/>
  <c r="AR4" i="23"/>
  <c r="AS4" i="23"/>
  <c r="AT4" i="23"/>
  <c r="AU4" i="23"/>
  <c r="AV4" i="23"/>
  <c r="AW4" i="23"/>
  <c r="AX4" i="23"/>
  <c r="AY4" i="23"/>
  <c r="AZ4" i="23"/>
  <c r="BA4" i="23"/>
  <c r="BB4" i="23"/>
  <c r="BC4" i="23"/>
  <c r="BD4" i="23"/>
  <c r="BE4" i="23"/>
  <c r="BF4" i="23"/>
  <c r="BG4" i="23"/>
  <c r="BH4" i="23"/>
  <c r="E3" i="23"/>
  <c r="F3" i="23"/>
  <c r="G3" i="23"/>
  <c r="H3" i="23"/>
  <c r="I3" i="23"/>
  <c r="J3" i="23"/>
  <c r="K3" i="23"/>
  <c r="L3" i="23"/>
  <c r="M3" i="23"/>
  <c r="N3" i="23"/>
  <c r="O3" i="23"/>
  <c r="P3" i="23"/>
  <c r="Q3" i="23"/>
  <c r="R3" i="23"/>
  <c r="S3" i="23"/>
  <c r="T3" i="23"/>
  <c r="U3" i="23"/>
  <c r="V3" i="23"/>
  <c r="W3" i="23"/>
  <c r="X3" i="23"/>
  <c r="Y3" i="23"/>
  <c r="Z3" i="23"/>
  <c r="AA3" i="23"/>
  <c r="AB3" i="23"/>
  <c r="AC3" i="23"/>
  <c r="AD3" i="23"/>
  <c r="AE3" i="23"/>
  <c r="AF3" i="23"/>
  <c r="AG3" i="23"/>
  <c r="AH3" i="23"/>
  <c r="AI3" i="23"/>
  <c r="AJ3" i="23"/>
  <c r="AK3" i="23"/>
  <c r="AL3" i="23"/>
  <c r="AM3" i="23"/>
  <c r="AN3" i="23"/>
  <c r="AO3" i="23"/>
  <c r="AP3" i="23"/>
  <c r="AQ3" i="23"/>
  <c r="AR3" i="23"/>
  <c r="AS3" i="23"/>
  <c r="AT3" i="23"/>
  <c r="AU3" i="23"/>
  <c r="AV3" i="23"/>
  <c r="AW3" i="23"/>
  <c r="AX3" i="23"/>
  <c r="AY3" i="23"/>
  <c r="AZ3" i="23"/>
  <c r="BA3" i="23"/>
  <c r="BB3" i="23"/>
  <c r="BC3" i="23"/>
  <c r="BD3" i="23"/>
  <c r="BE3" i="23"/>
  <c r="BF3" i="23"/>
  <c r="BG3" i="23"/>
  <c r="BH3" i="23"/>
  <c r="E2" i="23"/>
  <c r="F2" i="23"/>
  <c r="G2" i="23"/>
  <c r="H2" i="23"/>
  <c r="I2" i="23"/>
  <c r="J2" i="23"/>
  <c r="K2" i="23"/>
  <c r="L2" i="23"/>
  <c r="M2" i="23"/>
  <c r="N2" i="23"/>
  <c r="O2" i="23"/>
  <c r="P2" i="23"/>
  <c r="Q2" i="23"/>
  <c r="R2" i="23"/>
  <c r="S2" i="23"/>
  <c r="T2" i="23"/>
  <c r="U2" i="23"/>
  <c r="V2" i="23"/>
  <c r="W2" i="23"/>
  <c r="X2" i="23"/>
  <c r="Y2" i="23"/>
  <c r="Z2" i="23"/>
  <c r="AA2" i="23"/>
  <c r="AB2" i="23"/>
  <c r="AC2" i="23"/>
  <c r="AD2" i="23"/>
  <c r="AE2" i="23"/>
  <c r="AF2" i="23"/>
  <c r="AG2" i="23"/>
  <c r="AH2" i="23"/>
  <c r="AI2" i="23"/>
  <c r="AJ2" i="23"/>
  <c r="AK2" i="23"/>
  <c r="AL2" i="23"/>
  <c r="AM2" i="23"/>
  <c r="AN2" i="23"/>
  <c r="AO2" i="23"/>
  <c r="AP2" i="23"/>
  <c r="AQ2" i="23"/>
  <c r="AR2" i="23"/>
  <c r="AS2" i="23"/>
  <c r="AT2" i="23"/>
  <c r="AU2" i="23"/>
  <c r="AV2" i="23"/>
  <c r="AW2" i="23"/>
  <c r="AX2" i="23"/>
  <c r="AY2" i="23"/>
  <c r="AZ2" i="23"/>
  <c r="BA2" i="23"/>
  <c r="BB2" i="23"/>
  <c r="BC2" i="23"/>
  <c r="BD2" i="23"/>
  <c r="BE2" i="23"/>
  <c r="BF2" i="23"/>
  <c r="BG2" i="23"/>
  <c r="BH2" i="23"/>
  <c r="BA195" i="23"/>
  <c r="AC195" i="23"/>
  <c r="E195" i="23"/>
  <c r="AK194" i="23"/>
  <c r="M194" i="23"/>
  <c r="AS193" i="23"/>
  <c r="U193" i="23"/>
  <c r="BA192" i="23"/>
  <c r="AC192" i="23"/>
  <c r="E192" i="23"/>
  <c r="AK191" i="23"/>
  <c r="M191" i="23"/>
  <c r="AC190" i="23"/>
  <c r="BA190" i="23"/>
  <c r="AW192" i="23"/>
  <c r="BE190" i="23"/>
  <c r="AZ195" i="23"/>
  <c r="AB195" i="23"/>
  <c r="BH194" i="23"/>
  <c r="AJ194" i="23"/>
  <c r="L194" i="23"/>
  <c r="AR193" i="23"/>
  <c r="T193" i="23"/>
  <c r="AZ192" i="23"/>
  <c r="AB192" i="23"/>
  <c r="BH191" i="23"/>
  <c r="AJ191" i="23"/>
  <c r="L191" i="23"/>
  <c r="F190" i="23"/>
  <c r="AD190" i="23"/>
  <c r="BB190" i="23"/>
  <c r="G190" i="23"/>
  <c r="BC190" i="23"/>
  <c r="AW195" i="23"/>
  <c r="Y195" i="23"/>
  <c r="BE194" i="23"/>
  <c r="I194" i="23"/>
  <c r="Q193" i="23"/>
  <c r="AG191" i="23"/>
  <c r="AY195" i="23"/>
  <c r="AA195" i="23"/>
  <c r="BG194" i="23"/>
  <c r="AI194" i="23"/>
  <c r="K194" i="23"/>
  <c r="AQ193" i="23"/>
  <c r="S193" i="23"/>
  <c r="AY192" i="23"/>
  <c r="AA192" i="23"/>
  <c r="BG191" i="23"/>
  <c r="AI191" i="23"/>
  <c r="K191" i="23"/>
  <c r="AE190" i="23"/>
  <c r="AG194" i="23"/>
  <c r="AO193" i="23"/>
  <c r="Y192" i="23"/>
  <c r="I191" i="23"/>
  <c r="AX195" i="23"/>
  <c r="Z195" i="23"/>
  <c r="BF194" i="23"/>
  <c r="AH194" i="23"/>
  <c r="J194" i="23"/>
  <c r="AP193" i="23"/>
  <c r="R193" i="23"/>
  <c r="AX192" i="23"/>
  <c r="Z192" i="23"/>
  <c r="BF191" i="23"/>
  <c r="AH191" i="23"/>
  <c r="J191" i="23"/>
  <c r="H190" i="23"/>
  <c r="AF190" i="23"/>
  <c r="BD190" i="23"/>
  <c r="BE191" i="23"/>
  <c r="AV195" i="23"/>
  <c r="X195" i="23"/>
  <c r="BD194" i="23"/>
  <c r="AF194" i="23"/>
  <c r="H194" i="23"/>
  <c r="AN193" i="23"/>
  <c r="P193" i="23"/>
  <c r="AV192" i="23"/>
  <c r="X192" i="23"/>
  <c r="BD191" i="23"/>
  <c r="AF191" i="23"/>
  <c r="H191" i="23"/>
  <c r="J190" i="23"/>
  <c r="AH190" i="23"/>
  <c r="BF190" i="23"/>
  <c r="AU195" i="23"/>
  <c r="W195" i="23"/>
  <c r="BC194" i="23"/>
  <c r="AE194" i="23"/>
  <c r="G194" i="23"/>
  <c r="AM193" i="23"/>
  <c r="O193" i="23"/>
  <c r="AU192" i="23"/>
  <c r="W192" i="23"/>
  <c r="BC191" i="23"/>
  <c r="AE191" i="23"/>
  <c r="G191" i="23"/>
  <c r="K190" i="23"/>
  <c r="AI190" i="23"/>
  <c r="BG190" i="23"/>
  <c r="L190" i="23"/>
  <c r="BH190" i="23"/>
  <c r="AT195" i="23"/>
  <c r="V195" i="23"/>
  <c r="BB194" i="23"/>
  <c r="AD194" i="23"/>
  <c r="F194" i="23"/>
  <c r="AL193" i="23"/>
  <c r="N193" i="23"/>
  <c r="AT192" i="23"/>
  <c r="V192" i="23"/>
  <c r="BB191" i="23"/>
  <c r="AD191" i="23"/>
  <c r="F191" i="23"/>
  <c r="AJ190" i="23"/>
  <c r="AS195" i="23"/>
  <c r="U195" i="23"/>
  <c r="BA194" i="23"/>
  <c r="AC194" i="23"/>
  <c r="E194" i="23"/>
  <c r="AK193" i="23"/>
  <c r="M193" i="23"/>
  <c r="AS192" i="23"/>
  <c r="U192" i="23"/>
  <c r="BA191" i="23"/>
  <c r="AC191" i="23"/>
  <c r="E191" i="23"/>
  <c r="M190" i="23"/>
  <c r="AK190" i="23"/>
  <c r="E190" i="23"/>
  <c r="AR195" i="23"/>
  <c r="T195" i="23"/>
  <c r="AZ194" i="23"/>
  <c r="AB194" i="23"/>
  <c r="BH193" i="23"/>
  <c r="AJ193" i="23"/>
  <c r="L193" i="23"/>
  <c r="AR192" i="23"/>
  <c r="T192" i="23"/>
  <c r="AZ191" i="23"/>
  <c r="AB191" i="23"/>
  <c r="N190" i="23"/>
  <c r="AL190" i="23"/>
  <c r="P190" i="23"/>
  <c r="AN190" i="23"/>
  <c r="AO190" i="23"/>
  <c r="AQ195" i="23"/>
  <c r="S195" i="23"/>
  <c r="AY194" i="23"/>
  <c r="AA194" i="23"/>
  <c r="BG193" i="23"/>
  <c r="AI193" i="23"/>
  <c r="K193" i="23"/>
  <c r="AQ192" i="23"/>
  <c r="S192" i="23"/>
  <c r="AY191" i="23"/>
  <c r="AA191" i="23"/>
  <c r="O190" i="23"/>
  <c r="AM190" i="23"/>
  <c r="R190" i="23"/>
  <c r="AP195" i="23"/>
  <c r="R195" i="23"/>
  <c r="AX194" i="23"/>
  <c r="Z194" i="23"/>
  <c r="BF193" i="23"/>
  <c r="AH193" i="23"/>
  <c r="J193" i="23"/>
  <c r="AP192" i="23"/>
  <c r="R192" i="23"/>
  <c r="AX191" i="23"/>
  <c r="Z191" i="23"/>
  <c r="Q190" i="23"/>
  <c r="AP190" i="23"/>
  <c r="AO195" i="23"/>
  <c r="Q195" i="23"/>
  <c r="AW194" i="23"/>
  <c r="Y194" i="23"/>
  <c r="BE193" i="23"/>
  <c r="AG193" i="23"/>
  <c r="I193" i="23"/>
  <c r="AO192" i="23"/>
  <c r="Q192" i="23"/>
  <c r="AW191" i="23"/>
  <c r="Y191" i="23"/>
  <c r="AN195" i="23"/>
  <c r="P195" i="23"/>
  <c r="AV194" i="23"/>
  <c r="X194" i="23"/>
  <c r="BD193" i="23"/>
  <c r="AF193" i="23"/>
  <c r="H193" i="23"/>
  <c r="AN192" i="23"/>
  <c r="P192" i="23"/>
  <c r="AV191" i="23"/>
  <c r="X191" i="23"/>
  <c r="AM195" i="23"/>
  <c r="O195" i="23"/>
  <c r="AU194" i="23"/>
  <c r="W194" i="23"/>
  <c r="BC193" i="23"/>
  <c r="AE193" i="23"/>
  <c r="G193" i="23"/>
  <c r="AM192" i="23"/>
  <c r="O192" i="23"/>
  <c r="AU191" i="23"/>
  <c r="W191" i="23"/>
  <c r="S190" i="23"/>
  <c r="AQ190" i="23"/>
  <c r="T190" i="23"/>
  <c r="AR190" i="23"/>
  <c r="I190" i="23"/>
  <c r="AL195" i="23"/>
  <c r="N195" i="23"/>
  <c r="AT194" i="23"/>
  <c r="V194" i="23"/>
  <c r="BB193" i="23"/>
  <c r="AD193" i="23"/>
  <c r="F193" i="23"/>
  <c r="AL192" i="23"/>
  <c r="N192" i="23"/>
  <c r="AT191" i="23"/>
  <c r="V191" i="23"/>
  <c r="AZ190" i="23"/>
  <c r="AG190" i="23"/>
  <c r="AK195" i="23"/>
  <c r="M195" i="23"/>
  <c r="AS194" i="23"/>
  <c r="U194" i="23"/>
  <c r="BA193" i="23"/>
  <c r="AC193" i="23"/>
  <c r="E193" i="23"/>
  <c r="AK192" i="23"/>
  <c r="M192" i="23"/>
  <c r="AS191" i="23"/>
  <c r="U191" i="23"/>
  <c r="U190" i="23"/>
  <c r="AS190" i="23"/>
  <c r="BH195" i="23"/>
  <c r="AJ195" i="23"/>
  <c r="L195" i="23"/>
  <c r="AR194" i="23"/>
  <c r="T194" i="23"/>
  <c r="AZ193" i="23"/>
  <c r="AB193" i="23"/>
  <c r="BH192" i="23"/>
  <c r="AJ192" i="23"/>
  <c r="L192" i="23"/>
  <c r="AR191" i="23"/>
  <c r="T191" i="23"/>
  <c r="V190" i="23"/>
  <c r="AT190" i="23"/>
  <c r="X190" i="23"/>
  <c r="BG195" i="23"/>
  <c r="AI195" i="23"/>
  <c r="K195" i="23"/>
  <c r="AQ194" i="23"/>
  <c r="S194" i="23"/>
  <c r="AY193" i="23"/>
  <c r="AA193" i="23"/>
  <c r="BG192" i="23"/>
  <c r="AI192" i="23"/>
  <c r="K192" i="23"/>
  <c r="AQ191" i="23"/>
  <c r="S191" i="23"/>
  <c r="W190" i="23"/>
  <c r="AU190" i="23"/>
  <c r="BF195" i="23"/>
  <c r="AH195" i="23"/>
  <c r="J195" i="23"/>
  <c r="AP194" i="23"/>
  <c r="R194" i="23"/>
  <c r="AX193" i="23"/>
  <c r="Z193" i="23"/>
  <c r="BF192" i="23"/>
  <c r="AH192" i="23"/>
  <c r="J192" i="23"/>
  <c r="AP191" i="23"/>
  <c r="R191" i="23"/>
  <c r="AV190" i="23"/>
  <c r="AW190" i="23"/>
  <c r="AB190" i="23"/>
  <c r="BE195" i="23"/>
  <c r="AG195" i="23"/>
  <c r="I195" i="23"/>
  <c r="AO194" i="23"/>
  <c r="Q194" i="23"/>
  <c r="AW193" i="23"/>
  <c r="Y193" i="23"/>
  <c r="BE192" i="23"/>
  <c r="AG192" i="23"/>
  <c r="I192" i="23"/>
  <c r="AO191" i="23"/>
  <c r="Q191" i="23"/>
  <c r="Y190" i="23"/>
  <c r="BD195" i="23"/>
  <c r="AF195" i="23"/>
  <c r="H195" i="23"/>
  <c r="AN194" i="23"/>
  <c r="P194" i="23"/>
  <c r="AV193" i="23"/>
  <c r="X193" i="23"/>
  <c r="BD192" i="23"/>
  <c r="AF192" i="23"/>
  <c r="H192" i="23"/>
  <c r="AN191" i="23"/>
  <c r="P191" i="23"/>
  <c r="Z190" i="23"/>
  <c r="AX190" i="23"/>
  <c r="BB195" i="23"/>
  <c r="F195" i="23"/>
  <c r="AL194" i="23"/>
  <c r="AT193" i="23"/>
  <c r="BB192" i="23"/>
  <c r="F192" i="23"/>
  <c r="N191" i="23"/>
  <c r="BC195" i="23"/>
  <c r="AE195" i="23"/>
  <c r="G195" i="23"/>
  <c r="AM194" i="23"/>
  <c r="O194" i="23"/>
  <c r="AU193" i="23"/>
  <c r="W193" i="23"/>
  <c r="BC192" i="23"/>
  <c r="AE192" i="23"/>
  <c r="G192" i="23"/>
  <c r="AM191" i="23"/>
  <c r="O191" i="23"/>
  <c r="AA190" i="23"/>
  <c r="AY190" i="23"/>
  <c r="AD195" i="23"/>
  <c r="N194" i="23"/>
  <c r="V193" i="23"/>
  <c r="AD192" i="23"/>
  <c r="AL191" i="23"/>
  <c r="AX2" i="28"/>
  <c r="BI2" i="28"/>
  <c r="BC2" i="28"/>
  <c r="BK2" i="28"/>
  <c r="BB2" i="28"/>
  <c r="BD2" i="28"/>
  <c r="BJ2" i="28"/>
  <c r="BE2" i="28"/>
  <c r="BG2" i="28"/>
  <c r="BF2" i="28"/>
  <c r="AY2" i="28"/>
  <c r="AZ2" i="28"/>
  <c r="BH2" i="28"/>
  <c r="BA2" i="28"/>
  <c r="CS7" i="27"/>
  <c r="CK7" i="27"/>
  <c r="CC7" i="27"/>
  <c r="BU7" i="27"/>
  <c r="BM7" i="27"/>
  <c r="CR7" i="27"/>
  <c r="CB7" i="27"/>
  <c r="BL7" i="27"/>
  <c r="CQ7" i="27"/>
  <c r="CI7" i="27"/>
  <c r="CA7" i="27"/>
  <c r="BS7" i="27"/>
  <c r="BK7" i="27"/>
  <c r="CJ7" i="27"/>
  <c r="BT7" i="27"/>
  <c r="CP7" i="27"/>
  <c r="CH7" i="27"/>
  <c r="BZ7" i="27"/>
  <c r="BR7" i="27"/>
  <c r="BJ7" i="27"/>
  <c r="CG7" i="27"/>
  <c r="BY7" i="27"/>
  <c r="BI7" i="27"/>
  <c r="CV7" i="27"/>
  <c r="CN7" i="27"/>
  <c r="CF7" i="27"/>
  <c r="BX7" i="27"/>
  <c r="BP7" i="27"/>
  <c r="BH7" i="27"/>
  <c r="CO7" i="27"/>
  <c r="BQ7" i="27"/>
  <c r="CU7" i="27"/>
  <c r="CM7" i="27"/>
  <c r="CE7" i="27"/>
  <c r="BW7" i="27"/>
  <c r="BO7" i="27"/>
  <c r="BG7" i="27"/>
  <c r="CT7" i="27"/>
  <c r="CL7" i="27"/>
  <c r="CD7" i="27"/>
  <c r="BV7" i="27"/>
  <c r="BN7" i="27"/>
  <c r="BF7" i="27"/>
  <c r="H5" i="28"/>
  <c r="K3" i="28"/>
  <c r="BP2" i="28"/>
  <c r="BO2" i="28"/>
  <c r="BN2" i="28"/>
  <c r="BM2" i="28"/>
  <c r="BL2" i="28"/>
  <c r="I5" i="28"/>
  <c r="K7" i="28"/>
  <c r="G5" i="28"/>
  <c r="B4" i="28"/>
  <c r="C5" i="28"/>
  <c r="C8" i="28"/>
  <c r="C9" i="28"/>
  <c r="D5" i="28"/>
  <c r="D8" i="28"/>
  <c r="D9" i="28"/>
  <c r="D6" i="28"/>
  <c r="D7" i="28"/>
  <c r="C7" i="28"/>
  <c r="C6" i="28"/>
  <c r="I8" i="28"/>
  <c r="I6" i="28"/>
  <c r="H8" i="28"/>
  <c r="H6" i="28"/>
  <c r="G8" i="28"/>
  <c r="G6" i="28"/>
  <c r="F4" i="28"/>
  <c r="K5" i="28"/>
  <c r="G7" i="28"/>
  <c r="K8" i="28"/>
  <c r="H7" i="28"/>
  <c r="I7" i="28"/>
  <c r="J7" i="28"/>
  <c r="K6" i="28"/>
  <c r="B2" i="28"/>
  <c r="J8" i="28"/>
  <c r="J6" i="28"/>
  <c r="F2" i="28"/>
  <c r="G3" i="28"/>
  <c r="H3" i="28"/>
  <c r="I3" i="28"/>
  <c r="J3" i="28"/>
  <c r="J5" i="28"/>
  <c r="C3" i="28"/>
  <c r="BM6" i="27"/>
  <c r="CJ4" i="27"/>
  <c r="CE3" i="27"/>
  <c r="CD4" i="27"/>
  <c r="CH6" i="27"/>
  <c r="BX5" i="27"/>
  <c r="BU6" i="27"/>
  <c r="BW5" i="27"/>
  <c r="BN3" i="27"/>
  <c r="CI6" i="27"/>
  <c r="BK5" i="27"/>
  <c r="BJ5" i="27"/>
  <c r="CG6" i="27"/>
  <c r="BN6" i="27"/>
  <c r="CI4" i="27"/>
  <c r="CC4" i="27"/>
  <c r="CT5" i="27"/>
  <c r="BQ4" i="27"/>
  <c r="CM5" i="27"/>
  <c r="BO4" i="27"/>
  <c r="CN3" i="27"/>
  <c r="CV6" i="27"/>
  <c r="CA5" i="27"/>
  <c r="CM3" i="27"/>
  <c r="CK6" i="27"/>
  <c r="BZ5" i="27"/>
  <c r="CL3" i="27"/>
  <c r="CJ6" i="27"/>
  <c r="BY5" i="27"/>
  <c r="CF3" i="27"/>
  <c r="BL6" i="27"/>
  <c r="CK4" i="27"/>
  <c r="BQ3" i="27"/>
  <c r="CF6" i="27"/>
  <c r="CU5" i="27"/>
  <c r="BI5" i="27"/>
  <c r="BP4" i="27"/>
  <c r="BR3" i="27"/>
  <c r="BM3" i="27"/>
  <c r="CK3" i="27"/>
  <c r="BY3" i="27"/>
  <c r="BS3" i="27"/>
  <c r="CO3" i="27"/>
  <c r="BR4" i="27"/>
  <c r="CL4" i="27"/>
  <c r="BL5" i="27"/>
  <c r="CB5" i="27"/>
  <c r="CV5" i="27"/>
  <c r="BV6" i="27"/>
  <c r="CL6" i="27"/>
  <c r="BM5" i="27"/>
  <c r="CG5" i="27"/>
  <c r="BG6" i="27"/>
  <c r="BW6" i="27"/>
  <c r="CJ5" i="27"/>
  <c r="BJ6" i="27"/>
  <c r="CT6" i="27"/>
  <c r="BG3" i="27"/>
  <c r="CC3" i="27"/>
  <c r="BK4" i="27"/>
  <c r="CA4" i="27"/>
  <c r="CU4" i="27"/>
  <c r="BU5" i="27"/>
  <c r="CK5" i="27"/>
  <c r="BK6" i="27"/>
  <c r="CE6" i="27"/>
  <c r="CU6" i="27"/>
  <c r="BH3" i="27"/>
  <c r="CD3" i="27"/>
  <c r="BL4" i="27"/>
  <c r="CB4" i="27"/>
  <c r="CV4" i="27"/>
  <c r="BV5" i="27"/>
  <c r="CL5" i="27"/>
  <c r="BT3" i="27"/>
  <c r="CP3" i="27"/>
  <c r="BW4" i="27"/>
  <c r="CM4" i="27"/>
  <c r="CQ6" i="27"/>
  <c r="BZ3" i="27"/>
  <c r="CQ3" i="27"/>
  <c r="BX4" i="27"/>
  <c r="CN4" i="27"/>
  <c r="BN5" i="27"/>
  <c r="CH5" i="27"/>
  <c r="BH6" i="27"/>
  <c r="BX6" i="27"/>
  <c r="CR6" i="27"/>
  <c r="CA3" i="27"/>
  <c r="CR3" i="27"/>
  <c r="BY4" i="27"/>
  <c r="CO4" i="27"/>
  <c r="BO5" i="27"/>
  <c r="CI5" i="27"/>
  <c r="BI6" i="27"/>
  <c r="BY6" i="27"/>
  <c r="CS6" i="27"/>
  <c r="BF3" i="27"/>
  <c r="CB3" i="27"/>
  <c r="BF4" i="27"/>
  <c r="BZ4" i="27"/>
  <c r="CP4" i="27"/>
  <c r="BP5" i="27"/>
  <c r="BZ6" i="27"/>
  <c r="BT6" i="27"/>
  <c r="CS5" i="27"/>
  <c r="BN4" i="27"/>
  <c r="BP3" i="27"/>
  <c r="BS6" i="27"/>
  <c r="CN5" i="27"/>
  <c r="BM4" i="27"/>
  <c r="BO3" i="27"/>
  <c r="CP6" i="27"/>
  <c r="CD6" i="27"/>
  <c r="CR5" i="27"/>
  <c r="CF5" i="27"/>
  <c r="CT4" i="27"/>
  <c r="CH4" i="27"/>
  <c r="BV4" i="27"/>
  <c r="BJ4" i="27"/>
  <c r="CV3" i="27"/>
  <c r="CJ3" i="27"/>
  <c r="BX3" i="27"/>
  <c r="BL3" i="27"/>
  <c r="CO6" i="27"/>
  <c r="CC6" i="27"/>
  <c r="BQ6" i="27"/>
  <c r="CQ5" i="27"/>
  <c r="CE5" i="27"/>
  <c r="BS5" i="27"/>
  <c r="BG5" i="27"/>
  <c r="CS4" i="27"/>
  <c r="CG4" i="27"/>
  <c r="BU4" i="27"/>
  <c r="BI4" i="27"/>
  <c r="CU3" i="27"/>
  <c r="CI3" i="27"/>
  <c r="BW3" i="27"/>
  <c r="BK3" i="27"/>
  <c r="BR6" i="27"/>
  <c r="BH5" i="27"/>
  <c r="CN6" i="27"/>
  <c r="CB6" i="27"/>
  <c r="BP6" i="27"/>
  <c r="CP5" i="27"/>
  <c r="CD5" i="27"/>
  <c r="BR5" i="27"/>
  <c r="BF5" i="27"/>
  <c r="CR4" i="27"/>
  <c r="CF4" i="27"/>
  <c r="BT4" i="27"/>
  <c r="BH4" i="27"/>
  <c r="CT3" i="27"/>
  <c r="CH3" i="27"/>
  <c r="BV3" i="27"/>
  <c r="BJ3" i="27"/>
  <c r="BF6" i="27"/>
  <c r="BT5" i="27"/>
  <c r="CM6" i="27"/>
  <c r="CA6" i="27"/>
  <c r="BO6" i="27"/>
  <c r="CO5" i="27"/>
  <c r="CC5" i="27"/>
  <c r="BQ5" i="27"/>
  <c r="CQ4" i="27"/>
  <c r="CE4" i="27"/>
  <c r="BS4" i="27"/>
  <c r="BG4" i="27"/>
  <c r="CS3" i="27"/>
  <c r="CG3" i="27"/>
  <c r="BU3" i="27"/>
  <c r="BI3" i="27"/>
  <c r="O24" i="21"/>
  <c r="O41" i="21"/>
  <c r="M314" i="21"/>
  <c r="O314" i="21" s="1"/>
  <c r="O315" i="21"/>
  <c r="M379" i="21"/>
  <c r="O379" i="21" s="1"/>
  <c r="O380" i="21"/>
  <c r="M419" i="21"/>
  <c r="O419" i="21" s="1"/>
  <c r="O420" i="21"/>
  <c r="O440" i="21"/>
  <c r="M528" i="21"/>
  <c r="O528" i="21" s="1"/>
  <c r="O529" i="21"/>
  <c r="M1078" i="21"/>
  <c r="O1078" i="21" s="1"/>
  <c r="O1079" i="21"/>
  <c r="M62" i="21"/>
  <c r="O62" i="21" s="1"/>
  <c r="O63" i="21"/>
  <c r="N276" i="21"/>
  <c r="O276" i="21" s="1"/>
  <c r="O277" i="21"/>
  <c r="M1196" i="21"/>
  <c r="O1196" i="21" s="1"/>
  <c r="O1197" i="21"/>
  <c r="O34" i="21"/>
  <c r="N37" i="21"/>
  <c r="O37" i="21" s="1"/>
  <c r="O42" i="21"/>
  <c r="O53" i="21"/>
  <c r="M57" i="21"/>
  <c r="O57" i="21" s="1"/>
  <c r="M135" i="21"/>
  <c r="O135" i="21" s="1"/>
  <c r="O136" i="21"/>
  <c r="M180" i="21"/>
  <c r="O180" i="21" s="1"/>
  <c r="O181" i="21"/>
  <c r="M220" i="21"/>
  <c r="O220" i="21" s="1"/>
  <c r="O221" i="21"/>
  <c r="M290" i="21"/>
  <c r="O290" i="21" s="1"/>
  <c r="O291" i="21"/>
  <c r="M103" i="21"/>
  <c r="O103" i="21" s="1"/>
  <c r="O104" i="21"/>
  <c r="O371" i="21"/>
  <c r="M369" i="21"/>
  <c r="O369" i="21" s="1"/>
  <c r="M629" i="21"/>
  <c r="O629" i="21" s="1"/>
  <c r="O630" i="21"/>
  <c r="O917" i="21"/>
  <c r="M915" i="21"/>
  <c r="O915" i="21" s="1"/>
  <c r="M1237" i="21"/>
  <c r="O1237" i="21" s="1"/>
  <c r="O1238" i="21"/>
  <c r="O1193" i="21"/>
  <c r="M1185" i="21"/>
  <c r="O1185" i="21" s="1"/>
  <c r="O5" i="21"/>
  <c r="O29" i="21"/>
  <c r="N93" i="21"/>
  <c r="O93" i="21" s="1"/>
  <c r="N101" i="21"/>
  <c r="O101" i="21" s="1"/>
  <c r="O113" i="21"/>
  <c r="M195" i="21"/>
  <c r="O195" i="21" s="1"/>
  <c r="O207" i="21"/>
  <c r="O248" i="21"/>
  <c r="M258" i="21"/>
  <c r="O258" i="21" s="1"/>
  <c r="M576" i="21"/>
  <c r="O109" i="21"/>
  <c r="O125" i="21"/>
  <c r="O141" i="21"/>
  <c r="O170" i="21"/>
  <c r="O236" i="21"/>
  <c r="N244" i="21"/>
  <c r="O244" i="21" s="1"/>
  <c r="O245" i="21"/>
  <c r="M266" i="21"/>
  <c r="O266" i="21" s="1"/>
  <c r="M327" i="21"/>
  <c r="O327" i="21" s="1"/>
  <c r="M338" i="21"/>
  <c r="O338" i="21" s="1"/>
  <c r="O339" i="21"/>
  <c r="O398" i="21"/>
  <c r="M542" i="21"/>
  <c r="O542" i="21" s="1"/>
  <c r="O543" i="21"/>
  <c r="N343" i="21"/>
  <c r="O344" i="21"/>
  <c r="O39" i="21"/>
  <c r="M111" i="21"/>
  <c r="O111" i="21" s="1"/>
  <c r="O112" i="21"/>
  <c r="O79" i="21"/>
  <c r="M77" i="21"/>
  <c r="O77" i="21" s="1"/>
  <c r="N236" i="21"/>
  <c r="O237" i="21"/>
  <c r="M343" i="21"/>
  <c r="O343" i="21" s="1"/>
  <c r="O347" i="21"/>
  <c r="M95" i="21"/>
  <c r="O95" i="21" s="1"/>
  <c r="O96" i="21"/>
  <c r="M147" i="21"/>
  <c r="N506" i="21"/>
  <c r="O506" i="21" s="1"/>
  <c r="O507" i="21"/>
  <c r="M348" i="21"/>
  <c r="O348" i="21" s="1"/>
  <c r="M389" i="21"/>
  <c r="O389" i="21" s="1"/>
  <c r="N665" i="21"/>
  <c r="O665" i="21" s="1"/>
  <c r="O666" i="21"/>
  <c r="O937" i="21"/>
  <c r="M935" i="21"/>
  <c r="O55" i="21"/>
  <c r="O68" i="21"/>
  <c r="N133" i="21"/>
  <c r="O133" i="21" s="1"/>
  <c r="N147" i="21"/>
  <c r="O154" i="21"/>
  <c r="N171" i="21"/>
  <c r="O171" i="21" s="1"/>
  <c r="M387" i="21"/>
  <c r="O387" i="21" s="1"/>
  <c r="O388" i="21"/>
  <c r="O411" i="21"/>
  <c r="O427" i="21"/>
  <c r="O443" i="21"/>
  <c r="O453" i="21"/>
  <c r="M385" i="21"/>
  <c r="O385" i="21" s="1"/>
  <c r="M401" i="21"/>
  <c r="O401" i="21" s="1"/>
  <c r="M409" i="21"/>
  <c r="O409" i="21" s="1"/>
  <c r="M417" i="21"/>
  <c r="O417" i="21" s="1"/>
  <c r="M425" i="21"/>
  <c r="O425" i="21" s="1"/>
  <c r="O449" i="21"/>
  <c r="M486" i="21"/>
  <c r="O486" i="21" s="1"/>
  <c r="O561" i="21"/>
  <c r="O603" i="21"/>
  <c r="N624" i="21"/>
  <c r="O625" i="21"/>
  <c r="O655" i="21"/>
  <c r="O667" i="21"/>
  <c r="N705" i="21"/>
  <c r="O705" i="21" s="1"/>
  <c r="O706" i="21"/>
  <c r="O745" i="21"/>
  <c r="O767" i="21"/>
  <c r="O1225" i="21"/>
  <c r="M1224" i="21"/>
  <c r="O1224" i="21" s="1"/>
  <c r="O76" i="21"/>
  <c r="O84" i="21"/>
  <c r="M184" i="21"/>
  <c r="O184" i="21" s="1"/>
  <c r="M200" i="21"/>
  <c r="O200" i="21" s="1"/>
  <c r="O243" i="21"/>
  <c r="O259" i="21"/>
  <c r="O267" i="21"/>
  <c r="O275" i="21"/>
  <c r="O283" i="21"/>
  <c r="M310" i="21"/>
  <c r="O310" i="21" s="1"/>
  <c r="O320" i="21"/>
  <c r="O328" i="21"/>
  <c r="O469" i="21"/>
  <c r="O501" i="21"/>
  <c r="M544" i="21"/>
  <c r="O544" i="21" s="1"/>
  <c r="M600" i="21"/>
  <c r="O600" i="21" s="1"/>
  <c r="O604" i="21"/>
  <c r="O813" i="21"/>
  <c r="M812" i="21"/>
  <c r="O812" i="21" s="1"/>
  <c r="N862" i="21"/>
  <c r="O863" i="21"/>
  <c r="O1221" i="21"/>
  <c r="M566" i="21"/>
  <c r="O566" i="21" s="1"/>
  <c r="O567" i="21"/>
  <c r="M634" i="21"/>
  <c r="O1031" i="21"/>
  <c r="M1029" i="21"/>
  <c r="O1029" i="21" s="1"/>
  <c r="O1035" i="21"/>
  <c r="M1034" i="21"/>
  <c r="O1034" i="21" s="1"/>
  <c r="M1038" i="21"/>
  <c r="O1038" i="21" s="1"/>
  <c r="O1039" i="21"/>
  <c r="O1043" i="21"/>
  <c r="M1042" i="21"/>
  <c r="O1042" i="21" s="1"/>
  <c r="M470" i="21"/>
  <c r="O470" i="21" s="1"/>
  <c r="O477" i="21"/>
  <c r="M509" i="21"/>
  <c r="O509" i="21" s="1"/>
  <c r="O510" i="21"/>
  <c r="O518" i="21"/>
  <c r="O530" i="21"/>
  <c r="O545" i="21"/>
  <c r="M552" i="21"/>
  <c r="O552" i="21" s="1"/>
  <c r="O587" i="21"/>
  <c r="N600" i="21"/>
  <c r="O601" i="21"/>
  <c r="O627" i="21"/>
  <c r="O897" i="21"/>
  <c r="M895" i="21"/>
  <c r="O895" i="21" s="1"/>
  <c r="N576" i="21"/>
  <c r="O577" i="21"/>
  <c r="M687" i="21"/>
  <c r="O687" i="21" s="1"/>
  <c r="M743" i="21"/>
  <c r="O743" i="21" s="1"/>
  <c r="M756" i="21"/>
  <c r="O756" i="21" s="1"/>
  <c r="N790" i="21"/>
  <c r="O790" i="21" s="1"/>
  <c r="O791" i="21"/>
  <c r="O1108" i="21"/>
  <c r="M1104" i="21"/>
  <c r="O1104" i="21" s="1"/>
  <c r="O485" i="21"/>
  <c r="M526" i="21"/>
  <c r="O526" i="21" s="1"/>
  <c r="O527" i="21"/>
  <c r="M613" i="21"/>
  <c r="O613" i="21" s="1"/>
  <c r="M624" i="21"/>
  <c r="O624" i="21" s="1"/>
  <c r="O628" i="21"/>
  <c r="O643" i="21"/>
  <c r="N673" i="21"/>
  <c r="O673" i="21" s="1"/>
  <c r="O674" i="21"/>
  <c r="M719" i="21"/>
  <c r="O719" i="21" s="1"/>
  <c r="O740" i="21"/>
  <c r="M777" i="21"/>
  <c r="O777" i="21" s="1"/>
  <c r="O778" i="21"/>
  <c r="O1083" i="21"/>
  <c r="M1081" i="21"/>
  <c r="O1081" i="21" s="1"/>
  <c r="M491" i="21"/>
  <c r="O491" i="21" s="1"/>
  <c r="M524" i="21"/>
  <c r="O524" i="21" s="1"/>
  <c r="M532" i="21"/>
  <c r="O532" i="21" s="1"/>
  <c r="O579" i="21"/>
  <c r="M609" i="21"/>
  <c r="O609" i="21" s="1"/>
  <c r="O635" i="21"/>
  <c r="M649" i="21"/>
  <c r="O649" i="21" s="1"/>
  <c r="O668" i="21"/>
  <c r="O676" i="21"/>
  <c r="O684" i="21"/>
  <c r="O708" i="21"/>
  <c r="O753" i="21"/>
  <c r="O797" i="21"/>
  <c r="O809" i="21"/>
  <c r="O851" i="21"/>
  <c r="O870" i="21"/>
  <c r="N886" i="21"/>
  <c r="O886" i="21" s="1"/>
  <c r="O890" i="21"/>
  <c r="O930" i="21"/>
  <c r="O956" i="21"/>
  <c r="O971" i="21"/>
  <c r="O987" i="21"/>
  <c r="O991" i="21"/>
  <c r="O1016" i="21"/>
  <c r="O1072" i="21"/>
  <c r="O1096" i="21"/>
  <c r="O1154" i="21"/>
  <c r="M1247" i="21"/>
  <c r="O1247" i="21" s="1"/>
  <c r="N709" i="21"/>
  <c r="O709" i="21" s="1"/>
  <c r="M798" i="21"/>
  <c r="O798" i="21" s="1"/>
  <c r="M910" i="21"/>
  <c r="O910" i="21" s="1"/>
  <c r="M920" i="21"/>
  <c r="O920" i="21" s="1"/>
  <c r="O921" i="21"/>
  <c r="O938" i="21"/>
  <c r="M961" i="21"/>
  <c r="O961" i="21" s="1"/>
  <c r="O962" i="21"/>
  <c r="O1027" i="21"/>
  <c r="M1025" i="21"/>
  <c r="O1025" i="21" s="1"/>
  <c r="O1084" i="21"/>
  <c r="O1169" i="21"/>
  <c r="M1168" i="21"/>
  <c r="O1168" i="21" s="1"/>
  <c r="M1172" i="21"/>
  <c r="O1172" i="21" s="1"/>
  <c r="O1173" i="21"/>
  <c r="O1239" i="21"/>
  <c r="O792" i="21"/>
  <c r="O828" i="21"/>
  <c r="O894" i="21"/>
  <c r="O898" i="21"/>
  <c r="O947" i="21"/>
  <c r="M953" i="21"/>
  <c r="O953" i="21" s="1"/>
  <c r="O954" i="21"/>
  <c r="O1024" i="21"/>
  <c r="O1032" i="21"/>
  <c r="O1036" i="21"/>
  <c r="O1040" i="21"/>
  <c r="O1044" i="21"/>
  <c r="O1055" i="21"/>
  <c r="M1053" i="21"/>
  <c r="O1053" i="21" s="1"/>
  <c r="O1059" i="21"/>
  <c r="M1058" i="21"/>
  <c r="O1058" i="21" s="1"/>
  <c r="O1076" i="21"/>
  <c r="O1093" i="21"/>
  <c r="O1109" i="21"/>
  <c r="O1113" i="21"/>
  <c r="O1117" i="21"/>
  <c r="O1162" i="21"/>
  <c r="M1206" i="21"/>
  <c r="O1206" i="21" s="1"/>
  <c r="O1222" i="21"/>
  <c r="N1221" i="21"/>
  <c r="N634" i="21"/>
  <c r="O796" i="21"/>
  <c r="O799" i="21"/>
  <c r="O811" i="21"/>
  <c r="O825" i="21"/>
  <c r="O829" i="21"/>
  <c r="O878" i="21"/>
  <c r="O918" i="21"/>
  <c r="O922" i="21"/>
  <c r="O939" i="21"/>
  <c r="O958" i="21"/>
  <c r="O963" i="21"/>
  <c r="O974" i="21"/>
  <c r="M973" i="21"/>
  <c r="O973" i="21" s="1"/>
  <c r="O998" i="21"/>
  <c r="M997" i="21"/>
  <c r="O997" i="21" s="1"/>
  <c r="O1028" i="21"/>
  <c r="O1048" i="21"/>
  <c r="M1063" i="21"/>
  <c r="O1063" i="21" s="1"/>
  <c r="O1121" i="21"/>
  <c r="M1148" i="21"/>
  <c r="O1148" i="21" s="1"/>
  <c r="O1149" i="21"/>
  <c r="O1166" i="21"/>
  <c r="O1170" i="21"/>
  <c r="O1174" i="21"/>
  <c r="O1218" i="21"/>
  <c r="O1258" i="21"/>
  <c r="M1257" i="21"/>
  <c r="O1257" i="21" s="1"/>
  <c r="M466" i="21"/>
  <c r="O466" i="21" s="1"/>
  <c r="M969" i="21"/>
  <c r="O969" i="21" s="1"/>
  <c r="O970" i="21"/>
  <c r="O982" i="21"/>
  <c r="M981" i="21"/>
  <c r="O981" i="21" s="1"/>
  <c r="O1136" i="21"/>
  <c r="O1140" i="21"/>
  <c r="O805" i="21"/>
  <c r="M830" i="21"/>
  <c r="O830" i="21" s="1"/>
  <c r="O833" i="21"/>
  <c r="O843" i="21"/>
  <c r="M862" i="21"/>
  <c r="O862" i="21" s="1"/>
  <c r="O906" i="21"/>
  <c r="O936" i="21"/>
  <c r="N935" i="21"/>
  <c r="O955" i="21"/>
  <c r="O959" i="21"/>
  <c r="O975" i="21"/>
  <c r="O990" i="21"/>
  <c r="M989" i="21"/>
  <c r="O989" i="21" s="1"/>
  <c r="M993" i="21"/>
  <c r="O993" i="21" s="1"/>
  <c r="O994" i="21"/>
  <c r="O999" i="21"/>
  <c r="O1052" i="21"/>
  <c r="O1129" i="21"/>
  <c r="O1132" i="21"/>
  <c r="O1137" i="21"/>
  <c r="O1141" i="21"/>
  <c r="O1150" i="21"/>
  <c r="O1186" i="21"/>
  <c r="O1242" i="21"/>
  <c r="M1241" i="21"/>
  <c r="O1241" i="21" s="1"/>
  <c r="M1259" i="21"/>
  <c r="O1259" i="21" s="1"/>
  <c r="M1267" i="21"/>
  <c r="O1267" i="21" s="1"/>
  <c r="O1275" i="21"/>
  <c r="O1248" i="21"/>
  <c r="O1256" i="21"/>
  <c r="O1280" i="21"/>
  <c r="M1281" i="21"/>
  <c r="O1281" i="21" s="1"/>
  <c r="M810" i="21"/>
  <c r="O810" i="21" s="1"/>
  <c r="M818" i="21"/>
  <c r="O818" i="21" s="1"/>
  <c r="M1005" i="21"/>
  <c r="O1005" i="21" s="1"/>
  <c r="M1219" i="21"/>
  <c r="O1219" i="21" s="1"/>
  <c r="M1227" i="21"/>
  <c r="O1227" i="21" s="1"/>
  <c r="O1246" i="21"/>
  <c r="N1094" i="21"/>
  <c r="O1094" i="21" s="1"/>
  <c r="N1102" i="21"/>
  <c r="O1102" i="21" s="1"/>
  <c r="O1284" i="21"/>
  <c r="AT7" i="27" l="1"/>
  <c r="AZ7" i="27"/>
  <c r="AT5" i="27"/>
  <c r="AH6" i="27"/>
  <c r="AB6" i="27"/>
  <c r="AN3" i="27"/>
  <c r="AK4" i="27"/>
  <c r="AA5" i="27"/>
  <c r="AM3" i="27"/>
  <c r="U3" i="27"/>
  <c r="J5" i="27"/>
  <c r="P3" i="27"/>
  <c r="AT6" i="27"/>
  <c r="AT3" i="27"/>
  <c r="AZ4" i="27"/>
  <c r="AD4" i="27"/>
  <c r="B3" i="27"/>
  <c r="AB4" i="27"/>
  <c r="J6" i="27"/>
  <c r="AH5" i="27"/>
  <c r="E5" i="27"/>
  <c r="S3" i="27"/>
  <c r="W6" i="27"/>
  <c r="AZ3" i="27"/>
  <c r="AJ4" i="27"/>
  <c r="V3" i="27"/>
  <c r="H4" i="27"/>
  <c r="Z5" i="27"/>
  <c r="S5" i="27"/>
  <c r="Z3" i="27"/>
  <c r="AS6" i="27"/>
  <c r="Q5" i="27"/>
  <c r="I6" i="27"/>
  <c r="AT4" i="27"/>
  <c r="B6" i="27"/>
  <c r="B5" i="27"/>
  <c r="AM6" i="27"/>
  <c r="AH7" i="27"/>
  <c r="AD3" i="27"/>
  <c r="E6" i="27"/>
  <c r="J4" i="27"/>
  <c r="AK6" i="27"/>
  <c r="AH3" i="27"/>
  <c r="B7" i="27"/>
  <c r="AZ5" i="27"/>
  <c r="AB3" i="27"/>
  <c r="V5" i="27"/>
  <c r="V6" i="27"/>
  <c r="AH4" i="27"/>
  <c r="AZ6" i="27"/>
  <c r="AK7" i="27"/>
  <c r="I7" i="27"/>
  <c r="AU6" i="27"/>
  <c r="AM7" i="27"/>
  <c r="W7" i="27"/>
  <c r="AS7" i="27"/>
  <c r="AK3" i="27"/>
  <c r="S4" i="27"/>
  <c r="AK5" i="27"/>
  <c r="I5" i="27"/>
  <c r="I3" i="27"/>
  <c r="AM5" i="27"/>
  <c r="S6" i="27"/>
  <c r="B4" i="27"/>
  <c r="AJ3" i="27"/>
  <c r="AD7" i="27"/>
  <c r="O7" i="27"/>
  <c r="BD7" i="27"/>
  <c r="R5" i="27"/>
  <c r="F7" i="27"/>
  <c r="G3" i="27"/>
  <c r="AS3" i="27"/>
  <c r="AI6" i="27"/>
  <c r="N7" i="27"/>
  <c r="AD5" i="27"/>
  <c r="BE5" i="27"/>
  <c r="AQ5" i="27"/>
  <c r="F4" i="27"/>
  <c r="AC5" i="27"/>
  <c r="AS4" i="27"/>
  <c r="AE6" i="27"/>
  <c r="K3" i="27"/>
  <c r="Q3" i="27"/>
  <c r="AX7" i="27"/>
  <c r="T7" i="27"/>
  <c r="E7" i="27"/>
  <c r="X7" i="27"/>
  <c r="AN4" i="27"/>
  <c r="AW5" i="27"/>
  <c r="AA3" i="27"/>
  <c r="AY6" i="27"/>
  <c r="M3" i="27"/>
  <c r="AL4" i="27"/>
  <c r="BC3" i="27"/>
  <c r="D5" i="27"/>
  <c r="U7" i="27"/>
  <c r="AM4" i="27"/>
  <c r="W4" i="27"/>
  <c r="L6" i="27"/>
  <c r="AL7" i="27"/>
  <c r="Y4" i="27"/>
  <c r="J7" i="27"/>
  <c r="I4" i="27"/>
  <c r="L4" i="27"/>
  <c r="V4" i="27"/>
  <c r="AB7" i="27"/>
  <c r="P5" i="27"/>
  <c r="BB3" i="27"/>
  <c r="AF3" i="27"/>
  <c r="AP7" i="27"/>
  <c r="Y3" i="27"/>
  <c r="R4" i="27"/>
  <c r="AR6" i="27"/>
  <c r="BA5" i="27"/>
  <c r="AV6" i="27"/>
  <c r="Q4" i="27"/>
  <c r="P6" i="27"/>
  <c r="AV4" i="27"/>
  <c r="AO6" i="27"/>
  <c r="O6" i="27"/>
  <c r="C4" i="27"/>
  <c r="G5" i="27"/>
  <c r="AG3" i="27"/>
  <c r="R6" i="27"/>
  <c r="AV7" i="27"/>
  <c r="BB5" i="27"/>
  <c r="F3" i="27"/>
  <c r="S7" i="27"/>
  <c r="Z4" i="27"/>
  <c r="P4" i="27"/>
  <c r="BD4" i="27"/>
  <c r="AS5" i="27"/>
  <c r="V7" i="27"/>
  <c r="Q7" i="27"/>
  <c r="BD5" i="27"/>
  <c r="AB5" i="27"/>
  <c r="AD6" i="27"/>
  <c r="F5" i="27"/>
  <c r="AE5" i="27"/>
  <c r="U5" i="27"/>
  <c r="AU5" i="27"/>
  <c r="L5" i="27"/>
  <c r="AJ6" i="27"/>
  <c r="W5" i="27"/>
  <c r="AJ5" i="27"/>
  <c r="BD3" i="27"/>
  <c r="AN5" i="27"/>
  <c r="L7" i="27"/>
  <c r="E4" i="27"/>
  <c r="AU4" i="27"/>
  <c r="AU7" i="27"/>
  <c r="F6" i="27"/>
  <c r="AU3" i="27"/>
  <c r="AJ7" i="27"/>
  <c r="L3" i="27"/>
  <c r="BD6" i="27"/>
  <c r="AN6" i="27"/>
  <c r="J3" i="27"/>
  <c r="P7" i="27"/>
  <c r="AE4" i="27"/>
  <c r="AN7" i="27"/>
  <c r="U6" i="27"/>
  <c r="Z6" i="27"/>
  <c r="W3" i="27"/>
  <c r="AF4" i="27"/>
  <c r="Z7" i="27"/>
  <c r="U4" i="27"/>
  <c r="E3" i="27"/>
  <c r="BE4" i="27"/>
  <c r="AX3" i="27"/>
  <c r="D3" i="27"/>
  <c r="AQ6" i="27"/>
  <c r="O5" i="27"/>
  <c r="BC5" i="27"/>
  <c r="BC6" i="27"/>
  <c r="M4" i="27"/>
  <c r="AL5" i="27"/>
  <c r="AL6" i="27"/>
  <c r="AO3" i="27"/>
  <c r="T5" i="27"/>
  <c r="BB7" i="27"/>
  <c r="K4" i="27"/>
  <c r="AF5" i="27"/>
  <c r="AO4" i="27"/>
  <c r="BE3" i="27"/>
  <c r="AR4" i="27"/>
  <c r="AA4" i="27"/>
  <c r="G4" i="27"/>
  <c r="AV3" i="27"/>
  <c r="Y7" i="27"/>
  <c r="N3" i="27"/>
  <c r="H6" i="27"/>
  <c r="AX4" i="27"/>
  <c r="BA3" i="27"/>
  <c r="T4" i="27"/>
  <c r="AP3" i="27"/>
  <c r="AA7" i="27"/>
  <c r="M7" i="27"/>
  <c r="AG7" i="27"/>
  <c r="T6" i="27"/>
  <c r="AC3" i="27"/>
  <c r="H3" i="27"/>
  <c r="AP5" i="27"/>
  <c r="AI7" i="27"/>
  <c r="AO7" i="27"/>
  <c r="AL3" i="27"/>
  <c r="AF6" i="27"/>
  <c r="Q2" i="27"/>
  <c r="N6" i="27"/>
  <c r="AP6" i="27"/>
  <c r="AQ7" i="27"/>
  <c r="AC7" i="27"/>
  <c r="H7" i="27"/>
  <c r="AW7" i="27"/>
  <c r="AY3" i="27"/>
  <c r="AQ4" i="27"/>
  <c r="AI3" i="27"/>
  <c r="BA4" i="27"/>
  <c r="BA6" i="27"/>
  <c r="AP4" i="27"/>
  <c r="AY7" i="27"/>
  <c r="BE7" i="27"/>
  <c r="BE6" i="27"/>
  <c r="R3" i="27"/>
  <c r="C6" i="27"/>
  <c r="AQ3" i="27"/>
  <c r="H5" i="27"/>
  <c r="Y5" i="27"/>
  <c r="D7" i="27"/>
  <c r="K5" i="27"/>
  <c r="N4" i="27"/>
  <c r="AR5" i="27"/>
  <c r="D4" i="27"/>
  <c r="AX5" i="27"/>
  <c r="T3" i="27"/>
  <c r="Q6" i="27"/>
  <c r="BA7" i="27"/>
  <c r="AI4" i="27"/>
  <c r="M5" i="27"/>
  <c r="AX6" i="27"/>
  <c r="AO5" i="27"/>
  <c r="G7" i="27"/>
  <c r="AI5" i="27"/>
  <c r="AR3" i="27"/>
  <c r="BC4" i="27"/>
  <c r="AE7" i="27"/>
  <c r="AV5" i="27"/>
  <c r="AY4" i="27"/>
  <c r="R7" i="27"/>
  <c r="AE3" i="27"/>
  <c r="AG5" i="27"/>
  <c r="X4" i="27"/>
  <c r="X6" i="27"/>
  <c r="AW6" i="27"/>
  <c r="M6" i="27"/>
  <c r="AF7" i="27"/>
  <c r="D6" i="27"/>
  <c r="BB4" i="27"/>
  <c r="BB6" i="27"/>
  <c r="BC7" i="27"/>
  <c r="K7" i="27"/>
  <c r="AW4" i="27"/>
  <c r="AW3" i="27"/>
  <c r="C7" i="27"/>
  <c r="C3" i="27"/>
  <c r="X3" i="27"/>
  <c r="C5" i="27"/>
  <c r="O3" i="27"/>
  <c r="AY5" i="27"/>
  <c r="AA6" i="27"/>
  <c r="AG4" i="27"/>
  <c r="G6" i="27"/>
  <c r="X5" i="27"/>
  <c r="Y6" i="27"/>
  <c r="K6" i="27"/>
  <c r="AG6" i="27"/>
  <c r="N5" i="27"/>
  <c r="O4" i="27"/>
  <c r="AC4" i="27"/>
  <c r="AC6" i="27"/>
  <c r="AR7" i="27"/>
  <c r="D4" i="28"/>
  <c r="C4" i="28"/>
  <c r="G4" i="28"/>
  <c r="H4" i="28"/>
  <c r="I4" i="28"/>
  <c r="K2" i="28"/>
  <c r="I2" i="28"/>
  <c r="G2" i="28"/>
  <c r="J2" i="28"/>
  <c r="K4" i="28"/>
  <c r="D2" i="28"/>
  <c r="C2" i="28"/>
  <c r="J4" i="28"/>
  <c r="H2" i="28"/>
  <c r="AP2" i="27"/>
  <c r="C2" i="27"/>
  <c r="AB2" i="27"/>
  <c r="O2" i="27"/>
  <c r="AN2" i="27"/>
  <c r="AA2" i="27"/>
  <c r="BA2" i="27"/>
  <c r="F2" i="27"/>
  <c r="BL2" i="27"/>
  <c r="BX2" i="27"/>
  <c r="BC2" i="27"/>
  <c r="AQ2" i="27"/>
  <c r="BY2" i="27"/>
  <c r="CK2" i="27"/>
  <c r="BB2" i="27"/>
  <c r="B2" i="27"/>
  <c r="BM2" i="27"/>
  <c r="R2" i="27"/>
  <c r="BN2" i="27"/>
  <c r="BZ2" i="27"/>
  <c r="AD2" i="27"/>
  <c r="CL2" i="27"/>
  <c r="BW2" i="27"/>
  <c r="CI2" i="27"/>
  <c r="AE2" i="27"/>
  <c r="CA2" i="27"/>
  <c r="S2" i="27"/>
  <c r="BD2" i="27"/>
  <c r="G2" i="27"/>
  <c r="AR2" i="27"/>
  <c r="BO2" i="27"/>
  <c r="CM2" i="27"/>
  <c r="H2" i="27"/>
  <c r="Y2" i="27"/>
  <c r="AV2" i="27"/>
  <c r="BQ2" i="27"/>
  <c r="CH2" i="27"/>
  <c r="I2" i="27"/>
  <c r="AH2" i="27"/>
  <c r="M2" i="27"/>
  <c r="BV2" i="27"/>
  <c r="N2" i="27"/>
  <c r="AJ2" i="27"/>
  <c r="BF2" i="27"/>
  <c r="CB2" i="27"/>
  <c r="CS2" i="27"/>
  <c r="Z2" i="27"/>
  <c r="AW2" i="27"/>
  <c r="BR2" i="27"/>
  <c r="CN2" i="27"/>
  <c r="BU2" i="27"/>
  <c r="J2" i="27"/>
  <c r="AF2" i="27"/>
  <c r="AX2" i="27"/>
  <c r="BS2" i="27"/>
  <c r="CO2" i="27"/>
  <c r="BE2" i="27"/>
  <c r="CR2" i="27"/>
  <c r="K2" i="27"/>
  <c r="AG2" i="27"/>
  <c r="AY2" i="27"/>
  <c r="BT2" i="27"/>
  <c r="CP2" i="27"/>
  <c r="L2" i="27"/>
  <c r="CQ2" i="27"/>
  <c r="AI2" i="27"/>
  <c r="T2" i="27"/>
  <c r="BI2" i="27"/>
  <c r="U2" i="27"/>
  <c r="BJ2" i="27"/>
  <c r="V2" i="27"/>
  <c r="BP2" i="27"/>
  <c r="CG2" i="27"/>
  <c r="CT2" i="27"/>
  <c r="W2" i="27"/>
  <c r="CC2" i="27"/>
  <c r="X2" i="27"/>
  <c r="CD2" i="27"/>
  <c r="AK2" i="27"/>
  <c r="CE2" i="27"/>
  <c r="AL2" i="27"/>
  <c r="CF2" i="27"/>
  <c r="AS2" i="27"/>
  <c r="AT2" i="27"/>
  <c r="AU2" i="27"/>
  <c r="BG2" i="27"/>
  <c r="BH2" i="27"/>
  <c r="CJ2" i="27"/>
  <c r="AZ2" i="27"/>
  <c r="BK2" i="27"/>
  <c r="E2" i="27"/>
  <c r="CU2" i="27"/>
  <c r="D2" i="27"/>
  <c r="AC2" i="27"/>
  <c r="AM2" i="27"/>
  <c r="CV2" i="27"/>
  <c r="P2" i="27"/>
  <c r="AO2" i="27"/>
  <c r="O576" i="21"/>
  <c r="O634" i="21"/>
  <c r="O935" i="21"/>
  <c r="O147" i="21"/>
  <c r="AD82" i="4" l="1"/>
  <c r="AD78" i="4"/>
  <c r="AD77" i="4"/>
  <c r="AD75" i="4"/>
  <c r="AD74" i="4"/>
  <c r="AD73" i="4"/>
  <c r="AD71" i="4"/>
  <c r="AD70" i="4"/>
  <c r="AD67" i="4"/>
  <c r="AD66" i="4"/>
  <c r="AD62" i="4"/>
  <c r="AD61" i="4"/>
  <c r="AD58" i="4"/>
  <c r="AD56" i="4"/>
  <c r="AD55" i="4"/>
  <c r="AD53" i="4"/>
  <c r="AD51" i="4"/>
  <c r="AD49" i="4"/>
  <c r="AD48" i="4"/>
  <c r="AD43" i="4"/>
  <c r="AD41" i="4"/>
  <c r="AD38" i="4"/>
  <c r="AD37" i="4"/>
  <c r="AD32" i="4"/>
  <c r="AH82" i="4"/>
  <c r="AH78" i="4"/>
  <c r="AH77" i="4"/>
  <c r="AH75" i="4"/>
  <c r="AH74" i="4"/>
  <c r="AH73" i="4"/>
  <c r="AH71" i="4"/>
  <c r="AH70" i="4"/>
  <c r="AH67" i="4"/>
  <c r="AH66" i="4"/>
  <c r="AH62" i="4"/>
  <c r="AH61" i="4"/>
  <c r="AG82" i="4"/>
  <c r="AG78" i="4"/>
  <c r="AG77" i="4"/>
  <c r="AG75" i="4"/>
  <c r="AG74" i="4"/>
  <c r="AG73" i="4"/>
  <c r="AG71" i="4"/>
  <c r="AG70" i="4"/>
  <c r="AG67" i="4"/>
  <c r="AF6" i="4"/>
  <c r="AB6" i="4"/>
  <c r="Z9" i="4"/>
  <c r="Z8" i="4"/>
  <c r="Z7" i="4"/>
  <c r="AI82" i="4"/>
  <c r="AI78" i="4"/>
  <c r="AI77" i="4"/>
  <c r="AI75" i="4"/>
  <c r="AI74" i="4"/>
  <c r="AI73" i="4"/>
  <c r="AI71" i="4"/>
  <c r="AI70" i="4"/>
  <c r="AI67" i="4"/>
  <c r="AI66" i="4"/>
  <c r="AI62" i="4"/>
  <c r="AI61" i="4"/>
  <c r="AI58" i="4"/>
  <c r="AI56" i="4"/>
  <c r="AI55" i="4"/>
  <c r="AI53" i="4"/>
  <c r="AI51" i="4"/>
  <c r="AI49" i="4"/>
  <c r="AI48" i="4"/>
  <c r="AI43" i="4"/>
  <c r="AI41" i="4"/>
  <c r="AI38" i="4"/>
  <c r="AI37" i="4"/>
  <c r="AI32" i="4"/>
  <c r="AI31" i="4"/>
  <c r="AI28" i="4"/>
  <c r="AA78" i="4"/>
  <c r="AA77" i="4"/>
  <c r="AA75" i="4"/>
  <c r="AA74" i="4"/>
  <c r="AA73" i="4"/>
  <c r="AA71" i="4"/>
  <c r="AA70" i="4"/>
  <c r="AA67" i="4"/>
  <c r="AA66" i="4"/>
  <c r="AA62" i="4"/>
  <c r="AA61" i="4"/>
  <c r="AA58" i="4"/>
  <c r="AA56" i="4"/>
  <c r="AA55" i="4"/>
  <c r="AA53" i="4"/>
  <c r="AA51" i="4"/>
  <c r="AA49" i="4"/>
  <c r="AB49" i="4"/>
  <c r="AB48" i="4"/>
  <c r="AA48" i="4"/>
  <c r="AA43" i="4"/>
  <c r="AB41" i="4"/>
  <c r="AA41" i="4"/>
  <c r="AB38" i="4"/>
  <c r="AA38" i="4"/>
  <c r="AB37" i="4"/>
  <c r="AA37" i="4"/>
  <c r="AB32" i="4"/>
  <c r="AA32" i="4"/>
  <c r="AB31" i="4"/>
  <c r="AA31" i="4"/>
  <c r="AA28" i="4"/>
  <c r="AD28" i="4"/>
  <c r="AD31" i="4"/>
  <c r="R18" i="4"/>
  <c r="S12" i="4"/>
  <c r="T12" i="4"/>
  <c r="U12" i="4"/>
  <c r="V12" i="4"/>
  <c r="W12" i="4"/>
  <c r="X12" i="4"/>
  <c r="Y12" i="4"/>
  <c r="Z12" i="4"/>
  <c r="AA12" i="4"/>
  <c r="AB12" i="4"/>
  <c r="AC12" i="4"/>
  <c r="AD12" i="4"/>
  <c r="AE12" i="4"/>
  <c r="AF12" i="4"/>
  <c r="AG12" i="4"/>
  <c r="AH12" i="4"/>
  <c r="AI12" i="4"/>
  <c r="AJ12" i="4"/>
  <c r="AK12" i="4"/>
  <c r="AL12" i="4"/>
  <c r="AM12" i="4"/>
  <c r="AN12" i="4"/>
  <c r="AO12" i="4"/>
  <c r="AP12" i="4"/>
  <c r="AQ12" i="4"/>
  <c r="AR12" i="4"/>
  <c r="AS12" i="4"/>
  <c r="AT12" i="4"/>
  <c r="AU12" i="4"/>
  <c r="AV12" i="4"/>
  <c r="AW12" i="4"/>
  <c r="AX12" i="4"/>
  <c r="AY12" i="4"/>
  <c r="AZ12" i="4"/>
  <c r="BA12" i="4"/>
  <c r="BB12" i="4"/>
  <c r="BC12" i="4"/>
  <c r="BD12" i="4"/>
  <c r="BE12" i="4"/>
  <c r="BF12" i="4"/>
  <c r="BG12" i="4"/>
  <c r="BH12" i="4"/>
  <c r="BJ12" i="4"/>
  <c r="BK12" i="4"/>
  <c r="BL12" i="4"/>
  <c r="BM12" i="4"/>
  <c r="BN12" i="4"/>
  <c r="BO12" i="4"/>
  <c r="BP12" i="4"/>
  <c r="BQ12" i="4"/>
  <c r="BR12" i="4"/>
  <c r="BS12" i="4"/>
  <c r="BT12" i="4"/>
  <c r="S13" i="4"/>
  <c r="T13" i="4"/>
  <c r="U13" i="4"/>
  <c r="V13" i="4"/>
  <c r="W13" i="4"/>
  <c r="X13" i="4"/>
  <c r="Y13" i="4"/>
  <c r="Z13" i="4"/>
  <c r="AA13" i="4"/>
  <c r="AB13" i="4"/>
  <c r="AC13" i="4"/>
  <c r="AD13" i="4"/>
  <c r="AE13" i="4"/>
  <c r="AF13" i="4"/>
  <c r="AG13" i="4"/>
  <c r="AH13" i="4"/>
  <c r="AI13" i="4"/>
  <c r="AJ13" i="4"/>
  <c r="AK13" i="4"/>
  <c r="AL13" i="4"/>
  <c r="AM13" i="4"/>
  <c r="AN13" i="4"/>
  <c r="AO13" i="4"/>
  <c r="AP13" i="4"/>
  <c r="AQ13" i="4"/>
  <c r="AR13" i="4"/>
  <c r="AS13" i="4"/>
  <c r="AT13" i="4"/>
  <c r="AU13" i="4"/>
  <c r="AV13" i="4"/>
  <c r="AW13" i="4"/>
  <c r="AX13" i="4"/>
  <c r="AY13" i="4"/>
  <c r="AZ13" i="4"/>
  <c r="BA13" i="4"/>
  <c r="BB13" i="4"/>
  <c r="BC13" i="4"/>
  <c r="BD13" i="4"/>
  <c r="BE13" i="4"/>
  <c r="BF13" i="4"/>
  <c r="BG13" i="4"/>
  <c r="BH13" i="4"/>
  <c r="BJ13" i="4"/>
  <c r="BK13" i="4"/>
  <c r="BL13" i="4"/>
  <c r="BM13" i="4"/>
  <c r="BN13" i="4"/>
  <c r="BO13" i="4"/>
  <c r="BP13" i="4"/>
  <c r="BQ13" i="4"/>
  <c r="BR13" i="4"/>
  <c r="BS13" i="4"/>
  <c r="BT13" i="4"/>
  <c r="S14" i="4"/>
  <c r="T14" i="4"/>
  <c r="U14" i="4"/>
  <c r="V14" i="4"/>
  <c r="W14" i="4"/>
  <c r="X14" i="4"/>
  <c r="Y14" i="4"/>
  <c r="Z14" i="4"/>
  <c r="AA14" i="4"/>
  <c r="AB14" i="4"/>
  <c r="AC14" i="4"/>
  <c r="AD14" i="4"/>
  <c r="AE14" i="4"/>
  <c r="AF14" i="4"/>
  <c r="AG14" i="4"/>
  <c r="AH14" i="4"/>
  <c r="AI14" i="4"/>
  <c r="AJ14" i="4"/>
  <c r="AK14" i="4"/>
  <c r="AL14" i="4"/>
  <c r="AM14" i="4"/>
  <c r="AN14" i="4"/>
  <c r="AO14" i="4"/>
  <c r="AP14" i="4"/>
  <c r="AQ14" i="4"/>
  <c r="AR14" i="4"/>
  <c r="AS14" i="4"/>
  <c r="AT14" i="4"/>
  <c r="AU14" i="4"/>
  <c r="AV14" i="4"/>
  <c r="AW14" i="4"/>
  <c r="AX14" i="4"/>
  <c r="AY14" i="4"/>
  <c r="AZ14" i="4"/>
  <c r="BA14" i="4"/>
  <c r="BB14" i="4"/>
  <c r="BC14" i="4"/>
  <c r="BD14" i="4"/>
  <c r="BE14" i="4"/>
  <c r="BF14" i="4"/>
  <c r="BG14" i="4"/>
  <c r="BH14" i="4"/>
  <c r="BJ14" i="4"/>
  <c r="BK14" i="4"/>
  <c r="BL14" i="4"/>
  <c r="BM14" i="4"/>
  <c r="BN14" i="4"/>
  <c r="BO14" i="4"/>
  <c r="BP14" i="4"/>
  <c r="BQ14" i="4"/>
  <c r="BR14" i="4"/>
  <c r="BS14" i="4"/>
  <c r="BT14" i="4"/>
  <c r="S15" i="4"/>
  <c r="T15" i="4"/>
  <c r="U15" i="4"/>
  <c r="V15" i="4"/>
  <c r="W15" i="4"/>
  <c r="X15" i="4"/>
  <c r="Y15" i="4"/>
  <c r="Z15" i="4"/>
  <c r="AA15" i="4"/>
  <c r="AB15" i="4"/>
  <c r="AC15" i="4"/>
  <c r="AD15" i="4"/>
  <c r="AE15" i="4"/>
  <c r="AF15" i="4"/>
  <c r="AG15" i="4"/>
  <c r="AH15" i="4"/>
  <c r="AI15" i="4"/>
  <c r="AJ15" i="4"/>
  <c r="AK15" i="4"/>
  <c r="AL15" i="4"/>
  <c r="AM15" i="4"/>
  <c r="AN15" i="4"/>
  <c r="AO15" i="4"/>
  <c r="AP15" i="4"/>
  <c r="AQ15" i="4"/>
  <c r="AR15" i="4"/>
  <c r="AS15" i="4"/>
  <c r="AT15" i="4"/>
  <c r="AU15" i="4"/>
  <c r="AV15" i="4"/>
  <c r="AW15" i="4"/>
  <c r="AX15" i="4"/>
  <c r="AY15" i="4"/>
  <c r="AZ15" i="4"/>
  <c r="BA15" i="4"/>
  <c r="BB15" i="4"/>
  <c r="BC15" i="4"/>
  <c r="BD15" i="4"/>
  <c r="BE15" i="4"/>
  <c r="BF15" i="4"/>
  <c r="BG15" i="4"/>
  <c r="BH15" i="4"/>
  <c r="BJ15" i="4"/>
  <c r="BK15" i="4"/>
  <c r="BL15" i="4"/>
  <c r="BM15" i="4"/>
  <c r="BN15" i="4"/>
  <c r="BO15" i="4"/>
  <c r="BP15" i="4"/>
  <c r="BQ15" i="4"/>
  <c r="BR15" i="4"/>
  <c r="BS15" i="4"/>
  <c r="BT15" i="4"/>
  <c r="S10" i="4"/>
  <c r="R15" i="4"/>
  <c r="R14" i="4"/>
  <c r="R12" i="4"/>
  <c r="R11" i="4"/>
  <c r="R10" i="4"/>
  <c r="Z17" i="4"/>
  <c r="Z18" i="4"/>
  <c r="Y17" i="4"/>
  <c r="Y18" i="4"/>
  <c r="Y23" i="4"/>
  <c r="Y21" i="4"/>
  <c r="AG6" i="4"/>
  <c r="AH6" i="4"/>
  <c r="AI6" i="4"/>
  <c r="X9" i="4"/>
  <c r="X8" i="4"/>
  <c r="X7" i="4"/>
  <c r="AD6" i="4"/>
  <c r="AA6" i="4"/>
  <c r="Q67" i="4"/>
  <c r="AD54" i="4"/>
  <c r="AD59" i="4"/>
  <c r="AD60" i="4"/>
  <c r="AD63" i="4"/>
  <c r="AD64" i="4"/>
  <c r="AD65" i="4"/>
  <c r="AD68" i="4"/>
  <c r="AD72" i="4"/>
  <c r="AD76" i="4"/>
  <c r="W6" i="4"/>
  <c r="X6" i="4"/>
  <c r="Y6" i="4"/>
  <c r="Z6" i="4"/>
  <c r="AJ6" i="4"/>
  <c r="AK6" i="4"/>
  <c r="AE6" i="4"/>
  <c r="R41" i="4"/>
  <c r="R30" i="4"/>
  <c r="R31" i="4"/>
  <c r="R32" i="4"/>
  <c r="R33" i="4"/>
  <c r="R34" i="4"/>
  <c r="R35" i="4"/>
  <c r="R36" i="4"/>
  <c r="R37" i="4"/>
  <c r="R38" i="4"/>
  <c r="R39" i="4"/>
  <c r="R40"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28" i="4"/>
  <c r="G67" i="4" l="1"/>
  <c r="P70" i="4" l="1"/>
  <c r="O70" i="4"/>
  <c r="N70" i="4"/>
  <c r="P69" i="4"/>
  <c r="O69" i="4"/>
  <c r="N69" i="4"/>
  <c r="P67" i="4"/>
  <c r="O67" i="4"/>
  <c r="N67" i="4"/>
  <c r="P41" i="4" l="1"/>
  <c r="O41" i="4"/>
  <c r="N41" i="4"/>
  <c r="L41" i="4"/>
  <c r="J41" i="4"/>
  <c r="I41" i="4"/>
  <c r="H41" i="4"/>
  <c r="G41" i="4"/>
  <c r="F41" i="4"/>
  <c r="AA83" i="4"/>
  <c r="AA82" i="4"/>
  <c r="AA81" i="4"/>
  <c r="AA80" i="4"/>
  <c r="AA79" i="4"/>
  <c r="AA76" i="4"/>
  <c r="AA72" i="4"/>
  <c r="AA68" i="4"/>
  <c r="AA65" i="4"/>
  <c r="AA64" i="4"/>
  <c r="AA63" i="4"/>
  <c r="AA60" i="4"/>
  <c r="AA59" i="4"/>
  <c r="AA54" i="4"/>
  <c r="AA47" i="4"/>
  <c r="AA46" i="4"/>
  <c r="AA45" i="4"/>
  <c r="AA42" i="4"/>
  <c r="AA40" i="4"/>
  <c r="AA36" i="4"/>
  <c r="AA35" i="4"/>
  <c r="AA34" i="4"/>
  <c r="AA33" i="4"/>
  <c r="AA30" i="4"/>
  <c r="AA29" i="4"/>
  <c r="AC83" i="4"/>
  <c r="AC82" i="4"/>
  <c r="AC81" i="4"/>
  <c r="AC80" i="4"/>
  <c r="AC79" i="4"/>
  <c r="AC78" i="4"/>
  <c r="AC77" i="4"/>
  <c r="AC76" i="4"/>
  <c r="AC75" i="4"/>
  <c r="AC74" i="4"/>
  <c r="AC73" i="4"/>
  <c r="AC72" i="4"/>
  <c r="AC71" i="4"/>
  <c r="AC70" i="4"/>
  <c r="AC68" i="4"/>
  <c r="AC67" i="4"/>
  <c r="AC66" i="4"/>
  <c r="AC65" i="4"/>
  <c r="AC64" i="4"/>
  <c r="AC63" i="4"/>
  <c r="AC62" i="4"/>
  <c r="AC61" i="4"/>
  <c r="AC60" i="4"/>
  <c r="AC59" i="4"/>
  <c r="AC58" i="4"/>
  <c r="AC56" i="4"/>
  <c r="AC55" i="4"/>
  <c r="AC54" i="4"/>
  <c r="AC53" i="4"/>
  <c r="AC51" i="4"/>
  <c r="AC49" i="4"/>
  <c r="AC48" i="4"/>
  <c r="AC47" i="4"/>
  <c r="AC46" i="4"/>
  <c r="AC45" i="4"/>
  <c r="AC43" i="4"/>
  <c r="AC42" i="4"/>
  <c r="AC41" i="4"/>
  <c r="AC40" i="4"/>
  <c r="AC38" i="4"/>
  <c r="AC37" i="4"/>
  <c r="AC36" i="4"/>
  <c r="AC35" i="4"/>
  <c r="AC34" i="4"/>
  <c r="AC33" i="4"/>
  <c r="AC32" i="4"/>
  <c r="AC31" i="4"/>
  <c r="AC30" i="4"/>
  <c r="AC29" i="4"/>
  <c r="AC28" i="4"/>
  <c r="AE83" i="4"/>
  <c r="AE82" i="4"/>
  <c r="AE81" i="4"/>
  <c r="AE80" i="4"/>
  <c r="AE79" i="4"/>
  <c r="AE78" i="4"/>
  <c r="AE77" i="4"/>
  <c r="AE76" i="4"/>
  <c r="AE75" i="4"/>
  <c r="AE74" i="4"/>
  <c r="AE73" i="4"/>
  <c r="AE72" i="4"/>
  <c r="AE71" i="4"/>
  <c r="AE70" i="4"/>
  <c r="AE68" i="4"/>
  <c r="AE67" i="4"/>
  <c r="AE66" i="4"/>
  <c r="AE65" i="4"/>
  <c r="AE64" i="4"/>
  <c r="AE63" i="4"/>
  <c r="AE62" i="4"/>
  <c r="AE61" i="4"/>
  <c r="AE60" i="4"/>
  <c r="AE59" i="4"/>
  <c r="AE58" i="4"/>
  <c r="AE56" i="4"/>
  <c r="AE55" i="4"/>
  <c r="AE54" i="4"/>
  <c r="AE53" i="4"/>
  <c r="AE51" i="4"/>
  <c r="AE49" i="4"/>
  <c r="AE48" i="4"/>
  <c r="AE47" i="4"/>
  <c r="AE46" i="4"/>
  <c r="AE45" i="4"/>
  <c r="AE43" i="4"/>
  <c r="AE42" i="4"/>
  <c r="AE41" i="4"/>
  <c r="AE40" i="4"/>
  <c r="AE38" i="4"/>
  <c r="AE37" i="4"/>
  <c r="AE36" i="4"/>
  <c r="AE35" i="4"/>
  <c r="AE34" i="4"/>
  <c r="AE33" i="4"/>
  <c r="AE32" i="4"/>
  <c r="AE31" i="4"/>
  <c r="AE30" i="4"/>
  <c r="AE29" i="4"/>
  <c r="AE28" i="4"/>
  <c r="Z31" i="4"/>
  <c r="AF31" i="4"/>
  <c r="AG31" i="4"/>
  <c r="AH31" i="4"/>
  <c r="AJ31" i="4"/>
  <c r="AK31" i="4"/>
  <c r="AL31" i="4"/>
  <c r="AM31" i="4"/>
  <c r="AN31" i="4"/>
  <c r="AO31" i="4"/>
  <c r="AP31" i="4"/>
  <c r="Z32" i="4"/>
  <c r="AF32" i="4"/>
  <c r="AG32" i="4"/>
  <c r="AH32" i="4"/>
  <c r="AJ32" i="4"/>
  <c r="AK32" i="4"/>
  <c r="AL32" i="4"/>
  <c r="AM32" i="4"/>
  <c r="AN32" i="4"/>
  <c r="AO32" i="4"/>
  <c r="AP32" i="4"/>
  <c r="Z37" i="4"/>
  <c r="AF37" i="4"/>
  <c r="AG37" i="4"/>
  <c r="AH37" i="4"/>
  <c r="AJ37" i="4"/>
  <c r="AK37" i="4"/>
  <c r="AL37" i="4"/>
  <c r="AM37" i="4"/>
  <c r="AN37" i="4"/>
  <c r="AO37" i="4"/>
  <c r="AP37" i="4"/>
  <c r="Z38" i="4"/>
  <c r="AF38" i="4"/>
  <c r="AG38" i="4"/>
  <c r="AH38" i="4"/>
  <c r="AJ38" i="4"/>
  <c r="AK38" i="4"/>
  <c r="AL38" i="4"/>
  <c r="AM38" i="4"/>
  <c r="AN38" i="4"/>
  <c r="AO38" i="4"/>
  <c r="AP38" i="4"/>
  <c r="AM39" i="4"/>
  <c r="AN39" i="4"/>
  <c r="AO39" i="4"/>
  <c r="AP39" i="4"/>
  <c r="Z41" i="4"/>
  <c r="AF41" i="4"/>
  <c r="AG41" i="4"/>
  <c r="AH41" i="4"/>
  <c r="AJ41" i="4"/>
  <c r="AK41" i="4"/>
  <c r="AL41" i="4"/>
  <c r="AM41" i="4"/>
  <c r="AN41" i="4"/>
  <c r="AO41" i="4"/>
  <c r="AP41" i="4"/>
  <c r="Z43" i="4"/>
  <c r="AF43" i="4"/>
  <c r="AG43" i="4"/>
  <c r="AH43" i="4"/>
  <c r="AJ43" i="4"/>
  <c r="AK43" i="4"/>
  <c r="AL43" i="4"/>
  <c r="AM43" i="4"/>
  <c r="AN43" i="4"/>
  <c r="AO43" i="4"/>
  <c r="AP43" i="4"/>
  <c r="AN44" i="4"/>
  <c r="AO44" i="4"/>
  <c r="AP44" i="4"/>
  <c r="Z48" i="4"/>
  <c r="AF48" i="4"/>
  <c r="AG48" i="4"/>
  <c r="AH48" i="4"/>
  <c r="AJ48" i="4"/>
  <c r="AK48" i="4"/>
  <c r="AL48" i="4"/>
  <c r="AM48" i="4"/>
  <c r="AN48" i="4"/>
  <c r="AO48" i="4"/>
  <c r="AP48" i="4"/>
  <c r="Z49" i="4"/>
  <c r="AF49" i="4"/>
  <c r="AG49" i="4"/>
  <c r="AH49" i="4"/>
  <c r="AJ49" i="4"/>
  <c r="AK49" i="4"/>
  <c r="AL49" i="4"/>
  <c r="AM49" i="4"/>
  <c r="AN49" i="4"/>
  <c r="AO49" i="4"/>
  <c r="AP49" i="4"/>
  <c r="AO50" i="4"/>
  <c r="AP50" i="4"/>
  <c r="Z51" i="4"/>
  <c r="AB51" i="4"/>
  <c r="AF51" i="4"/>
  <c r="AG51" i="4"/>
  <c r="AH51" i="4"/>
  <c r="AJ51" i="4"/>
  <c r="AK51" i="4"/>
  <c r="AL51" i="4"/>
  <c r="AM51" i="4"/>
  <c r="AN51" i="4"/>
  <c r="AO51" i="4"/>
  <c r="AP51" i="4"/>
  <c r="AO52" i="4"/>
  <c r="AP52" i="4"/>
  <c r="Z53" i="4"/>
  <c r="AB53" i="4"/>
  <c r="AF53" i="4"/>
  <c r="AG53" i="4"/>
  <c r="AH53" i="4"/>
  <c r="AJ53" i="4"/>
  <c r="AK53" i="4"/>
  <c r="AL53" i="4"/>
  <c r="AM53" i="4"/>
  <c r="AN53" i="4"/>
  <c r="AO53" i="4"/>
  <c r="AP53" i="4"/>
  <c r="Z55" i="4"/>
  <c r="AB55" i="4"/>
  <c r="AF55" i="4"/>
  <c r="AG55" i="4"/>
  <c r="AH55" i="4"/>
  <c r="AJ55" i="4"/>
  <c r="AK55" i="4"/>
  <c r="AL55" i="4"/>
  <c r="AM55" i="4"/>
  <c r="AN55" i="4"/>
  <c r="AO55" i="4"/>
  <c r="AP55" i="4"/>
  <c r="Z56" i="4"/>
  <c r="AB56" i="4"/>
  <c r="AF56" i="4"/>
  <c r="AG56" i="4"/>
  <c r="AH56" i="4"/>
  <c r="AJ56" i="4"/>
  <c r="AK56" i="4"/>
  <c r="AL56" i="4"/>
  <c r="AM56" i="4"/>
  <c r="AN56" i="4"/>
  <c r="AO56" i="4"/>
  <c r="AP56" i="4"/>
  <c r="AO57" i="4"/>
  <c r="AP57" i="4"/>
  <c r="Z58" i="4"/>
  <c r="AB58" i="4"/>
  <c r="AF58" i="4"/>
  <c r="AG58" i="4"/>
  <c r="AH58" i="4"/>
  <c r="AJ58" i="4"/>
  <c r="AK58" i="4"/>
  <c r="AL58" i="4"/>
  <c r="AM58" i="4"/>
  <c r="AN58" i="4"/>
  <c r="AO58" i="4"/>
  <c r="AP58" i="4"/>
  <c r="Z61" i="4"/>
  <c r="AB61" i="4"/>
  <c r="AF61" i="4"/>
  <c r="AG61" i="4"/>
  <c r="AJ61" i="4"/>
  <c r="AK61" i="4"/>
  <c r="AL61" i="4"/>
  <c r="AM61" i="4"/>
  <c r="AN61" i="4"/>
  <c r="AO61" i="4"/>
  <c r="AP61" i="4"/>
  <c r="Z62" i="4"/>
  <c r="AB62" i="4"/>
  <c r="AF62" i="4"/>
  <c r="AG62" i="4"/>
  <c r="AJ62" i="4"/>
  <c r="AK62" i="4"/>
  <c r="AL62" i="4"/>
  <c r="AM62" i="4"/>
  <c r="AN62" i="4"/>
  <c r="AO62" i="4"/>
  <c r="AP62" i="4"/>
  <c r="Z66" i="4"/>
  <c r="AB66" i="4"/>
  <c r="AF66" i="4"/>
  <c r="AG66" i="4"/>
  <c r="AJ66" i="4"/>
  <c r="AK66" i="4"/>
  <c r="AL66" i="4"/>
  <c r="AM66" i="4"/>
  <c r="AN66" i="4"/>
  <c r="AO66" i="4"/>
  <c r="AP66" i="4"/>
  <c r="Z67" i="4"/>
  <c r="AF67" i="4"/>
  <c r="AJ67" i="4"/>
  <c r="AK67" i="4"/>
  <c r="AL67" i="4"/>
  <c r="AM67" i="4"/>
  <c r="AN67" i="4"/>
  <c r="AO67" i="4"/>
  <c r="AP67" i="4"/>
  <c r="Z70" i="4"/>
  <c r="AB70" i="4"/>
  <c r="AF70" i="4"/>
  <c r="AJ70" i="4"/>
  <c r="AK70" i="4"/>
  <c r="AL70" i="4"/>
  <c r="AM70" i="4"/>
  <c r="AN70" i="4"/>
  <c r="AO70" i="4"/>
  <c r="AP70" i="4"/>
  <c r="Z71" i="4"/>
  <c r="AB71" i="4"/>
  <c r="AF71" i="4"/>
  <c r="AJ71" i="4"/>
  <c r="AK71" i="4"/>
  <c r="AL71" i="4"/>
  <c r="AM71" i="4"/>
  <c r="AN71" i="4"/>
  <c r="AO71" i="4"/>
  <c r="AP71" i="4"/>
  <c r="Z73" i="4"/>
  <c r="AB73" i="4"/>
  <c r="AF73" i="4"/>
  <c r="AJ73" i="4"/>
  <c r="AK73" i="4"/>
  <c r="AL73" i="4"/>
  <c r="AM73" i="4"/>
  <c r="AN73" i="4"/>
  <c r="AO73" i="4"/>
  <c r="AP73" i="4"/>
  <c r="Z74" i="4"/>
  <c r="AB74" i="4"/>
  <c r="AF74" i="4"/>
  <c r="AJ74" i="4"/>
  <c r="AK74" i="4"/>
  <c r="AL74" i="4"/>
  <c r="AM74" i="4"/>
  <c r="AN74" i="4"/>
  <c r="AO74" i="4"/>
  <c r="AP74" i="4"/>
  <c r="Z75" i="4"/>
  <c r="AF75" i="4"/>
  <c r="AJ75" i="4"/>
  <c r="AK75" i="4"/>
  <c r="AL75" i="4"/>
  <c r="AM75" i="4"/>
  <c r="AN75" i="4"/>
  <c r="AO75" i="4"/>
  <c r="AP75" i="4"/>
  <c r="AB28" i="4"/>
  <c r="AB77" i="4"/>
  <c r="L82" i="4" l="1"/>
  <c r="L78" i="4"/>
  <c r="L77" i="4"/>
  <c r="AE10" i="4" l="1"/>
  <c r="S24" i="4"/>
  <c r="T24" i="4"/>
  <c r="U24" i="4"/>
  <c r="V24" i="4"/>
  <c r="W24" i="4"/>
  <c r="X24" i="4"/>
  <c r="Y24" i="4"/>
  <c r="Z24" i="4"/>
  <c r="AA24" i="4"/>
  <c r="AB24" i="4"/>
  <c r="AC24" i="4"/>
  <c r="AD24" i="4"/>
  <c r="AE24" i="4"/>
  <c r="AF24" i="4"/>
  <c r="AG24" i="4"/>
  <c r="AH24" i="4"/>
  <c r="AI24" i="4"/>
  <c r="AJ24" i="4"/>
  <c r="AK24" i="4"/>
  <c r="AL24" i="4"/>
  <c r="AM24" i="4"/>
  <c r="AN24" i="4"/>
  <c r="AO24" i="4"/>
  <c r="AP24" i="4"/>
  <c r="AQ24" i="4"/>
  <c r="AR24" i="4"/>
  <c r="AS24" i="4"/>
  <c r="AT24" i="4"/>
  <c r="AU24" i="4"/>
  <c r="AV24" i="4"/>
  <c r="AW24" i="4"/>
  <c r="AX24" i="4"/>
  <c r="AY24" i="4"/>
  <c r="AZ24" i="4"/>
  <c r="BA24" i="4"/>
  <c r="BB24" i="4"/>
  <c r="BC24" i="4"/>
  <c r="BD24" i="4"/>
  <c r="BE24" i="4"/>
  <c r="BF24" i="4"/>
  <c r="BG24" i="4"/>
  <c r="BH24" i="4"/>
  <c r="BI24" i="4"/>
  <c r="BJ24" i="4"/>
  <c r="BK24" i="4"/>
  <c r="BL24" i="4"/>
  <c r="BM24" i="4"/>
  <c r="BN24" i="4"/>
  <c r="BO24" i="4"/>
  <c r="BP24" i="4"/>
  <c r="BQ24" i="4"/>
  <c r="BR24" i="4"/>
  <c r="BS24" i="4"/>
  <c r="BT24" i="4"/>
  <c r="R24" i="4"/>
  <c r="Y9" i="4"/>
  <c r="Y8" i="4"/>
  <c r="W18" i="4"/>
  <c r="X18" i="4"/>
  <c r="AA18" i="4"/>
  <c r="AB18" i="4"/>
  <c r="AC18" i="4"/>
  <c r="W19" i="4"/>
  <c r="X19" i="4"/>
  <c r="Y19" i="4"/>
  <c r="Z19" i="4"/>
  <c r="AA19" i="4"/>
  <c r="AB19" i="4"/>
  <c r="AC19" i="4"/>
  <c r="W20" i="4"/>
  <c r="X20" i="4"/>
  <c r="Y20" i="4"/>
  <c r="Z20" i="4"/>
  <c r="AA20" i="4"/>
  <c r="AB20" i="4"/>
  <c r="AC20" i="4"/>
  <c r="W21" i="4"/>
  <c r="X21" i="4"/>
  <c r="Z21" i="4"/>
  <c r="AA21" i="4"/>
  <c r="AB21" i="4"/>
  <c r="AC21" i="4"/>
  <c r="W22" i="4"/>
  <c r="X22" i="4"/>
  <c r="Y22" i="4"/>
  <c r="Z22" i="4"/>
  <c r="AA22" i="4"/>
  <c r="AB22" i="4"/>
  <c r="AC22" i="4"/>
  <c r="X17" i="4"/>
  <c r="X16" i="4"/>
  <c r="U16" i="4"/>
  <c r="V16" i="4"/>
  <c r="W16" i="4"/>
  <c r="Y16" i="4"/>
  <c r="Z16" i="4"/>
  <c r="AA16" i="4"/>
  <c r="AB16" i="4"/>
  <c r="AC16" i="4"/>
  <c r="U17" i="4"/>
  <c r="V17" i="4"/>
  <c r="W17" i="4"/>
  <c r="AA17" i="4"/>
  <c r="AB17" i="4"/>
  <c r="AC17" i="4"/>
  <c r="U18" i="4"/>
  <c r="V18" i="4"/>
  <c r="U19" i="4"/>
  <c r="V19" i="4"/>
  <c r="U20" i="4"/>
  <c r="V20" i="4"/>
  <c r="U21" i="4"/>
  <c r="V21" i="4"/>
  <c r="U22" i="4"/>
  <c r="V22" i="4"/>
  <c r="U23" i="4"/>
  <c r="V23" i="4"/>
  <c r="W23" i="4"/>
  <c r="X23" i="4"/>
  <c r="Z23" i="4"/>
  <c r="AA23" i="4"/>
  <c r="AB23" i="4"/>
  <c r="AC23" i="4"/>
  <c r="T18" i="4"/>
  <c r="T19" i="4"/>
  <c r="T20" i="4"/>
  <c r="T21" i="4"/>
  <c r="T22" i="4"/>
  <c r="T17" i="4"/>
  <c r="T16" i="4"/>
  <c r="S19" i="4"/>
  <c r="AD19" i="4"/>
  <c r="AE19" i="4"/>
  <c r="AF19" i="4"/>
  <c r="AG19" i="4"/>
  <c r="AH19" i="4"/>
  <c r="AI19" i="4"/>
  <c r="AJ19" i="4"/>
  <c r="AK19" i="4"/>
  <c r="AL19" i="4"/>
  <c r="AM19" i="4"/>
  <c r="AN19" i="4"/>
  <c r="AO19" i="4"/>
  <c r="AP19" i="4"/>
  <c r="AQ19" i="4"/>
  <c r="AR19" i="4"/>
  <c r="AS19" i="4"/>
  <c r="AT19" i="4"/>
  <c r="AU19" i="4"/>
  <c r="AV19" i="4"/>
  <c r="AW19" i="4"/>
  <c r="AX19" i="4"/>
  <c r="AY19" i="4"/>
  <c r="AZ19" i="4"/>
  <c r="BA19" i="4"/>
  <c r="BB19" i="4"/>
  <c r="BC19" i="4"/>
  <c r="BD19" i="4"/>
  <c r="BE19" i="4"/>
  <c r="BF19" i="4"/>
  <c r="BG19" i="4"/>
  <c r="BH19" i="4"/>
  <c r="BI19" i="4"/>
  <c r="BJ19" i="4"/>
  <c r="BK19" i="4"/>
  <c r="BL19" i="4"/>
  <c r="BM19" i="4"/>
  <c r="BN19" i="4"/>
  <c r="BO19" i="4"/>
  <c r="BP19" i="4"/>
  <c r="BQ19" i="4"/>
  <c r="BR19" i="4"/>
  <c r="BS19" i="4"/>
  <c r="BT19" i="4"/>
  <c r="S20" i="4"/>
  <c r="AD20" i="4"/>
  <c r="AE20" i="4"/>
  <c r="AF20" i="4"/>
  <c r="AG20" i="4"/>
  <c r="AH20" i="4"/>
  <c r="AI20" i="4"/>
  <c r="AJ20" i="4"/>
  <c r="AK20" i="4"/>
  <c r="AL20" i="4"/>
  <c r="AM20" i="4"/>
  <c r="AN20" i="4"/>
  <c r="AO20" i="4"/>
  <c r="AP20" i="4"/>
  <c r="AQ20" i="4"/>
  <c r="AR20" i="4"/>
  <c r="AS20" i="4"/>
  <c r="AT20" i="4"/>
  <c r="AU20" i="4"/>
  <c r="AV20" i="4"/>
  <c r="AW20" i="4"/>
  <c r="AX20" i="4"/>
  <c r="AY20" i="4"/>
  <c r="AZ20" i="4"/>
  <c r="BA20" i="4"/>
  <c r="BB20" i="4"/>
  <c r="BC20" i="4"/>
  <c r="BD20" i="4"/>
  <c r="BE20" i="4"/>
  <c r="BF20" i="4"/>
  <c r="BG20" i="4"/>
  <c r="BH20" i="4"/>
  <c r="BI20" i="4"/>
  <c r="BJ20" i="4"/>
  <c r="BK20" i="4"/>
  <c r="BL20" i="4"/>
  <c r="BM20" i="4"/>
  <c r="BN20" i="4"/>
  <c r="BO20" i="4"/>
  <c r="BP20" i="4"/>
  <c r="BQ20" i="4"/>
  <c r="BR20" i="4"/>
  <c r="BS20" i="4"/>
  <c r="BT20" i="4"/>
  <c r="R19" i="4"/>
  <c r="R20" i="4"/>
  <c r="R21" i="4"/>
  <c r="R22" i="4"/>
  <c r="R23" i="4"/>
  <c r="R17" i="4"/>
  <c r="R16" i="4"/>
  <c r="Y7" i="4"/>
  <c r="AA7" i="4"/>
  <c r="AB7" i="4"/>
  <c r="AA8" i="4"/>
  <c r="AB8" i="4"/>
  <c r="AA9" i="4"/>
  <c r="AB9" i="4"/>
  <c r="Q55" i="4"/>
  <c r="Q56" i="4"/>
  <c r="Q57" i="4"/>
  <c r="U40" i="4"/>
  <c r="V40" i="4"/>
  <c r="W40" i="4"/>
  <c r="X40" i="4"/>
  <c r="Y40" i="4"/>
  <c r="Z40" i="4"/>
  <c r="AB40" i="4"/>
  <c r="AD40" i="4"/>
  <c r="AF40" i="4"/>
  <c r="AG40" i="4"/>
  <c r="AH40" i="4"/>
  <c r="AI40" i="4"/>
  <c r="AJ40" i="4"/>
  <c r="AK40" i="4"/>
  <c r="AL40" i="4"/>
  <c r="AM40" i="4"/>
  <c r="AN40" i="4"/>
  <c r="AO40" i="4"/>
  <c r="AP40" i="4"/>
  <c r="AQ40" i="4"/>
  <c r="AR40" i="4"/>
  <c r="AS40" i="4"/>
  <c r="AT40" i="4"/>
  <c r="AU40" i="4"/>
  <c r="AV40" i="4"/>
  <c r="AW40" i="4"/>
  <c r="AX40" i="4"/>
  <c r="AY40" i="4"/>
  <c r="AZ40" i="4"/>
  <c r="BA40" i="4"/>
  <c r="BB40" i="4"/>
  <c r="BC40" i="4"/>
  <c r="BD40" i="4"/>
  <c r="BE40" i="4"/>
  <c r="BF40" i="4"/>
  <c r="BG40" i="4"/>
  <c r="BH40" i="4"/>
  <c r="BI40" i="4"/>
  <c r="BJ40" i="4"/>
  <c r="BK40" i="4"/>
  <c r="BL40" i="4"/>
  <c r="U41" i="4"/>
  <c r="V41" i="4"/>
  <c r="W41" i="4"/>
  <c r="X41" i="4"/>
  <c r="Y41" i="4"/>
  <c r="AQ41" i="4"/>
  <c r="AR41" i="4"/>
  <c r="AS41" i="4"/>
  <c r="AT41" i="4"/>
  <c r="AU41" i="4"/>
  <c r="AV41" i="4"/>
  <c r="AW41" i="4"/>
  <c r="AX41" i="4"/>
  <c r="AY41" i="4"/>
  <c r="AZ41" i="4"/>
  <c r="BA41" i="4"/>
  <c r="BB41" i="4"/>
  <c r="BC41" i="4"/>
  <c r="BD41" i="4"/>
  <c r="BE41" i="4"/>
  <c r="BF41" i="4"/>
  <c r="BG41" i="4"/>
  <c r="BH41" i="4"/>
  <c r="BI41" i="4"/>
  <c r="BJ41" i="4"/>
  <c r="BK41" i="4"/>
  <c r="BL41" i="4"/>
  <c r="U42" i="4"/>
  <c r="V42" i="4"/>
  <c r="W42" i="4"/>
  <c r="X42" i="4"/>
  <c r="Y42" i="4"/>
  <c r="Z42" i="4"/>
  <c r="AB42" i="4"/>
  <c r="AD42" i="4"/>
  <c r="AF42" i="4"/>
  <c r="AG42" i="4"/>
  <c r="AH42" i="4"/>
  <c r="AI42" i="4"/>
  <c r="AJ42" i="4"/>
  <c r="AK42" i="4"/>
  <c r="AL42" i="4"/>
  <c r="AM42" i="4"/>
  <c r="AN42" i="4"/>
  <c r="AO42" i="4"/>
  <c r="AP42" i="4"/>
  <c r="AQ42" i="4"/>
  <c r="AR42" i="4"/>
  <c r="AS42" i="4"/>
  <c r="AT42" i="4"/>
  <c r="AU42" i="4"/>
  <c r="AV42" i="4"/>
  <c r="AW42" i="4"/>
  <c r="AX42" i="4"/>
  <c r="AY42" i="4"/>
  <c r="AZ42" i="4"/>
  <c r="BA42" i="4"/>
  <c r="BB42" i="4"/>
  <c r="BC42" i="4"/>
  <c r="BD42" i="4"/>
  <c r="BE42" i="4"/>
  <c r="BF42" i="4"/>
  <c r="BG42" i="4"/>
  <c r="BH42" i="4"/>
  <c r="BI42" i="4"/>
  <c r="BJ42" i="4"/>
  <c r="BK42" i="4"/>
  <c r="BL42" i="4"/>
  <c r="U43" i="4"/>
  <c r="V43" i="4"/>
  <c r="W43" i="4"/>
  <c r="X43" i="4"/>
  <c r="Y43" i="4"/>
  <c r="AQ43" i="4"/>
  <c r="AR43" i="4"/>
  <c r="AS43" i="4"/>
  <c r="AT43" i="4"/>
  <c r="AU43" i="4"/>
  <c r="AV43" i="4"/>
  <c r="AW43" i="4"/>
  <c r="AX43" i="4"/>
  <c r="AY43" i="4"/>
  <c r="AZ43" i="4"/>
  <c r="BA43" i="4"/>
  <c r="BB43" i="4"/>
  <c r="BC43" i="4"/>
  <c r="BD43" i="4"/>
  <c r="BE43" i="4"/>
  <c r="BF43" i="4"/>
  <c r="BG43" i="4"/>
  <c r="BH43" i="4"/>
  <c r="BI43" i="4"/>
  <c r="BJ43" i="4"/>
  <c r="BK43" i="4"/>
  <c r="BL43" i="4"/>
  <c r="U44" i="4"/>
  <c r="V44" i="4"/>
  <c r="W44" i="4"/>
  <c r="AQ44" i="4"/>
  <c r="AR44" i="4"/>
  <c r="AS44" i="4"/>
  <c r="AT44" i="4"/>
  <c r="AU44" i="4"/>
  <c r="AV44" i="4"/>
  <c r="AW44" i="4"/>
  <c r="AX44" i="4"/>
  <c r="AY44" i="4"/>
  <c r="AZ44" i="4"/>
  <c r="BA44" i="4"/>
  <c r="BB44" i="4"/>
  <c r="BC44" i="4"/>
  <c r="BD44" i="4"/>
  <c r="BE44" i="4"/>
  <c r="BF44" i="4"/>
  <c r="BG44" i="4"/>
  <c r="BH44" i="4"/>
  <c r="BI44" i="4"/>
  <c r="BJ44" i="4"/>
  <c r="BK44" i="4"/>
  <c r="BL44" i="4"/>
  <c r="T29" i="4"/>
  <c r="U29" i="4"/>
  <c r="V29" i="4"/>
  <c r="W29" i="4"/>
  <c r="X29" i="4"/>
  <c r="Y29" i="4"/>
  <c r="Z29" i="4"/>
  <c r="AB29" i="4"/>
  <c r="AD29" i="4"/>
  <c r="AF29" i="4"/>
  <c r="AG29" i="4"/>
  <c r="AH29" i="4"/>
  <c r="AJ29" i="4"/>
  <c r="AK29" i="4"/>
  <c r="AL29" i="4"/>
  <c r="AM29" i="4"/>
  <c r="AN29" i="4"/>
  <c r="AO29" i="4"/>
  <c r="AP29" i="4"/>
  <c r="AQ29" i="4"/>
  <c r="AR29" i="4"/>
  <c r="AS29" i="4"/>
  <c r="AT29" i="4"/>
  <c r="AU29" i="4"/>
  <c r="AV29" i="4"/>
  <c r="AW29" i="4"/>
  <c r="AX29" i="4"/>
  <c r="AY29" i="4"/>
  <c r="AZ29" i="4"/>
  <c r="BA29" i="4"/>
  <c r="BB29" i="4"/>
  <c r="BC29" i="4"/>
  <c r="BD29" i="4"/>
  <c r="BE29" i="4"/>
  <c r="BF29" i="4"/>
  <c r="BG29" i="4"/>
  <c r="BH29" i="4"/>
  <c r="BI29" i="4"/>
  <c r="BJ29" i="4"/>
  <c r="BK29" i="4"/>
  <c r="BL29" i="4"/>
  <c r="BM29" i="4"/>
  <c r="BN29" i="4"/>
  <c r="BO29" i="4"/>
  <c r="BP29" i="4"/>
  <c r="BQ29" i="4"/>
  <c r="BR29" i="4"/>
  <c r="BS29" i="4"/>
  <c r="T30" i="4"/>
  <c r="U30" i="4"/>
  <c r="V30" i="4"/>
  <c r="W30" i="4"/>
  <c r="X30" i="4"/>
  <c r="Y30" i="4"/>
  <c r="Z30" i="4"/>
  <c r="AB30" i="4"/>
  <c r="AD30" i="4"/>
  <c r="AF30" i="4"/>
  <c r="AG30" i="4"/>
  <c r="AH30" i="4"/>
  <c r="AJ30" i="4"/>
  <c r="AK30" i="4"/>
  <c r="AL30" i="4"/>
  <c r="AM30" i="4"/>
  <c r="AN30" i="4"/>
  <c r="AO30" i="4"/>
  <c r="AP30" i="4"/>
  <c r="AQ30" i="4"/>
  <c r="AR30" i="4"/>
  <c r="AS30" i="4"/>
  <c r="AT30" i="4"/>
  <c r="AU30" i="4"/>
  <c r="AV30" i="4"/>
  <c r="AW30" i="4"/>
  <c r="AX30" i="4"/>
  <c r="AY30" i="4"/>
  <c r="AZ30" i="4"/>
  <c r="BA30" i="4"/>
  <c r="BB30" i="4"/>
  <c r="BC30" i="4"/>
  <c r="BD30" i="4"/>
  <c r="BE30" i="4"/>
  <c r="BF30" i="4"/>
  <c r="BG30" i="4"/>
  <c r="BH30" i="4"/>
  <c r="BI30" i="4"/>
  <c r="BJ30" i="4"/>
  <c r="BK30" i="4"/>
  <c r="BL30" i="4"/>
  <c r="BM30" i="4"/>
  <c r="BN30" i="4"/>
  <c r="BO30" i="4"/>
  <c r="BP30" i="4"/>
  <c r="BQ30" i="4"/>
  <c r="BR30" i="4"/>
  <c r="BS30" i="4"/>
  <c r="T31" i="4"/>
  <c r="U31" i="4"/>
  <c r="V31" i="4"/>
  <c r="W31" i="4"/>
  <c r="X31" i="4"/>
  <c r="Y31" i="4"/>
  <c r="AQ31" i="4"/>
  <c r="AR31" i="4"/>
  <c r="AS31" i="4"/>
  <c r="AT31" i="4"/>
  <c r="AU31" i="4"/>
  <c r="AV31" i="4"/>
  <c r="AW31" i="4"/>
  <c r="AX31" i="4"/>
  <c r="AY31" i="4"/>
  <c r="AZ31" i="4"/>
  <c r="BA31" i="4"/>
  <c r="BB31" i="4"/>
  <c r="BC31" i="4"/>
  <c r="BD31" i="4"/>
  <c r="BE31" i="4"/>
  <c r="BF31" i="4"/>
  <c r="BG31" i="4"/>
  <c r="BH31" i="4"/>
  <c r="BI31" i="4"/>
  <c r="BJ31" i="4"/>
  <c r="BK31" i="4"/>
  <c r="BL31" i="4"/>
  <c r="BM31" i="4"/>
  <c r="BN31" i="4"/>
  <c r="BO31" i="4"/>
  <c r="BP31" i="4"/>
  <c r="BQ31" i="4"/>
  <c r="BR31" i="4"/>
  <c r="BS31" i="4"/>
  <c r="T32" i="4"/>
  <c r="U32" i="4"/>
  <c r="V32" i="4"/>
  <c r="W32" i="4"/>
  <c r="X32" i="4"/>
  <c r="Y32" i="4"/>
  <c r="AQ32" i="4"/>
  <c r="AR32" i="4"/>
  <c r="AS32" i="4"/>
  <c r="AT32" i="4"/>
  <c r="AU32" i="4"/>
  <c r="AV32" i="4"/>
  <c r="AW32" i="4"/>
  <c r="AX32" i="4"/>
  <c r="AY32" i="4"/>
  <c r="AZ32" i="4"/>
  <c r="BA32" i="4"/>
  <c r="BB32" i="4"/>
  <c r="BC32" i="4"/>
  <c r="BD32" i="4"/>
  <c r="BE32" i="4"/>
  <c r="BF32" i="4"/>
  <c r="BG32" i="4"/>
  <c r="BH32" i="4"/>
  <c r="BI32" i="4"/>
  <c r="BJ32" i="4"/>
  <c r="BK32" i="4"/>
  <c r="BL32" i="4"/>
  <c r="BM32" i="4"/>
  <c r="BN32" i="4"/>
  <c r="BO32" i="4"/>
  <c r="BP32" i="4"/>
  <c r="BQ32" i="4"/>
  <c r="BR32" i="4"/>
  <c r="BS32" i="4"/>
  <c r="T33" i="4"/>
  <c r="U33" i="4"/>
  <c r="V33" i="4"/>
  <c r="W33" i="4"/>
  <c r="X33" i="4"/>
  <c r="Y33" i="4"/>
  <c r="Z33" i="4"/>
  <c r="AB33" i="4"/>
  <c r="AD33" i="4"/>
  <c r="AF33" i="4"/>
  <c r="AG33" i="4"/>
  <c r="AH33" i="4"/>
  <c r="AI33" i="4"/>
  <c r="AJ33" i="4"/>
  <c r="AK33" i="4"/>
  <c r="AL33" i="4"/>
  <c r="AM33" i="4"/>
  <c r="AN33" i="4"/>
  <c r="AO33" i="4"/>
  <c r="AP33" i="4"/>
  <c r="AQ33" i="4"/>
  <c r="AR33" i="4"/>
  <c r="AS33" i="4"/>
  <c r="AT33" i="4"/>
  <c r="AU33" i="4"/>
  <c r="AV33" i="4"/>
  <c r="AW33" i="4"/>
  <c r="AX33" i="4"/>
  <c r="AY33" i="4"/>
  <c r="AZ33" i="4"/>
  <c r="BA33" i="4"/>
  <c r="BB33" i="4"/>
  <c r="BC33" i="4"/>
  <c r="BD33" i="4"/>
  <c r="BE33" i="4"/>
  <c r="BF33" i="4"/>
  <c r="BG33" i="4"/>
  <c r="BH33" i="4"/>
  <c r="BI33" i="4"/>
  <c r="BJ33" i="4"/>
  <c r="BK33" i="4"/>
  <c r="BL33" i="4"/>
  <c r="BM33" i="4"/>
  <c r="BN33" i="4"/>
  <c r="BO33" i="4"/>
  <c r="BP33" i="4"/>
  <c r="BQ33" i="4"/>
  <c r="BR33" i="4"/>
  <c r="BS33" i="4"/>
  <c r="T34" i="4"/>
  <c r="U34" i="4"/>
  <c r="V34" i="4"/>
  <c r="W34" i="4"/>
  <c r="X34" i="4"/>
  <c r="Y34" i="4"/>
  <c r="Z34" i="4"/>
  <c r="AB34" i="4"/>
  <c r="AD34" i="4"/>
  <c r="AF34" i="4"/>
  <c r="AG34" i="4"/>
  <c r="AH34" i="4"/>
  <c r="AI34" i="4"/>
  <c r="AJ34" i="4"/>
  <c r="AK34" i="4"/>
  <c r="AL34" i="4"/>
  <c r="AM34" i="4"/>
  <c r="AN34" i="4"/>
  <c r="AO34" i="4"/>
  <c r="AP34" i="4"/>
  <c r="AQ34" i="4"/>
  <c r="AR34" i="4"/>
  <c r="AS34" i="4"/>
  <c r="AT34" i="4"/>
  <c r="AU34" i="4"/>
  <c r="AV34" i="4"/>
  <c r="AW34" i="4"/>
  <c r="AX34" i="4"/>
  <c r="AY34" i="4"/>
  <c r="AZ34" i="4"/>
  <c r="BA34" i="4"/>
  <c r="BB34" i="4"/>
  <c r="BC34" i="4"/>
  <c r="BD34" i="4"/>
  <c r="BE34" i="4"/>
  <c r="BF34" i="4"/>
  <c r="BG34" i="4"/>
  <c r="BH34" i="4"/>
  <c r="BI34" i="4"/>
  <c r="BJ34" i="4"/>
  <c r="BK34" i="4"/>
  <c r="BL34" i="4"/>
  <c r="BM34" i="4"/>
  <c r="BN34" i="4"/>
  <c r="BO34" i="4"/>
  <c r="BP34" i="4"/>
  <c r="BQ34" i="4"/>
  <c r="BR34" i="4"/>
  <c r="BS34" i="4"/>
  <c r="T35" i="4"/>
  <c r="U35" i="4"/>
  <c r="V35" i="4"/>
  <c r="W35" i="4"/>
  <c r="X35" i="4"/>
  <c r="Y35" i="4"/>
  <c r="Z35" i="4"/>
  <c r="AB35" i="4"/>
  <c r="AD35" i="4"/>
  <c r="AF35" i="4"/>
  <c r="AG35" i="4"/>
  <c r="AH35" i="4"/>
  <c r="AI35" i="4"/>
  <c r="AJ35" i="4"/>
  <c r="AK35" i="4"/>
  <c r="AL35" i="4"/>
  <c r="AM35" i="4"/>
  <c r="AN35" i="4"/>
  <c r="AO35" i="4"/>
  <c r="AP35" i="4"/>
  <c r="AQ35" i="4"/>
  <c r="AR35" i="4"/>
  <c r="AS35" i="4"/>
  <c r="AT35" i="4"/>
  <c r="AU35" i="4"/>
  <c r="AV35" i="4"/>
  <c r="AW35" i="4"/>
  <c r="AX35" i="4"/>
  <c r="AY35" i="4"/>
  <c r="AZ35" i="4"/>
  <c r="BA35" i="4"/>
  <c r="BB35" i="4"/>
  <c r="BC35" i="4"/>
  <c r="BD35" i="4"/>
  <c r="BE35" i="4"/>
  <c r="BF35" i="4"/>
  <c r="BG35" i="4"/>
  <c r="BH35" i="4"/>
  <c r="BI35" i="4"/>
  <c r="BJ35" i="4"/>
  <c r="BK35" i="4"/>
  <c r="BL35" i="4"/>
  <c r="BM35" i="4"/>
  <c r="BN35" i="4"/>
  <c r="BO35" i="4"/>
  <c r="BP35" i="4"/>
  <c r="BQ35" i="4"/>
  <c r="BR35" i="4"/>
  <c r="BS35" i="4"/>
  <c r="T36" i="4"/>
  <c r="U36" i="4"/>
  <c r="V36" i="4"/>
  <c r="W36" i="4"/>
  <c r="X36" i="4"/>
  <c r="Y36" i="4"/>
  <c r="Z36" i="4"/>
  <c r="AB36" i="4"/>
  <c r="AD36" i="4"/>
  <c r="AF36" i="4"/>
  <c r="AG36" i="4"/>
  <c r="AH36" i="4"/>
  <c r="AI36" i="4"/>
  <c r="AJ36" i="4"/>
  <c r="AK36" i="4"/>
  <c r="AL36" i="4"/>
  <c r="AM36" i="4"/>
  <c r="AN36" i="4"/>
  <c r="AO36" i="4"/>
  <c r="AP36" i="4"/>
  <c r="AQ36" i="4"/>
  <c r="AR36" i="4"/>
  <c r="AS36" i="4"/>
  <c r="AT36" i="4"/>
  <c r="AU36" i="4"/>
  <c r="AV36" i="4"/>
  <c r="AW36" i="4"/>
  <c r="AX36" i="4"/>
  <c r="AY36" i="4"/>
  <c r="AZ36" i="4"/>
  <c r="BA36" i="4"/>
  <c r="BB36" i="4"/>
  <c r="BC36" i="4"/>
  <c r="BD36" i="4"/>
  <c r="BE36" i="4"/>
  <c r="BF36" i="4"/>
  <c r="BG36" i="4"/>
  <c r="BH36" i="4"/>
  <c r="BI36" i="4"/>
  <c r="BJ36" i="4"/>
  <c r="BK36" i="4"/>
  <c r="BL36" i="4"/>
  <c r="BM36" i="4"/>
  <c r="BN36" i="4"/>
  <c r="BO36" i="4"/>
  <c r="BP36" i="4"/>
  <c r="BQ36" i="4"/>
  <c r="BR36" i="4"/>
  <c r="BS36" i="4"/>
  <c r="T37" i="4"/>
  <c r="U37" i="4"/>
  <c r="V37" i="4"/>
  <c r="W37" i="4"/>
  <c r="X37" i="4"/>
  <c r="Y37" i="4"/>
  <c r="AQ37" i="4"/>
  <c r="AR37" i="4"/>
  <c r="AS37" i="4"/>
  <c r="AT37" i="4"/>
  <c r="AU37" i="4"/>
  <c r="AV37" i="4"/>
  <c r="AW37" i="4"/>
  <c r="AX37" i="4"/>
  <c r="AY37" i="4"/>
  <c r="AZ37" i="4"/>
  <c r="BA37" i="4"/>
  <c r="BB37" i="4"/>
  <c r="BC37" i="4"/>
  <c r="BD37" i="4"/>
  <c r="BE37" i="4"/>
  <c r="BF37" i="4"/>
  <c r="BG37" i="4"/>
  <c r="BH37" i="4"/>
  <c r="BI37" i="4"/>
  <c r="BJ37" i="4"/>
  <c r="BK37" i="4"/>
  <c r="BL37" i="4"/>
  <c r="BM37" i="4"/>
  <c r="BN37" i="4"/>
  <c r="BO37" i="4"/>
  <c r="BP37" i="4"/>
  <c r="BQ37" i="4"/>
  <c r="BR37" i="4"/>
  <c r="BS37" i="4"/>
  <c r="T38" i="4"/>
  <c r="U38" i="4"/>
  <c r="V38" i="4"/>
  <c r="W38" i="4"/>
  <c r="X38" i="4"/>
  <c r="Y38" i="4"/>
  <c r="AQ38" i="4"/>
  <c r="AR38" i="4"/>
  <c r="AS38" i="4"/>
  <c r="AT38" i="4"/>
  <c r="AU38" i="4"/>
  <c r="AV38" i="4"/>
  <c r="AW38" i="4"/>
  <c r="AX38" i="4"/>
  <c r="AY38" i="4"/>
  <c r="AZ38" i="4"/>
  <c r="BA38" i="4"/>
  <c r="BB38" i="4"/>
  <c r="BC38" i="4"/>
  <c r="BD38" i="4"/>
  <c r="BE38" i="4"/>
  <c r="BF38" i="4"/>
  <c r="BG38" i="4"/>
  <c r="BH38" i="4"/>
  <c r="BI38" i="4"/>
  <c r="BJ38" i="4"/>
  <c r="BK38" i="4"/>
  <c r="BL38" i="4"/>
  <c r="BM38" i="4"/>
  <c r="BN38" i="4"/>
  <c r="BO38" i="4"/>
  <c r="BP38" i="4"/>
  <c r="BQ38" i="4"/>
  <c r="BR38" i="4"/>
  <c r="BS38" i="4"/>
  <c r="T39" i="4"/>
  <c r="U39" i="4"/>
  <c r="V39" i="4"/>
  <c r="AQ39" i="4"/>
  <c r="AR39" i="4"/>
  <c r="AS39" i="4"/>
  <c r="AT39" i="4"/>
  <c r="AU39" i="4"/>
  <c r="AV39" i="4"/>
  <c r="AW39" i="4"/>
  <c r="AX39" i="4"/>
  <c r="AY39" i="4"/>
  <c r="AZ39" i="4"/>
  <c r="BA39" i="4"/>
  <c r="BB39" i="4"/>
  <c r="BC39" i="4"/>
  <c r="BD39" i="4"/>
  <c r="BE39" i="4"/>
  <c r="BF39" i="4"/>
  <c r="BG39" i="4"/>
  <c r="BH39" i="4"/>
  <c r="BI39" i="4"/>
  <c r="BJ39" i="4"/>
  <c r="BK39" i="4"/>
  <c r="BL39" i="4"/>
  <c r="BM39" i="4"/>
  <c r="BN39" i="4"/>
  <c r="BO39" i="4"/>
  <c r="BP39" i="4"/>
  <c r="BQ39" i="4"/>
  <c r="BR39" i="4"/>
  <c r="BS39" i="4"/>
  <c r="T40" i="4"/>
  <c r="BM40" i="4"/>
  <c r="BN40" i="4"/>
  <c r="BO40" i="4"/>
  <c r="BP40" i="4"/>
  <c r="BQ40" i="4"/>
  <c r="BR40" i="4"/>
  <c r="BS40" i="4"/>
  <c r="T41" i="4"/>
  <c r="BM41" i="4"/>
  <c r="BN41" i="4"/>
  <c r="BO41" i="4"/>
  <c r="BP41" i="4"/>
  <c r="BQ41" i="4"/>
  <c r="BR41" i="4"/>
  <c r="BS41" i="4"/>
  <c r="T42" i="4"/>
  <c r="BM42" i="4"/>
  <c r="BN42" i="4"/>
  <c r="BO42" i="4"/>
  <c r="BP42" i="4"/>
  <c r="BQ42" i="4"/>
  <c r="BR42" i="4"/>
  <c r="BS42" i="4"/>
  <c r="T43" i="4"/>
  <c r="BM43" i="4"/>
  <c r="BN43" i="4"/>
  <c r="BO43" i="4"/>
  <c r="BP43" i="4"/>
  <c r="BQ43" i="4"/>
  <c r="BR43" i="4"/>
  <c r="BS43" i="4"/>
  <c r="T44" i="4"/>
  <c r="BM44" i="4"/>
  <c r="BN44" i="4"/>
  <c r="BO44" i="4"/>
  <c r="BP44" i="4"/>
  <c r="BQ44" i="4"/>
  <c r="BR44" i="4"/>
  <c r="BS44" i="4"/>
  <c r="T45" i="4"/>
  <c r="U45" i="4"/>
  <c r="V45" i="4"/>
  <c r="W45" i="4"/>
  <c r="X45" i="4"/>
  <c r="Y45" i="4"/>
  <c r="Z45" i="4"/>
  <c r="AB45" i="4"/>
  <c r="AD45" i="4"/>
  <c r="AF45" i="4"/>
  <c r="AG45" i="4"/>
  <c r="AH45" i="4"/>
  <c r="AI45" i="4"/>
  <c r="AJ45" i="4"/>
  <c r="AK45" i="4"/>
  <c r="AL45" i="4"/>
  <c r="AM45" i="4"/>
  <c r="AN45" i="4"/>
  <c r="AO45" i="4"/>
  <c r="AP45" i="4"/>
  <c r="AQ45" i="4"/>
  <c r="AR45" i="4"/>
  <c r="AS45" i="4"/>
  <c r="AT45" i="4"/>
  <c r="AU45" i="4"/>
  <c r="AV45" i="4"/>
  <c r="AW45" i="4"/>
  <c r="AX45" i="4"/>
  <c r="AY45" i="4"/>
  <c r="AZ45" i="4"/>
  <c r="BA45" i="4"/>
  <c r="BB45" i="4"/>
  <c r="BC45" i="4"/>
  <c r="BD45" i="4"/>
  <c r="BE45" i="4"/>
  <c r="BF45" i="4"/>
  <c r="BG45" i="4"/>
  <c r="BH45" i="4"/>
  <c r="BI45" i="4"/>
  <c r="BJ45" i="4"/>
  <c r="BK45" i="4"/>
  <c r="BL45" i="4"/>
  <c r="BM45" i="4"/>
  <c r="BN45" i="4"/>
  <c r="BO45" i="4"/>
  <c r="BP45" i="4"/>
  <c r="BQ45" i="4"/>
  <c r="BR45" i="4"/>
  <c r="BS45" i="4"/>
  <c r="T46" i="4"/>
  <c r="U46" i="4"/>
  <c r="V46" i="4"/>
  <c r="W46" i="4"/>
  <c r="X46" i="4"/>
  <c r="Y46" i="4"/>
  <c r="Z46" i="4"/>
  <c r="AB46" i="4"/>
  <c r="AD46" i="4"/>
  <c r="AF46" i="4"/>
  <c r="AG46" i="4"/>
  <c r="AH46" i="4"/>
  <c r="AI46" i="4"/>
  <c r="AJ46" i="4"/>
  <c r="AK46" i="4"/>
  <c r="AL46" i="4"/>
  <c r="AM46" i="4"/>
  <c r="AN46" i="4"/>
  <c r="AO46" i="4"/>
  <c r="AP46" i="4"/>
  <c r="AQ46" i="4"/>
  <c r="AR46" i="4"/>
  <c r="AS46" i="4"/>
  <c r="AT46" i="4"/>
  <c r="AU46" i="4"/>
  <c r="AV46" i="4"/>
  <c r="AW46" i="4"/>
  <c r="AX46" i="4"/>
  <c r="AY46" i="4"/>
  <c r="AZ46" i="4"/>
  <c r="BA46" i="4"/>
  <c r="BB46" i="4"/>
  <c r="BC46" i="4"/>
  <c r="BD46" i="4"/>
  <c r="BE46" i="4"/>
  <c r="BF46" i="4"/>
  <c r="BG46" i="4"/>
  <c r="BH46" i="4"/>
  <c r="BI46" i="4"/>
  <c r="BJ46" i="4"/>
  <c r="BK46" i="4"/>
  <c r="BL46" i="4"/>
  <c r="BM46" i="4"/>
  <c r="BN46" i="4"/>
  <c r="BO46" i="4"/>
  <c r="BP46" i="4"/>
  <c r="BQ46" i="4"/>
  <c r="BR46" i="4"/>
  <c r="BS46" i="4"/>
  <c r="T47" i="4"/>
  <c r="U47" i="4"/>
  <c r="V47" i="4"/>
  <c r="W47" i="4"/>
  <c r="X47" i="4"/>
  <c r="Y47" i="4"/>
  <c r="Z47" i="4"/>
  <c r="AB47" i="4"/>
  <c r="AD47" i="4"/>
  <c r="AF47" i="4"/>
  <c r="AG47" i="4"/>
  <c r="AH47" i="4"/>
  <c r="AI47" i="4"/>
  <c r="AJ47" i="4"/>
  <c r="AK47" i="4"/>
  <c r="AL47" i="4"/>
  <c r="AM47" i="4"/>
  <c r="AN47" i="4"/>
  <c r="AO47" i="4"/>
  <c r="AP47" i="4"/>
  <c r="AQ47" i="4"/>
  <c r="AR47" i="4"/>
  <c r="AS47" i="4"/>
  <c r="AT47" i="4"/>
  <c r="AU47" i="4"/>
  <c r="AV47" i="4"/>
  <c r="AW47" i="4"/>
  <c r="AX47" i="4"/>
  <c r="AY47" i="4"/>
  <c r="AZ47" i="4"/>
  <c r="BA47" i="4"/>
  <c r="BB47" i="4"/>
  <c r="BC47" i="4"/>
  <c r="BD47" i="4"/>
  <c r="BE47" i="4"/>
  <c r="BF47" i="4"/>
  <c r="BG47" i="4"/>
  <c r="BH47" i="4"/>
  <c r="BI47" i="4"/>
  <c r="BJ47" i="4"/>
  <c r="BK47" i="4"/>
  <c r="BL47" i="4"/>
  <c r="BM47" i="4"/>
  <c r="BN47" i="4"/>
  <c r="BO47" i="4"/>
  <c r="BP47" i="4"/>
  <c r="BQ47" i="4"/>
  <c r="BR47" i="4"/>
  <c r="BS47" i="4"/>
  <c r="T48" i="4"/>
  <c r="U48" i="4"/>
  <c r="V48" i="4"/>
  <c r="W48" i="4"/>
  <c r="X48" i="4"/>
  <c r="Y48" i="4"/>
  <c r="AQ48" i="4"/>
  <c r="AR48" i="4"/>
  <c r="AS48" i="4"/>
  <c r="AT48" i="4"/>
  <c r="AU48" i="4"/>
  <c r="AV48" i="4"/>
  <c r="AW48" i="4"/>
  <c r="AX48" i="4"/>
  <c r="AY48" i="4"/>
  <c r="AZ48" i="4"/>
  <c r="BA48" i="4"/>
  <c r="BB48" i="4"/>
  <c r="BC48" i="4"/>
  <c r="BD48" i="4"/>
  <c r="BE48" i="4"/>
  <c r="BF48" i="4"/>
  <c r="BG48" i="4"/>
  <c r="BH48" i="4"/>
  <c r="BI48" i="4"/>
  <c r="BJ48" i="4"/>
  <c r="BK48" i="4"/>
  <c r="BL48" i="4"/>
  <c r="BM48" i="4"/>
  <c r="BN48" i="4"/>
  <c r="BO48" i="4"/>
  <c r="BP48" i="4"/>
  <c r="BQ48" i="4"/>
  <c r="BR48" i="4"/>
  <c r="BS48" i="4"/>
  <c r="T49" i="4"/>
  <c r="U49" i="4"/>
  <c r="V49" i="4"/>
  <c r="W49" i="4"/>
  <c r="X49" i="4"/>
  <c r="Y49" i="4"/>
  <c r="AQ49" i="4"/>
  <c r="AR49" i="4"/>
  <c r="AS49" i="4"/>
  <c r="AT49" i="4"/>
  <c r="AU49" i="4"/>
  <c r="AV49" i="4"/>
  <c r="AW49" i="4"/>
  <c r="AX49" i="4"/>
  <c r="AY49" i="4"/>
  <c r="AZ49" i="4"/>
  <c r="BA49" i="4"/>
  <c r="BB49" i="4"/>
  <c r="BC49" i="4"/>
  <c r="BD49" i="4"/>
  <c r="BE49" i="4"/>
  <c r="BF49" i="4"/>
  <c r="BG49" i="4"/>
  <c r="BH49" i="4"/>
  <c r="BI49" i="4"/>
  <c r="BJ49" i="4"/>
  <c r="BK49" i="4"/>
  <c r="BL49" i="4"/>
  <c r="BM49" i="4"/>
  <c r="BN49" i="4"/>
  <c r="BO49" i="4"/>
  <c r="BP49" i="4"/>
  <c r="BQ49" i="4"/>
  <c r="BR49" i="4"/>
  <c r="BS49" i="4"/>
  <c r="T50" i="4"/>
  <c r="U50" i="4"/>
  <c r="V50" i="4"/>
  <c r="W50" i="4"/>
  <c r="AQ50" i="4"/>
  <c r="AR50" i="4"/>
  <c r="AS50" i="4"/>
  <c r="AT50" i="4"/>
  <c r="AU50" i="4"/>
  <c r="AV50" i="4"/>
  <c r="AW50" i="4"/>
  <c r="AX50" i="4"/>
  <c r="AY50" i="4"/>
  <c r="AZ50" i="4"/>
  <c r="BA50" i="4"/>
  <c r="BB50" i="4"/>
  <c r="BC50" i="4"/>
  <c r="BD50" i="4"/>
  <c r="BE50" i="4"/>
  <c r="BF50" i="4"/>
  <c r="BG50" i="4"/>
  <c r="BH50" i="4"/>
  <c r="BI50" i="4"/>
  <c r="BJ50" i="4"/>
  <c r="BK50" i="4"/>
  <c r="BL50" i="4"/>
  <c r="BM50" i="4"/>
  <c r="BN50" i="4"/>
  <c r="BO50" i="4"/>
  <c r="BP50" i="4"/>
  <c r="BQ50" i="4"/>
  <c r="BR50" i="4"/>
  <c r="BS50" i="4"/>
  <c r="T51" i="4"/>
  <c r="U51" i="4"/>
  <c r="V51" i="4"/>
  <c r="W51" i="4"/>
  <c r="X51" i="4"/>
  <c r="Y51" i="4"/>
  <c r="AQ51" i="4"/>
  <c r="AR51" i="4"/>
  <c r="AS51" i="4"/>
  <c r="AT51" i="4"/>
  <c r="AU51" i="4"/>
  <c r="AV51" i="4"/>
  <c r="AW51" i="4"/>
  <c r="AX51" i="4"/>
  <c r="AY51" i="4"/>
  <c r="AZ51" i="4"/>
  <c r="BA51" i="4"/>
  <c r="BB51" i="4"/>
  <c r="BC51" i="4"/>
  <c r="BD51" i="4"/>
  <c r="BE51" i="4"/>
  <c r="BF51" i="4"/>
  <c r="BG51" i="4"/>
  <c r="BH51" i="4"/>
  <c r="BI51" i="4"/>
  <c r="BJ51" i="4"/>
  <c r="BK51" i="4"/>
  <c r="BL51" i="4"/>
  <c r="BM51" i="4"/>
  <c r="BN51" i="4"/>
  <c r="BO51" i="4"/>
  <c r="BP51" i="4"/>
  <c r="BQ51" i="4"/>
  <c r="BR51" i="4"/>
  <c r="BS51" i="4"/>
  <c r="T52" i="4"/>
  <c r="U52" i="4"/>
  <c r="V52" i="4"/>
  <c r="W52" i="4"/>
  <c r="AQ52" i="4"/>
  <c r="AR52" i="4"/>
  <c r="AS52" i="4"/>
  <c r="AT52" i="4"/>
  <c r="AU52" i="4"/>
  <c r="AV52" i="4"/>
  <c r="AW52" i="4"/>
  <c r="AX52" i="4"/>
  <c r="AY52" i="4"/>
  <c r="AZ52" i="4"/>
  <c r="BA52" i="4"/>
  <c r="BB52" i="4"/>
  <c r="BC52" i="4"/>
  <c r="BD52" i="4"/>
  <c r="BE52" i="4"/>
  <c r="BF52" i="4"/>
  <c r="BG52" i="4"/>
  <c r="BH52" i="4"/>
  <c r="BI52" i="4"/>
  <c r="BJ52" i="4"/>
  <c r="BK52" i="4"/>
  <c r="BL52" i="4"/>
  <c r="BM52" i="4"/>
  <c r="BN52" i="4"/>
  <c r="BO52" i="4"/>
  <c r="BP52" i="4"/>
  <c r="BQ52" i="4"/>
  <c r="BR52" i="4"/>
  <c r="BS52" i="4"/>
  <c r="T53" i="4"/>
  <c r="U53" i="4"/>
  <c r="V53" i="4"/>
  <c r="W53" i="4"/>
  <c r="X53" i="4"/>
  <c r="Y53" i="4"/>
  <c r="AQ53" i="4"/>
  <c r="AR53" i="4"/>
  <c r="AS53" i="4"/>
  <c r="AT53" i="4"/>
  <c r="AU53" i="4"/>
  <c r="AV53" i="4"/>
  <c r="AW53" i="4"/>
  <c r="AX53" i="4"/>
  <c r="AY53" i="4"/>
  <c r="AZ53" i="4"/>
  <c r="BA53" i="4"/>
  <c r="BB53" i="4"/>
  <c r="BC53" i="4"/>
  <c r="BD53" i="4"/>
  <c r="BE53" i="4"/>
  <c r="BF53" i="4"/>
  <c r="BG53" i="4"/>
  <c r="BH53" i="4"/>
  <c r="BI53" i="4"/>
  <c r="BJ53" i="4"/>
  <c r="BK53" i="4"/>
  <c r="BL53" i="4"/>
  <c r="BM53" i="4"/>
  <c r="BN53" i="4"/>
  <c r="BO53" i="4"/>
  <c r="BP53" i="4"/>
  <c r="BQ53" i="4"/>
  <c r="BR53" i="4"/>
  <c r="BS53" i="4"/>
  <c r="T54" i="4"/>
  <c r="U54" i="4"/>
  <c r="V54" i="4"/>
  <c r="W54" i="4"/>
  <c r="X54" i="4"/>
  <c r="Y54" i="4"/>
  <c r="Z54" i="4"/>
  <c r="AB54" i="4"/>
  <c r="AF54" i="4"/>
  <c r="AG54" i="4"/>
  <c r="AH54" i="4"/>
  <c r="AI54" i="4"/>
  <c r="AJ54" i="4"/>
  <c r="AK54" i="4"/>
  <c r="AL54" i="4"/>
  <c r="AM54" i="4"/>
  <c r="AN54" i="4"/>
  <c r="AO54" i="4"/>
  <c r="AP54" i="4"/>
  <c r="AQ54" i="4"/>
  <c r="AR54" i="4"/>
  <c r="AS54" i="4"/>
  <c r="AT54" i="4"/>
  <c r="AU54" i="4"/>
  <c r="AV54" i="4"/>
  <c r="AW54" i="4"/>
  <c r="AX54" i="4"/>
  <c r="AY54" i="4"/>
  <c r="AZ54" i="4"/>
  <c r="BA54" i="4"/>
  <c r="BB54" i="4"/>
  <c r="BC54" i="4"/>
  <c r="BD54" i="4"/>
  <c r="BE54" i="4"/>
  <c r="BF54" i="4"/>
  <c r="BG54" i="4"/>
  <c r="BH54" i="4"/>
  <c r="BI54" i="4"/>
  <c r="BJ54" i="4"/>
  <c r="BK54" i="4"/>
  <c r="BL54" i="4"/>
  <c r="BM54" i="4"/>
  <c r="BN54" i="4"/>
  <c r="BO54" i="4"/>
  <c r="BP54" i="4"/>
  <c r="BQ54" i="4"/>
  <c r="BR54" i="4"/>
  <c r="BS54" i="4"/>
  <c r="T55" i="4"/>
  <c r="U55" i="4"/>
  <c r="V55" i="4"/>
  <c r="W55" i="4"/>
  <c r="X55" i="4"/>
  <c r="Y55" i="4"/>
  <c r="AQ55" i="4"/>
  <c r="AR55" i="4"/>
  <c r="AS55" i="4"/>
  <c r="AT55" i="4"/>
  <c r="AU55" i="4"/>
  <c r="AV55" i="4"/>
  <c r="AW55" i="4"/>
  <c r="AX55" i="4"/>
  <c r="AY55" i="4"/>
  <c r="AZ55" i="4"/>
  <c r="BA55" i="4"/>
  <c r="BB55" i="4"/>
  <c r="BC55" i="4"/>
  <c r="BD55" i="4"/>
  <c r="BE55" i="4"/>
  <c r="BF55" i="4"/>
  <c r="BG55" i="4"/>
  <c r="BH55" i="4"/>
  <c r="BI55" i="4"/>
  <c r="BJ55" i="4"/>
  <c r="BK55" i="4"/>
  <c r="BL55" i="4"/>
  <c r="BM55" i="4"/>
  <c r="BN55" i="4"/>
  <c r="BO55" i="4"/>
  <c r="BP55" i="4"/>
  <c r="BQ55" i="4"/>
  <c r="BR55" i="4"/>
  <c r="BS55" i="4"/>
  <c r="T56" i="4"/>
  <c r="U56" i="4"/>
  <c r="V56" i="4"/>
  <c r="W56" i="4"/>
  <c r="X56" i="4"/>
  <c r="Y56" i="4"/>
  <c r="AQ56" i="4"/>
  <c r="AR56" i="4"/>
  <c r="AS56" i="4"/>
  <c r="AT56" i="4"/>
  <c r="AU56" i="4"/>
  <c r="AV56" i="4"/>
  <c r="AW56" i="4"/>
  <c r="AX56" i="4"/>
  <c r="AY56" i="4"/>
  <c r="AZ56" i="4"/>
  <c r="BA56" i="4"/>
  <c r="BB56" i="4"/>
  <c r="BC56" i="4"/>
  <c r="BD56" i="4"/>
  <c r="BE56" i="4"/>
  <c r="BF56" i="4"/>
  <c r="BG56" i="4"/>
  <c r="BH56" i="4"/>
  <c r="BI56" i="4"/>
  <c r="BJ56" i="4"/>
  <c r="BK56" i="4"/>
  <c r="BL56" i="4"/>
  <c r="BM56" i="4"/>
  <c r="BN56" i="4"/>
  <c r="BO56" i="4"/>
  <c r="BP56" i="4"/>
  <c r="BQ56" i="4"/>
  <c r="BR56" i="4"/>
  <c r="BS56" i="4"/>
  <c r="T57" i="4"/>
  <c r="U57" i="4"/>
  <c r="V57" i="4"/>
  <c r="W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T58" i="4"/>
  <c r="U58" i="4"/>
  <c r="V58" i="4"/>
  <c r="W58" i="4"/>
  <c r="X58" i="4"/>
  <c r="Y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T59" i="4"/>
  <c r="U59" i="4"/>
  <c r="V59" i="4"/>
  <c r="W59" i="4"/>
  <c r="X59" i="4"/>
  <c r="Y59" i="4"/>
  <c r="Z59" i="4"/>
  <c r="AB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T60" i="4"/>
  <c r="U60" i="4"/>
  <c r="V60" i="4"/>
  <c r="W60" i="4"/>
  <c r="X60" i="4"/>
  <c r="Y60" i="4"/>
  <c r="Z60" i="4"/>
  <c r="AB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T61" i="4"/>
  <c r="U61" i="4"/>
  <c r="V61" i="4"/>
  <c r="W61" i="4"/>
  <c r="X61" i="4"/>
  <c r="Y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T62" i="4"/>
  <c r="U62" i="4"/>
  <c r="V62" i="4"/>
  <c r="W62" i="4"/>
  <c r="X62" i="4"/>
  <c r="Y62" i="4"/>
  <c r="AQ62" i="4"/>
  <c r="AR62" i="4"/>
  <c r="AS62" i="4"/>
  <c r="AT62" i="4"/>
  <c r="AU62" i="4"/>
  <c r="AV62" i="4"/>
  <c r="AW62" i="4"/>
  <c r="AX62" i="4"/>
  <c r="AY62" i="4"/>
  <c r="AZ62" i="4"/>
  <c r="BA62" i="4"/>
  <c r="BB62" i="4"/>
  <c r="BC62" i="4"/>
  <c r="BD62" i="4"/>
  <c r="BE62" i="4"/>
  <c r="BF62" i="4"/>
  <c r="BG62" i="4"/>
  <c r="BH62" i="4"/>
  <c r="BI62" i="4"/>
  <c r="BJ62" i="4"/>
  <c r="BK62" i="4"/>
  <c r="BL62" i="4"/>
  <c r="BM62" i="4"/>
  <c r="BN62" i="4"/>
  <c r="BO62" i="4"/>
  <c r="BP62" i="4"/>
  <c r="BQ62" i="4"/>
  <c r="BR62" i="4"/>
  <c r="BS62" i="4"/>
  <c r="T63" i="4"/>
  <c r="U63" i="4"/>
  <c r="V63" i="4"/>
  <c r="W63" i="4"/>
  <c r="X63" i="4"/>
  <c r="Y63" i="4"/>
  <c r="Z63" i="4"/>
  <c r="AB63" i="4"/>
  <c r="AF63" i="4"/>
  <c r="AG63" i="4"/>
  <c r="AH63" i="4"/>
  <c r="AI63" i="4"/>
  <c r="AJ63" i="4"/>
  <c r="AK63" i="4"/>
  <c r="AL63" i="4"/>
  <c r="AM63" i="4"/>
  <c r="AN63" i="4"/>
  <c r="AO63" i="4"/>
  <c r="AP63" i="4"/>
  <c r="AQ63" i="4"/>
  <c r="AR63" i="4"/>
  <c r="AS63" i="4"/>
  <c r="AT63" i="4"/>
  <c r="AU63" i="4"/>
  <c r="AV63" i="4"/>
  <c r="AW63" i="4"/>
  <c r="AX63" i="4"/>
  <c r="AY63" i="4"/>
  <c r="AZ63" i="4"/>
  <c r="BA63" i="4"/>
  <c r="BB63" i="4"/>
  <c r="BC63" i="4"/>
  <c r="BD63" i="4"/>
  <c r="BE63" i="4"/>
  <c r="BF63" i="4"/>
  <c r="BG63" i="4"/>
  <c r="BH63" i="4"/>
  <c r="BI63" i="4"/>
  <c r="BJ63" i="4"/>
  <c r="BK63" i="4"/>
  <c r="BL63" i="4"/>
  <c r="BM63" i="4"/>
  <c r="BN63" i="4"/>
  <c r="BO63" i="4"/>
  <c r="BP63" i="4"/>
  <c r="BQ63" i="4"/>
  <c r="BR63" i="4"/>
  <c r="BS63" i="4"/>
  <c r="T64" i="4"/>
  <c r="U64" i="4"/>
  <c r="V64" i="4"/>
  <c r="W64" i="4"/>
  <c r="X64" i="4"/>
  <c r="Y64" i="4"/>
  <c r="Z64" i="4"/>
  <c r="AB64" i="4"/>
  <c r="AF64" i="4"/>
  <c r="AG64" i="4"/>
  <c r="AH64" i="4"/>
  <c r="AI64" i="4"/>
  <c r="AJ64" i="4"/>
  <c r="AK64" i="4"/>
  <c r="AL64" i="4"/>
  <c r="AM64" i="4"/>
  <c r="AN64" i="4"/>
  <c r="AO64" i="4"/>
  <c r="AP64" i="4"/>
  <c r="AQ64" i="4"/>
  <c r="AR64" i="4"/>
  <c r="AS64" i="4"/>
  <c r="AT64" i="4"/>
  <c r="AU64" i="4"/>
  <c r="AV64" i="4"/>
  <c r="AW64" i="4"/>
  <c r="AX64" i="4"/>
  <c r="AY64" i="4"/>
  <c r="AZ64" i="4"/>
  <c r="BA64" i="4"/>
  <c r="BB64" i="4"/>
  <c r="BC64" i="4"/>
  <c r="BD64" i="4"/>
  <c r="BE64" i="4"/>
  <c r="BF64" i="4"/>
  <c r="BG64" i="4"/>
  <c r="BH64" i="4"/>
  <c r="BI64" i="4"/>
  <c r="BJ64" i="4"/>
  <c r="BK64" i="4"/>
  <c r="BL64" i="4"/>
  <c r="BM64" i="4"/>
  <c r="BN64" i="4"/>
  <c r="BO64" i="4"/>
  <c r="BP64" i="4"/>
  <c r="BQ64" i="4"/>
  <c r="BR64" i="4"/>
  <c r="BS64" i="4"/>
  <c r="T65" i="4"/>
  <c r="U65" i="4"/>
  <c r="V65" i="4"/>
  <c r="W65" i="4"/>
  <c r="X65" i="4"/>
  <c r="Y65" i="4"/>
  <c r="Z65" i="4"/>
  <c r="AB65" i="4"/>
  <c r="AF65" i="4"/>
  <c r="AG65" i="4"/>
  <c r="AH65" i="4"/>
  <c r="AI65" i="4"/>
  <c r="AJ65" i="4"/>
  <c r="AK65" i="4"/>
  <c r="AL65" i="4"/>
  <c r="AM65" i="4"/>
  <c r="AN65" i="4"/>
  <c r="AO65" i="4"/>
  <c r="AP65" i="4"/>
  <c r="AQ65" i="4"/>
  <c r="AR65" i="4"/>
  <c r="AS65" i="4"/>
  <c r="AT65" i="4"/>
  <c r="AU65" i="4"/>
  <c r="AV65" i="4"/>
  <c r="AW65" i="4"/>
  <c r="AX65" i="4"/>
  <c r="AY65" i="4"/>
  <c r="AZ65" i="4"/>
  <c r="BA65" i="4"/>
  <c r="BB65" i="4"/>
  <c r="BC65" i="4"/>
  <c r="BD65" i="4"/>
  <c r="BE65" i="4"/>
  <c r="BF65" i="4"/>
  <c r="BG65" i="4"/>
  <c r="BH65" i="4"/>
  <c r="BI65" i="4"/>
  <c r="BJ65" i="4"/>
  <c r="BK65" i="4"/>
  <c r="BL65" i="4"/>
  <c r="BM65" i="4"/>
  <c r="BN65" i="4"/>
  <c r="BO65" i="4"/>
  <c r="BP65" i="4"/>
  <c r="BQ65" i="4"/>
  <c r="BR65" i="4"/>
  <c r="BS65" i="4"/>
  <c r="T66" i="4"/>
  <c r="U66" i="4"/>
  <c r="V66" i="4"/>
  <c r="W66" i="4"/>
  <c r="X66" i="4"/>
  <c r="Y66" i="4"/>
  <c r="AQ66" i="4"/>
  <c r="AR66" i="4"/>
  <c r="AS66" i="4"/>
  <c r="AT66" i="4"/>
  <c r="AU66" i="4"/>
  <c r="AV66" i="4"/>
  <c r="AW66" i="4"/>
  <c r="AX66" i="4"/>
  <c r="AY66" i="4"/>
  <c r="AZ66" i="4"/>
  <c r="BA66" i="4"/>
  <c r="BB66" i="4"/>
  <c r="BC66" i="4"/>
  <c r="BD66" i="4"/>
  <c r="BE66" i="4"/>
  <c r="BF66" i="4"/>
  <c r="BG66" i="4"/>
  <c r="BH66" i="4"/>
  <c r="BI66" i="4"/>
  <c r="BJ66" i="4"/>
  <c r="BK66" i="4"/>
  <c r="BL66" i="4"/>
  <c r="BM66" i="4"/>
  <c r="BN66" i="4"/>
  <c r="BO66" i="4"/>
  <c r="BP66" i="4"/>
  <c r="BQ66" i="4"/>
  <c r="BR66" i="4"/>
  <c r="BS66" i="4"/>
  <c r="T67" i="4"/>
  <c r="U67" i="4"/>
  <c r="V67" i="4"/>
  <c r="W67" i="4"/>
  <c r="X67" i="4"/>
  <c r="Y67" i="4"/>
  <c r="AQ67" i="4"/>
  <c r="AR67" i="4"/>
  <c r="AS67" i="4"/>
  <c r="AT67" i="4"/>
  <c r="AU67" i="4"/>
  <c r="AV67" i="4"/>
  <c r="AW67" i="4"/>
  <c r="AX67" i="4"/>
  <c r="AY67" i="4"/>
  <c r="AZ67" i="4"/>
  <c r="BA67" i="4"/>
  <c r="BB67" i="4"/>
  <c r="BC67" i="4"/>
  <c r="BD67" i="4"/>
  <c r="BE67" i="4"/>
  <c r="BF67" i="4"/>
  <c r="BG67" i="4"/>
  <c r="BH67" i="4"/>
  <c r="BI67" i="4"/>
  <c r="BJ67" i="4"/>
  <c r="BK67" i="4"/>
  <c r="BL67" i="4"/>
  <c r="BM67" i="4"/>
  <c r="BN67" i="4"/>
  <c r="BO67" i="4"/>
  <c r="BP67" i="4"/>
  <c r="BQ67" i="4"/>
  <c r="BR67" i="4"/>
  <c r="BS67" i="4"/>
  <c r="T68" i="4"/>
  <c r="U68" i="4"/>
  <c r="V68" i="4"/>
  <c r="W68" i="4"/>
  <c r="X68" i="4"/>
  <c r="Y68" i="4"/>
  <c r="Z68" i="4"/>
  <c r="AB68" i="4"/>
  <c r="AF68" i="4"/>
  <c r="AG68" i="4"/>
  <c r="AH68" i="4"/>
  <c r="AI68" i="4"/>
  <c r="AJ68" i="4"/>
  <c r="AK68" i="4"/>
  <c r="AL68" i="4"/>
  <c r="AM68" i="4"/>
  <c r="AN68" i="4"/>
  <c r="AO68" i="4"/>
  <c r="AP68" i="4"/>
  <c r="AQ68" i="4"/>
  <c r="AR68" i="4"/>
  <c r="AS68" i="4"/>
  <c r="AT68" i="4"/>
  <c r="AU68" i="4"/>
  <c r="AV68" i="4"/>
  <c r="AW68" i="4"/>
  <c r="AX68" i="4"/>
  <c r="AY68" i="4"/>
  <c r="AZ68" i="4"/>
  <c r="BA68" i="4"/>
  <c r="BB68" i="4"/>
  <c r="BC68" i="4"/>
  <c r="BD68" i="4"/>
  <c r="BE68" i="4"/>
  <c r="BF68" i="4"/>
  <c r="BG68" i="4"/>
  <c r="BH68" i="4"/>
  <c r="BI68" i="4"/>
  <c r="BJ68" i="4"/>
  <c r="BK68" i="4"/>
  <c r="BL68" i="4"/>
  <c r="BM68" i="4"/>
  <c r="BN68" i="4"/>
  <c r="BO68" i="4"/>
  <c r="BP68" i="4"/>
  <c r="BQ68" i="4"/>
  <c r="BR68" i="4"/>
  <c r="BS68" i="4"/>
  <c r="T69" i="4"/>
  <c r="U69" i="4"/>
  <c r="V69" i="4"/>
  <c r="W69" i="4"/>
  <c r="AN69" i="4"/>
  <c r="AO69" i="4"/>
  <c r="AP69" i="4"/>
  <c r="AQ69" i="4"/>
  <c r="AR69" i="4"/>
  <c r="AS69" i="4"/>
  <c r="AT69" i="4"/>
  <c r="AU69" i="4"/>
  <c r="AV69" i="4"/>
  <c r="AW69" i="4"/>
  <c r="AX69" i="4"/>
  <c r="AY69" i="4"/>
  <c r="AZ69" i="4"/>
  <c r="BA69" i="4"/>
  <c r="BB69" i="4"/>
  <c r="BC69" i="4"/>
  <c r="BD69" i="4"/>
  <c r="BE69" i="4"/>
  <c r="BF69" i="4"/>
  <c r="BG69" i="4"/>
  <c r="BH69" i="4"/>
  <c r="BI69" i="4"/>
  <c r="BJ69" i="4"/>
  <c r="BK69" i="4"/>
  <c r="BL69" i="4"/>
  <c r="BM69" i="4"/>
  <c r="BN69" i="4"/>
  <c r="BO69" i="4"/>
  <c r="BP69" i="4"/>
  <c r="BQ69" i="4"/>
  <c r="BR69" i="4"/>
  <c r="BS69" i="4"/>
  <c r="T70" i="4"/>
  <c r="U70" i="4"/>
  <c r="V70" i="4"/>
  <c r="W70" i="4"/>
  <c r="X70" i="4"/>
  <c r="Y70" i="4"/>
  <c r="AQ70" i="4"/>
  <c r="AR70" i="4"/>
  <c r="AS70" i="4"/>
  <c r="AT70" i="4"/>
  <c r="AU70" i="4"/>
  <c r="AV70" i="4"/>
  <c r="AW70" i="4"/>
  <c r="AX70" i="4"/>
  <c r="AY70" i="4"/>
  <c r="AZ70" i="4"/>
  <c r="BA70" i="4"/>
  <c r="BB70" i="4"/>
  <c r="BC70" i="4"/>
  <c r="BD70" i="4"/>
  <c r="BE70" i="4"/>
  <c r="BF70" i="4"/>
  <c r="BG70" i="4"/>
  <c r="BH70" i="4"/>
  <c r="BI70" i="4"/>
  <c r="BJ70" i="4"/>
  <c r="BK70" i="4"/>
  <c r="BL70" i="4"/>
  <c r="BM70" i="4"/>
  <c r="BN70" i="4"/>
  <c r="BO70" i="4"/>
  <c r="BP70" i="4"/>
  <c r="BQ70" i="4"/>
  <c r="BR70" i="4"/>
  <c r="BS70" i="4"/>
  <c r="T71" i="4"/>
  <c r="U71" i="4"/>
  <c r="V71" i="4"/>
  <c r="W71" i="4"/>
  <c r="X71" i="4"/>
  <c r="Y71" i="4"/>
  <c r="AQ71" i="4"/>
  <c r="AR71" i="4"/>
  <c r="AS71" i="4"/>
  <c r="AT71" i="4"/>
  <c r="AU71" i="4"/>
  <c r="AV71" i="4"/>
  <c r="AW71" i="4"/>
  <c r="AX71" i="4"/>
  <c r="AY71" i="4"/>
  <c r="AZ71" i="4"/>
  <c r="BA71" i="4"/>
  <c r="BB71" i="4"/>
  <c r="BC71" i="4"/>
  <c r="BD71" i="4"/>
  <c r="BE71" i="4"/>
  <c r="BF71" i="4"/>
  <c r="BG71" i="4"/>
  <c r="BH71" i="4"/>
  <c r="BI71" i="4"/>
  <c r="BJ71" i="4"/>
  <c r="BK71" i="4"/>
  <c r="BL71" i="4"/>
  <c r="BM71" i="4"/>
  <c r="BN71" i="4"/>
  <c r="BO71" i="4"/>
  <c r="BP71" i="4"/>
  <c r="BQ71" i="4"/>
  <c r="BR71" i="4"/>
  <c r="BS71" i="4"/>
  <c r="T72" i="4"/>
  <c r="U72" i="4"/>
  <c r="V72" i="4"/>
  <c r="W72" i="4"/>
  <c r="X72" i="4"/>
  <c r="Y72" i="4"/>
  <c r="Z72" i="4"/>
  <c r="AB72" i="4"/>
  <c r="AF72" i="4"/>
  <c r="AG72" i="4"/>
  <c r="AH72" i="4"/>
  <c r="AI72" i="4"/>
  <c r="AJ72" i="4"/>
  <c r="AK72" i="4"/>
  <c r="AL72" i="4"/>
  <c r="AM72" i="4"/>
  <c r="AN72" i="4"/>
  <c r="AO72" i="4"/>
  <c r="AP72" i="4"/>
  <c r="AQ72" i="4"/>
  <c r="AR72" i="4"/>
  <c r="AS72" i="4"/>
  <c r="AT72" i="4"/>
  <c r="AU72" i="4"/>
  <c r="AV72" i="4"/>
  <c r="AW72" i="4"/>
  <c r="AX72" i="4"/>
  <c r="AY72" i="4"/>
  <c r="AZ72" i="4"/>
  <c r="BA72" i="4"/>
  <c r="BB72" i="4"/>
  <c r="BC72" i="4"/>
  <c r="BD72" i="4"/>
  <c r="BE72" i="4"/>
  <c r="BF72" i="4"/>
  <c r="BG72" i="4"/>
  <c r="BH72" i="4"/>
  <c r="BI72" i="4"/>
  <c r="BJ72" i="4"/>
  <c r="BK72" i="4"/>
  <c r="BL72" i="4"/>
  <c r="BM72" i="4"/>
  <c r="BN72" i="4"/>
  <c r="BO72" i="4"/>
  <c r="BP72" i="4"/>
  <c r="BQ72" i="4"/>
  <c r="BR72" i="4"/>
  <c r="BS72" i="4"/>
  <c r="T73" i="4"/>
  <c r="U73" i="4"/>
  <c r="V73" i="4"/>
  <c r="W73" i="4"/>
  <c r="X73" i="4"/>
  <c r="Y73" i="4"/>
  <c r="AQ73" i="4"/>
  <c r="AR73" i="4"/>
  <c r="AS73" i="4"/>
  <c r="AT73" i="4"/>
  <c r="AU73" i="4"/>
  <c r="AV73" i="4"/>
  <c r="AW73" i="4"/>
  <c r="AX73" i="4"/>
  <c r="AY73" i="4"/>
  <c r="AZ73" i="4"/>
  <c r="BA73" i="4"/>
  <c r="BB73" i="4"/>
  <c r="BC73" i="4"/>
  <c r="BD73" i="4"/>
  <c r="BE73" i="4"/>
  <c r="BF73" i="4"/>
  <c r="BG73" i="4"/>
  <c r="BH73" i="4"/>
  <c r="BI73" i="4"/>
  <c r="BJ73" i="4"/>
  <c r="BK73" i="4"/>
  <c r="BL73" i="4"/>
  <c r="BM73" i="4"/>
  <c r="BN73" i="4"/>
  <c r="BO73" i="4"/>
  <c r="BP73" i="4"/>
  <c r="BQ73" i="4"/>
  <c r="BR73" i="4"/>
  <c r="BS73" i="4"/>
  <c r="T74" i="4"/>
  <c r="U74" i="4"/>
  <c r="V74" i="4"/>
  <c r="W74" i="4"/>
  <c r="X74" i="4"/>
  <c r="Y74" i="4"/>
  <c r="AQ74" i="4"/>
  <c r="AR74" i="4"/>
  <c r="AS74" i="4"/>
  <c r="AT74" i="4"/>
  <c r="AU74" i="4"/>
  <c r="AV74" i="4"/>
  <c r="AW74" i="4"/>
  <c r="AX74" i="4"/>
  <c r="AY74" i="4"/>
  <c r="AZ74" i="4"/>
  <c r="BA74" i="4"/>
  <c r="BB74" i="4"/>
  <c r="BC74" i="4"/>
  <c r="BD74" i="4"/>
  <c r="BE74" i="4"/>
  <c r="BF74" i="4"/>
  <c r="BG74" i="4"/>
  <c r="BH74" i="4"/>
  <c r="BI74" i="4"/>
  <c r="BJ74" i="4"/>
  <c r="BK74" i="4"/>
  <c r="BL74" i="4"/>
  <c r="BM74" i="4"/>
  <c r="BN74" i="4"/>
  <c r="BO74" i="4"/>
  <c r="BP74" i="4"/>
  <c r="BQ74" i="4"/>
  <c r="BR74" i="4"/>
  <c r="BS74" i="4"/>
  <c r="T75" i="4"/>
  <c r="U75" i="4"/>
  <c r="V75" i="4"/>
  <c r="W75" i="4"/>
  <c r="X75" i="4"/>
  <c r="Y75" i="4"/>
  <c r="AQ75" i="4"/>
  <c r="AR75" i="4"/>
  <c r="AS75" i="4"/>
  <c r="AT75" i="4"/>
  <c r="AU75" i="4"/>
  <c r="AV75" i="4"/>
  <c r="AW75" i="4"/>
  <c r="AX75" i="4"/>
  <c r="AY75" i="4"/>
  <c r="AZ75" i="4"/>
  <c r="BA75" i="4"/>
  <c r="BB75" i="4"/>
  <c r="BC75" i="4"/>
  <c r="BD75" i="4"/>
  <c r="BE75" i="4"/>
  <c r="BF75" i="4"/>
  <c r="BG75" i="4"/>
  <c r="BH75" i="4"/>
  <c r="BI75" i="4"/>
  <c r="BJ75" i="4"/>
  <c r="BK75" i="4"/>
  <c r="BL75" i="4"/>
  <c r="BM75" i="4"/>
  <c r="BN75" i="4"/>
  <c r="BO75" i="4"/>
  <c r="BP75" i="4"/>
  <c r="BQ75" i="4"/>
  <c r="BR75" i="4"/>
  <c r="BS75" i="4"/>
  <c r="T76" i="4"/>
  <c r="U76" i="4"/>
  <c r="V76" i="4"/>
  <c r="W76" i="4"/>
  <c r="X76" i="4"/>
  <c r="Y76" i="4"/>
  <c r="Z76" i="4"/>
  <c r="AB76" i="4"/>
  <c r="AF76" i="4"/>
  <c r="AG76" i="4"/>
  <c r="AH76" i="4"/>
  <c r="AI76" i="4"/>
  <c r="AJ76" i="4"/>
  <c r="AK76" i="4"/>
  <c r="AL76" i="4"/>
  <c r="AM76" i="4"/>
  <c r="AN76" i="4"/>
  <c r="AO76" i="4"/>
  <c r="AP76" i="4"/>
  <c r="AQ76" i="4"/>
  <c r="AR76" i="4"/>
  <c r="AS76" i="4"/>
  <c r="AT76" i="4"/>
  <c r="AU76" i="4"/>
  <c r="AV76" i="4"/>
  <c r="AW76" i="4"/>
  <c r="AX76" i="4"/>
  <c r="AY76" i="4"/>
  <c r="AZ76" i="4"/>
  <c r="BA76" i="4"/>
  <c r="BB76" i="4"/>
  <c r="BC76" i="4"/>
  <c r="BD76" i="4"/>
  <c r="BE76" i="4"/>
  <c r="BF76" i="4"/>
  <c r="BG76" i="4"/>
  <c r="BH76" i="4"/>
  <c r="BI76" i="4"/>
  <c r="BJ76" i="4"/>
  <c r="BK76" i="4"/>
  <c r="BL76" i="4"/>
  <c r="BM76" i="4"/>
  <c r="BN76" i="4"/>
  <c r="BO76" i="4"/>
  <c r="BP76" i="4"/>
  <c r="BQ76" i="4"/>
  <c r="BR76" i="4"/>
  <c r="BS76" i="4"/>
  <c r="T77" i="4"/>
  <c r="U77" i="4"/>
  <c r="V77" i="4"/>
  <c r="W77" i="4"/>
  <c r="X77" i="4"/>
  <c r="Y77" i="4"/>
  <c r="Z77" i="4"/>
  <c r="AF77" i="4"/>
  <c r="AJ77" i="4"/>
  <c r="AK77" i="4"/>
  <c r="AL77" i="4"/>
  <c r="AM77" i="4"/>
  <c r="AN77" i="4"/>
  <c r="AO77" i="4"/>
  <c r="AP77" i="4"/>
  <c r="AQ77" i="4"/>
  <c r="AR77" i="4"/>
  <c r="AS77" i="4"/>
  <c r="AT77" i="4"/>
  <c r="AU77" i="4"/>
  <c r="AV77" i="4"/>
  <c r="AW77" i="4"/>
  <c r="AX77" i="4"/>
  <c r="AY77" i="4"/>
  <c r="AZ77" i="4"/>
  <c r="BA77" i="4"/>
  <c r="BB77" i="4"/>
  <c r="BC77" i="4"/>
  <c r="BD77" i="4"/>
  <c r="BE77" i="4"/>
  <c r="BF77" i="4"/>
  <c r="BG77" i="4"/>
  <c r="BH77" i="4"/>
  <c r="BI77" i="4"/>
  <c r="BJ77" i="4"/>
  <c r="BK77" i="4"/>
  <c r="BL77" i="4"/>
  <c r="BM77" i="4"/>
  <c r="BN77" i="4"/>
  <c r="BO77" i="4"/>
  <c r="BP77" i="4"/>
  <c r="BQ77" i="4"/>
  <c r="BR77" i="4"/>
  <c r="BS77" i="4"/>
  <c r="T78" i="4"/>
  <c r="U78" i="4"/>
  <c r="V78" i="4"/>
  <c r="W78" i="4"/>
  <c r="X78" i="4"/>
  <c r="Y78" i="4"/>
  <c r="Z78" i="4"/>
  <c r="AF78" i="4"/>
  <c r="AJ78" i="4"/>
  <c r="AK78" i="4"/>
  <c r="AL78" i="4"/>
  <c r="AM78" i="4"/>
  <c r="AN78" i="4"/>
  <c r="AO78" i="4"/>
  <c r="AP78" i="4"/>
  <c r="AQ78" i="4"/>
  <c r="AR78" i="4"/>
  <c r="AS78" i="4"/>
  <c r="AT78" i="4"/>
  <c r="AU78" i="4"/>
  <c r="AV78" i="4"/>
  <c r="AW78" i="4"/>
  <c r="AX78" i="4"/>
  <c r="AY78" i="4"/>
  <c r="AZ78" i="4"/>
  <c r="BA78" i="4"/>
  <c r="BB78" i="4"/>
  <c r="BC78" i="4"/>
  <c r="BD78" i="4"/>
  <c r="BE78" i="4"/>
  <c r="BF78" i="4"/>
  <c r="BG78" i="4"/>
  <c r="BH78" i="4"/>
  <c r="BI78" i="4"/>
  <c r="BJ78" i="4"/>
  <c r="BK78" i="4"/>
  <c r="BL78" i="4"/>
  <c r="BM78" i="4"/>
  <c r="BN78" i="4"/>
  <c r="BO78" i="4"/>
  <c r="BP78" i="4"/>
  <c r="BQ78" i="4"/>
  <c r="BR78" i="4"/>
  <c r="BS78" i="4"/>
  <c r="T79" i="4"/>
  <c r="U79" i="4"/>
  <c r="V79" i="4"/>
  <c r="W79" i="4"/>
  <c r="X79" i="4"/>
  <c r="Y79" i="4"/>
  <c r="Z79" i="4"/>
  <c r="AB79" i="4"/>
  <c r="AD79" i="4"/>
  <c r="AF79" i="4"/>
  <c r="AG79" i="4"/>
  <c r="AH79" i="4"/>
  <c r="AI79" i="4"/>
  <c r="AJ79" i="4"/>
  <c r="AK79" i="4"/>
  <c r="AL79" i="4"/>
  <c r="AM79" i="4"/>
  <c r="AN79" i="4"/>
  <c r="AO79" i="4"/>
  <c r="AP79" i="4"/>
  <c r="AQ79" i="4"/>
  <c r="AR79" i="4"/>
  <c r="AS79" i="4"/>
  <c r="AT79" i="4"/>
  <c r="AU79" i="4"/>
  <c r="AV79" i="4"/>
  <c r="AW79" i="4"/>
  <c r="AX79" i="4"/>
  <c r="AY79" i="4"/>
  <c r="AZ79" i="4"/>
  <c r="BA79" i="4"/>
  <c r="BB79" i="4"/>
  <c r="BC79" i="4"/>
  <c r="BD79" i="4"/>
  <c r="BE79" i="4"/>
  <c r="BF79" i="4"/>
  <c r="BG79" i="4"/>
  <c r="BH79" i="4"/>
  <c r="BI79" i="4"/>
  <c r="BJ79" i="4"/>
  <c r="BK79" i="4"/>
  <c r="BL79" i="4"/>
  <c r="BM79" i="4"/>
  <c r="BN79" i="4"/>
  <c r="BO79" i="4"/>
  <c r="BP79" i="4"/>
  <c r="BQ79" i="4"/>
  <c r="BR79" i="4"/>
  <c r="BS79" i="4"/>
  <c r="T80" i="4"/>
  <c r="U80" i="4"/>
  <c r="V80" i="4"/>
  <c r="W80" i="4"/>
  <c r="X80" i="4"/>
  <c r="Y80" i="4"/>
  <c r="Z80" i="4"/>
  <c r="AB80" i="4"/>
  <c r="AD80" i="4"/>
  <c r="AF80" i="4"/>
  <c r="AG80" i="4"/>
  <c r="AH80" i="4"/>
  <c r="AI80" i="4"/>
  <c r="AJ80" i="4"/>
  <c r="AK80" i="4"/>
  <c r="AL80" i="4"/>
  <c r="AM80" i="4"/>
  <c r="AN80" i="4"/>
  <c r="AO80" i="4"/>
  <c r="AP80" i="4"/>
  <c r="AQ80" i="4"/>
  <c r="AR80" i="4"/>
  <c r="AS80" i="4"/>
  <c r="AT80" i="4"/>
  <c r="AU80" i="4"/>
  <c r="AV80" i="4"/>
  <c r="AW80" i="4"/>
  <c r="AX80" i="4"/>
  <c r="AY80" i="4"/>
  <c r="AZ80" i="4"/>
  <c r="BA80" i="4"/>
  <c r="BB80" i="4"/>
  <c r="BC80" i="4"/>
  <c r="BD80" i="4"/>
  <c r="BE80" i="4"/>
  <c r="BF80" i="4"/>
  <c r="BG80" i="4"/>
  <c r="BH80" i="4"/>
  <c r="BI80" i="4"/>
  <c r="BJ80" i="4"/>
  <c r="BK80" i="4"/>
  <c r="BL80" i="4"/>
  <c r="BM80" i="4"/>
  <c r="BN80" i="4"/>
  <c r="BO80" i="4"/>
  <c r="BP80" i="4"/>
  <c r="BQ80" i="4"/>
  <c r="BR80" i="4"/>
  <c r="BS80" i="4"/>
  <c r="T81" i="4"/>
  <c r="U81" i="4"/>
  <c r="V81" i="4"/>
  <c r="W81" i="4"/>
  <c r="X81" i="4"/>
  <c r="Y81" i="4"/>
  <c r="Z81" i="4"/>
  <c r="AB81" i="4"/>
  <c r="AD81" i="4"/>
  <c r="AF81" i="4"/>
  <c r="AG81" i="4"/>
  <c r="AH81" i="4"/>
  <c r="AI81" i="4"/>
  <c r="AJ81" i="4"/>
  <c r="AK81" i="4"/>
  <c r="AL81" i="4"/>
  <c r="AM81" i="4"/>
  <c r="AN81" i="4"/>
  <c r="AO81" i="4"/>
  <c r="AP81" i="4"/>
  <c r="AQ81" i="4"/>
  <c r="AR81" i="4"/>
  <c r="AS81" i="4"/>
  <c r="AT81" i="4"/>
  <c r="AU81" i="4"/>
  <c r="AV81" i="4"/>
  <c r="AW81" i="4"/>
  <c r="AX81" i="4"/>
  <c r="AY81" i="4"/>
  <c r="AZ81" i="4"/>
  <c r="BA81" i="4"/>
  <c r="BB81" i="4"/>
  <c r="BC81" i="4"/>
  <c r="BD81" i="4"/>
  <c r="BE81" i="4"/>
  <c r="BF81" i="4"/>
  <c r="BG81" i="4"/>
  <c r="BH81" i="4"/>
  <c r="BI81" i="4"/>
  <c r="BJ81" i="4"/>
  <c r="BK81" i="4"/>
  <c r="BL81" i="4"/>
  <c r="BM81" i="4"/>
  <c r="BN81" i="4"/>
  <c r="BO81" i="4"/>
  <c r="BP81" i="4"/>
  <c r="BQ81" i="4"/>
  <c r="BR81" i="4"/>
  <c r="BS81" i="4"/>
  <c r="T82" i="4"/>
  <c r="U82" i="4"/>
  <c r="V82" i="4"/>
  <c r="W82" i="4"/>
  <c r="X82" i="4"/>
  <c r="Y82" i="4"/>
  <c r="Z82" i="4"/>
  <c r="AF82" i="4"/>
  <c r="AJ82" i="4"/>
  <c r="AK82" i="4"/>
  <c r="AL82" i="4"/>
  <c r="AM82" i="4"/>
  <c r="AN82" i="4"/>
  <c r="AO82" i="4"/>
  <c r="AP82" i="4"/>
  <c r="AQ82" i="4"/>
  <c r="AR82" i="4"/>
  <c r="AS82" i="4"/>
  <c r="AT82" i="4"/>
  <c r="AU82" i="4"/>
  <c r="AV82" i="4"/>
  <c r="AW82" i="4"/>
  <c r="AX82" i="4"/>
  <c r="AY82" i="4"/>
  <c r="AZ82" i="4"/>
  <c r="BA82" i="4"/>
  <c r="BB82" i="4"/>
  <c r="BC82" i="4"/>
  <c r="BD82" i="4"/>
  <c r="BE82" i="4"/>
  <c r="BF82" i="4"/>
  <c r="BG82" i="4"/>
  <c r="BH82" i="4"/>
  <c r="BI82" i="4"/>
  <c r="BJ82" i="4"/>
  <c r="BK82" i="4"/>
  <c r="BL82" i="4"/>
  <c r="BM82" i="4"/>
  <c r="BN82" i="4"/>
  <c r="BO82" i="4"/>
  <c r="BP82" i="4"/>
  <c r="BQ82" i="4"/>
  <c r="BR82" i="4"/>
  <c r="BS82" i="4"/>
  <c r="X28" i="4"/>
  <c r="Q38" i="4"/>
  <c r="Q37" i="4"/>
  <c r="Q32" i="4"/>
  <c r="Q31" i="4"/>
  <c r="K74" i="4"/>
  <c r="E77" i="4"/>
  <c r="F77" i="4"/>
  <c r="G77" i="4"/>
  <c r="H77" i="4"/>
  <c r="I77" i="4"/>
  <c r="J77" i="4"/>
  <c r="N77" i="4"/>
  <c r="O77" i="4"/>
  <c r="P77" i="4"/>
  <c r="E78" i="4"/>
  <c r="F78" i="4"/>
  <c r="G78" i="4"/>
  <c r="H78" i="4"/>
  <c r="I78" i="4"/>
  <c r="J78" i="4"/>
  <c r="N78" i="4"/>
  <c r="O78" i="4"/>
  <c r="P78" i="4"/>
  <c r="E79" i="4"/>
  <c r="F79" i="4"/>
  <c r="G79" i="4"/>
  <c r="H79" i="4"/>
  <c r="I79" i="4"/>
  <c r="J79" i="4"/>
  <c r="L79" i="4"/>
  <c r="N79" i="4"/>
  <c r="O79" i="4"/>
  <c r="P79" i="4"/>
  <c r="E80" i="4"/>
  <c r="F80" i="4"/>
  <c r="G80" i="4"/>
  <c r="H80" i="4"/>
  <c r="I80" i="4"/>
  <c r="J80" i="4"/>
  <c r="L80" i="4"/>
  <c r="N80" i="4"/>
  <c r="O80" i="4"/>
  <c r="P80" i="4"/>
  <c r="E81" i="4"/>
  <c r="F81" i="4"/>
  <c r="G81" i="4"/>
  <c r="H81" i="4"/>
  <c r="I81" i="4"/>
  <c r="J81" i="4"/>
  <c r="L81" i="4"/>
  <c r="N81" i="4"/>
  <c r="O81" i="4"/>
  <c r="P81" i="4"/>
  <c r="E82" i="4"/>
  <c r="F82" i="4"/>
  <c r="G82" i="4"/>
  <c r="H82" i="4"/>
  <c r="I82" i="4"/>
  <c r="J82" i="4"/>
  <c r="N82" i="4"/>
  <c r="O82" i="4"/>
  <c r="P82" i="4"/>
  <c r="E83" i="4"/>
  <c r="F83" i="4"/>
  <c r="G83" i="4"/>
  <c r="H83" i="4"/>
  <c r="I83" i="4"/>
  <c r="J83" i="4"/>
  <c r="L83" i="4"/>
  <c r="N83" i="4"/>
  <c r="O83" i="4"/>
  <c r="P83" i="4"/>
  <c r="P76" i="4"/>
  <c r="O76" i="4"/>
  <c r="N76" i="4"/>
  <c r="L76" i="4"/>
  <c r="J76" i="4"/>
  <c r="I76" i="4"/>
  <c r="H76" i="4"/>
  <c r="G76" i="4"/>
  <c r="F76" i="4"/>
  <c r="E76" i="4"/>
  <c r="P75" i="4"/>
  <c r="O75" i="4"/>
  <c r="N75" i="4"/>
  <c r="L75" i="4"/>
  <c r="J75" i="4"/>
  <c r="I75" i="4"/>
  <c r="H75" i="4"/>
  <c r="G75" i="4"/>
  <c r="F75" i="4"/>
  <c r="E75" i="4"/>
  <c r="P74" i="4"/>
  <c r="O74" i="4"/>
  <c r="N74" i="4"/>
  <c r="L74" i="4"/>
  <c r="J74" i="4"/>
  <c r="I74" i="4"/>
  <c r="H74" i="4"/>
  <c r="G74" i="4"/>
  <c r="F74" i="4"/>
  <c r="E74" i="4"/>
  <c r="P73" i="4"/>
  <c r="O73" i="4"/>
  <c r="N73" i="4"/>
  <c r="L73" i="4"/>
  <c r="J73" i="4"/>
  <c r="I73" i="4"/>
  <c r="H73" i="4"/>
  <c r="G73" i="4"/>
  <c r="F73" i="4"/>
  <c r="E73" i="4"/>
  <c r="P72" i="4"/>
  <c r="O72" i="4"/>
  <c r="N72" i="4"/>
  <c r="L72" i="4"/>
  <c r="J72" i="4"/>
  <c r="I72" i="4"/>
  <c r="H72" i="4"/>
  <c r="G72" i="4"/>
  <c r="F72" i="4"/>
  <c r="E72" i="4"/>
  <c r="P71" i="4"/>
  <c r="O71" i="4"/>
  <c r="N71" i="4"/>
  <c r="L71" i="4"/>
  <c r="J71" i="4"/>
  <c r="I71" i="4"/>
  <c r="H71" i="4"/>
  <c r="G71" i="4"/>
  <c r="F71" i="4"/>
  <c r="E71" i="4"/>
  <c r="L70" i="4"/>
  <c r="J70" i="4"/>
  <c r="I70" i="4"/>
  <c r="H70" i="4"/>
  <c r="G70" i="4"/>
  <c r="F70" i="4"/>
  <c r="E70" i="4"/>
  <c r="L69" i="4"/>
  <c r="J69" i="4"/>
  <c r="I69" i="4"/>
  <c r="H69" i="4"/>
  <c r="G69" i="4"/>
  <c r="F69" i="4"/>
  <c r="E69" i="4"/>
  <c r="P68" i="4"/>
  <c r="O68" i="4"/>
  <c r="N68" i="4"/>
  <c r="L68" i="4"/>
  <c r="J68" i="4"/>
  <c r="I68" i="4"/>
  <c r="H68" i="4"/>
  <c r="G68" i="4"/>
  <c r="F68" i="4"/>
  <c r="E68" i="4"/>
  <c r="L67" i="4"/>
  <c r="J67" i="4"/>
  <c r="I67" i="4"/>
  <c r="H67" i="4"/>
  <c r="F67" i="4"/>
  <c r="E67" i="4"/>
  <c r="P66" i="4"/>
  <c r="O66" i="4"/>
  <c r="N66" i="4"/>
  <c r="L66" i="4"/>
  <c r="J66" i="4"/>
  <c r="I66" i="4"/>
  <c r="H66" i="4"/>
  <c r="G66" i="4"/>
  <c r="F66" i="4"/>
  <c r="E66" i="4"/>
  <c r="P65" i="4"/>
  <c r="O65" i="4"/>
  <c r="N65" i="4"/>
  <c r="L65" i="4"/>
  <c r="J65" i="4"/>
  <c r="I65" i="4"/>
  <c r="H65" i="4"/>
  <c r="G65" i="4"/>
  <c r="F65" i="4"/>
  <c r="E65" i="4"/>
  <c r="P64" i="4"/>
  <c r="O64" i="4"/>
  <c r="N64" i="4"/>
  <c r="L64" i="4"/>
  <c r="J64" i="4"/>
  <c r="I64" i="4"/>
  <c r="H64" i="4"/>
  <c r="G64" i="4"/>
  <c r="F64" i="4"/>
  <c r="E64" i="4"/>
  <c r="P63" i="4"/>
  <c r="O63" i="4"/>
  <c r="N63" i="4"/>
  <c r="L63" i="4"/>
  <c r="J63" i="4"/>
  <c r="I63" i="4"/>
  <c r="H63" i="4"/>
  <c r="G63" i="4"/>
  <c r="F63" i="4"/>
  <c r="E63" i="4"/>
  <c r="P62" i="4"/>
  <c r="O62" i="4"/>
  <c r="N62" i="4"/>
  <c r="L62" i="4"/>
  <c r="J62" i="4"/>
  <c r="I62" i="4"/>
  <c r="H62" i="4"/>
  <c r="G62" i="4"/>
  <c r="F62" i="4"/>
  <c r="E62" i="4"/>
  <c r="P61" i="4"/>
  <c r="O61" i="4"/>
  <c r="N61" i="4"/>
  <c r="L61" i="4"/>
  <c r="J61" i="4"/>
  <c r="I61" i="4"/>
  <c r="H61" i="4"/>
  <c r="G61" i="4"/>
  <c r="F61" i="4"/>
  <c r="E61" i="4"/>
  <c r="P60" i="4"/>
  <c r="O60" i="4"/>
  <c r="N60" i="4"/>
  <c r="L60" i="4"/>
  <c r="J60" i="4"/>
  <c r="I60" i="4"/>
  <c r="H60" i="4"/>
  <c r="G60" i="4"/>
  <c r="F60" i="4"/>
  <c r="E60" i="4"/>
  <c r="P59" i="4"/>
  <c r="O59" i="4"/>
  <c r="N59" i="4"/>
  <c r="L59" i="4"/>
  <c r="J59" i="4"/>
  <c r="I59" i="4"/>
  <c r="H59" i="4"/>
  <c r="G59" i="4"/>
  <c r="F59" i="4"/>
  <c r="E59" i="4"/>
  <c r="P58" i="4"/>
  <c r="O58" i="4"/>
  <c r="N58" i="4"/>
  <c r="L58" i="4"/>
  <c r="J58" i="4"/>
  <c r="I58" i="4"/>
  <c r="H58" i="4"/>
  <c r="G58" i="4"/>
  <c r="F58" i="4"/>
  <c r="E58" i="4"/>
  <c r="P57" i="4"/>
  <c r="O57" i="4"/>
  <c r="N57" i="4"/>
  <c r="L57" i="4"/>
  <c r="J57" i="4"/>
  <c r="I57" i="4"/>
  <c r="H57" i="4"/>
  <c r="G57" i="4"/>
  <c r="F57" i="4"/>
  <c r="E57" i="4"/>
  <c r="P56" i="4"/>
  <c r="O56" i="4"/>
  <c r="N56" i="4"/>
  <c r="L56" i="4"/>
  <c r="J56" i="4"/>
  <c r="I56" i="4"/>
  <c r="H56" i="4"/>
  <c r="G56" i="4"/>
  <c r="F56" i="4"/>
  <c r="E56" i="4"/>
  <c r="P55" i="4"/>
  <c r="O55" i="4"/>
  <c r="N55" i="4"/>
  <c r="L55" i="4"/>
  <c r="J55" i="4"/>
  <c r="I55" i="4"/>
  <c r="H55" i="4"/>
  <c r="G55" i="4"/>
  <c r="F55" i="4"/>
  <c r="E55" i="4"/>
  <c r="P54" i="4"/>
  <c r="O54" i="4"/>
  <c r="N54" i="4"/>
  <c r="L54" i="4"/>
  <c r="J54" i="4"/>
  <c r="I54" i="4"/>
  <c r="H54" i="4"/>
  <c r="G54" i="4"/>
  <c r="F54" i="4"/>
  <c r="E54" i="4"/>
  <c r="P53" i="4"/>
  <c r="O53" i="4"/>
  <c r="N53" i="4"/>
  <c r="L53" i="4"/>
  <c r="J53" i="4"/>
  <c r="I53" i="4"/>
  <c r="H53" i="4"/>
  <c r="G53" i="4"/>
  <c r="F53" i="4"/>
  <c r="E53" i="4"/>
  <c r="P52" i="4"/>
  <c r="O52" i="4"/>
  <c r="N52" i="4"/>
  <c r="L52" i="4"/>
  <c r="J52" i="4"/>
  <c r="I52" i="4"/>
  <c r="H52" i="4"/>
  <c r="G52" i="4"/>
  <c r="F52" i="4"/>
  <c r="E52" i="4"/>
  <c r="P51" i="4"/>
  <c r="O51" i="4"/>
  <c r="N51" i="4"/>
  <c r="L51" i="4"/>
  <c r="J51" i="4"/>
  <c r="I51" i="4"/>
  <c r="H51" i="4"/>
  <c r="G51" i="4"/>
  <c r="F51" i="4"/>
  <c r="E51" i="4"/>
  <c r="P50" i="4"/>
  <c r="O50" i="4"/>
  <c r="N50" i="4"/>
  <c r="L50" i="4"/>
  <c r="J50" i="4"/>
  <c r="I50" i="4"/>
  <c r="H50" i="4"/>
  <c r="G50" i="4"/>
  <c r="F50" i="4"/>
  <c r="E50" i="4"/>
  <c r="P49" i="4"/>
  <c r="O49" i="4"/>
  <c r="N49" i="4"/>
  <c r="L49" i="4"/>
  <c r="J49" i="4"/>
  <c r="I49" i="4"/>
  <c r="H49" i="4"/>
  <c r="G49" i="4"/>
  <c r="F49" i="4"/>
  <c r="E49" i="4"/>
  <c r="P48" i="4"/>
  <c r="O48" i="4"/>
  <c r="N48" i="4"/>
  <c r="L48" i="4"/>
  <c r="J48" i="4"/>
  <c r="I48" i="4"/>
  <c r="H48" i="4"/>
  <c r="G48" i="4"/>
  <c r="F48" i="4"/>
  <c r="E48" i="4"/>
  <c r="P47" i="4"/>
  <c r="O47" i="4"/>
  <c r="N47" i="4"/>
  <c r="L47" i="4"/>
  <c r="J47" i="4"/>
  <c r="I47" i="4"/>
  <c r="H47" i="4"/>
  <c r="G47" i="4"/>
  <c r="F47" i="4"/>
  <c r="E47" i="4"/>
  <c r="P46" i="4"/>
  <c r="O46" i="4"/>
  <c r="N46" i="4"/>
  <c r="L46" i="4"/>
  <c r="J46" i="4"/>
  <c r="I46" i="4"/>
  <c r="H46" i="4"/>
  <c r="G46" i="4"/>
  <c r="F46" i="4"/>
  <c r="E46" i="4"/>
  <c r="P45" i="4"/>
  <c r="O45" i="4"/>
  <c r="N45" i="4"/>
  <c r="L45" i="4"/>
  <c r="J45" i="4"/>
  <c r="I45" i="4"/>
  <c r="H45" i="4"/>
  <c r="G45" i="4"/>
  <c r="F45" i="4"/>
  <c r="E45" i="4"/>
  <c r="P44" i="4"/>
  <c r="O44" i="4"/>
  <c r="N44" i="4"/>
  <c r="L44" i="4"/>
  <c r="J44" i="4"/>
  <c r="I44" i="4"/>
  <c r="H44" i="4"/>
  <c r="G44" i="4"/>
  <c r="F44" i="4"/>
  <c r="E44" i="4"/>
  <c r="P43" i="4"/>
  <c r="O43" i="4"/>
  <c r="N43" i="4"/>
  <c r="L43" i="4"/>
  <c r="J43" i="4"/>
  <c r="I43" i="4"/>
  <c r="H43" i="4"/>
  <c r="G43" i="4"/>
  <c r="F43" i="4"/>
  <c r="E43" i="4"/>
  <c r="E42" i="4"/>
  <c r="F42" i="4"/>
  <c r="G42" i="4"/>
  <c r="H42" i="4"/>
  <c r="I42" i="4"/>
  <c r="J42" i="4"/>
  <c r="L42" i="4"/>
  <c r="N42" i="4"/>
  <c r="O42" i="4"/>
  <c r="P42" i="4"/>
  <c r="E37" i="4"/>
  <c r="F37" i="4"/>
  <c r="G37" i="4"/>
  <c r="H37" i="4"/>
  <c r="I37" i="4"/>
  <c r="J37" i="4"/>
  <c r="L37" i="4"/>
  <c r="N37" i="4"/>
  <c r="O37" i="4"/>
  <c r="P37" i="4"/>
  <c r="E38" i="4"/>
  <c r="F38" i="4"/>
  <c r="G38" i="4"/>
  <c r="H38" i="4"/>
  <c r="I38" i="4"/>
  <c r="J38" i="4"/>
  <c r="L38" i="4"/>
  <c r="N38" i="4"/>
  <c r="O38" i="4"/>
  <c r="P38" i="4"/>
  <c r="E39" i="4"/>
  <c r="F39" i="4"/>
  <c r="G39" i="4"/>
  <c r="H39" i="4"/>
  <c r="I39" i="4"/>
  <c r="J39" i="4"/>
  <c r="L39" i="4"/>
  <c r="N39" i="4"/>
  <c r="O39" i="4"/>
  <c r="P39" i="4"/>
  <c r="E40" i="4"/>
  <c r="F40" i="4"/>
  <c r="G40" i="4"/>
  <c r="H40" i="4"/>
  <c r="I40" i="4"/>
  <c r="J40" i="4"/>
  <c r="L40" i="4"/>
  <c r="N40" i="4"/>
  <c r="O40" i="4"/>
  <c r="P40" i="4"/>
  <c r="E41" i="4"/>
  <c r="E36" i="4"/>
  <c r="F36" i="4"/>
  <c r="G36" i="4"/>
  <c r="H36" i="4"/>
  <c r="I36" i="4"/>
  <c r="J36" i="4"/>
  <c r="L36" i="4"/>
  <c r="N36" i="4"/>
  <c r="O36" i="4"/>
  <c r="P36" i="4"/>
  <c r="E34" i="4"/>
  <c r="F34" i="4"/>
  <c r="G34" i="4"/>
  <c r="H34" i="4"/>
  <c r="I34" i="4"/>
  <c r="J34" i="4"/>
  <c r="L34" i="4"/>
  <c r="N34" i="4"/>
  <c r="O34" i="4"/>
  <c r="P34" i="4"/>
  <c r="E35" i="4"/>
  <c r="F35" i="4"/>
  <c r="G35" i="4"/>
  <c r="H35" i="4"/>
  <c r="I35" i="4"/>
  <c r="J35" i="4"/>
  <c r="L35" i="4"/>
  <c r="N35" i="4"/>
  <c r="O35" i="4"/>
  <c r="P35" i="4"/>
  <c r="E29" i="4"/>
  <c r="F29" i="4"/>
  <c r="G29" i="4"/>
  <c r="H29" i="4"/>
  <c r="I29" i="4"/>
  <c r="J29" i="4"/>
  <c r="L29" i="4"/>
  <c r="N29" i="4"/>
  <c r="O29" i="4"/>
  <c r="P29" i="4"/>
  <c r="E30" i="4"/>
  <c r="F30" i="4"/>
  <c r="G30" i="4"/>
  <c r="H30" i="4"/>
  <c r="I30" i="4"/>
  <c r="J30" i="4"/>
  <c r="L30" i="4"/>
  <c r="N30" i="4"/>
  <c r="O30" i="4"/>
  <c r="P30" i="4"/>
  <c r="E31" i="4"/>
  <c r="F31" i="4"/>
  <c r="G31" i="4"/>
  <c r="H31" i="4"/>
  <c r="I31" i="4"/>
  <c r="J31" i="4"/>
  <c r="L31" i="4"/>
  <c r="N31" i="4"/>
  <c r="O31" i="4"/>
  <c r="P31" i="4"/>
  <c r="E32" i="4"/>
  <c r="F32" i="4"/>
  <c r="G32" i="4"/>
  <c r="H32" i="4"/>
  <c r="I32" i="4"/>
  <c r="J32" i="4"/>
  <c r="L32" i="4"/>
  <c r="N32" i="4"/>
  <c r="O32" i="4"/>
  <c r="P32" i="4"/>
  <c r="E33" i="4"/>
  <c r="F33" i="4"/>
  <c r="G33" i="4"/>
  <c r="H33" i="4"/>
  <c r="I33" i="4"/>
  <c r="J33" i="4"/>
  <c r="L33" i="4"/>
  <c r="N33" i="4"/>
  <c r="O33" i="4"/>
  <c r="P33" i="4"/>
  <c r="E28" i="4"/>
  <c r="G28" i="4"/>
  <c r="H28" i="4"/>
  <c r="I28" i="4"/>
  <c r="J28" i="4"/>
  <c r="L28" i="4"/>
  <c r="N28" i="4"/>
  <c r="O28" i="4"/>
  <c r="P28" i="4"/>
  <c r="F28" i="4"/>
  <c r="Q39" i="4"/>
  <c r="Q40" i="4"/>
  <c r="Q41" i="4"/>
  <c r="Q42" i="4"/>
  <c r="Q43" i="4"/>
  <c r="Q44" i="4"/>
  <c r="Q45" i="4"/>
  <c r="Q46" i="4"/>
  <c r="Q47" i="4"/>
  <c r="Q48" i="4"/>
  <c r="Q49" i="4"/>
  <c r="Q50" i="4"/>
  <c r="Q51" i="4"/>
  <c r="Q52" i="4"/>
  <c r="Q53" i="4"/>
  <c r="Q54" i="4"/>
  <c r="Q58" i="4"/>
  <c r="Q59" i="4"/>
  <c r="Q60" i="4"/>
  <c r="Q61" i="4"/>
  <c r="Q62" i="4"/>
  <c r="Q63" i="4"/>
  <c r="Q64" i="4"/>
  <c r="Q65" i="4"/>
  <c r="Q66" i="4"/>
  <c r="Q68" i="4"/>
  <c r="Q69" i="4"/>
  <c r="Q70" i="4"/>
  <c r="Q71" i="4"/>
  <c r="Q72" i="4"/>
  <c r="Q73" i="4"/>
  <c r="Q74" i="4"/>
  <c r="Q75" i="4"/>
  <c r="Q76" i="4"/>
  <c r="Q77" i="4"/>
  <c r="Q78" i="4"/>
  <c r="Q79" i="4"/>
  <c r="Q80" i="4"/>
  <c r="Q81" i="4"/>
  <c r="Q82" i="4"/>
  <c r="Q83" i="4"/>
  <c r="Q36" i="4"/>
  <c r="Q33" i="4"/>
  <c r="Q34" i="4"/>
  <c r="Q35" i="4"/>
  <c r="AG16" i="4" l="1"/>
  <c r="AH16" i="4"/>
  <c r="AI16" i="4"/>
  <c r="AJ16" i="4"/>
  <c r="AK16" i="4"/>
  <c r="AL16" i="4"/>
  <c r="AM16" i="4"/>
  <c r="AN16" i="4"/>
  <c r="AO16" i="4"/>
  <c r="AG17" i="4"/>
  <c r="AH17" i="4"/>
  <c r="AI17" i="4"/>
  <c r="AJ17" i="4"/>
  <c r="AK17" i="4"/>
  <c r="AL17" i="4"/>
  <c r="AM17" i="4"/>
  <c r="AN17" i="4"/>
  <c r="AO17" i="4"/>
  <c r="AG18" i="4"/>
  <c r="AH18" i="4"/>
  <c r="AI18" i="4"/>
  <c r="AJ18" i="4"/>
  <c r="AK18" i="4"/>
  <c r="AL18" i="4"/>
  <c r="AM18" i="4"/>
  <c r="AN18" i="4"/>
  <c r="AO18" i="4"/>
  <c r="AG21" i="4"/>
  <c r="AH21" i="4"/>
  <c r="AI21" i="4"/>
  <c r="AJ21" i="4"/>
  <c r="AK21" i="4"/>
  <c r="AL21" i="4"/>
  <c r="AM21" i="4"/>
  <c r="AN21" i="4"/>
  <c r="AO21" i="4"/>
  <c r="AG22" i="4"/>
  <c r="AH22" i="4"/>
  <c r="AI22" i="4"/>
  <c r="AJ22" i="4"/>
  <c r="AK22" i="4"/>
  <c r="AL22" i="4"/>
  <c r="AM22" i="4"/>
  <c r="AN22" i="4"/>
  <c r="AO22" i="4"/>
  <c r="AG23" i="4"/>
  <c r="AH23" i="4"/>
  <c r="AI23" i="4"/>
  <c r="AJ23" i="4"/>
  <c r="AK23" i="4"/>
  <c r="AL23" i="4"/>
  <c r="AM23" i="4"/>
  <c r="AN23" i="4"/>
  <c r="AO23" i="4"/>
  <c r="AF16" i="4"/>
  <c r="AF17" i="4"/>
  <c r="AF18" i="4"/>
  <c r="AF21" i="4"/>
  <c r="AF22" i="4"/>
  <c r="AF23" i="4"/>
  <c r="U10" i="4"/>
  <c r="V10" i="4"/>
  <c r="W10" i="4"/>
  <c r="X10" i="4"/>
  <c r="Y10" i="4"/>
  <c r="Z10" i="4"/>
  <c r="AA10" i="4"/>
  <c r="AB10" i="4"/>
  <c r="AC10" i="4"/>
  <c r="U11" i="4"/>
  <c r="V11" i="4"/>
  <c r="W11" i="4"/>
  <c r="X11" i="4"/>
  <c r="Y11" i="4"/>
  <c r="Z11" i="4"/>
  <c r="AA11" i="4"/>
  <c r="AB11" i="4"/>
  <c r="AC11" i="4"/>
  <c r="T11" i="4"/>
  <c r="AE23" i="4"/>
  <c r="AE22" i="4"/>
  <c r="AE21" i="4"/>
  <c r="AE18" i="4"/>
  <c r="AE17" i="4"/>
  <c r="AE16" i="4"/>
  <c r="AD23" i="4"/>
  <c r="AD22" i="4"/>
  <c r="AD21" i="4"/>
  <c r="AD18" i="4"/>
  <c r="AD17" i="4"/>
  <c r="AD16" i="4"/>
  <c r="AK28" i="4"/>
  <c r="AK83" i="4"/>
  <c r="S22" i="4"/>
  <c r="AP22" i="4"/>
  <c r="AQ22" i="4"/>
  <c r="AR22" i="4"/>
  <c r="AS22" i="4"/>
  <c r="AT22" i="4"/>
  <c r="AU22" i="4"/>
  <c r="AV22" i="4"/>
  <c r="AW22" i="4"/>
  <c r="AX22" i="4"/>
  <c r="AY22" i="4"/>
  <c r="AZ22" i="4"/>
  <c r="BA22" i="4"/>
  <c r="BB22" i="4"/>
  <c r="BC22" i="4"/>
  <c r="BD22" i="4"/>
  <c r="BE22" i="4"/>
  <c r="BF22" i="4"/>
  <c r="BG22" i="4"/>
  <c r="BH22" i="4"/>
  <c r="BI22" i="4"/>
  <c r="BJ22" i="4"/>
  <c r="BK22" i="4"/>
  <c r="BL22" i="4"/>
  <c r="BM22" i="4"/>
  <c r="BN22" i="4"/>
  <c r="BO22" i="4"/>
  <c r="BP22" i="4"/>
  <c r="BQ22" i="4"/>
  <c r="BR22" i="4"/>
  <c r="BS22" i="4"/>
  <c r="BT22" i="4"/>
  <c r="S23" i="4"/>
  <c r="T23" i="4"/>
  <c r="AP23" i="4"/>
  <c r="AQ23" i="4"/>
  <c r="AR23" i="4"/>
  <c r="AS23" i="4"/>
  <c r="AT23" i="4"/>
  <c r="AU23" i="4"/>
  <c r="AV23" i="4"/>
  <c r="AW23" i="4"/>
  <c r="AX23" i="4"/>
  <c r="AY23" i="4"/>
  <c r="AZ23" i="4"/>
  <c r="BA23" i="4"/>
  <c r="BB23" i="4"/>
  <c r="BC23" i="4"/>
  <c r="BD23" i="4"/>
  <c r="BE23" i="4"/>
  <c r="BF23" i="4"/>
  <c r="BG23" i="4"/>
  <c r="BH23" i="4"/>
  <c r="BI23" i="4"/>
  <c r="BJ23" i="4"/>
  <c r="BK23" i="4"/>
  <c r="BL23" i="4"/>
  <c r="BM23" i="4"/>
  <c r="BN23" i="4"/>
  <c r="BO23" i="4"/>
  <c r="BP23" i="4"/>
  <c r="BQ23" i="4"/>
  <c r="BR23" i="4"/>
  <c r="BS23" i="4"/>
  <c r="BT23" i="4"/>
  <c r="BT30" i="4"/>
  <c r="BT31" i="4"/>
  <c r="BT32" i="4"/>
  <c r="BT33" i="4"/>
  <c r="BT34" i="4"/>
  <c r="BT35" i="4"/>
  <c r="BT36" i="4"/>
  <c r="BT37" i="4"/>
  <c r="BT38" i="4"/>
  <c r="BT39" i="4"/>
  <c r="BT40" i="4"/>
  <c r="BT41" i="4"/>
  <c r="BT42" i="4"/>
  <c r="BT43" i="4"/>
  <c r="BT44" i="4"/>
  <c r="BT45" i="4"/>
  <c r="BT46" i="4"/>
  <c r="BT47" i="4"/>
  <c r="BT48" i="4"/>
  <c r="BT49" i="4"/>
  <c r="BT50" i="4"/>
  <c r="BT51" i="4"/>
  <c r="BT52" i="4"/>
  <c r="BT53" i="4"/>
  <c r="BT54" i="4"/>
  <c r="BT55" i="4"/>
  <c r="BT56" i="4"/>
  <c r="BT57" i="4"/>
  <c r="BT58" i="4"/>
  <c r="BT59" i="4"/>
  <c r="BT60" i="4"/>
  <c r="BT61" i="4"/>
  <c r="BT62" i="4"/>
  <c r="BT63" i="4"/>
  <c r="BT64" i="4"/>
  <c r="BT65" i="4"/>
  <c r="BT66" i="4"/>
  <c r="BT67" i="4"/>
  <c r="BT68" i="4"/>
  <c r="BT69" i="4"/>
  <c r="BT70" i="4"/>
  <c r="BT71" i="4"/>
  <c r="BT72" i="4"/>
  <c r="BT73" i="4"/>
  <c r="BT74" i="4"/>
  <c r="BT75" i="4"/>
  <c r="BT76" i="4"/>
  <c r="BT77" i="4"/>
  <c r="BT78" i="4"/>
  <c r="BT79" i="4"/>
  <c r="BT80" i="4"/>
  <c r="BT81" i="4"/>
  <c r="BT82"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29" i="4"/>
  <c r="S83" i="4"/>
  <c r="T83" i="4"/>
  <c r="U83" i="4"/>
  <c r="V83" i="4"/>
  <c r="W83" i="4"/>
  <c r="X83" i="4"/>
  <c r="Y83" i="4"/>
  <c r="Z83" i="4"/>
  <c r="AB83" i="4"/>
  <c r="AD83" i="4"/>
  <c r="S28" i="4"/>
  <c r="D68" i="4" l="1"/>
  <c r="K68" i="4"/>
  <c r="M68" i="4"/>
  <c r="D69" i="4"/>
  <c r="K69" i="4"/>
  <c r="M69" i="4"/>
  <c r="D70" i="4"/>
  <c r="K70" i="4"/>
  <c r="M70" i="4"/>
  <c r="D71" i="4"/>
  <c r="K71" i="4"/>
  <c r="M71" i="4"/>
  <c r="D72" i="4"/>
  <c r="K72" i="4"/>
  <c r="M72" i="4"/>
  <c r="D73" i="4"/>
  <c r="K73" i="4"/>
  <c r="M73" i="4"/>
  <c r="D74" i="4"/>
  <c r="M74" i="4"/>
  <c r="M45" i="4"/>
  <c r="K45" i="4"/>
  <c r="D45" i="4"/>
  <c r="BS76" i="16" l="1"/>
  <c r="BR76" i="16"/>
  <c r="BQ76" i="16"/>
  <c r="BP76" i="16"/>
  <c r="BO76" i="16"/>
  <c r="BN76" i="16"/>
  <c r="BM76" i="16"/>
  <c r="BL76" i="16"/>
  <c r="BK76" i="16"/>
  <c r="BJ76" i="16"/>
  <c r="BI76" i="16"/>
  <c r="BH76" i="16"/>
  <c r="BG76" i="16"/>
  <c r="BF76" i="16"/>
  <c r="BE76" i="16"/>
  <c r="BD76" i="16"/>
  <c r="BC76" i="16"/>
  <c r="BB76" i="16"/>
  <c r="BA76" i="16"/>
  <c r="AZ76" i="16"/>
  <c r="AY76" i="16"/>
  <c r="AX76" i="16"/>
  <c r="AW76" i="16"/>
  <c r="AV76" i="16"/>
  <c r="AU76" i="16"/>
  <c r="AT76" i="16"/>
  <c r="AS76" i="16"/>
  <c r="AR76" i="16"/>
  <c r="AQ76" i="16"/>
  <c r="AP76" i="16"/>
  <c r="AO76" i="16"/>
  <c r="AN76" i="16"/>
  <c r="AM76" i="16"/>
  <c r="AL76" i="16"/>
  <c r="AK76" i="16"/>
  <c r="AJ76" i="16"/>
  <c r="AI76" i="16"/>
  <c r="AH76" i="16"/>
  <c r="AG76" i="16"/>
  <c r="AF76" i="16"/>
  <c r="AE76" i="16"/>
  <c r="AD76" i="16"/>
  <c r="AC76" i="16"/>
  <c r="AB76" i="16"/>
  <c r="AA76" i="16"/>
  <c r="Z76" i="16"/>
  <c r="Y76" i="16"/>
  <c r="X76" i="16"/>
  <c r="W76" i="16"/>
  <c r="V76" i="16"/>
  <c r="U76" i="16"/>
  <c r="T76" i="16"/>
  <c r="S76" i="16"/>
  <c r="R76" i="16"/>
  <c r="Q76" i="16"/>
  <c r="P76" i="16"/>
  <c r="J76" i="16"/>
  <c r="I76" i="16"/>
  <c r="H76" i="16"/>
  <c r="G76" i="16"/>
  <c r="F76" i="16"/>
  <c r="E76" i="16"/>
  <c r="D76" i="16"/>
  <c r="BS75" i="16"/>
  <c r="BR75" i="16"/>
  <c r="BQ75" i="16"/>
  <c r="BP75" i="16"/>
  <c r="BO75" i="16"/>
  <c r="BN75" i="16"/>
  <c r="BM75" i="16"/>
  <c r="BL75" i="16"/>
  <c r="BK75" i="16"/>
  <c r="BJ75" i="16"/>
  <c r="BI75" i="16"/>
  <c r="BH75" i="16"/>
  <c r="BG75" i="16"/>
  <c r="BF75" i="16"/>
  <c r="BE75" i="16"/>
  <c r="BD75" i="16"/>
  <c r="BC75" i="16"/>
  <c r="BB75" i="16"/>
  <c r="BA75" i="16"/>
  <c r="AZ75" i="16"/>
  <c r="AY75" i="16"/>
  <c r="AX75" i="16"/>
  <c r="AW75" i="16"/>
  <c r="AV75" i="16"/>
  <c r="AU75" i="16"/>
  <c r="AT75" i="16"/>
  <c r="AS75" i="16"/>
  <c r="AR75" i="16"/>
  <c r="AQ75" i="16"/>
  <c r="AP75" i="16"/>
  <c r="AO75" i="16"/>
  <c r="AN75" i="16"/>
  <c r="AM75" i="16"/>
  <c r="AL75" i="16"/>
  <c r="AK75" i="16"/>
  <c r="AJ75" i="16"/>
  <c r="AI75" i="16"/>
  <c r="AH75" i="16"/>
  <c r="AG75" i="16"/>
  <c r="AF75" i="16"/>
  <c r="AE75" i="16"/>
  <c r="AD75" i="16"/>
  <c r="AC75" i="16"/>
  <c r="AB75" i="16"/>
  <c r="AA75" i="16"/>
  <c r="Z75" i="16"/>
  <c r="Y75" i="16"/>
  <c r="X75" i="16"/>
  <c r="W75" i="16"/>
  <c r="V75" i="16"/>
  <c r="U75" i="16"/>
  <c r="T75" i="16"/>
  <c r="S75" i="16"/>
  <c r="R75" i="16"/>
  <c r="Q75" i="16"/>
  <c r="P75" i="16"/>
  <c r="J75" i="16"/>
  <c r="I75" i="16"/>
  <c r="H75" i="16"/>
  <c r="G75" i="16"/>
  <c r="F75" i="16"/>
  <c r="E75" i="16"/>
  <c r="D75" i="16"/>
  <c r="BS74" i="16"/>
  <c r="BR74" i="16"/>
  <c r="BQ74" i="16"/>
  <c r="BP74" i="16"/>
  <c r="BO74" i="16"/>
  <c r="BN74" i="16"/>
  <c r="BM74" i="16"/>
  <c r="BL74" i="16"/>
  <c r="BK74" i="16"/>
  <c r="BJ74" i="16"/>
  <c r="BI74" i="16"/>
  <c r="BH74" i="16"/>
  <c r="BG74" i="16"/>
  <c r="BF74" i="16"/>
  <c r="BE74" i="16"/>
  <c r="BD74" i="16"/>
  <c r="BC74" i="16"/>
  <c r="BB74" i="16"/>
  <c r="BA74" i="16"/>
  <c r="AZ74" i="16"/>
  <c r="AY74" i="16"/>
  <c r="AX74" i="16"/>
  <c r="AW74" i="16"/>
  <c r="AV74" i="16"/>
  <c r="AU74" i="16"/>
  <c r="AT74" i="16"/>
  <c r="AS74" i="16"/>
  <c r="AR74" i="16"/>
  <c r="AQ74" i="16"/>
  <c r="AP74" i="16"/>
  <c r="AO74" i="16"/>
  <c r="AN74" i="16"/>
  <c r="AM74" i="16"/>
  <c r="AL74" i="16"/>
  <c r="AK74" i="16"/>
  <c r="AJ74" i="16"/>
  <c r="AI74" i="16"/>
  <c r="AH74" i="16"/>
  <c r="AG74" i="16"/>
  <c r="AF74" i="16"/>
  <c r="AE74" i="16"/>
  <c r="AD74" i="16"/>
  <c r="AC74" i="16"/>
  <c r="AB74" i="16"/>
  <c r="AA74" i="16"/>
  <c r="Z74" i="16"/>
  <c r="Y74" i="16"/>
  <c r="X74" i="16"/>
  <c r="W74" i="16"/>
  <c r="V74" i="16"/>
  <c r="U74" i="16"/>
  <c r="T74" i="16"/>
  <c r="S74" i="16"/>
  <c r="R74" i="16"/>
  <c r="Q74" i="16"/>
  <c r="P74" i="16"/>
  <c r="J74" i="16"/>
  <c r="I74" i="16"/>
  <c r="H74" i="16"/>
  <c r="G74" i="16"/>
  <c r="F74" i="16"/>
  <c r="E74" i="16"/>
  <c r="D74" i="16"/>
  <c r="BS73" i="16"/>
  <c r="BR73" i="16"/>
  <c r="BQ73" i="16"/>
  <c r="BP73" i="16"/>
  <c r="BO73" i="16"/>
  <c r="BN73" i="16"/>
  <c r="BM73" i="16"/>
  <c r="BL73" i="16"/>
  <c r="BK73" i="16"/>
  <c r="BJ73" i="16"/>
  <c r="BI73" i="16"/>
  <c r="BH73" i="16"/>
  <c r="BG73" i="16"/>
  <c r="BF73" i="16"/>
  <c r="BE73" i="16"/>
  <c r="BD73" i="16"/>
  <c r="BC73" i="16"/>
  <c r="BB73" i="16"/>
  <c r="BA73" i="16"/>
  <c r="AZ73" i="16"/>
  <c r="AY73" i="16"/>
  <c r="AX73" i="16"/>
  <c r="AW73" i="16"/>
  <c r="AV73" i="16"/>
  <c r="AU73" i="16"/>
  <c r="AT73" i="16"/>
  <c r="AS73" i="16"/>
  <c r="AR73" i="16"/>
  <c r="AQ73" i="16"/>
  <c r="AP73" i="16"/>
  <c r="AO73" i="16"/>
  <c r="AN73" i="16"/>
  <c r="AM73" i="16"/>
  <c r="AL73" i="16"/>
  <c r="AK73" i="16"/>
  <c r="AJ73" i="16"/>
  <c r="AI73" i="16"/>
  <c r="AH73" i="16"/>
  <c r="AG73" i="16"/>
  <c r="AF73" i="16"/>
  <c r="AE73" i="16"/>
  <c r="AD73" i="16"/>
  <c r="AC73" i="16"/>
  <c r="AB73" i="16"/>
  <c r="AA73" i="16"/>
  <c r="Z73" i="16"/>
  <c r="Y73" i="16"/>
  <c r="X73" i="16"/>
  <c r="W73" i="16"/>
  <c r="V73" i="16"/>
  <c r="U73" i="16"/>
  <c r="T73" i="16"/>
  <c r="S73" i="16"/>
  <c r="R73" i="16"/>
  <c r="Q73" i="16"/>
  <c r="P73" i="16"/>
  <c r="J73" i="16"/>
  <c r="I73" i="16"/>
  <c r="H73" i="16"/>
  <c r="G73" i="16"/>
  <c r="F73" i="16"/>
  <c r="E73" i="16"/>
  <c r="D73" i="16"/>
  <c r="BS72" i="16"/>
  <c r="BR72" i="16"/>
  <c r="BQ72" i="16"/>
  <c r="BP72" i="16"/>
  <c r="BO72" i="16"/>
  <c r="BN72" i="16"/>
  <c r="BM72" i="16"/>
  <c r="BL72" i="16"/>
  <c r="BK72" i="16"/>
  <c r="BJ72" i="16"/>
  <c r="BI72" i="16"/>
  <c r="BH72" i="16"/>
  <c r="BG72" i="16"/>
  <c r="BF72" i="16"/>
  <c r="BE72" i="16"/>
  <c r="BD72" i="16"/>
  <c r="BC72" i="16"/>
  <c r="BB72" i="16"/>
  <c r="BA72" i="16"/>
  <c r="AZ72" i="16"/>
  <c r="AY72" i="16"/>
  <c r="AX72" i="16"/>
  <c r="AW72" i="16"/>
  <c r="AV72" i="16"/>
  <c r="AU72" i="16"/>
  <c r="AT72" i="16"/>
  <c r="AS72" i="16"/>
  <c r="AR72" i="16"/>
  <c r="AQ72" i="16"/>
  <c r="AP72" i="16"/>
  <c r="AO72" i="16"/>
  <c r="AN72" i="16"/>
  <c r="AM72" i="16"/>
  <c r="AL72" i="16"/>
  <c r="AK72" i="16"/>
  <c r="AJ72" i="16"/>
  <c r="AI72" i="16"/>
  <c r="AH72" i="16"/>
  <c r="AG72" i="16"/>
  <c r="AF72" i="16"/>
  <c r="AE72" i="16"/>
  <c r="AD72" i="16"/>
  <c r="AC72" i="16"/>
  <c r="AB72" i="16"/>
  <c r="AA72" i="16"/>
  <c r="Z72" i="16"/>
  <c r="Y72" i="16"/>
  <c r="X72" i="16"/>
  <c r="W72" i="16"/>
  <c r="V72" i="16"/>
  <c r="U72" i="16"/>
  <c r="T72" i="16"/>
  <c r="S72" i="16"/>
  <c r="R72" i="16"/>
  <c r="Q72" i="16"/>
  <c r="P72" i="16"/>
  <c r="J72" i="16"/>
  <c r="I72" i="16"/>
  <c r="H72" i="16"/>
  <c r="G72" i="16"/>
  <c r="F72" i="16"/>
  <c r="E72" i="16"/>
  <c r="D72" i="16"/>
  <c r="BS71" i="16"/>
  <c r="BR71" i="16"/>
  <c r="BQ71" i="16"/>
  <c r="BP71" i="16"/>
  <c r="BO71" i="16"/>
  <c r="BN71" i="16"/>
  <c r="BM71" i="16"/>
  <c r="BL71" i="16"/>
  <c r="BK71" i="16"/>
  <c r="BJ71" i="16"/>
  <c r="BI71" i="16"/>
  <c r="BH71" i="16"/>
  <c r="BG71" i="16"/>
  <c r="BF71" i="16"/>
  <c r="BE71" i="16"/>
  <c r="BD71" i="16"/>
  <c r="BC71" i="16"/>
  <c r="BB71" i="16"/>
  <c r="BA71" i="16"/>
  <c r="AZ71" i="16"/>
  <c r="AY71" i="16"/>
  <c r="AX71" i="16"/>
  <c r="AW71" i="16"/>
  <c r="AV71" i="16"/>
  <c r="AU71" i="16"/>
  <c r="AT71" i="16"/>
  <c r="AS71" i="16"/>
  <c r="AR71" i="16"/>
  <c r="AQ71" i="16"/>
  <c r="AP71" i="16"/>
  <c r="AO71" i="16"/>
  <c r="AN71" i="16"/>
  <c r="AM71" i="16"/>
  <c r="AL71" i="16"/>
  <c r="AK71" i="16"/>
  <c r="AJ71" i="16"/>
  <c r="AI71" i="16"/>
  <c r="AH71" i="16"/>
  <c r="AG71" i="16"/>
  <c r="AF71" i="16"/>
  <c r="AE71" i="16"/>
  <c r="AD71" i="16"/>
  <c r="AC71" i="16"/>
  <c r="AB71" i="16"/>
  <c r="AA71" i="16"/>
  <c r="Z71" i="16"/>
  <c r="Y71" i="16"/>
  <c r="X71" i="16"/>
  <c r="W71" i="16"/>
  <c r="V71" i="16"/>
  <c r="U71" i="16"/>
  <c r="T71" i="16"/>
  <c r="S71" i="16"/>
  <c r="R71" i="16"/>
  <c r="Q71" i="16"/>
  <c r="P71" i="16"/>
  <c r="J71" i="16"/>
  <c r="I71" i="16"/>
  <c r="H71" i="16"/>
  <c r="G71" i="16"/>
  <c r="F71" i="16"/>
  <c r="E71" i="16"/>
  <c r="D71" i="16"/>
  <c r="BS70" i="16"/>
  <c r="BR70" i="16"/>
  <c r="BQ70" i="16"/>
  <c r="BP70" i="16"/>
  <c r="BO70" i="16"/>
  <c r="BN70" i="16"/>
  <c r="BM70" i="16"/>
  <c r="BL70" i="16"/>
  <c r="BK70" i="16"/>
  <c r="BJ70" i="16"/>
  <c r="BI70" i="16"/>
  <c r="BH70" i="16"/>
  <c r="BG70" i="16"/>
  <c r="BF70" i="16"/>
  <c r="BE70" i="16"/>
  <c r="BD70" i="16"/>
  <c r="BC70" i="16"/>
  <c r="BB70" i="16"/>
  <c r="BA70" i="16"/>
  <c r="AZ70" i="16"/>
  <c r="AY70" i="16"/>
  <c r="AX70" i="16"/>
  <c r="AW70" i="16"/>
  <c r="AV70" i="16"/>
  <c r="AU70" i="16"/>
  <c r="AT70" i="16"/>
  <c r="AS70" i="16"/>
  <c r="AR70" i="16"/>
  <c r="AQ70" i="16"/>
  <c r="AP70" i="16"/>
  <c r="AO70" i="16"/>
  <c r="AN70" i="16"/>
  <c r="AM70" i="16"/>
  <c r="AL70" i="16"/>
  <c r="AK70" i="16"/>
  <c r="AJ70" i="16"/>
  <c r="AI70" i="16"/>
  <c r="AH70" i="16"/>
  <c r="AG70" i="16"/>
  <c r="AF70" i="16"/>
  <c r="AE70" i="16"/>
  <c r="AD70" i="16"/>
  <c r="AC70" i="16"/>
  <c r="AB70" i="16"/>
  <c r="AA70" i="16"/>
  <c r="Z70" i="16"/>
  <c r="Y70" i="16"/>
  <c r="X70" i="16"/>
  <c r="W70" i="16"/>
  <c r="V70" i="16"/>
  <c r="U70" i="16"/>
  <c r="T70" i="16"/>
  <c r="S70" i="16"/>
  <c r="R70" i="16"/>
  <c r="Q70" i="16"/>
  <c r="P70" i="16"/>
  <c r="J70" i="16"/>
  <c r="I70" i="16"/>
  <c r="H70" i="16"/>
  <c r="G70" i="16"/>
  <c r="F70" i="16"/>
  <c r="E70" i="16"/>
  <c r="D70" i="16"/>
  <c r="BS69" i="16"/>
  <c r="BR69" i="16"/>
  <c r="BQ69" i="16"/>
  <c r="BP69" i="16"/>
  <c r="BO69" i="16"/>
  <c r="BN69" i="16"/>
  <c r="BM69" i="16"/>
  <c r="BL69" i="16"/>
  <c r="BK69" i="16"/>
  <c r="BJ69" i="16"/>
  <c r="BI69" i="16"/>
  <c r="BH69" i="16"/>
  <c r="BG69" i="16"/>
  <c r="BF69" i="16"/>
  <c r="BE69" i="16"/>
  <c r="BD69" i="16"/>
  <c r="BC69" i="16"/>
  <c r="BB69" i="16"/>
  <c r="BA69" i="16"/>
  <c r="AZ69" i="16"/>
  <c r="AY69" i="16"/>
  <c r="AX69" i="16"/>
  <c r="AW69" i="16"/>
  <c r="AV69" i="16"/>
  <c r="AU69" i="16"/>
  <c r="AT69" i="16"/>
  <c r="AS69" i="16"/>
  <c r="AR69" i="16"/>
  <c r="AQ69" i="16"/>
  <c r="AP69" i="16"/>
  <c r="AO69" i="16"/>
  <c r="AN69" i="16"/>
  <c r="AM69" i="16"/>
  <c r="AL69" i="16"/>
  <c r="AK69" i="16"/>
  <c r="AJ69" i="16"/>
  <c r="AI69" i="16"/>
  <c r="AH69" i="16"/>
  <c r="AG69" i="16"/>
  <c r="AF69" i="16"/>
  <c r="AE69" i="16"/>
  <c r="AD69" i="16"/>
  <c r="AC69" i="16"/>
  <c r="AB69" i="16"/>
  <c r="AA69" i="16"/>
  <c r="Z69" i="16"/>
  <c r="Y69" i="16"/>
  <c r="X69" i="16"/>
  <c r="W69" i="16"/>
  <c r="V69" i="16"/>
  <c r="U69" i="16"/>
  <c r="T69" i="16"/>
  <c r="S69" i="16"/>
  <c r="R69" i="16"/>
  <c r="Q69" i="16"/>
  <c r="P69" i="16"/>
  <c r="J69" i="16"/>
  <c r="I69" i="16"/>
  <c r="H69" i="16"/>
  <c r="G69" i="16"/>
  <c r="F69" i="16"/>
  <c r="E69" i="16"/>
  <c r="D69" i="16"/>
  <c r="BS68" i="16"/>
  <c r="BR68" i="16"/>
  <c r="BQ68" i="16"/>
  <c r="BP68" i="16"/>
  <c r="BO68" i="16"/>
  <c r="BN68" i="16"/>
  <c r="BM68" i="16"/>
  <c r="BL68" i="16"/>
  <c r="BK68" i="16"/>
  <c r="BJ68" i="16"/>
  <c r="BI68" i="16"/>
  <c r="BH68" i="16"/>
  <c r="BG68" i="16"/>
  <c r="BF68" i="16"/>
  <c r="BE68" i="16"/>
  <c r="BD68" i="16"/>
  <c r="BC68" i="16"/>
  <c r="BB68" i="16"/>
  <c r="BA68" i="16"/>
  <c r="AZ68" i="16"/>
  <c r="AY68" i="16"/>
  <c r="AX68" i="16"/>
  <c r="AW68" i="16"/>
  <c r="AV68" i="16"/>
  <c r="AU68" i="16"/>
  <c r="AT68" i="16"/>
  <c r="AS68" i="16"/>
  <c r="AR68" i="16"/>
  <c r="AQ68" i="16"/>
  <c r="AP68" i="16"/>
  <c r="AO68" i="16"/>
  <c r="AN68" i="16"/>
  <c r="AM68" i="16"/>
  <c r="AL68" i="16"/>
  <c r="AK68" i="16"/>
  <c r="AJ68" i="16"/>
  <c r="AI68" i="16"/>
  <c r="AH68" i="16"/>
  <c r="AG68" i="16"/>
  <c r="AF68" i="16"/>
  <c r="AE68" i="16"/>
  <c r="AD68" i="16"/>
  <c r="AC68" i="16"/>
  <c r="AB68" i="16"/>
  <c r="AA68" i="16"/>
  <c r="Z68" i="16"/>
  <c r="Y68" i="16"/>
  <c r="X68" i="16"/>
  <c r="W68" i="16"/>
  <c r="V68" i="16"/>
  <c r="U68" i="16"/>
  <c r="T68" i="16"/>
  <c r="S68" i="16"/>
  <c r="R68" i="16"/>
  <c r="Q68" i="16"/>
  <c r="P68" i="16"/>
  <c r="L68" i="16"/>
  <c r="K68" i="16"/>
  <c r="J68" i="16"/>
  <c r="I68" i="16"/>
  <c r="H68" i="16"/>
  <c r="G68" i="16"/>
  <c r="F68" i="16"/>
  <c r="E68" i="16"/>
  <c r="D68" i="16"/>
  <c r="BS67" i="16"/>
  <c r="BR67" i="16"/>
  <c r="BQ67" i="16"/>
  <c r="BP67" i="16"/>
  <c r="BO67" i="16"/>
  <c r="BN67" i="16"/>
  <c r="BM67" i="16"/>
  <c r="BL67" i="16"/>
  <c r="BK67" i="16"/>
  <c r="BJ67" i="16"/>
  <c r="BI67" i="16"/>
  <c r="BH67" i="16"/>
  <c r="BG67" i="16"/>
  <c r="BF67" i="16"/>
  <c r="BE67" i="16"/>
  <c r="BD67" i="16"/>
  <c r="BC67" i="16"/>
  <c r="BB67" i="16"/>
  <c r="BA67" i="16"/>
  <c r="AZ67" i="16"/>
  <c r="AY67" i="16"/>
  <c r="AX67" i="16"/>
  <c r="AW67" i="16"/>
  <c r="AV67" i="16"/>
  <c r="AU67" i="16"/>
  <c r="AT67" i="16"/>
  <c r="AS67" i="16"/>
  <c r="AR67" i="16"/>
  <c r="AQ67" i="16"/>
  <c r="AP67" i="16"/>
  <c r="AO67" i="16"/>
  <c r="AN67" i="16"/>
  <c r="AM67" i="16"/>
  <c r="AL67" i="16"/>
  <c r="AK67" i="16"/>
  <c r="AJ67" i="16"/>
  <c r="AI67" i="16"/>
  <c r="AH67" i="16"/>
  <c r="AG67" i="16"/>
  <c r="AF67" i="16"/>
  <c r="AE67" i="16"/>
  <c r="AD67" i="16"/>
  <c r="AC67" i="16"/>
  <c r="AB67" i="16"/>
  <c r="AA67" i="16"/>
  <c r="Z67" i="16"/>
  <c r="Y67" i="16"/>
  <c r="X67" i="16"/>
  <c r="W67" i="16"/>
  <c r="V67" i="16"/>
  <c r="U67" i="16"/>
  <c r="T67" i="16"/>
  <c r="S67" i="16"/>
  <c r="R67" i="16"/>
  <c r="Q67" i="16"/>
  <c r="P67" i="16"/>
  <c r="L67" i="16"/>
  <c r="K67" i="16"/>
  <c r="J67" i="16"/>
  <c r="I67" i="16"/>
  <c r="H67" i="16"/>
  <c r="G67" i="16"/>
  <c r="F67" i="16"/>
  <c r="E67" i="16"/>
  <c r="D67" i="16"/>
  <c r="BS66" i="16"/>
  <c r="BR66" i="16"/>
  <c r="BQ66" i="16"/>
  <c r="BP66" i="16"/>
  <c r="BO66" i="16"/>
  <c r="BN66" i="16"/>
  <c r="BM66" i="16"/>
  <c r="BL66" i="16"/>
  <c r="BK66" i="16"/>
  <c r="BJ66" i="16"/>
  <c r="BI66" i="16"/>
  <c r="BH66" i="16"/>
  <c r="BG66" i="16"/>
  <c r="BF66" i="16"/>
  <c r="BE66" i="16"/>
  <c r="BD66" i="16"/>
  <c r="BC66" i="16"/>
  <c r="BB66" i="16"/>
  <c r="BA66" i="16"/>
  <c r="AZ66" i="16"/>
  <c r="AY66" i="16"/>
  <c r="AX66" i="16"/>
  <c r="AW66" i="16"/>
  <c r="AV66" i="16"/>
  <c r="AU66" i="16"/>
  <c r="AT66" i="16"/>
  <c r="AS66" i="16"/>
  <c r="AR66" i="16"/>
  <c r="AQ66" i="16"/>
  <c r="AP66" i="16"/>
  <c r="AO66" i="16"/>
  <c r="AN66" i="16"/>
  <c r="AM66" i="16"/>
  <c r="AL66" i="16"/>
  <c r="AK66" i="16"/>
  <c r="AJ66" i="16"/>
  <c r="AI66" i="16"/>
  <c r="AH66" i="16"/>
  <c r="AG66" i="16"/>
  <c r="AF66" i="16"/>
  <c r="AE66" i="16"/>
  <c r="AD66" i="16"/>
  <c r="AC66" i="16"/>
  <c r="AB66" i="16"/>
  <c r="AA66" i="16"/>
  <c r="Z66" i="16"/>
  <c r="Y66" i="16"/>
  <c r="X66" i="16"/>
  <c r="W66" i="16"/>
  <c r="V66" i="16"/>
  <c r="U66" i="16"/>
  <c r="T66" i="16"/>
  <c r="S66" i="16"/>
  <c r="R66" i="16"/>
  <c r="Q66" i="16"/>
  <c r="P66" i="16"/>
  <c r="J66" i="16"/>
  <c r="I66" i="16"/>
  <c r="H66" i="16"/>
  <c r="G66" i="16"/>
  <c r="F66" i="16"/>
  <c r="E66" i="16"/>
  <c r="D66" i="16"/>
  <c r="BS65" i="16"/>
  <c r="BR65" i="16"/>
  <c r="BQ65" i="16"/>
  <c r="BP65" i="16"/>
  <c r="BO65" i="16"/>
  <c r="BN65" i="16"/>
  <c r="BM65" i="16"/>
  <c r="BL65" i="16"/>
  <c r="BK65" i="16"/>
  <c r="BJ65" i="16"/>
  <c r="BI65" i="16"/>
  <c r="BH65" i="16"/>
  <c r="BG65" i="16"/>
  <c r="BF65" i="16"/>
  <c r="BE65" i="16"/>
  <c r="BD65" i="16"/>
  <c r="BC65" i="16"/>
  <c r="BB65" i="16"/>
  <c r="BA65" i="16"/>
  <c r="AZ65" i="16"/>
  <c r="AY65" i="16"/>
  <c r="AX65" i="16"/>
  <c r="AW65" i="16"/>
  <c r="AV65" i="16"/>
  <c r="AU65" i="16"/>
  <c r="AT65" i="16"/>
  <c r="AS65" i="16"/>
  <c r="AR65" i="16"/>
  <c r="AQ65" i="16"/>
  <c r="AP65" i="16"/>
  <c r="AO65" i="16"/>
  <c r="AN65" i="16"/>
  <c r="AM65" i="16"/>
  <c r="AL65" i="16"/>
  <c r="AK65" i="16"/>
  <c r="AJ65" i="16"/>
  <c r="AI65" i="16"/>
  <c r="AH65" i="16"/>
  <c r="AG65" i="16"/>
  <c r="AF65" i="16"/>
  <c r="AE65" i="16"/>
  <c r="AD65" i="16"/>
  <c r="AC65" i="16"/>
  <c r="AB65" i="16"/>
  <c r="AA65" i="16"/>
  <c r="Z65" i="16"/>
  <c r="Y65" i="16"/>
  <c r="X65" i="16"/>
  <c r="W65" i="16"/>
  <c r="V65" i="16"/>
  <c r="U65" i="16"/>
  <c r="T65" i="16"/>
  <c r="S65" i="16"/>
  <c r="R65" i="16"/>
  <c r="Q65" i="16"/>
  <c r="P65" i="16"/>
  <c r="L65" i="16"/>
  <c r="K65" i="16"/>
  <c r="J65" i="16"/>
  <c r="I65" i="16"/>
  <c r="H65" i="16"/>
  <c r="G65" i="16"/>
  <c r="F65" i="16"/>
  <c r="E65" i="16"/>
  <c r="D65" i="16"/>
  <c r="BS64" i="16"/>
  <c r="BR64" i="16"/>
  <c r="BQ64" i="16"/>
  <c r="BP64" i="16"/>
  <c r="BO64" i="16"/>
  <c r="BN64" i="16"/>
  <c r="BM64" i="16"/>
  <c r="BL64" i="16"/>
  <c r="BK64" i="16"/>
  <c r="BJ64" i="16"/>
  <c r="BI64" i="16"/>
  <c r="BH64" i="16"/>
  <c r="BG64" i="16"/>
  <c r="BF64" i="16"/>
  <c r="BE64" i="16"/>
  <c r="BD64" i="16"/>
  <c r="BC64" i="16"/>
  <c r="BB64" i="16"/>
  <c r="BA64" i="16"/>
  <c r="AZ64" i="16"/>
  <c r="AY64" i="16"/>
  <c r="AX64" i="16"/>
  <c r="AW64" i="16"/>
  <c r="AV64" i="16"/>
  <c r="AU64" i="16"/>
  <c r="AT64" i="16"/>
  <c r="AS64" i="16"/>
  <c r="AR64" i="16"/>
  <c r="AQ64" i="16"/>
  <c r="AP64" i="16"/>
  <c r="AO64" i="16"/>
  <c r="AN64" i="16"/>
  <c r="AM64" i="16"/>
  <c r="AL64" i="16"/>
  <c r="AK64" i="16"/>
  <c r="AJ64" i="16"/>
  <c r="AI64" i="16"/>
  <c r="AH64" i="16"/>
  <c r="AG64" i="16"/>
  <c r="AF64" i="16"/>
  <c r="AE64" i="16"/>
  <c r="AD64" i="16"/>
  <c r="AC64" i="16"/>
  <c r="AB64" i="16"/>
  <c r="AA64" i="16"/>
  <c r="Z64" i="16"/>
  <c r="Y64" i="16"/>
  <c r="X64" i="16"/>
  <c r="W64" i="16"/>
  <c r="V64" i="16"/>
  <c r="U64" i="16"/>
  <c r="T64" i="16"/>
  <c r="S64" i="16"/>
  <c r="R64" i="16"/>
  <c r="Q64" i="16"/>
  <c r="P64" i="16"/>
  <c r="L64" i="16"/>
  <c r="K64" i="16"/>
  <c r="J64" i="16"/>
  <c r="I64" i="16"/>
  <c r="H64" i="16"/>
  <c r="G64" i="16"/>
  <c r="F64" i="16"/>
  <c r="E64" i="16"/>
  <c r="D64" i="16"/>
  <c r="BS63" i="16"/>
  <c r="BR63" i="16"/>
  <c r="BQ63" i="16"/>
  <c r="BP63" i="16"/>
  <c r="BO63" i="16"/>
  <c r="BN63" i="16"/>
  <c r="BM63" i="16"/>
  <c r="BL63" i="16"/>
  <c r="BK63" i="16"/>
  <c r="BJ63" i="16"/>
  <c r="BI63" i="16"/>
  <c r="BH63" i="16"/>
  <c r="BG63" i="16"/>
  <c r="BF63" i="16"/>
  <c r="BE63" i="16"/>
  <c r="BD63" i="16"/>
  <c r="BC63" i="16"/>
  <c r="BB63" i="16"/>
  <c r="BA63" i="16"/>
  <c r="AZ63" i="16"/>
  <c r="AY63" i="16"/>
  <c r="AX63" i="16"/>
  <c r="AW63" i="16"/>
  <c r="AV63" i="16"/>
  <c r="AU63" i="16"/>
  <c r="AT63" i="16"/>
  <c r="AS63" i="16"/>
  <c r="AR63" i="16"/>
  <c r="AQ63" i="16"/>
  <c r="AP63" i="16"/>
  <c r="AO63" i="16"/>
  <c r="AN63" i="16"/>
  <c r="AM63" i="16"/>
  <c r="AL63" i="16"/>
  <c r="AK63" i="16"/>
  <c r="AJ63" i="16"/>
  <c r="AI63" i="16"/>
  <c r="AH63" i="16"/>
  <c r="AG63" i="16"/>
  <c r="AF63" i="16"/>
  <c r="AE63" i="16"/>
  <c r="AD63" i="16"/>
  <c r="AC63" i="16"/>
  <c r="AB63" i="16"/>
  <c r="AA63" i="16"/>
  <c r="Z63" i="16"/>
  <c r="Y63" i="16"/>
  <c r="X63" i="16"/>
  <c r="W63" i="16"/>
  <c r="V63" i="16"/>
  <c r="U63" i="16"/>
  <c r="T63" i="16"/>
  <c r="S63" i="16"/>
  <c r="R63" i="16"/>
  <c r="Q63" i="16"/>
  <c r="P63" i="16"/>
  <c r="L63" i="16"/>
  <c r="K63" i="16"/>
  <c r="J63" i="16"/>
  <c r="I63" i="16"/>
  <c r="H63" i="16"/>
  <c r="G63" i="16"/>
  <c r="F63" i="16"/>
  <c r="E63" i="16"/>
  <c r="D63" i="16"/>
  <c r="BS62" i="16"/>
  <c r="BR62" i="16"/>
  <c r="BQ62" i="16"/>
  <c r="BP62" i="16"/>
  <c r="BO62" i="16"/>
  <c r="BN62" i="16"/>
  <c r="BM62" i="16"/>
  <c r="BL62" i="16"/>
  <c r="BK62" i="16"/>
  <c r="BJ62" i="16"/>
  <c r="BI62" i="16"/>
  <c r="BH62" i="16"/>
  <c r="BG62" i="16"/>
  <c r="BF62" i="16"/>
  <c r="BE62" i="16"/>
  <c r="BD62" i="16"/>
  <c r="BC62" i="16"/>
  <c r="BB62" i="16"/>
  <c r="BA62" i="16"/>
  <c r="AZ62" i="16"/>
  <c r="AY62" i="16"/>
  <c r="AX62" i="16"/>
  <c r="AW62" i="16"/>
  <c r="AV62" i="16"/>
  <c r="AU62" i="16"/>
  <c r="AT62" i="16"/>
  <c r="AS62" i="16"/>
  <c r="AR62" i="16"/>
  <c r="AQ62" i="16"/>
  <c r="AP62" i="16"/>
  <c r="AO62" i="16"/>
  <c r="AN62" i="16"/>
  <c r="AM62" i="16"/>
  <c r="AL62" i="16"/>
  <c r="AK62" i="16"/>
  <c r="AJ62" i="16"/>
  <c r="AI62" i="16"/>
  <c r="AH62" i="16"/>
  <c r="AG62" i="16"/>
  <c r="AF62" i="16"/>
  <c r="AE62" i="16"/>
  <c r="AD62" i="16"/>
  <c r="AC62" i="16"/>
  <c r="AB62" i="16"/>
  <c r="AA62" i="16"/>
  <c r="Z62" i="16"/>
  <c r="Y62" i="16"/>
  <c r="X62" i="16"/>
  <c r="W62" i="16"/>
  <c r="V62" i="16"/>
  <c r="U62" i="16"/>
  <c r="T62" i="16"/>
  <c r="S62" i="16"/>
  <c r="R62" i="16"/>
  <c r="Q62" i="16"/>
  <c r="P62" i="16"/>
  <c r="L62" i="16"/>
  <c r="K62" i="16"/>
  <c r="J62" i="16"/>
  <c r="I62" i="16"/>
  <c r="H62" i="16"/>
  <c r="G62" i="16"/>
  <c r="F62" i="16"/>
  <c r="E62" i="16"/>
  <c r="D62" i="16"/>
  <c r="BS61" i="16"/>
  <c r="BR61" i="16"/>
  <c r="BQ61" i="16"/>
  <c r="BP61" i="16"/>
  <c r="BO61" i="16"/>
  <c r="BN61" i="16"/>
  <c r="BM61" i="16"/>
  <c r="BL61" i="16"/>
  <c r="BK61" i="16"/>
  <c r="BJ61" i="16"/>
  <c r="BI61" i="16"/>
  <c r="BH61" i="16"/>
  <c r="BG61" i="16"/>
  <c r="BF61" i="16"/>
  <c r="BE61" i="16"/>
  <c r="BD61" i="16"/>
  <c r="BC61" i="16"/>
  <c r="BB61" i="16"/>
  <c r="BA61" i="16"/>
  <c r="AZ61" i="16"/>
  <c r="AY61" i="16"/>
  <c r="AX61" i="16"/>
  <c r="AW61" i="16"/>
  <c r="AV61" i="16"/>
  <c r="AU61" i="16"/>
  <c r="AT61" i="16"/>
  <c r="AS61" i="16"/>
  <c r="AR61" i="16"/>
  <c r="AQ61" i="16"/>
  <c r="AP61" i="16"/>
  <c r="AO61" i="16"/>
  <c r="AN61" i="16"/>
  <c r="AM61" i="16"/>
  <c r="AL61" i="16"/>
  <c r="AK61" i="16"/>
  <c r="AJ61" i="16"/>
  <c r="AI61" i="16"/>
  <c r="AH61" i="16"/>
  <c r="AG61" i="16"/>
  <c r="AF61" i="16"/>
  <c r="AE61" i="16"/>
  <c r="AD61" i="16"/>
  <c r="AC61" i="16"/>
  <c r="AB61" i="16"/>
  <c r="AA61" i="16"/>
  <c r="Z61" i="16"/>
  <c r="Y61" i="16"/>
  <c r="X61" i="16"/>
  <c r="W61" i="16"/>
  <c r="V61" i="16"/>
  <c r="U61" i="16"/>
  <c r="T61" i="16"/>
  <c r="S61" i="16"/>
  <c r="R61" i="16"/>
  <c r="Q61" i="16"/>
  <c r="P61" i="16"/>
  <c r="L61" i="16"/>
  <c r="K61" i="16"/>
  <c r="J61" i="16"/>
  <c r="I61" i="16"/>
  <c r="H61" i="16"/>
  <c r="G61" i="16"/>
  <c r="F61" i="16"/>
  <c r="E61" i="16"/>
  <c r="D61" i="16"/>
  <c r="BS60" i="16"/>
  <c r="BR60" i="16"/>
  <c r="BQ60" i="16"/>
  <c r="BP60" i="16"/>
  <c r="BO60" i="16"/>
  <c r="BN60" i="16"/>
  <c r="BM60" i="16"/>
  <c r="BL60" i="16"/>
  <c r="BK60" i="16"/>
  <c r="BJ60" i="16"/>
  <c r="BI60" i="16"/>
  <c r="BH60" i="16"/>
  <c r="BG60" i="16"/>
  <c r="BF60" i="16"/>
  <c r="BE60" i="16"/>
  <c r="BD60" i="16"/>
  <c r="BC60" i="16"/>
  <c r="BB60" i="16"/>
  <c r="BA60" i="16"/>
  <c r="AZ60" i="16"/>
  <c r="AY60" i="16"/>
  <c r="AX60" i="16"/>
  <c r="AW60" i="16"/>
  <c r="AV60" i="16"/>
  <c r="AU60" i="16"/>
  <c r="AT60" i="16"/>
  <c r="AS60" i="16"/>
  <c r="AR60" i="16"/>
  <c r="AQ60" i="16"/>
  <c r="AP60" i="16"/>
  <c r="AO60" i="16"/>
  <c r="AN60" i="16"/>
  <c r="AM60" i="16"/>
  <c r="AL60" i="16"/>
  <c r="AK60" i="16"/>
  <c r="AJ60" i="16"/>
  <c r="AI60" i="16"/>
  <c r="AH60" i="16"/>
  <c r="AG60" i="16"/>
  <c r="AF60" i="16"/>
  <c r="AE60" i="16"/>
  <c r="AD60" i="16"/>
  <c r="AC60" i="16"/>
  <c r="AB60" i="16"/>
  <c r="AA60" i="16"/>
  <c r="Z60" i="16"/>
  <c r="Y60" i="16"/>
  <c r="X60" i="16"/>
  <c r="W60" i="16"/>
  <c r="V60" i="16"/>
  <c r="U60" i="16"/>
  <c r="T60" i="16"/>
  <c r="S60" i="16"/>
  <c r="R60" i="16"/>
  <c r="Q60" i="16"/>
  <c r="P60" i="16"/>
  <c r="L60" i="16"/>
  <c r="K60" i="16"/>
  <c r="J60" i="16"/>
  <c r="I60" i="16"/>
  <c r="H60" i="16"/>
  <c r="G60" i="16"/>
  <c r="F60" i="16"/>
  <c r="E60" i="16"/>
  <c r="D60" i="16"/>
  <c r="BS59" i="16"/>
  <c r="BR59" i="16"/>
  <c r="BQ59" i="16"/>
  <c r="BP59" i="16"/>
  <c r="BO59" i="16"/>
  <c r="BN59" i="16"/>
  <c r="BM59" i="16"/>
  <c r="BL59" i="16"/>
  <c r="BK59" i="16"/>
  <c r="BJ59" i="16"/>
  <c r="BI59" i="16"/>
  <c r="BH59" i="16"/>
  <c r="BG59" i="16"/>
  <c r="BF59" i="16"/>
  <c r="BE59" i="16"/>
  <c r="BD59" i="16"/>
  <c r="BC59" i="16"/>
  <c r="BB59" i="16"/>
  <c r="BA59" i="16"/>
  <c r="AZ59" i="16"/>
  <c r="AY59" i="16"/>
  <c r="AX59" i="16"/>
  <c r="AW59" i="16"/>
  <c r="AV59" i="16"/>
  <c r="AU59" i="16"/>
  <c r="AT59" i="16"/>
  <c r="AS59" i="16"/>
  <c r="AR59" i="16"/>
  <c r="AQ59" i="16"/>
  <c r="AP59" i="16"/>
  <c r="AO59" i="16"/>
  <c r="AN59" i="16"/>
  <c r="AM59" i="16"/>
  <c r="AL59" i="16"/>
  <c r="AK59" i="16"/>
  <c r="AJ59" i="16"/>
  <c r="AI59" i="16"/>
  <c r="AH59" i="16"/>
  <c r="AG59" i="16"/>
  <c r="AF59" i="16"/>
  <c r="AE59" i="16"/>
  <c r="AD59" i="16"/>
  <c r="AC59" i="16"/>
  <c r="AB59" i="16"/>
  <c r="AA59" i="16"/>
  <c r="Z59" i="16"/>
  <c r="Y59" i="16"/>
  <c r="X59" i="16"/>
  <c r="W59" i="16"/>
  <c r="V59" i="16"/>
  <c r="U59" i="16"/>
  <c r="T59" i="16"/>
  <c r="S59" i="16"/>
  <c r="R59" i="16"/>
  <c r="Q59" i="16"/>
  <c r="P59" i="16"/>
  <c r="L59" i="16"/>
  <c r="K59" i="16"/>
  <c r="J59" i="16"/>
  <c r="I59" i="16"/>
  <c r="H59" i="16"/>
  <c r="G59" i="16"/>
  <c r="F59" i="16"/>
  <c r="E59" i="16"/>
  <c r="D59" i="16"/>
  <c r="BS58" i="16"/>
  <c r="BR58" i="16"/>
  <c r="BQ58" i="16"/>
  <c r="BP58" i="16"/>
  <c r="BO58" i="16"/>
  <c r="BN58" i="16"/>
  <c r="BM58" i="16"/>
  <c r="BL58" i="16"/>
  <c r="BK58" i="16"/>
  <c r="BJ58" i="16"/>
  <c r="BI58" i="16"/>
  <c r="BH58" i="16"/>
  <c r="BG58" i="16"/>
  <c r="BF58" i="16"/>
  <c r="BE58" i="16"/>
  <c r="BD58" i="16"/>
  <c r="BC58" i="16"/>
  <c r="BB58" i="16"/>
  <c r="BA58" i="16"/>
  <c r="AZ58" i="16"/>
  <c r="AY58" i="16"/>
  <c r="AX58" i="16"/>
  <c r="AW58" i="16"/>
  <c r="AV58" i="16"/>
  <c r="AU58" i="16"/>
  <c r="AT58" i="16"/>
  <c r="AS58" i="16"/>
  <c r="AR58" i="16"/>
  <c r="AQ58" i="16"/>
  <c r="AP58" i="16"/>
  <c r="AO58" i="16"/>
  <c r="AN58" i="16"/>
  <c r="AM58" i="16"/>
  <c r="AL58" i="16"/>
  <c r="AK58" i="16"/>
  <c r="AJ58" i="16"/>
  <c r="AI58" i="16"/>
  <c r="AH58" i="16"/>
  <c r="AG58" i="16"/>
  <c r="AF58" i="16"/>
  <c r="AE58" i="16"/>
  <c r="AD58" i="16"/>
  <c r="AC58" i="16"/>
  <c r="AB58" i="16"/>
  <c r="AA58" i="16"/>
  <c r="Z58" i="16"/>
  <c r="Y58" i="16"/>
  <c r="X58" i="16"/>
  <c r="W58" i="16"/>
  <c r="V58" i="16"/>
  <c r="U58" i="16"/>
  <c r="T58" i="16"/>
  <c r="S58" i="16"/>
  <c r="R58" i="16"/>
  <c r="Q58" i="16"/>
  <c r="P58" i="16"/>
  <c r="L58" i="16"/>
  <c r="K58" i="16"/>
  <c r="J58" i="16"/>
  <c r="I58" i="16"/>
  <c r="H58" i="16"/>
  <c r="G58" i="16"/>
  <c r="F58" i="16"/>
  <c r="E58" i="16"/>
  <c r="D58" i="16"/>
  <c r="BS57" i="16"/>
  <c r="BR57" i="16"/>
  <c r="BQ57" i="16"/>
  <c r="BP57" i="16"/>
  <c r="BO57" i="16"/>
  <c r="BN57" i="16"/>
  <c r="BM57" i="16"/>
  <c r="BL57" i="16"/>
  <c r="BK57" i="16"/>
  <c r="BJ57" i="16"/>
  <c r="BI57" i="16"/>
  <c r="BH57" i="16"/>
  <c r="BG57" i="16"/>
  <c r="BF57" i="16"/>
  <c r="BE57" i="16"/>
  <c r="BD57" i="16"/>
  <c r="BC57" i="16"/>
  <c r="BB57" i="16"/>
  <c r="BA57" i="16"/>
  <c r="AZ57" i="16"/>
  <c r="AY57" i="16"/>
  <c r="AX57" i="16"/>
  <c r="AW57" i="16"/>
  <c r="AV57" i="16"/>
  <c r="AU57" i="16"/>
  <c r="AT57" i="16"/>
  <c r="AS57" i="16"/>
  <c r="AR57" i="16"/>
  <c r="AQ57" i="16"/>
  <c r="AP57" i="16"/>
  <c r="AO57" i="16"/>
  <c r="AN57" i="16"/>
  <c r="AM57" i="16"/>
  <c r="AL57" i="16"/>
  <c r="AK57" i="16"/>
  <c r="AJ57" i="16"/>
  <c r="AI57" i="16"/>
  <c r="AH57" i="16"/>
  <c r="AG57" i="16"/>
  <c r="AF57" i="16"/>
  <c r="AE57" i="16"/>
  <c r="AD57" i="16"/>
  <c r="AC57" i="16"/>
  <c r="AB57" i="16"/>
  <c r="AA57" i="16"/>
  <c r="Z57" i="16"/>
  <c r="Y57" i="16"/>
  <c r="X57" i="16"/>
  <c r="W57" i="16"/>
  <c r="V57" i="16"/>
  <c r="U57" i="16"/>
  <c r="T57" i="16"/>
  <c r="S57" i="16"/>
  <c r="R57" i="16"/>
  <c r="Q57" i="16"/>
  <c r="P57" i="16"/>
  <c r="L57" i="16"/>
  <c r="K57" i="16"/>
  <c r="J57" i="16"/>
  <c r="I57" i="16"/>
  <c r="H57" i="16"/>
  <c r="G57" i="16"/>
  <c r="F57" i="16"/>
  <c r="E57" i="16"/>
  <c r="D57" i="16"/>
  <c r="BS56" i="16"/>
  <c r="BR56" i="16"/>
  <c r="BQ56" i="16"/>
  <c r="BP56" i="16"/>
  <c r="BO56" i="16"/>
  <c r="BN56" i="16"/>
  <c r="BM56" i="16"/>
  <c r="BL56" i="16"/>
  <c r="BK56" i="16"/>
  <c r="BJ56" i="16"/>
  <c r="BI56" i="16"/>
  <c r="BH56" i="16"/>
  <c r="BG56" i="16"/>
  <c r="BF56" i="16"/>
  <c r="BE56" i="16"/>
  <c r="BD56" i="16"/>
  <c r="BC56" i="16"/>
  <c r="BB56" i="16"/>
  <c r="BA56" i="16"/>
  <c r="AZ56" i="16"/>
  <c r="AY56" i="16"/>
  <c r="AX56" i="16"/>
  <c r="AW56" i="16"/>
  <c r="AV56" i="16"/>
  <c r="AU56" i="16"/>
  <c r="AT56" i="16"/>
  <c r="AS56" i="16"/>
  <c r="AR56" i="16"/>
  <c r="AQ56" i="16"/>
  <c r="AP56" i="16"/>
  <c r="AO56" i="16"/>
  <c r="AN56" i="16"/>
  <c r="AM56" i="16"/>
  <c r="AL56" i="16"/>
  <c r="AK56" i="16"/>
  <c r="AJ56" i="16"/>
  <c r="AI56" i="16"/>
  <c r="AH56" i="16"/>
  <c r="AG56" i="16"/>
  <c r="AF56" i="16"/>
  <c r="AE56" i="16"/>
  <c r="AD56" i="16"/>
  <c r="AC56" i="16"/>
  <c r="AB56" i="16"/>
  <c r="AA56" i="16"/>
  <c r="Z56" i="16"/>
  <c r="Y56" i="16"/>
  <c r="X56" i="16"/>
  <c r="W56" i="16"/>
  <c r="V56" i="16"/>
  <c r="U56" i="16"/>
  <c r="T56" i="16"/>
  <c r="S56" i="16"/>
  <c r="R56" i="16"/>
  <c r="Q56" i="16"/>
  <c r="P56" i="16"/>
  <c r="L56" i="16"/>
  <c r="K56" i="16"/>
  <c r="J56" i="16"/>
  <c r="I56" i="16"/>
  <c r="H56" i="16"/>
  <c r="G56" i="16"/>
  <c r="F56" i="16"/>
  <c r="E56" i="16"/>
  <c r="D56" i="16"/>
  <c r="BS55" i="16"/>
  <c r="BR55" i="16"/>
  <c r="BQ55" i="16"/>
  <c r="BP55" i="16"/>
  <c r="BO55" i="16"/>
  <c r="BN55" i="16"/>
  <c r="BM55" i="16"/>
  <c r="BL55" i="16"/>
  <c r="BK55" i="16"/>
  <c r="BJ55" i="16"/>
  <c r="BI55" i="16"/>
  <c r="BH55" i="16"/>
  <c r="BG55" i="16"/>
  <c r="BF55" i="16"/>
  <c r="BE55" i="16"/>
  <c r="BD55" i="16"/>
  <c r="BC55" i="16"/>
  <c r="BB55" i="16"/>
  <c r="BA55" i="16"/>
  <c r="AZ55" i="16"/>
  <c r="AY55" i="16"/>
  <c r="AX55" i="16"/>
  <c r="AW55" i="16"/>
  <c r="AV55" i="16"/>
  <c r="AU55" i="16"/>
  <c r="AT55" i="16"/>
  <c r="AS55" i="16"/>
  <c r="AR55" i="16"/>
  <c r="AQ55" i="16"/>
  <c r="AP55" i="16"/>
  <c r="AO55" i="16"/>
  <c r="AN55" i="16"/>
  <c r="AM55" i="16"/>
  <c r="AL55" i="16"/>
  <c r="AK55" i="16"/>
  <c r="AJ55" i="16"/>
  <c r="AI55" i="16"/>
  <c r="AH55" i="16"/>
  <c r="AG55" i="16"/>
  <c r="AF55" i="16"/>
  <c r="AE55" i="16"/>
  <c r="AD55" i="16"/>
  <c r="AC55" i="16"/>
  <c r="AB55" i="16"/>
  <c r="AA55" i="16"/>
  <c r="Z55" i="16"/>
  <c r="Y55" i="16"/>
  <c r="X55" i="16"/>
  <c r="W55" i="16"/>
  <c r="V55" i="16"/>
  <c r="U55" i="16"/>
  <c r="T55" i="16"/>
  <c r="S55" i="16"/>
  <c r="R55" i="16"/>
  <c r="Q55" i="16"/>
  <c r="P55" i="16"/>
  <c r="L55" i="16"/>
  <c r="K55" i="16"/>
  <c r="J55" i="16"/>
  <c r="I55" i="16"/>
  <c r="H55" i="16"/>
  <c r="G55" i="16"/>
  <c r="F55" i="16"/>
  <c r="E55" i="16"/>
  <c r="D55" i="16"/>
  <c r="BS54" i="16"/>
  <c r="BR54" i="16"/>
  <c r="BQ54" i="16"/>
  <c r="BP54" i="16"/>
  <c r="BO54" i="16"/>
  <c r="BN54" i="16"/>
  <c r="BM54" i="16"/>
  <c r="BL54" i="16"/>
  <c r="BK54" i="16"/>
  <c r="BJ54" i="16"/>
  <c r="BI54" i="16"/>
  <c r="BH54" i="16"/>
  <c r="BG54" i="16"/>
  <c r="BF54" i="16"/>
  <c r="BE54" i="16"/>
  <c r="BD54" i="16"/>
  <c r="BC54" i="16"/>
  <c r="BB54" i="16"/>
  <c r="BA54" i="16"/>
  <c r="AZ54" i="16"/>
  <c r="AY54" i="16"/>
  <c r="AX54" i="16"/>
  <c r="AW54" i="16"/>
  <c r="AV54" i="16"/>
  <c r="AU54" i="16"/>
  <c r="AT54" i="16"/>
  <c r="AS54" i="16"/>
  <c r="AR54" i="16"/>
  <c r="AQ54" i="16"/>
  <c r="AP54" i="16"/>
  <c r="AO54" i="16"/>
  <c r="AN54" i="16"/>
  <c r="AM54" i="16"/>
  <c r="AL54" i="16"/>
  <c r="AK54" i="16"/>
  <c r="AJ54" i="16"/>
  <c r="AI54" i="16"/>
  <c r="AH54" i="16"/>
  <c r="AG54" i="16"/>
  <c r="AF54" i="16"/>
  <c r="AE54" i="16"/>
  <c r="AD54" i="16"/>
  <c r="AC54" i="16"/>
  <c r="AB54" i="16"/>
  <c r="AA54" i="16"/>
  <c r="Z54" i="16"/>
  <c r="Y54" i="16"/>
  <c r="X54" i="16"/>
  <c r="W54" i="16"/>
  <c r="V54" i="16"/>
  <c r="U54" i="16"/>
  <c r="T54" i="16"/>
  <c r="S54" i="16"/>
  <c r="R54" i="16"/>
  <c r="Q54" i="16"/>
  <c r="P54" i="16"/>
  <c r="L54" i="16"/>
  <c r="K54" i="16"/>
  <c r="J54" i="16"/>
  <c r="I54" i="16"/>
  <c r="H54" i="16"/>
  <c r="G54" i="16"/>
  <c r="F54" i="16"/>
  <c r="E54" i="16"/>
  <c r="D54" i="16"/>
  <c r="BS53" i="16"/>
  <c r="BR53" i="16"/>
  <c r="BQ53" i="16"/>
  <c r="BP53" i="16"/>
  <c r="BO53" i="16"/>
  <c r="BN53" i="16"/>
  <c r="BM53" i="16"/>
  <c r="BL53" i="16"/>
  <c r="BK53" i="16"/>
  <c r="BJ53" i="16"/>
  <c r="BI53" i="16"/>
  <c r="BH53" i="16"/>
  <c r="BG53" i="16"/>
  <c r="BF53" i="16"/>
  <c r="BE53" i="16"/>
  <c r="BD53" i="16"/>
  <c r="BC53" i="16"/>
  <c r="BB53" i="16"/>
  <c r="BA53" i="16"/>
  <c r="AZ53" i="16"/>
  <c r="AY53" i="16"/>
  <c r="AX53" i="16"/>
  <c r="AW53" i="16"/>
  <c r="AV53" i="16"/>
  <c r="AU53" i="16"/>
  <c r="AT53" i="16"/>
  <c r="AS53" i="16"/>
  <c r="AR53" i="16"/>
  <c r="AQ53" i="16"/>
  <c r="AP53" i="16"/>
  <c r="AO53" i="16"/>
  <c r="AN53" i="16"/>
  <c r="AM53" i="16"/>
  <c r="AL53" i="16"/>
  <c r="AK53" i="16"/>
  <c r="AJ53" i="16"/>
  <c r="AI53" i="16"/>
  <c r="AH53" i="16"/>
  <c r="AG53" i="16"/>
  <c r="AF53" i="16"/>
  <c r="AE53" i="16"/>
  <c r="AD53" i="16"/>
  <c r="AC53" i="16"/>
  <c r="AB53" i="16"/>
  <c r="AA53" i="16"/>
  <c r="Z53" i="16"/>
  <c r="Y53" i="16"/>
  <c r="X53" i="16"/>
  <c r="W53" i="16"/>
  <c r="V53" i="16"/>
  <c r="U53" i="16"/>
  <c r="T53" i="16"/>
  <c r="S53" i="16"/>
  <c r="R53" i="16"/>
  <c r="Q53" i="16"/>
  <c r="P53" i="16"/>
  <c r="L53" i="16"/>
  <c r="K53" i="16"/>
  <c r="J53" i="16"/>
  <c r="I53" i="16"/>
  <c r="H53" i="16"/>
  <c r="G53" i="16"/>
  <c r="F53" i="16"/>
  <c r="E53" i="16"/>
  <c r="D53" i="16"/>
  <c r="BS52" i="16"/>
  <c r="BR52" i="16"/>
  <c r="BQ52" i="16"/>
  <c r="BP52" i="16"/>
  <c r="BO52" i="16"/>
  <c r="BN52" i="16"/>
  <c r="BM52" i="16"/>
  <c r="BL52" i="16"/>
  <c r="BK52" i="16"/>
  <c r="BJ52" i="16"/>
  <c r="BI52" i="16"/>
  <c r="BH52" i="16"/>
  <c r="BG52" i="16"/>
  <c r="BF52" i="16"/>
  <c r="BE52" i="16"/>
  <c r="BD52" i="16"/>
  <c r="BC52" i="16"/>
  <c r="BB52" i="16"/>
  <c r="BA52" i="16"/>
  <c r="AZ52" i="16"/>
  <c r="AY52" i="16"/>
  <c r="AX52" i="16"/>
  <c r="AW52" i="16"/>
  <c r="AV52" i="16"/>
  <c r="AU52" i="16"/>
  <c r="AT52" i="16"/>
  <c r="AS52" i="16"/>
  <c r="AR52" i="16"/>
  <c r="AQ52" i="16"/>
  <c r="AP52" i="16"/>
  <c r="AO52" i="16"/>
  <c r="AN52" i="16"/>
  <c r="AM52" i="16"/>
  <c r="AL52" i="16"/>
  <c r="AK52" i="16"/>
  <c r="AJ52" i="16"/>
  <c r="AI52" i="16"/>
  <c r="AH52" i="16"/>
  <c r="AG52" i="16"/>
  <c r="AF52" i="16"/>
  <c r="AE52" i="16"/>
  <c r="AD52" i="16"/>
  <c r="AC52" i="16"/>
  <c r="AB52" i="16"/>
  <c r="AA52" i="16"/>
  <c r="Z52" i="16"/>
  <c r="Y52" i="16"/>
  <c r="X52" i="16"/>
  <c r="W52" i="16"/>
  <c r="V52" i="16"/>
  <c r="U52" i="16"/>
  <c r="T52" i="16"/>
  <c r="S52" i="16"/>
  <c r="R52" i="16"/>
  <c r="Q52" i="16"/>
  <c r="P52" i="16"/>
  <c r="L52" i="16"/>
  <c r="K52" i="16"/>
  <c r="J52" i="16"/>
  <c r="I52" i="16"/>
  <c r="H52" i="16"/>
  <c r="G52" i="16"/>
  <c r="F52" i="16"/>
  <c r="E52" i="16"/>
  <c r="D52" i="16"/>
  <c r="BS51" i="16"/>
  <c r="BR51" i="16"/>
  <c r="BQ51" i="16"/>
  <c r="BP51" i="16"/>
  <c r="BO51" i="16"/>
  <c r="BN51" i="16"/>
  <c r="BM51" i="16"/>
  <c r="BL51" i="16"/>
  <c r="BK51" i="16"/>
  <c r="BJ51" i="16"/>
  <c r="BI51" i="16"/>
  <c r="BH51" i="16"/>
  <c r="BG51" i="16"/>
  <c r="BF51" i="16"/>
  <c r="BE51" i="16"/>
  <c r="BD51" i="16"/>
  <c r="BC51" i="16"/>
  <c r="BB51" i="16"/>
  <c r="BA51" i="16"/>
  <c r="AZ51" i="16"/>
  <c r="AY51" i="16"/>
  <c r="AX51" i="16"/>
  <c r="AW51" i="16"/>
  <c r="AV51" i="16"/>
  <c r="AU51" i="16"/>
  <c r="AT51" i="16"/>
  <c r="AS51" i="16"/>
  <c r="AR51" i="16"/>
  <c r="AQ51" i="16"/>
  <c r="AP51" i="16"/>
  <c r="AO51" i="16"/>
  <c r="AN51" i="16"/>
  <c r="AM51" i="16"/>
  <c r="AL51" i="16"/>
  <c r="AK51" i="16"/>
  <c r="AJ51" i="16"/>
  <c r="AI51" i="16"/>
  <c r="AH51" i="16"/>
  <c r="AG51" i="16"/>
  <c r="AF51" i="16"/>
  <c r="AE51" i="16"/>
  <c r="AD51" i="16"/>
  <c r="AC51" i="16"/>
  <c r="AB51" i="16"/>
  <c r="AA51" i="16"/>
  <c r="Z51" i="16"/>
  <c r="Y51" i="16"/>
  <c r="X51" i="16"/>
  <c r="W51" i="16"/>
  <c r="V51" i="16"/>
  <c r="U51" i="16"/>
  <c r="T51" i="16"/>
  <c r="S51" i="16"/>
  <c r="R51" i="16"/>
  <c r="Q51" i="16"/>
  <c r="P51" i="16"/>
  <c r="L51" i="16"/>
  <c r="K51" i="16"/>
  <c r="J51" i="16"/>
  <c r="I51" i="16"/>
  <c r="H51" i="16"/>
  <c r="G51" i="16"/>
  <c r="F51" i="16"/>
  <c r="E51" i="16"/>
  <c r="D51" i="16"/>
  <c r="BS50" i="16"/>
  <c r="BR50" i="16"/>
  <c r="BQ50" i="16"/>
  <c r="BP50" i="16"/>
  <c r="BO50" i="16"/>
  <c r="BN50" i="16"/>
  <c r="BM50" i="16"/>
  <c r="BL50" i="16"/>
  <c r="BK50" i="16"/>
  <c r="BJ50" i="16"/>
  <c r="BI50" i="16"/>
  <c r="BH50" i="16"/>
  <c r="BG50" i="16"/>
  <c r="BF50" i="16"/>
  <c r="BE50" i="16"/>
  <c r="BD50" i="16"/>
  <c r="BC50" i="16"/>
  <c r="BB50" i="16"/>
  <c r="BA50" i="16"/>
  <c r="AZ50" i="16"/>
  <c r="AY50" i="16"/>
  <c r="AX50" i="16"/>
  <c r="AW50" i="16"/>
  <c r="AV50" i="16"/>
  <c r="AU50" i="16"/>
  <c r="AT50" i="16"/>
  <c r="AS50" i="16"/>
  <c r="AR50" i="16"/>
  <c r="AQ50" i="16"/>
  <c r="AP50" i="16"/>
  <c r="AO50" i="16"/>
  <c r="AN50" i="16"/>
  <c r="AM50" i="16"/>
  <c r="AL50" i="16"/>
  <c r="AK50" i="16"/>
  <c r="AJ50" i="16"/>
  <c r="AI50" i="16"/>
  <c r="AH50" i="16"/>
  <c r="AG50" i="16"/>
  <c r="AF50" i="16"/>
  <c r="AE50" i="16"/>
  <c r="AD50" i="16"/>
  <c r="AC50" i="16"/>
  <c r="AB50" i="16"/>
  <c r="AA50" i="16"/>
  <c r="Z50" i="16"/>
  <c r="Y50" i="16"/>
  <c r="X50" i="16"/>
  <c r="W50" i="16"/>
  <c r="V50" i="16"/>
  <c r="U50" i="16"/>
  <c r="T50" i="16"/>
  <c r="S50" i="16"/>
  <c r="R50" i="16"/>
  <c r="Q50" i="16"/>
  <c r="P50" i="16"/>
  <c r="L50" i="16"/>
  <c r="K50" i="16"/>
  <c r="J50" i="16"/>
  <c r="I50" i="16"/>
  <c r="H50" i="16"/>
  <c r="G50" i="16"/>
  <c r="F50" i="16"/>
  <c r="E50" i="16"/>
  <c r="D50" i="16"/>
  <c r="BS49" i="16"/>
  <c r="BR49" i="16"/>
  <c r="BQ49" i="16"/>
  <c r="BP49" i="16"/>
  <c r="BO49" i="16"/>
  <c r="BN49" i="16"/>
  <c r="BM49" i="16"/>
  <c r="BL49" i="16"/>
  <c r="BK49" i="16"/>
  <c r="BJ49" i="16"/>
  <c r="BI49" i="16"/>
  <c r="BH49" i="16"/>
  <c r="BG49" i="16"/>
  <c r="BF49" i="16"/>
  <c r="BE49" i="16"/>
  <c r="BD49" i="16"/>
  <c r="BC49" i="16"/>
  <c r="BB49" i="16"/>
  <c r="BA49" i="16"/>
  <c r="AZ49" i="16"/>
  <c r="AY49" i="16"/>
  <c r="AX49" i="16"/>
  <c r="AW49" i="16"/>
  <c r="AV49" i="16"/>
  <c r="AU49" i="16"/>
  <c r="AT49" i="16"/>
  <c r="AS49" i="16"/>
  <c r="AR49" i="16"/>
  <c r="AQ49" i="16"/>
  <c r="AP49" i="16"/>
  <c r="AO49" i="16"/>
  <c r="AN49" i="16"/>
  <c r="AM49" i="16"/>
  <c r="AL49" i="16"/>
  <c r="AK49" i="16"/>
  <c r="AJ49" i="16"/>
  <c r="AI49" i="16"/>
  <c r="AH49" i="16"/>
  <c r="AG49" i="16"/>
  <c r="AF49" i="16"/>
  <c r="AE49" i="16"/>
  <c r="AD49" i="16"/>
  <c r="AC49" i="16"/>
  <c r="AB49" i="16"/>
  <c r="AA49" i="16"/>
  <c r="Z49" i="16"/>
  <c r="Y49" i="16"/>
  <c r="X49" i="16"/>
  <c r="W49" i="16"/>
  <c r="V49" i="16"/>
  <c r="U49" i="16"/>
  <c r="T49" i="16"/>
  <c r="S49" i="16"/>
  <c r="R49" i="16"/>
  <c r="Q49" i="16"/>
  <c r="P49" i="16"/>
  <c r="L49" i="16"/>
  <c r="K49" i="16"/>
  <c r="J49" i="16"/>
  <c r="I49" i="16"/>
  <c r="H49" i="16"/>
  <c r="G49" i="16"/>
  <c r="F49" i="16"/>
  <c r="E49" i="16"/>
  <c r="D49" i="16"/>
  <c r="BS48" i="16"/>
  <c r="BR48" i="16"/>
  <c r="BQ48" i="16"/>
  <c r="BP48" i="16"/>
  <c r="BO48" i="16"/>
  <c r="BN48" i="16"/>
  <c r="BM48" i="16"/>
  <c r="BL48" i="16"/>
  <c r="BK48" i="16"/>
  <c r="BJ48" i="16"/>
  <c r="BI48" i="16"/>
  <c r="BH48" i="16"/>
  <c r="BG48" i="16"/>
  <c r="BF48" i="16"/>
  <c r="BE48" i="16"/>
  <c r="BD48" i="16"/>
  <c r="BC48" i="16"/>
  <c r="BB48" i="16"/>
  <c r="BA48" i="16"/>
  <c r="AZ48" i="16"/>
  <c r="AY48" i="16"/>
  <c r="AX48" i="16"/>
  <c r="AW48" i="16"/>
  <c r="AV48" i="16"/>
  <c r="AU48" i="16"/>
  <c r="AT48" i="16"/>
  <c r="AS48" i="16"/>
  <c r="AR48" i="16"/>
  <c r="AQ48" i="16"/>
  <c r="AP48" i="16"/>
  <c r="AO48" i="16"/>
  <c r="AN48" i="16"/>
  <c r="AM48" i="16"/>
  <c r="AL48" i="16"/>
  <c r="AK48" i="16"/>
  <c r="AJ48" i="16"/>
  <c r="AI48" i="16"/>
  <c r="AH48" i="16"/>
  <c r="AG48" i="16"/>
  <c r="AF48" i="16"/>
  <c r="AE48" i="16"/>
  <c r="AD48" i="16"/>
  <c r="AC48" i="16"/>
  <c r="AB48" i="16"/>
  <c r="AA48" i="16"/>
  <c r="Z48" i="16"/>
  <c r="Y48" i="16"/>
  <c r="X48" i="16"/>
  <c r="W48" i="16"/>
  <c r="V48" i="16"/>
  <c r="U48" i="16"/>
  <c r="T48" i="16"/>
  <c r="S48" i="16"/>
  <c r="R48" i="16"/>
  <c r="Q48" i="16"/>
  <c r="P48" i="16"/>
  <c r="L48" i="16"/>
  <c r="K48" i="16"/>
  <c r="J48" i="16"/>
  <c r="I48" i="16"/>
  <c r="H48" i="16"/>
  <c r="G48" i="16"/>
  <c r="F48" i="16"/>
  <c r="E48" i="16"/>
  <c r="D48" i="16"/>
  <c r="BS47" i="16"/>
  <c r="BR47" i="16"/>
  <c r="BQ47" i="16"/>
  <c r="BP47" i="16"/>
  <c r="BO47" i="16"/>
  <c r="BN47" i="16"/>
  <c r="BM47" i="16"/>
  <c r="BL47" i="16"/>
  <c r="BK47" i="16"/>
  <c r="BJ47" i="16"/>
  <c r="BI47" i="16"/>
  <c r="BH47" i="16"/>
  <c r="BG47" i="16"/>
  <c r="BF47" i="16"/>
  <c r="BE47" i="16"/>
  <c r="BD47" i="16"/>
  <c r="BC47" i="16"/>
  <c r="BB47" i="16"/>
  <c r="BA47" i="16"/>
  <c r="AZ47" i="16"/>
  <c r="AY47" i="16"/>
  <c r="AX47" i="16"/>
  <c r="AW47" i="16"/>
  <c r="AV47" i="16"/>
  <c r="AU47" i="16"/>
  <c r="AT47" i="16"/>
  <c r="AS47" i="16"/>
  <c r="AR47" i="16"/>
  <c r="AQ47" i="16"/>
  <c r="AP47" i="16"/>
  <c r="AO47" i="16"/>
  <c r="AN47" i="16"/>
  <c r="AM47" i="16"/>
  <c r="AL47" i="16"/>
  <c r="AK47" i="16"/>
  <c r="AJ47" i="16"/>
  <c r="AI47" i="16"/>
  <c r="AH47" i="16"/>
  <c r="AG47" i="16"/>
  <c r="AF47" i="16"/>
  <c r="AE47" i="16"/>
  <c r="AD47" i="16"/>
  <c r="AC47" i="16"/>
  <c r="AB47" i="16"/>
  <c r="AA47" i="16"/>
  <c r="Z47" i="16"/>
  <c r="Y47" i="16"/>
  <c r="X47" i="16"/>
  <c r="W47" i="16"/>
  <c r="V47" i="16"/>
  <c r="U47" i="16"/>
  <c r="T47" i="16"/>
  <c r="S47" i="16"/>
  <c r="R47" i="16"/>
  <c r="Q47" i="16"/>
  <c r="P47" i="16"/>
  <c r="L47" i="16"/>
  <c r="K47" i="16"/>
  <c r="J47" i="16"/>
  <c r="I47" i="16"/>
  <c r="H47" i="16"/>
  <c r="G47" i="16"/>
  <c r="F47" i="16"/>
  <c r="E47" i="16"/>
  <c r="D47" i="16"/>
  <c r="BS46" i="16"/>
  <c r="BR46" i="16"/>
  <c r="BQ46" i="16"/>
  <c r="BP46" i="16"/>
  <c r="BO46" i="16"/>
  <c r="BN46" i="16"/>
  <c r="BM46" i="16"/>
  <c r="BL46" i="16"/>
  <c r="BK46" i="16"/>
  <c r="BJ46" i="16"/>
  <c r="BI46" i="16"/>
  <c r="BH46" i="16"/>
  <c r="BG46" i="16"/>
  <c r="BF46" i="16"/>
  <c r="BE46" i="16"/>
  <c r="BD46" i="16"/>
  <c r="BC46" i="16"/>
  <c r="BB46" i="16"/>
  <c r="BA46" i="16"/>
  <c r="AZ46" i="16"/>
  <c r="AY46" i="16"/>
  <c r="AX46" i="16"/>
  <c r="AW46" i="16"/>
  <c r="AV46" i="16"/>
  <c r="AU46" i="16"/>
  <c r="AT46" i="16"/>
  <c r="AS46" i="16"/>
  <c r="AR46" i="16"/>
  <c r="AQ46" i="16"/>
  <c r="AP46" i="16"/>
  <c r="AO46" i="16"/>
  <c r="AN46" i="16"/>
  <c r="AM46" i="16"/>
  <c r="AL46" i="16"/>
  <c r="AK46" i="16"/>
  <c r="AJ46" i="16"/>
  <c r="AI46" i="16"/>
  <c r="AH46" i="16"/>
  <c r="AG46" i="16"/>
  <c r="AF46" i="16"/>
  <c r="AE46" i="16"/>
  <c r="AD46" i="16"/>
  <c r="AC46" i="16"/>
  <c r="AB46" i="16"/>
  <c r="AA46" i="16"/>
  <c r="Z46" i="16"/>
  <c r="Y46" i="16"/>
  <c r="X46" i="16"/>
  <c r="W46" i="16"/>
  <c r="V46" i="16"/>
  <c r="U46" i="16"/>
  <c r="T46" i="16"/>
  <c r="S46" i="16"/>
  <c r="R46" i="16"/>
  <c r="Q46" i="16"/>
  <c r="P46" i="16"/>
  <c r="L46" i="16"/>
  <c r="K46" i="16"/>
  <c r="J46" i="16"/>
  <c r="I46" i="16"/>
  <c r="H46" i="16"/>
  <c r="G46" i="16"/>
  <c r="F46" i="16"/>
  <c r="E46" i="16"/>
  <c r="D46" i="16"/>
  <c r="BS45" i="16"/>
  <c r="BR45" i="16"/>
  <c r="BQ45" i="16"/>
  <c r="BP45" i="16"/>
  <c r="BO45" i="16"/>
  <c r="BN45" i="16"/>
  <c r="BM45" i="16"/>
  <c r="BL45" i="16"/>
  <c r="BK45" i="16"/>
  <c r="BJ45" i="16"/>
  <c r="BI45" i="16"/>
  <c r="BH45" i="16"/>
  <c r="BG45" i="16"/>
  <c r="BF45" i="16"/>
  <c r="BE45" i="16"/>
  <c r="BD45" i="16"/>
  <c r="BC45" i="16"/>
  <c r="BB45" i="16"/>
  <c r="BA45" i="16"/>
  <c r="AZ45" i="16"/>
  <c r="AY45" i="16"/>
  <c r="AX45" i="16"/>
  <c r="AW45" i="16"/>
  <c r="AV45" i="16"/>
  <c r="AU45" i="16"/>
  <c r="AT45" i="16"/>
  <c r="AS45" i="16"/>
  <c r="AR45" i="16"/>
  <c r="AQ45" i="16"/>
  <c r="AP45" i="16"/>
  <c r="AO45" i="16"/>
  <c r="AN45" i="16"/>
  <c r="AM45" i="16"/>
  <c r="AL45" i="16"/>
  <c r="AK45" i="16"/>
  <c r="AJ45" i="16"/>
  <c r="AI45" i="16"/>
  <c r="AH45" i="16"/>
  <c r="AG45" i="16"/>
  <c r="AF45" i="16"/>
  <c r="AE45" i="16"/>
  <c r="AD45" i="16"/>
  <c r="AC45" i="16"/>
  <c r="AB45" i="16"/>
  <c r="AA45" i="16"/>
  <c r="Z45" i="16"/>
  <c r="Y45" i="16"/>
  <c r="X45" i="16"/>
  <c r="W45" i="16"/>
  <c r="V45" i="16"/>
  <c r="U45" i="16"/>
  <c r="T45" i="16"/>
  <c r="S45" i="16"/>
  <c r="R45" i="16"/>
  <c r="Q45" i="16"/>
  <c r="P45" i="16"/>
  <c r="L45" i="16"/>
  <c r="K45" i="16"/>
  <c r="J45" i="16"/>
  <c r="I45" i="16"/>
  <c r="H45" i="16"/>
  <c r="G45" i="16"/>
  <c r="F45" i="16"/>
  <c r="E45" i="16"/>
  <c r="D45" i="16"/>
  <c r="BS44" i="16"/>
  <c r="BR44" i="16"/>
  <c r="BQ44" i="16"/>
  <c r="BP44" i="16"/>
  <c r="BO44" i="16"/>
  <c r="BN44" i="16"/>
  <c r="BM44" i="16"/>
  <c r="BL44" i="16"/>
  <c r="BK44" i="16"/>
  <c r="BJ44" i="16"/>
  <c r="BI44" i="16"/>
  <c r="BH44" i="16"/>
  <c r="BG44" i="16"/>
  <c r="BF44" i="16"/>
  <c r="BE44" i="16"/>
  <c r="BD44" i="16"/>
  <c r="BC44" i="16"/>
  <c r="BB44" i="16"/>
  <c r="BA44" i="16"/>
  <c r="AZ44" i="16"/>
  <c r="AY44" i="16"/>
  <c r="AX44" i="16"/>
  <c r="AW44" i="16"/>
  <c r="AV44" i="16"/>
  <c r="AU44" i="16"/>
  <c r="AT44" i="16"/>
  <c r="AS44" i="16"/>
  <c r="AR44" i="16"/>
  <c r="AQ44" i="16"/>
  <c r="AP44" i="16"/>
  <c r="AO44" i="16"/>
  <c r="AN44" i="16"/>
  <c r="AM44" i="16"/>
  <c r="AL44" i="16"/>
  <c r="AK44" i="16"/>
  <c r="AJ44" i="16"/>
  <c r="AI44" i="16"/>
  <c r="AH44" i="16"/>
  <c r="AG44" i="16"/>
  <c r="AF44" i="16"/>
  <c r="AE44" i="16"/>
  <c r="AD44" i="16"/>
  <c r="AC44" i="16"/>
  <c r="AB44" i="16"/>
  <c r="AA44" i="16"/>
  <c r="Z44" i="16"/>
  <c r="Y44" i="16"/>
  <c r="X44" i="16"/>
  <c r="W44" i="16"/>
  <c r="V44" i="16"/>
  <c r="U44" i="16"/>
  <c r="T44" i="16"/>
  <c r="S44" i="16"/>
  <c r="R44" i="16"/>
  <c r="Q44" i="16"/>
  <c r="P44" i="16"/>
  <c r="L44" i="16"/>
  <c r="K44" i="16"/>
  <c r="J44" i="16"/>
  <c r="I44" i="16"/>
  <c r="H44" i="16"/>
  <c r="G44" i="16"/>
  <c r="F44" i="16"/>
  <c r="E44" i="16"/>
  <c r="D44" i="16"/>
  <c r="BS43" i="16"/>
  <c r="BR43" i="16"/>
  <c r="BQ43" i="16"/>
  <c r="BP43" i="16"/>
  <c r="BO43" i="16"/>
  <c r="BN43" i="16"/>
  <c r="BM43" i="16"/>
  <c r="BL43" i="16"/>
  <c r="BK43" i="16"/>
  <c r="BJ43" i="16"/>
  <c r="BI43" i="16"/>
  <c r="BH43" i="16"/>
  <c r="BG43" i="16"/>
  <c r="BF43" i="16"/>
  <c r="BE43" i="16"/>
  <c r="BD43" i="16"/>
  <c r="BC43" i="16"/>
  <c r="BB43" i="16"/>
  <c r="BA43" i="16"/>
  <c r="AZ43" i="16"/>
  <c r="AY43" i="16"/>
  <c r="AX43" i="16"/>
  <c r="AW43" i="16"/>
  <c r="AV43" i="16"/>
  <c r="AU43" i="16"/>
  <c r="AT43" i="16"/>
  <c r="AS43" i="16"/>
  <c r="AR43" i="16"/>
  <c r="AQ43" i="16"/>
  <c r="AP43" i="16"/>
  <c r="AO43" i="16"/>
  <c r="AN43" i="16"/>
  <c r="AM43" i="16"/>
  <c r="AL43" i="16"/>
  <c r="AK43" i="16"/>
  <c r="AJ43" i="16"/>
  <c r="AI43" i="16"/>
  <c r="AH43" i="16"/>
  <c r="AG43" i="16"/>
  <c r="AF43" i="16"/>
  <c r="AE43" i="16"/>
  <c r="AD43" i="16"/>
  <c r="AC43" i="16"/>
  <c r="AB43" i="16"/>
  <c r="AA43" i="16"/>
  <c r="Z43" i="16"/>
  <c r="Y43" i="16"/>
  <c r="X43" i="16"/>
  <c r="W43" i="16"/>
  <c r="V43" i="16"/>
  <c r="U43" i="16"/>
  <c r="T43" i="16"/>
  <c r="S43" i="16"/>
  <c r="R43" i="16"/>
  <c r="Q43" i="16"/>
  <c r="P43" i="16"/>
  <c r="L43" i="16"/>
  <c r="K43" i="16"/>
  <c r="J43" i="16"/>
  <c r="I43" i="16"/>
  <c r="H43" i="16"/>
  <c r="G43" i="16"/>
  <c r="F43" i="16"/>
  <c r="E43" i="16"/>
  <c r="D43" i="16"/>
  <c r="BS42" i="16"/>
  <c r="BR42" i="16"/>
  <c r="BQ42" i="16"/>
  <c r="BP42" i="16"/>
  <c r="BO42" i="16"/>
  <c r="BN42" i="16"/>
  <c r="BM42" i="16"/>
  <c r="BL42" i="16"/>
  <c r="BK42" i="16"/>
  <c r="BJ42" i="16"/>
  <c r="BI42" i="16"/>
  <c r="BH42" i="16"/>
  <c r="BG42" i="16"/>
  <c r="BF42" i="16"/>
  <c r="BE42" i="16"/>
  <c r="BD42" i="16"/>
  <c r="BC42" i="16"/>
  <c r="BB42" i="16"/>
  <c r="BA42" i="16"/>
  <c r="AZ42" i="16"/>
  <c r="AY42" i="16"/>
  <c r="AX42" i="16"/>
  <c r="AW42" i="16"/>
  <c r="AV42" i="16"/>
  <c r="AU42" i="16"/>
  <c r="AT42" i="16"/>
  <c r="AS42" i="16"/>
  <c r="AR42" i="16"/>
  <c r="AQ42" i="16"/>
  <c r="AP42" i="16"/>
  <c r="AO42" i="16"/>
  <c r="AN42" i="16"/>
  <c r="AM42" i="16"/>
  <c r="AL42" i="16"/>
  <c r="AK42" i="16"/>
  <c r="AJ42" i="16"/>
  <c r="AI42" i="16"/>
  <c r="AH42" i="16"/>
  <c r="AG42" i="16"/>
  <c r="AF42" i="16"/>
  <c r="AE42" i="16"/>
  <c r="AD42" i="16"/>
  <c r="AC42" i="16"/>
  <c r="AB42" i="16"/>
  <c r="AA42" i="16"/>
  <c r="Z42" i="16"/>
  <c r="Y42" i="16"/>
  <c r="X42" i="16"/>
  <c r="W42" i="16"/>
  <c r="V42" i="16"/>
  <c r="U42" i="16"/>
  <c r="T42" i="16"/>
  <c r="S42" i="16"/>
  <c r="R42" i="16"/>
  <c r="Q42" i="16"/>
  <c r="P42" i="16"/>
  <c r="L42" i="16"/>
  <c r="K42" i="16"/>
  <c r="J42" i="16"/>
  <c r="I42" i="16"/>
  <c r="H42" i="16"/>
  <c r="G42" i="16"/>
  <c r="F42" i="16"/>
  <c r="E42" i="16"/>
  <c r="D42" i="16"/>
  <c r="BS41" i="16"/>
  <c r="BR41" i="16"/>
  <c r="BQ41" i="16"/>
  <c r="BP41" i="16"/>
  <c r="BO41" i="16"/>
  <c r="BN41" i="16"/>
  <c r="BM41" i="16"/>
  <c r="BL41" i="16"/>
  <c r="BK41" i="16"/>
  <c r="BJ41" i="16"/>
  <c r="BI41" i="16"/>
  <c r="BH41" i="16"/>
  <c r="BG41" i="16"/>
  <c r="BF41" i="16"/>
  <c r="BE41" i="16"/>
  <c r="BD41" i="16"/>
  <c r="BC41" i="16"/>
  <c r="BB41" i="16"/>
  <c r="BA41" i="16"/>
  <c r="AZ41" i="16"/>
  <c r="AY41" i="16"/>
  <c r="AX41" i="16"/>
  <c r="AW41" i="16"/>
  <c r="AV41" i="16"/>
  <c r="AU41" i="16"/>
  <c r="AT41" i="16"/>
  <c r="AS41" i="16"/>
  <c r="AR41" i="16"/>
  <c r="AQ41" i="16"/>
  <c r="AP41" i="16"/>
  <c r="AO41" i="16"/>
  <c r="AN41" i="16"/>
  <c r="AM41" i="16"/>
  <c r="AL41" i="16"/>
  <c r="AK41" i="16"/>
  <c r="AJ41" i="16"/>
  <c r="AI41" i="16"/>
  <c r="AH41" i="16"/>
  <c r="AG41" i="16"/>
  <c r="AF41" i="16"/>
  <c r="AE41" i="16"/>
  <c r="AD41" i="16"/>
  <c r="AC41" i="16"/>
  <c r="AB41" i="16"/>
  <c r="AA41" i="16"/>
  <c r="Z41" i="16"/>
  <c r="Y41" i="16"/>
  <c r="X41" i="16"/>
  <c r="W41" i="16"/>
  <c r="V41" i="16"/>
  <c r="U41" i="16"/>
  <c r="T41" i="16"/>
  <c r="S41" i="16"/>
  <c r="R41" i="16"/>
  <c r="Q41" i="16"/>
  <c r="P41" i="16"/>
  <c r="L41" i="16"/>
  <c r="K41" i="16"/>
  <c r="J41" i="16"/>
  <c r="I41" i="16"/>
  <c r="H41" i="16"/>
  <c r="G41" i="16"/>
  <c r="F41" i="16"/>
  <c r="E41" i="16"/>
  <c r="D41" i="16"/>
  <c r="BS40" i="16"/>
  <c r="BR40" i="16"/>
  <c r="BQ40" i="16"/>
  <c r="BP40" i="16"/>
  <c r="BO40" i="16"/>
  <c r="BN40" i="16"/>
  <c r="BM40" i="16"/>
  <c r="BL40" i="16"/>
  <c r="BK40" i="16"/>
  <c r="BJ40" i="16"/>
  <c r="BI40" i="16"/>
  <c r="BH40" i="16"/>
  <c r="BG40" i="16"/>
  <c r="BF40" i="16"/>
  <c r="BE40" i="16"/>
  <c r="BD40" i="16"/>
  <c r="BC40" i="16"/>
  <c r="BB40" i="16"/>
  <c r="BA40" i="16"/>
  <c r="AZ40" i="16"/>
  <c r="AY40" i="16"/>
  <c r="AX40" i="16"/>
  <c r="AW40" i="16"/>
  <c r="AV40" i="16"/>
  <c r="AU40" i="16"/>
  <c r="AT40" i="16"/>
  <c r="AS40" i="16"/>
  <c r="AR40" i="16"/>
  <c r="AQ40" i="16"/>
  <c r="AP40" i="16"/>
  <c r="AO40" i="16"/>
  <c r="AN40" i="16"/>
  <c r="AM40" i="16"/>
  <c r="AL40" i="16"/>
  <c r="AK40" i="16"/>
  <c r="AJ40" i="16"/>
  <c r="AI40" i="16"/>
  <c r="AH40" i="16"/>
  <c r="AG40" i="16"/>
  <c r="AF40" i="16"/>
  <c r="AE40" i="16"/>
  <c r="AD40" i="16"/>
  <c r="AC40" i="16"/>
  <c r="AB40" i="16"/>
  <c r="AA40" i="16"/>
  <c r="Z40" i="16"/>
  <c r="Y40" i="16"/>
  <c r="X40" i="16"/>
  <c r="W40" i="16"/>
  <c r="V40" i="16"/>
  <c r="U40" i="16"/>
  <c r="T40" i="16"/>
  <c r="S40" i="16"/>
  <c r="R40" i="16"/>
  <c r="Q40" i="16"/>
  <c r="P40" i="16"/>
  <c r="L40" i="16"/>
  <c r="K40" i="16"/>
  <c r="J40" i="16"/>
  <c r="I40" i="16"/>
  <c r="H40" i="16"/>
  <c r="G40" i="16"/>
  <c r="F40" i="16"/>
  <c r="E40" i="16"/>
  <c r="D40" i="16"/>
  <c r="BS39" i="16"/>
  <c r="BR39" i="16"/>
  <c r="BQ39" i="16"/>
  <c r="BP39" i="16"/>
  <c r="BO39" i="16"/>
  <c r="BN39" i="16"/>
  <c r="BM39" i="16"/>
  <c r="BL39" i="16"/>
  <c r="BK39" i="16"/>
  <c r="BJ39" i="16"/>
  <c r="BI39" i="16"/>
  <c r="BH39" i="16"/>
  <c r="BG39" i="16"/>
  <c r="BF39" i="16"/>
  <c r="BE39" i="16"/>
  <c r="BD39" i="16"/>
  <c r="BC39" i="16"/>
  <c r="BB39" i="16"/>
  <c r="BA39" i="16"/>
  <c r="AZ39" i="16"/>
  <c r="AY39" i="16"/>
  <c r="AX39" i="16"/>
  <c r="AW39" i="16"/>
  <c r="AV39" i="16"/>
  <c r="AU39" i="16"/>
  <c r="AT39" i="16"/>
  <c r="AS39" i="16"/>
  <c r="AR39" i="16"/>
  <c r="AQ39" i="16"/>
  <c r="AP39" i="16"/>
  <c r="AO39" i="16"/>
  <c r="AN39" i="16"/>
  <c r="AM39" i="16"/>
  <c r="AL39" i="16"/>
  <c r="AK39" i="16"/>
  <c r="AJ39" i="16"/>
  <c r="AI39" i="16"/>
  <c r="AH39" i="16"/>
  <c r="AG39" i="16"/>
  <c r="AF39" i="16"/>
  <c r="AE39" i="16"/>
  <c r="AD39" i="16"/>
  <c r="AC39" i="16"/>
  <c r="AB39" i="16"/>
  <c r="AA39" i="16"/>
  <c r="Z39" i="16"/>
  <c r="Y39" i="16"/>
  <c r="X39" i="16"/>
  <c r="W39" i="16"/>
  <c r="V39" i="16"/>
  <c r="U39" i="16"/>
  <c r="T39" i="16"/>
  <c r="S39" i="16"/>
  <c r="R39" i="16"/>
  <c r="Q39" i="16"/>
  <c r="P39" i="16"/>
  <c r="L39" i="16"/>
  <c r="K39" i="16"/>
  <c r="J39" i="16"/>
  <c r="I39" i="16"/>
  <c r="H39" i="16"/>
  <c r="G39" i="16"/>
  <c r="F39" i="16"/>
  <c r="E39" i="16"/>
  <c r="D39" i="16"/>
  <c r="BS38" i="16"/>
  <c r="BR38" i="16"/>
  <c r="BQ38" i="16"/>
  <c r="BP38" i="16"/>
  <c r="BO38" i="16"/>
  <c r="BN38" i="16"/>
  <c r="BM38" i="16"/>
  <c r="BL38" i="16"/>
  <c r="BK38" i="16"/>
  <c r="BJ38" i="16"/>
  <c r="BI38" i="16"/>
  <c r="BH38" i="16"/>
  <c r="BG38" i="16"/>
  <c r="BF38" i="16"/>
  <c r="BE38" i="16"/>
  <c r="BD38" i="16"/>
  <c r="BC38" i="16"/>
  <c r="BB38" i="16"/>
  <c r="BA38" i="16"/>
  <c r="AZ38" i="16"/>
  <c r="AY38" i="16"/>
  <c r="AX38" i="16"/>
  <c r="AW38" i="16"/>
  <c r="AV38" i="16"/>
  <c r="AU38" i="16"/>
  <c r="AT38" i="16"/>
  <c r="AS38" i="16"/>
  <c r="AR38" i="16"/>
  <c r="AQ38" i="16"/>
  <c r="AP38" i="16"/>
  <c r="AO38" i="16"/>
  <c r="AN38" i="16"/>
  <c r="AM38" i="16"/>
  <c r="AL38" i="16"/>
  <c r="AK38" i="16"/>
  <c r="AJ38" i="16"/>
  <c r="AI38" i="16"/>
  <c r="AH38" i="16"/>
  <c r="AG38" i="16"/>
  <c r="AF38" i="16"/>
  <c r="AE38" i="16"/>
  <c r="AD38" i="16"/>
  <c r="AC38" i="16"/>
  <c r="AB38" i="16"/>
  <c r="AA38" i="16"/>
  <c r="Z38" i="16"/>
  <c r="Y38" i="16"/>
  <c r="X38" i="16"/>
  <c r="W38" i="16"/>
  <c r="V38" i="16"/>
  <c r="U38" i="16"/>
  <c r="T38" i="16"/>
  <c r="S38" i="16"/>
  <c r="R38" i="16"/>
  <c r="Q38" i="16"/>
  <c r="P38" i="16"/>
  <c r="L38" i="16"/>
  <c r="K38" i="16"/>
  <c r="J38" i="16"/>
  <c r="I38" i="16"/>
  <c r="H38" i="16"/>
  <c r="G38" i="16"/>
  <c r="F38" i="16"/>
  <c r="E38" i="16"/>
  <c r="D38" i="16"/>
  <c r="BS37" i="16"/>
  <c r="BR37" i="16"/>
  <c r="BQ37" i="16"/>
  <c r="BP37" i="16"/>
  <c r="BO37" i="16"/>
  <c r="BN37" i="16"/>
  <c r="BM37" i="16"/>
  <c r="BL37" i="16"/>
  <c r="BK37" i="16"/>
  <c r="BJ37" i="16"/>
  <c r="BI37" i="16"/>
  <c r="BH37" i="16"/>
  <c r="BG37" i="16"/>
  <c r="BF37" i="16"/>
  <c r="BE37" i="16"/>
  <c r="BD37" i="16"/>
  <c r="BC37" i="16"/>
  <c r="BB37" i="16"/>
  <c r="BA37" i="16"/>
  <c r="AZ37" i="16"/>
  <c r="AY37" i="16"/>
  <c r="AX37" i="16"/>
  <c r="AW37" i="16"/>
  <c r="AV37" i="16"/>
  <c r="AU37" i="16"/>
  <c r="AT37" i="16"/>
  <c r="AS37" i="16"/>
  <c r="AR37" i="16"/>
  <c r="AQ37" i="16"/>
  <c r="AP37" i="16"/>
  <c r="AO37" i="16"/>
  <c r="AN37" i="16"/>
  <c r="AM37" i="16"/>
  <c r="AL37" i="16"/>
  <c r="AK37" i="16"/>
  <c r="AJ37" i="16"/>
  <c r="AI37" i="16"/>
  <c r="AH37" i="16"/>
  <c r="AG37" i="16"/>
  <c r="AF37" i="16"/>
  <c r="AE37" i="16"/>
  <c r="AD37" i="16"/>
  <c r="AC37" i="16"/>
  <c r="AB37" i="16"/>
  <c r="AA37" i="16"/>
  <c r="Z37" i="16"/>
  <c r="Y37" i="16"/>
  <c r="X37" i="16"/>
  <c r="W37" i="16"/>
  <c r="V37" i="16"/>
  <c r="U37" i="16"/>
  <c r="T37" i="16"/>
  <c r="S37" i="16"/>
  <c r="R37" i="16"/>
  <c r="Q37" i="16"/>
  <c r="P37" i="16"/>
  <c r="L37" i="16"/>
  <c r="K37" i="16"/>
  <c r="J37" i="16"/>
  <c r="I37" i="16"/>
  <c r="H37" i="16"/>
  <c r="G37" i="16"/>
  <c r="F37" i="16"/>
  <c r="E37" i="16"/>
  <c r="D37" i="16"/>
  <c r="BS36" i="16"/>
  <c r="BR36" i="16"/>
  <c r="BQ36" i="16"/>
  <c r="BP36" i="16"/>
  <c r="BO36" i="16"/>
  <c r="BN36" i="16"/>
  <c r="BM36" i="16"/>
  <c r="BL36" i="16"/>
  <c r="BK36" i="16"/>
  <c r="BJ36" i="16"/>
  <c r="BI36" i="16"/>
  <c r="BH36" i="16"/>
  <c r="BG36" i="16"/>
  <c r="BF36" i="16"/>
  <c r="BE36" i="16"/>
  <c r="BD36" i="16"/>
  <c r="BC36" i="16"/>
  <c r="BB36" i="16"/>
  <c r="BA36" i="16"/>
  <c r="AZ36" i="16"/>
  <c r="AY36" i="16"/>
  <c r="AX36" i="16"/>
  <c r="AW36" i="16"/>
  <c r="AV36" i="16"/>
  <c r="AU36" i="16"/>
  <c r="AT36" i="16"/>
  <c r="AS36" i="16"/>
  <c r="AR36" i="16"/>
  <c r="AQ36" i="16"/>
  <c r="AP36" i="16"/>
  <c r="AO36" i="16"/>
  <c r="AN36" i="16"/>
  <c r="AM36" i="16"/>
  <c r="AL36" i="16"/>
  <c r="AK36" i="16"/>
  <c r="AJ36" i="16"/>
  <c r="AI36" i="16"/>
  <c r="AH36" i="16"/>
  <c r="AG36" i="16"/>
  <c r="AF36" i="16"/>
  <c r="AE36" i="16"/>
  <c r="AD36" i="16"/>
  <c r="AC36" i="16"/>
  <c r="AB36" i="16"/>
  <c r="AA36" i="16"/>
  <c r="Z36" i="16"/>
  <c r="Y36" i="16"/>
  <c r="X36" i="16"/>
  <c r="W36" i="16"/>
  <c r="V36" i="16"/>
  <c r="U36" i="16"/>
  <c r="T36" i="16"/>
  <c r="S36" i="16"/>
  <c r="R36" i="16"/>
  <c r="Q36" i="16"/>
  <c r="P36" i="16"/>
  <c r="L36" i="16"/>
  <c r="K36" i="16"/>
  <c r="J36" i="16"/>
  <c r="I36" i="16"/>
  <c r="H36" i="16"/>
  <c r="G36" i="16"/>
  <c r="F36" i="16"/>
  <c r="E36" i="16"/>
  <c r="D36" i="16"/>
  <c r="BS35" i="16"/>
  <c r="BR35" i="16"/>
  <c r="BQ35" i="16"/>
  <c r="BP35" i="16"/>
  <c r="BO35" i="16"/>
  <c r="BN35" i="16"/>
  <c r="BM35" i="16"/>
  <c r="BL35" i="16"/>
  <c r="BK35" i="16"/>
  <c r="BJ35" i="16"/>
  <c r="BI35" i="16"/>
  <c r="BH35" i="16"/>
  <c r="BG35" i="16"/>
  <c r="BF35" i="16"/>
  <c r="BE35" i="16"/>
  <c r="BD35" i="16"/>
  <c r="BC35" i="16"/>
  <c r="BB35" i="16"/>
  <c r="BA35" i="16"/>
  <c r="AZ35" i="16"/>
  <c r="AY35" i="16"/>
  <c r="AX35" i="16"/>
  <c r="AW35" i="16"/>
  <c r="AV35" i="16"/>
  <c r="AU35" i="16"/>
  <c r="AT35" i="16"/>
  <c r="AS35" i="16"/>
  <c r="AR35" i="16"/>
  <c r="AQ35" i="16"/>
  <c r="AP35" i="16"/>
  <c r="AO35" i="16"/>
  <c r="AN35" i="16"/>
  <c r="AM35" i="16"/>
  <c r="AL35" i="16"/>
  <c r="AK35" i="16"/>
  <c r="AJ35" i="16"/>
  <c r="AI35" i="16"/>
  <c r="AH35" i="16"/>
  <c r="AG35" i="16"/>
  <c r="AF35" i="16"/>
  <c r="AE35" i="16"/>
  <c r="AD35" i="16"/>
  <c r="AC35" i="16"/>
  <c r="AB35" i="16"/>
  <c r="AA35" i="16"/>
  <c r="Z35" i="16"/>
  <c r="Y35" i="16"/>
  <c r="X35" i="16"/>
  <c r="W35" i="16"/>
  <c r="V35" i="16"/>
  <c r="U35" i="16"/>
  <c r="T35" i="16"/>
  <c r="S35" i="16"/>
  <c r="R35" i="16"/>
  <c r="Q35" i="16"/>
  <c r="P35" i="16"/>
  <c r="L35" i="16"/>
  <c r="K35" i="16"/>
  <c r="J35" i="16"/>
  <c r="I35" i="16"/>
  <c r="H35" i="16"/>
  <c r="G35" i="16"/>
  <c r="F35" i="16"/>
  <c r="E35" i="16"/>
  <c r="D35" i="16"/>
  <c r="BS34" i="16"/>
  <c r="BR34" i="16"/>
  <c r="BQ34" i="16"/>
  <c r="BP34" i="16"/>
  <c r="BO34" i="16"/>
  <c r="BN34" i="16"/>
  <c r="BM34" i="16"/>
  <c r="BL34" i="16"/>
  <c r="BK34" i="16"/>
  <c r="BJ34" i="16"/>
  <c r="BI34" i="16"/>
  <c r="BH34" i="16"/>
  <c r="BG34" i="16"/>
  <c r="BF34" i="16"/>
  <c r="BE34" i="16"/>
  <c r="BD34" i="16"/>
  <c r="BC34" i="16"/>
  <c r="BB34" i="16"/>
  <c r="BA34" i="16"/>
  <c r="AZ34" i="16"/>
  <c r="AY34" i="16"/>
  <c r="AX34" i="16"/>
  <c r="AW34" i="16"/>
  <c r="AV34" i="16"/>
  <c r="AU34" i="16"/>
  <c r="AT34" i="16"/>
  <c r="AS34" i="16"/>
  <c r="AR34" i="16"/>
  <c r="AQ34" i="16"/>
  <c r="AP34" i="16"/>
  <c r="AO34" i="16"/>
  <c r="AN34" i="16"/>
  <c r="AM34" i="16"/>
  <c r="AL34" i="16"/>
  <c r="AK34" i="16"/>
  <c r="AJ34" i="16"/>
  <c r="AI34" i="16"/>
  <c r="AH34" i="16"/>
  <c r="AG34" i="16"/>
  <c r="AF34" i="16"/>
  <c r="AE34" i="16"/>
  <c r="AD34" i="16"/>
  <c r="AC34" i="16"/>
  <c r="AB34" i="16"/>
  <c r="AA34" i="16"/>
  <c r="Z34" i="16"/>
  <c r="Y34" i="16"/>
  <c r="X34" i="16"/>
  <c r="W34" i="16"/>
  <c r="V34" i="16"/>
  <c r="U34" i="16"/>
  <c r="T34" i="16"/>
  <c r="S34" i="16"/>
  <c r="R34" i="16"/>
  <c r="Q34" i="16"/>
  <c r="P34" i="16"/>
  <c r="O34" i="16"/>
  <c r="N34" i="16"/>
  <c r="M34" i="16"/>
  <c r="L34" i="16"/>
  <c r="K34" i="16"/>
  <c r="J34" i="16"/>
  <c r="I34" i="16"/>
  <c r="H34" i="16"/>
  <c r="G34" i="16"/>
  <c r="F34" i="16"/>
  <c r="E34" i="16"/>
  <c r="D34" i="16"/>
  <c r="BS33" i="16"/>
  <c r="BR33" i="16"/>
  <c r="BQ33" i="16"/>
  <c r="BP33" i="16"/>
  <c r="BO33" i="16"/>
  <c r="BN33" i="16"/>
  <c r="BM33" i="16"/>
  <c r="BL33" i="16"/>
  <c r="BK33" i="16"/>
  <c r="BJ33" i="16"/>
  <c r="BI33" i="16"/>
  <c r="BH33" i="16"/>
  <c r="BG33" i="16"/>
  <c r="BF33" i="16"/>
  <c r="BE33" i="16"/>
  <c r="BD33" i="16"/>
  <c r="BC33" i="16"/>
  <c r="BB33" i="16"/>
  <c r="BA33" i="16"/>
  <c r="AZ33" i="16"/>
  <c r="AY33" i="16"/>
  <c r="AX33" i="16"/>
  <c r="AW33" i="16"/>
  <c r="AV33" i="16"/>
  <c r="AU33" i="16"/>
  <c r="AT33" i="16"/>
  <c r="AS33" i="16"/>
  <c r="AR33" i="16"/>
  <c r="AQ33" i="16"/>
  <c r="AP33" i="16"/>
  <c r="AO33" i="16"/>
  <c r="AN33" i="16"/>
  <c r="AM33" i="16"/>
  <c r="AL33" i="16"/>
  <c r="AK33" i="16"/>
  <c r="AJ33" i="16"/>
  <c r="AI33" i="16"/>
  <c r="AH33" i="16"/>
  <c r="AG33" i="16"/>
  <c r="AF33" i="16"/>
  <c r="AE33" i="16"/>
  <c r="AD33" i="16"/>
  <c r="AC33" i="16"/>
  <c r="AB33" i="16"/>
  <c r="AA33" i="16"/>
  <c r="Z33" i="16"/>
  <c r="Y33" i="16"/>
  <c r="X33" i="16"/>
  <c r="W33" i="16"/>
  <c r="V33" i="16"/>
  <c r="U33" i="16"/>
  <c r="T33" i="16"/>
  <c r="S33" i="16"/>
  <c r="R33" i="16"/>
  <c r="Q33" i="16"/>
  <c r="P33" i="16"/>
  <c r="L33" i="16"/>
  <c r="K33" i="16"/>
  <c r="J33" i="16"/>
  <c r="I33" i="16"/>
  <c r="H33" i="16"/>
  <c r="G33" i="16"/>
  <c r="F33" i="16"/>
  <c r="E33" i="16"/>
  <c r="D33" i="16"/>
  <c r="BS32" i="16"/>
  <c r="BR32" i="16"/>
  <c r="BQ32" i="16"/>
  <c r="BP32" i="16"/>
  <c r="BO32" i="16"/>
  <c r="BN32" i="16"/>
  <c r="BM32" i="16"/>
  <c r="BL32" i="16"/>
  <c r="BK32" i="16"/>
  <c r="BJ32" i="16"/>
  <c r="BI32" i="16"/>
  <c r="BH32" i="16"/>
  <c r="BG32" i="16"/>
  <c r="BF32" i="16"/>
  <c r="BE32" i="16"/>
  <c r="BD32" i="16"/>
  <c r="BC32" i="16"/>
  <c r="BB32" i="16"/>
  <c r="BA32" i="16"/>
  <c r="AZ32" i="16"/>
  <c r="AY32" i="16"/>
  <c r="AX32" i="16"/>
  <c r="AW32" i="16"/>
  <c r="AV32" i="16"/>
  <c r="AU32" i="16"/>
  <c r="AT32" i="16"/>
  <c r="AS32" i="16"/>
  <c r="AR32" i="16"/>
  <c r="AQ32" i="16"/>
  <c r="AP32" i="16"/>
  <c r="AO32" i="16"/>
  <c r="AN32" i="16"/>
  <c r="AM32" i="16"/>
  <c r="AL32" i="16"/>
  <c r="AK32" i="16"/>
  <c r="AJ32" i="16"/>
  <c r="AI32" i="16"/>
  <c r="AH32" i="16"/>
  <c r="AG32" i="16"/>
  <c r="AF32" i="16"/>
  <c r="AE32" i="16"/>
  <c r="AD32" i="16"/>
  <c r="AC32" i="16"/>
  <c r="AB32" i="16"/>
  <c r="AA32" i="16"/>
  <c r="Z32" i="16"/>
  <c r="Y32" i="16"/>
  <c r="X32" i="16"/>
  <c r="W32" i="16"/>
  <c r="V32" i="16"/>
  <c r="U32" i="16"/>
  <c r="T32" i="16"/>
  <c r="S32" i="16"/>
  <c r="R32" i="16"/>
  <c r="Q32" i="16"/>
  <c r="P32" i="16"/>
  <c r="L32" i="16"/>
  <c r="K32" i="16"/>
  <c r="J32" i="16"/>
  <c r="I32" i="16"/>
  <c r="H32" i="16"/>
  <c r="G32" i="16"/>
  <c r="F32" i="16"/>
  <c r="E32" i="16"/>
  <c r="D32" i="16"/>
  <c r="BS31" i="16"/>
  <c r="BR31" i="16"/>
  <c r="BQ31" i="16"/>
  <c r="BP31" i="16"/>
  <c r="BO31" i="16"/>
  <c r="BN31" i="16"/>
  <c r="BM31" i="16"/>
  <c r="BL31" i="16"/>
  <c r="BK31" i="16"/>
  <c r="BJ31" i="16"/>
  <c r="BI31" i="16"/>
  <c r="BH31" i="16"/>
  <c r="BG31" i="16"/>
  <c r="BF31" i="16"/>
  <c r="BE31" i="16"/>
  <c r="BD31" i="16"/>
  <c r="BC31" i="16"/>
  <c r="BB31" i="16"/>
  <c r="BA31" i="16"/>
  <c r="AZ31" i="16"/>
  <c r="AY31" i="16"/>
  <c r="AX31" i="16"/>
  <c r="AW31" i="16"/>
  <c r="AV31" i="16"/>
  <c r="AU31" i="16"/>
  <c r="AT31" i="16"/>
  <c r="AS31" i="16"/>
  <c r="AR31" i="16"/>
  <c r="AQ31" i="16"/>
  <c r="AP31" i="16"/>
  <c r="AO31" i="16"/>
  <c r="AN31" i="16"/>
  <c r="AM31" i="16"/>
  <c r="AL31" i="16"/>
  <c r="AK31" i="16"/>
  <c r="AJ31" i="16"/>
  <c r="AI31" i="16"/>
  <c r="AH31" i="16"/>
  <c r="AG31" i="16"/>
  <c r="AF31" i="16"/>
  <c r="AE31" i="16"/>
  <c r="AD31" i="16"/>
  <c r="AC31" i="16"/>
  <c r="AB31" i="16"/>
  <c r="AA31" i="16"/>
  <c r="Z31" i="16"/>
  <c r="Y31" i="16"/>
  <c r="X31" i="16"/>
  <c r="W31" i="16"/>
  <c r="V31" i="16"/>
  <c r="U31" i="16"/>
  <c r="T31" i="16"/>
  <c r="S31" i="16"/>
  <c r="R31" i="16"/>
  <c r="Q31" i="16"/>
  <c r="P31" i="16"/>
  <c r="L31" i="16"/>
  <c r="K31" i="16"/>
  <c r="J31" i="16"/>
  <c r="I31" i="16"/>
  <c r="H31" i="16"/>
  <c r="G31" i="16"/>
  <c r="F31" i="16"/>
  <c r="E31" i="16"/>
  <c r="D31" i="16"/>
  <c r="BS30" i="16"/>
  <c r="BR30" i="16"/>
  <c r="BQ30" i="16"/>
  <c r="BP30" i="16"/>
  <c r="BO30" i="16"/>
  <c r="BN30" i="16"/>
  <c r="BM30" i="16"/>
  <c r="BL30" i="16"/>
  <c r="BK30" i="16"/>
  <c r="BJ30" i="16"/>
  <c r="BI30" i="16"/>
  <c r="BH30" i="16"/>
  <c r="BG30" i="16"/>
  <c r="BF30" i="16"/>
  <c r="BE30" i="16"/>
  <c r="BD30" i="16"/>
  <c r="BC30" i="16"/>
  <c r="BB30" i="16"/>
  <c r="BA30" i="16"/>
  <c r="AZ30" i="16"/>
  <c r="AY30" i="16"/>
  <c r="AX30" i="16"/>
  <c r="AW30" i="16"/>
  <c r="AV30" i="16"/>
  <c r="AU30" i="16"/>
  <c r="AT30" i="16"/>
  <c r="AS30" i="16"/>
  <c r="AR30" i="16"/>
  <c r="AQ30" i="16"/>
  <c r="AP30" i="16"/>
  <c r="AO30" i="16"/>
  <c r="AN30" i="16"/>
  <c r="AM30" i="16"/>
  <c r="AL30" i="16"/>
  <c r="AK30" i="16"/>
  <c r="AJ30" i="16"/>
  <c r="AI30" i="16"/>
  <c r="AH30" i="16"/>
  <c r="AG30" i="16"/>
  <c r="AF30" i="16"/>
  <c r="AE30" i="16"/>
  <c r="AD30" i="16"/>
  <c r="AC30" i="16"/>
  <c r="AB30" i="16"/>
  <c r="AA30" i="16"/>
  <c r="Z30" i="16"/>
  <c r="Y30" i="16"/>
  <c r="X30" i="16"/>
  <c r="W30" i="16"/>
  <c r="V30" i="16"/>
  <c r="U30" i="16"/>
  <c r="T30" i="16"/>
  <c r="S30" i="16"/>
  <c r="R30" i="16"/>
  <c r="Q30" i="16"/>
  <c r="P30" i="16"/>
  <c r="L30" i="16"/>
  <c r="K30" i="16"/>
  <c r="J30" i="16"/>
  <c r="I30" i="16"/>
  <c r="H30" i="16"/>
  <c r="G30" i="16"/>
  <c r="F30" i="16"/>
  <c r="E30" i="16"/>
  <c r="D30" i="16"/>
  <c r="BS29" i="16"/>
  <c r="BR29" i="16"/>
  <c r="BQ29" i="16"/>
  <c r="BP29" i="16"/>
  <c r="BO29" i="16"/>
  <c r="BN29" i="16"/>
  <c r="BM29" i="16"/>
  <c r="BL29" i="16"/>
  <c r="BK29" i="16"/>
  <c r="BJ29" i="16"/>
  <c r="BI29" i="16"/>
  <c r="BH29" i="16"/>
  <c r="BG29" i="16"/>
  <c r="BF29" i="16"/>
  <c r="BE29" i="16"/>
  <c r="BD29" i="16"/>
  <c r="BC29" i="16"/>
  <c r="BB29" i="16"/>
  <c r="BA29" i="16"/>
  <c r="AZ29" i="16"/>
  <c r="AY29" i="16"/>
  <c r="AX29" i="16"/>
  <c r="AW29" i="16"/>
  <c r="AV29" i="16"/>
  <c r="AU29" i="16"/>
  <c r="AT29" i="16"/>
  <c r="AS29" i="16"/>
  <c r="AR29" i="16"/>
  <c r="AQ29" i="16"/>
  <c r="AP29" i="16"/>
  <c r="AO29" i="16"/>
  <c r="AN29" i="16"/>
  <c r="AM29" i="16"/>
  <c r="AL29" i="16"/>
  <c r="AK29" i="16"/>
  <c r="AJ29" i="16"/>
  <c r="AI29" i="16"/>
  <c r="AH29" i="16"/>
  <c r="AG29" i="16"/>
  <c r="AF29" i="16"/>
  <c r="AE29" i="16"/>
  <c r="AD29" i="16"/>
  <c r="AC29" i="16"/>
  <c r="AB29" i="16"/>
  <c r="AA29" i="16"/>
  <c r="Z29" i="16"/>
  <c r="Y29" i="16"/>
  <c r="X29" i="16"/>
  <c r="W29" i="16"/>
  <c r="V29" i="16"/>
  <c r="U29" i="16"/>
  <c r="T29" i="16"/>
  <c r="S29" i="16"/>
  <c r="R29" i="16"/>
  <c r="Q29" i="16"/>
  <c r="BS28" i="16"/>
  <c r="BR28" i="16"/>
  <c r="BQ28" i="16"/>
  <c r="BP28" i="16"/>
  <c r="BO28" i="16"/>
  <c r="BN28" i="16"/>
  <c r="BM28" i="16"/>
  <c r="BL28" i="16"/>
  <c r="BK28" i="16"/>
  <c r="BJ28" i="16"/>
  <c r="BI28" i="16"/>
  <c r="BH28" i="16"/>
  <c r="BG28" i="16"/>
  <c r="BF28" i="16"/>
  <c r="BE28" i="16"/>
  <c r="BD28" i="16"/>
  <c r="BC28" i="16"/>
  <c r="BB28" i="16"/>
  <c r="BA28" i="16"/>
  <c r="AZ28" i="16"/>
  <c r="AY28" i="16"/>
  <c r="AX28" i="16"/>
  <c r="AW28" i="16"/>
  <c r="AV28" i="16"/>
  <c r="AU28" i="16"/>
  <c r="AT28" i="16"/>
  <c r="AS28" i="16"/>
  <c r="AR28" i="16"/>
  <c r="AQ28" i="16"/>
  <c r="AP28" i="16"/>
  <c r="AO28" i="16"/>
  <c r="AN28" i="16"/>
  <c r="AM28" i="16"/>
  <c r="AL28" i="16"/>
  <c r="AK28" i="16"/>
  <c r="AJ28" i="16"/>
  <c r="AI28" i="16"/>
  <c r="AH28" i="16"/>
  <c r="AG28" i="16"/>
  <c r="AF28" i="16"/>
  <c r="AE28" i="16"/>
  <c r="AD28" i="16"/>
  <c r="AC28" i="16"/>
  <c r="AB28" i="16"/>
  <c r="AA28" i="16"/>
  <c r="Z28" i="16"/>
  <c r="Y28" i="16"/>
  <c r="X28" i="16"/>
  <c r="W28" i="16"/>
  <c r="V28" i="16"/>
  <c r="U28" i="16"/>
  <c r="T28" i="16"/>
  <c r="S28" i="16"/>
  <c r="R28" i="16"/>
  <c r="Q28" i="16"/>
  <c r="BS27" i="16"/>
  <c r="BR27" i="16"/>
  <c r="BQ27" i="16"/>
  <c r="BP27" i="16"/>
  <c r="BO27" i="16"/>
  <c r="BN27" i="16"/>
  <c r="BM27" i="16"/>
  <c r="BL27" i="16"/>
  <c r="BK27" i="16"/>
  <c r="BJ27" i="16"/>
  <c r="BI27" i="16"/>
  <c r="BH27" i="16"/>
  <c r="BG27" i="16"/>
  <c r="BF27" i="16"/>
  <c r="BE27" i="16"/>
  <c r="BD27" i="16"/>
  <c r="BC27" i="16"/>
  <c r="BB27" i="16"/>
  <c r="BA27" i="16"/>
  <c r="AZ27" i="16"/>
  <c r="AY27" i="16"/>
  <c r="AX27" i="16"/>
  <c r="AW27" i="16"/>
  <c r="AV27" i="16"/>
  <c r="AU27" i="16"/>
  <c r="AT27" i="16"/>
  <c r="AS27" i="16"/>
  <c r="AR27" i="16"/>
  <c r="AQ27" i="16"/>
  <c r="AP27" i="16"/>
  <c r="AO27" i="16"/>
  <c r="AN27" i="16"/>
  <c r="AM27" i="16"/>
  <c r="AL27" i="16"/>
  <c r="AK27" i="16"/>
  <c r="AJ27" i="16"/>
  <c r="AI27" i="16"/>
  <c r="AH27" i="16"/>
  <c r="AG27" i="16"/>
  <c r="AF27" i="16"/>
  <c r="AE27" i="16"/>
  <c r="AD27" i="16"/>
  <c r="AC27" i="16"/>
  <c r="AB27" i="16"/>
  <c r="AA27" i="16"/>
  <c r="Z27" i="16"/>
  <c r="Y27" i="16"/>
  <c r="X27" i="16"/>
  <c r="W27" i="16"/>
  <c r="V27" i="16"/>
  <c r="U27" i="16"/>
  <c r="T27" i="16"/>
  <c r="S27" i="16"/>
  <c r="R27" i="16"/>
  <c r="Q27" i="16"/>
  <c r="P27" i="16"/>
  <c r="L27" i="16"/>
  <c r="K27" i="16"/>
  <c r="J27" i="16"/>
  <c r="I27" i="16"/>
  <c r="H27" i="16"/>
  <c r="G27" i="16"/>
  <c r="F27" i="16"/>
  <c r="E27" i="16"/>
  <c r="D27" i="16"/>
  <c r="BS26" i="16"/>
  <c r="BR26" i="16"/>
  <c r="BQ26" i="16"/>
  <c r="BP26" i="16"/>
  <c r="BO26" i="16"/>
  <c r="BN26" i="16"/>
  <c r="BM26" i="16"/>
  <c r="BL26" i="16"/>
  <c r="BK26" i="16"/>
  <c r="BJ26" i="16"/>
  <c r="BI26" i="16"/>
  <c r="BH26" i="16"/>
  <c r="BG26" i="16"/>
  <c r="BF26" i="16"/>
  <c r="BE26" i="16"/>
  <c r="BD26" i="16"/>
  <c r="BC26" i="16"/>
  <c r="BB26" i="16"/>
  <c r="BA26" i="16"/>
  <c r="AZ26" i="16"/>
  <c r="AY26" i="16"/>
  <c r="AX26" i="16"/>
  <c r="AW26" i="16"/>
  <c r="AV26" i="16"/>
  <c r="AU26" i="16"/>
  <c r="AT26" i="16"/>
  <c r="AS26" i="16"/>
  <c r="AR26" i="16"/>
  <c r="AQ26" i="16"/>
  <c r="AP26" i="16"/>
  <c r="AO26" i="16"/>
  <c r="AN26" i="16"/>
  <c r="AM26" i="16"/>
  <c r="AL26" i="16"/>
  <c r="AK26" i="16"/>
  <c r="AJ26" i="16"/>
  <c r="AI26" i="16"/>
  <c r="AH26" i="16"/>
  <c r="AG26" i="16"/>
  <c r="AF26" i="16"/>
  <c r="AE26" i="16"/>
  <c r="AD26" i="16"/>
  <c r="AC26" i="16"/>
  <c r="AB26" i="16"/>
  <c r="AA26" i="16"/>
  <c r="Z26" i="16"/>
  <c r="Y26" i="16"/>
  <c r="X26" i="16"/>
  <c r="W26" i="16"/>
  <c r="V26" i="16"/>
  <c r="U26" i="16"/>
  <c r="T26" i="16"/>
  <c r="S26" i="16"/>
  <c r="R26" i="16"/>
  <c r="Q26" i="16"/>
  <c r="P26" i="16"/>
  <c r="L26" i="16"/>
  <c r="K26" i="16"/>
  <c r="J26" i="16"/>
  <c r="I26" i="16"/>
  <c r="H26" i="16"/>
  <c r="G26" i="16"/>
  <c r="F26" i="16"/>
  <c r="E26" i="16"/>
  <c r="D26" i="16"/>
  <c r="BS25" i="16"/>
  <c r="BR25" i="16"/>
  <c r="BQ25" i="16"/>
  <c r="BP25" i="16"/>
  <c r="BO25" i="16"/>
  <c r="BN25" i="16"/>
  <c r="BM25" i="16"/>
  <c r="BL25" i="16"/>
  <c r="BK25" i="16"/>
  <c r="BJ25" i="16"/>
  <c r="BI25" i="16"/>
  <c r="BH25" i="16"/>
  <c r="BG25" i="16"/>
  <c r="BF25" i="16"/>
  <c r="BE25" i="16"/>
  <c r="BD25" i="16"/>
  <c r="BC25" i="16"/>
  <c r="BB25" i="16"/>
  <c r="BA25" i="16"/>
  <c r="AZ25" i="16"/>
  <c r="AY25" i="16"/>
  <c r="AX25" i="16"/>
  <c r="AW25" i="16"/>
  <c r="AV25" i="16"/>
  <c r="AU25" i="16"/>
  <c r="AT25" i="16"/>
  <c r="AS25" i="16"/>
  <c r="AR25" i="16"/>
  <c r="AQ25" i="16"/>
  <c r="AP25" i="16"/>
  <c r="AO25" i="16"/>
  <c r="AN25" i="16"/>
  <c r="AM25" i="16"/>
  <c r="AL25" i="16"/>
  <c r="AK25" i="16"/>
  <c r="AJ25" i="16"/>
  <c r="AI25" i="16"/>
  <c r="AH25" i="16"/>
  <c r="AG25" i="16"/>
  <c r="AF25" i="16"/>
  <c r="AE25" i="16"/>
  <c r="AD25" i="16"/>
  <c r="AC25" i="16"/>
  <c r="AB25" i="16"/>
  <c r="AA25" i="16"/>
  <c r="Z25" i="16"/>
  <c r="Y25" i="16"/>
  <c r="X25" i="16"/>
  <c r="W25" i="16"/>
  <c r="V25" i="16"/>
  <c r="U25" i="16"/>
  <c r="T25" i="16"/>
  <c r="S25" i="16"/>
  <c r="R25" i="16"/>
  <c r="Q25" i="16"/>
  <c r="P25" i="16"/>
  <c r="L25" i="16"/>
  <c r="K25" i="16"/>
  <c r="J25" i="16"/>
  <c r="I25" i="16"/>
  <c r="H25" i="16"/>
  <c r="G25" i="16"/>
  <c r="F25" i="16"/>
  <c r="E25" i="16"/>
  <c r="D25" i="16"/>
  <c r="BS24" i="16"/>
  <c r="BR24" i="16"/>
  <c r="BQ24" i="16"/>
  <c r="BP24" i="16"/>
  <c r="BO24" i="16"/>
  <c r="BN24" i="16"/>
  <c r="BM24" i="16"/>
  <c r="BL24" i="16"/>
  <c r="BK24" i="16"/>
  <c r="BJ24" i="16"/>
  <c r="BI24" i="16"/>
  <c r="BH24" i="16"/>
  <c r="BG24" i="16"/>
  <c r="BF24" i="16"/>
  <c r="BE24" i="16"/>
  <c r="BD24" i="16"/>
  <c r="BC24" i="16"/>
  <c r="BB24" i="16"/>
  <c r="BA24" i="16"/>
  <c r="AZ24" i="16"/>
  <c r="AY24" i="16"/>
  <c r="AX24" i="16"/>
  <c r="AW24" i="16"/>
  <c r="AV24" i="16"/>
  <c r="AU24" i="16"/>
  <c r="AT24" i="16"/>
  <c r="AS24" i="16"/>
  <c r="AR24" i="16"/>
  <c r="AQ24" i="16"/>
  <c r="AP24" i="16"/>
  <c r="AO24" i="16"/>
  <c r="AN24" i="16"/>
  <c r="AM24" i="16"/>
  <c r="AL24" i="16"/>
  <c r="AK24" i="16"/>
  <c r="AJ24" i="16"/>
  <c r="AI24" i="16"/>
  <c r="AH24" i="16"/>
  <c r="AG24" i="16"/>
  <c r="AF24" i="16"/>
  <c r="AE24" i="16"/>
  <c r="AD24" i="16"/>
  <c r="AC24" i="16"/>
  <c r="AB24" i="16"/>
  <c r="AA24" i="16"/>
  <c r="Z24" i="16"/>
  <c r="Y24" i="16"/>
  <c r="X24" i="16"/>
  <c r="W24" i="16"/>
  <c r="V24" i="16"/>
  <c r="U24" i="16"/>
  <c r="T24" i="16"/>
  <c r="S24" i="16"/>
  <c r="R24" i="16"/>
  <c r="Q24" i="16"/>
  <c r="P24" i="16"/>
  <c r="J24" i="16"/>
  <c r="I24" i="16"/>
  <c r="H24" i="16"/>
  <c r="G24" i="16"/>
  <c r="F24" i="16"/>
  <c r="E24" i="16"/>
  <c r="D24" i="16"/>
  <c r="BS23" i="16"/>
  <c r="BR23" i="16"/>
  <c r="BQ23" i="16"/>
  <c r="BP23" i="16"/>
  <c r="BO23" i="16"/>
  <c r="BN23" i="16"/>
  <c r="BM23" i="16"/>
  <c r="BL23" i="16"/>
  <c r="BK23" i="16"/>
  <c r="BJ23" i="16"/>
  <c r="BI23" i="16"/>
  <c r="BH23" i="16"/>
  <c r="BG23" i="16"/>
  <c r="BF23" i="16"/>
  <c r="BE23" i="16"/>
  <c r="BD23" i="16"/>
  <c r="BC23" i="16"/>
  <c r="BB23" i="16"/>
  <c r="BA23" i="16"/>
  <c r="AZ23" i="16"/>
  <c r="AY23" i="16"/>
  <c r="AX23" i="16"/>
  <c r="AW23" i="16"/>
  <c r="AV23" i="16"/>
  <c r="AU23" i="16"/>
  <c r="AT23" i="16"/>
  <c r="AS23" i="16"/>
  <c r="AR23" i="16"/>
  <c r="AQ23" i="16"/>
  <c r="AP23" i="16"/>
  <c r="AO23" i="16"/>
  <c r="AN23" i="16"/>
  <c r="AM23" i="16"/>
  <c r="AL23" i="16"/>
  <c r="AK23" i="16"/>
  <c r="AJ23" i="16"/>
  <c r="AI23" i="16"/>
  <c r="AH23" i="16"/>
  <c r="AG23" i="16"/>
  <c r="AF23" i="16"/>
  <c r="AE23" i="16"/>
  <c r="AD23" i="16"/>
  <c r="AC23" i="16"/>
  <c r="AB23" i="16"/>
  <c r="AA23" i="16"/>
  <c r="Z23" i="16"/>
  <c r="Y23" i="16"/>
  <c r="X23" i="16"/>
  <c r="W23" i="16"/>
  <c r="V23" i="16"/>
  <c r="U23" i="16"/>
  <c r="T23" i="16"/>
  <c r="S23" i="16"/>
  <c r="R23" i="16"/>
  <c r="Q23" i="16"/>
  <c r="P23" i="16"/>
  <c r="J23" i="16"/>
  <c r="I23" i="16"/>
  <c r="H23" i="16"/>
  <c r="G23" i="16"/>
  <c r="F23" i="16"/>
  <c r="E23" i="16"/>
  <c r="D23" i="16"/>
  <c r="BS22" i="16"/>
  <c r="BR22" i="16"/>
  <c r="BQ22" i="16"/>
  <c r="BP22" i="16"/>
  <c r="BO22" i="16"/>
  <c r="BN22" i="16"/>
  <c r="BM22" i="16"/>
  <c r="BL22" i="16"/>
  <c r="BK22" i="16"/>
  <c r="BJ22" i="16"/>
  <c r="BI22" i="16"/>
  <c r="BH22" i="16"/>
  <c r="BG22" i="16"/>
  <c r="BF22" i="16"/>
  <c r="BE22" i="16"/>
  <c r="BD22" i="16"/>
  <c r="BC22" i="16"/>
  <c r="BB22" i="16"/>
  <c r="BA22" i="16"/>
  <c r="AZ22" i="16"/>
  <c r="AY22" i="16"/>
  <c r="AX22" i="16"/>
  <c r="AW22" i="16"/>
  <c r="AV22" i="16"/>
  <c r="AU22" i="16"/>
  <c r="AT22" i="16"/>
  <c r="AS22" i="16"/>
  <c r="AR22" i="16"/>
  <c r="AQ22" i="16"/>
  <c r="AP22" i="16"/>
  <c r="AO22" i="16"/>
  <c r="AN22" i="16"/>
  <c r="AM22" i="16"/>
  <c r="AL22" i="16"/>
  <c r="AK22" i="16"/>
  <c r="AJ22" i="16"/>
  <c r="AI22" i="16"/>
  <c r="AH22" i="16"/>
  <c r="AG22" i="16"/>
  <c r="AF22" i="16"/>
  <c r="AE22" i="16"/>
  <c r="AD22" i="16"/>
  <c r="AC22" i="16"/>
  <c r="AB22" i="16"/>
  <c r="AA22" i="16"/>
  <c r="Z22" i="16"/>
  <c r="Y22" i="16"/>
  <c r="X22" i="16"/>
  <c r="W22" i="16"/>
  <c r="V22" i="16"/>
  <c r="U22" i="16"/>
  <c r="T22" i="16"/>
  <c r="S22" i="16"/>
  <c r="R22" i="16"/>
  <c r="Q22" i="16"/>
  <c r="P22" i="16"/>
  <c r="J22" i="16"/>
  <c r="I22" i="16"/>
  <c r="H22" i="16"/>
  <c r="G22" i="16"/>
  <c r="F22" i="16"/>
  <c r="E22" i="16"/>
  <c r="D22" i="16"/>
  <c r="I19" i="16"/>
  <c r="H19" i="16"/>
  <c r="G19" i="16"/>
  <c r="F19" i="16"/>
  <c r="E19" i="16"/>
  <c r="BS18" i="16"/>
  <c r="BR18" i="16"/>
  <c r="BQ18" i="16"/>
  <c r="BP18" i="16"/>
  <c r="BO18" i="16"/>
  <c r="BN18" i="16"/>
  <c r="BM18" i="16"/>
  <c r="BL18" i="16"/>
  <c r="BK18" i="16"/>
  <c r="BJ18" i="16"/>
  <c r="BI18" i="16"/>
  <c r="BH18" i="16"/>
  <c r="BG18" i="16"/>
  <c r="BF18" i="16"/>
  <c r="BE18" i="16"/>
  <c r="BD18" i="16"/>
  <c r="BC18" i="16"/>
  <c r="BB18" i="16"/>
  <c r="BA18" i="16"/>
  <c r="AZ18" i="16"/>
  <c r="AY18" i="16"/>
  <c r="AX18" i="16"/>
  <c r="AW18" i="16"/>
  <c r="AV18" i="16"/>
  <c r="AU18" i="16"/>
  <c r="AT18" i="16"/>
  <c r="AS18" i="16"/>
  <c r="AR18" i="16"/>
  <c r="AQ18" i="16"/>
  <c r="AP18" i="16"/>
  <c r="AO18" i="16"/>
  <c r="AN18" i="16"/>
  <c r="AM18" i="16"/>
  <c r="AL18" i="16"/>
  <c r="AK18" i="16"/>
  <c r="AJ18" i="16"/>
  <c r="AI18" i="16"/>
  <c r="AH18" i="16"/>
  <c r="AG18" i="16"/>
  <c r="AF18" i="16"/>
  <c r="AE18" i="16"/>
  <c r="AD18" i="16"/>
  <c r="AC18" i="16"/>
  <c r="AB18" i="16"/>
  <c r="AA18" i="16"/>
  <c r="Z18" i="16"/>
  <c r="Y18" i="16"/>
  <c r="X18" i="16"/>
  <c r="W18" i="16"/>
  <c r="V18" i="16"/>
  <c r="U18" i="16"/>
  <c r="T18" i="16"/>
  <c r="S18" i="16"/>
  <c r="R18" i="16"/>
  <c r="Q18" i="16"/>
  <c r="BS17" i="16"/>
  <c r="BR17" i="16"/>
  <c r="BQ17" i="16"/>
  <c r="BP17" i="16"/>
  <c r="BO17" i="16"/>
  <c r="BN17" i="16"/>
  <c r="BM17" i="16"/>
  <c r="BL17" i="16"/>
  <c r="BK17" i="16"/>
  <c r="BJ17" i="16"/>
  <c r="BI17" i="16"/>
  <c r="BH17" i="16"/>
  <c r="BG17" i="16"/>
  <c r="BF17" i="16"/>
  <c r="BE17" i="16"/>
  <c r="BD17" i="16"/>
  <c r="BC17" i="16"/>
  <c r="BB17" i="16"/>
  <c r="BA17" i="16"/>
  <c r="AZ17" i="16"/>
  <c r="AY17" i="16"/>
  <c r="AX17" i="16"/>
  <c r="AW17" i="16"/>
  <c r="AV17" i="16"/>
  <c r="AU17" i="16"/>
  <c r="AT17" i="16"/>
  <c r="AS17" i="16"/>
  <c r="AR17" i="16"/>
  <c r="AQ17" i="16"/>
  <c r="AP17" i="16"/>
  <c r="AO17" i="16"/>
  <c r="AN17" i="16"/>
  <c r="AM17" i="16"/>
  <c r="AL17" i="16"/>
  <c r="AK17" i="16"/>
  <c r="AJ17" i="16"/>
  <c r="AI17" i="16"/>
  <c r="AH17" i="16"/>
  <c r="AG17" i="16"/>
  <c r="AF17" i="16"/>
  <c r="AE17" i="16"/>
  <c r="AD17" i="16"/>
  <c r="AC17" i="16"/>
  <c r="AB17" i="16"/>
  <c r="AA17" i="16"/>
  <c r="Z17" i="16"/>
  <c r="Y17" i="16"/>
  <c r="X17" i="16"/>
  <c r="W17" i="16"/>
  <c r="V17" i="16"/>
  <c r="U17" i="16"/>
  <c r="T17" i="16"/>
  <c r="S17" i="16"/>
  <c r="R17" i="16"/>
  <c r="Q17" i="16"/>
  <c r="BS16" i="16"/>
  <c r="BR16" i="16"/>
  <c r="BQ16" i="16"/>
  <c r="BP16" i="16"/>
  <c r="BO16" i="16"/>
  <c r="BN16" i="16"/>
  <c r="BM16" i="16"/>
  <c r="BL16" i="16"/>
  <c r="BK16" i="16"/>
  <c r="BJ16" i="16"/>
  <c r="BI16" i="16"/>
  <c r="BH16" i="16"/>
  <c r="BG16" i="16"/>
  <c r="BF16" i="16"/>
  <c r="BE16" i="16"/>
  <c r="BD16" i="16"/>
  <c r="BC16" i="16"/>
  <c r="BB16" i="16"/>
  <c r="BA16" i="16"/>
  <c r="AZ16" i="16"/>
  <c r="AY16" i="16"/>
  <c r="AX16" i="16"/>
  <c r="AW16" i="16"/>
  <c r="AV16" i="16"/>
  <c r="AU16" i="16"/>
  <c r="AT16" i="16"/>
  <c r="AS16" i="16"/>
  <c r="AR16" i="16"/>
  <c r="AQ16" i="16"/>
  <c r="AP16" i="16"/>
  <c r="AO16" i="16"/>
  <c r="AN16" i="16"/>
  <c r="AM16" i="16"/>
  <c r="AL16" i="16"/>
  <c r="AK16" i="16"/>
  <c r="AJ16" i="16"/>
  <c r="AI16" i="16"/>
  <c r="AH16" i="16"/>
  <c r="AG16" i="16"/>
  <c r="AF16" i="16"/>
  <c r="AE16" i="16"/>
  <c r="AD16" i="16"/>
  <c r="AC16" i="16"/>
  <c r="AB16" i="16"/>
  <c r="AA16" i="16"/>
  <c r="Z16" i="16"/>
  <c r="Y16" i="16"/>
  <c r="X16" i="16"/>
  <c r="W16" i="16"/>
  <c r="V16" i="16"/>
  <c r="U16" i="16"/>
  <c r="T16" i="16"/>
  <c r="S16" i="16"/>
  <c r="R16" i="16"/>
  <c r="Q16" i="16"/>
  <c r="BS15" i="16"/>
  <c r="BR15" i="16"/>
  <c r="BQ15" i="16"/>
  <c r="BP15" i="16"/>
  <c r="BO15" i="16"/>
  <c r="BN15" i="16"/>
  <c r="BM15" i="16"/>
  <c r="BL15" i="16"/>
  <c r="BK15" i="16"/>
  <c r="BJ15" i="16"/>
  <c r="BI15" i="16"/>
  <c r="BH15" i="16"/>
  <c r="BG15" i="16"/>
  <c r="BF15" i="16"/>
  <c r="BE15" i="16"/>
  <c r="BD15" i="16"/>
  <c r="BC15" i="16"/>
  <c r="BB15" i="16"/>
  <c r="BA15" i="16"/>
  <c r="AZ15" i="16"/>
  <c r="AY15" i="16"/>
  <c r="AX15" i="16"/>
  <c r="AW15" i="16"/>
  <c r="AV15" i="16"/>
  <c r="AU15" i="16"/>
  <c r="AT15" i="16"/>
  <c r="AS15" i="16"/>
  <c r="AR15" i="16"/>
  <c r="AQ15" i="16"/>
  <c r="AP15" i="16"/>
  <c r="AO15" i="16"/>
  <c r="AN15" i="16"/>
  <c r="AM15" i="16"/>
  <c r="AL15" i="16"/>
  <c r="AK15" i="16"/>
  <c r="AJ15" i="16"/>
  <c r="AI15" i="16"/>
  <c r="AH15" i="16"/>
  <c r="AG15" i="16"/>
  <c r="AF15" i="16"/>
  <c r="AE15" i="16"/>
  <c r="AD15" i="16"/>
  <c r="AC15" i="16"/>
  <c r="AB15" i="16"/>
  <c r="AA15" i="16"/>
  <c r="Z15" i="16"/>
  <c r="Y15" i="16"/>
  <c r="X15" i="16"/>
  <c r="W15" i="16"/>
  <c r="V15" i="16"/>
  <c r="U15" i="16"/>
  <c r="T15" i="16"/>
  <c r="S15" i="16"/>
  <c r="R15" i="16"/>
  <c r="Q15" i="16"/>
  <c r="BS14" i="16"/>
  <c r="BR14" i="16"/>
  <c r="BQ14" i="16"/>
  <c r="BP14" i="16"/>
  <c r="BO14" i="16"/>
  <c r="BN14" i="16"/>
  <c r="BM14" i="16"/>
  <c r="BL14" i="16"/>
  <c r="BK14" i="16"/>
  <c r="BJ14" i="16"/>
  <c r="BI14" i="16"/>
  <c r="BH14" i="16"/>
  <c r="BG14" i="16"/>
  <c r="BF14" i="16"/>
  <c r="BE14" i="16"/>
  <c r="BD14" i="16"/>
  <c r="BC14" i="16"/>
  <c r="BB14" i="16"/>
  <c r="BA14" i="16"/>
  <c r="AZ14" i="16"/>
  <c r="AY14" i="16"/>
  <c r="AX14" i="16"/>
  <c r="AW14" i="16"/>
  <c r="AV14" i="16"/>
  <c r="AU14" i="16"/>
  <c r="AT14" i="16"/>
  <c r="AS14" i="16"/>
  <c r="AR14" i="16"/>
  <c r="AQ14" i="16"/>
  <c r="AP14" i="16"/>
  <c r="AO14" i="16"/>
  <c r="AN14" i="16"/>
  <c r="AM14" i="16"/>
  <c r="AL14" i="16"/>
  <c r="AK14" i="16"/>
  <c r="AJ14" i="16"/>
  <c r="AI14" i="16"/>
  <c r="AH14" i="16"/>
  <c r="AG14" i="16"/>
  <c r="AF14" i="16"/>
  <c r="AE14" i="16"/>
  <c r="AD14" i="16"/>
  <c r="AC14" i="16"/>
  <c r="AB14" i="16"/>
  <c r="AA14" i="16"/>
  <c r="Z14" i="16"/>
  <c r="Y14" i="16"/>
  <c r="X14" i="16"/>
  <c r="W14" i="16"/>
  <c r="V14" i="16"/>
  <c r="U14" i="16"/>
  <c r="T14" i="16"/>
  <c r="S14" i="16"/>
  <c r="R14" i="16"/>
  <c r="Q14" i="16"/>
  <c r="BS13" i="16"/>
  <c r="BR13" i="16"/>
  <c r="BQ13" i="16"/>
  <c r="BP13" i="16"/>
  <c r="BO13" i="16"/>
  <c r="BN13" i="16"/>
  <c r="BM13" i="16"/>
  <c r="BL13" i="16"/>
  <c r="BK13" i="16"/>
  <c r="BJ13" i="16"/>
  <c r="BI13" i="16"/>
  <c r="BH13" i="16"/>
  <c r="BG13" i="16"/>
  <c r="BF13" i="16"/>
  <c r="BE13" i="16"/>
  <c r="BD13" i="16"/>
  <c r="BC13" i="16"/>
  <c r="BB13" i="16"/>
  <c r="BA13" i="16"/>
  <c r="AZ13" i="16"/>
  <c r="AY13" i="16"/>
  <c r="AX13" i="16"/>
  <c r="AW13" i="16"/>
  <c r="AV13" i="16"/>
  <c r="AU13" i="16"/>
  <c r="AT13" i="16"/>
  <c r="AS13" i="16"/>
  <c r="AR13" i="16"/>
  <c r="AQ13" i="16"/>
  <c r="AP13" i="16"/>
  <c r="AO13" i="16"/>
  <c r="AN13" i="16"/>
  <c r="AM13" i="16"/>
  <c r="AL13" i="16"/>
  <c r="AK13" i="16"/>
  <c r="AJ13" i="16"/>
  <c r="AI13" i="16"/>
  <c r="AH13" i="16"/>
  <c r="AG13" i="16"/>
  <c r="AF13" i="16"/>
  <c r="AE13" i="16"/>
  <c r="AD13" i="16"/>
  <c r="AC13" i="16"/>
  <c r="AB13" i="16"/>
  <c r="AA13" i="16"/>
  <c r="Z13" i="16"/>
  <c r="Y13" i="16"/>
  <c r="X13" i="16"/>
  <c r="W13" i="16"/>
  <c r="V13" i="16"/>
  <c r="U13" i="16"/>
  <c r="T13" i="16"/>
  <c r="S13" i="16"/>
  <c r="R13" i="16"/>
  <c r="BS12" i="16"/>
  <c r="BR12" i="16"/>
  <c r="BQ12" i="16"/>
  <c r="BP12" i="16"/>
  <c r="BO12" i="16"/>
  <c r="BN12" i="16"/>
  <c r="BM12" i="16"/>
  <c r="BL12" i="16"/>
  <c r="BK12" i="16"/>
  <c r="BJ12" i="16"/>
  <c r="BI12" i="16"/>
  <c r="BH12" i="16"/>
  <c r="BG12" i="16"/>
  <c r="BF12" i="16"/>
  <c r="BE12" i="16"/>
  <c r="BD12" i="16"/>
  <c r="BC12" i="16"/>
  <c r="BB12" i="16"/>
  <c r="BA12" i="16"/>
  <c r="AZ12" i="16"/>
  <c r="AY12" i="16"/>
  <c r="AX12" i="16"/>
  <c r="AW12" i="16"/>
  <c r="AV12" i="16"/>
  <c r="AU12" i="16"/>
  <c r="AT12" i="16"/>
  <c r="AS12" i="16"/>
  <c r="AR12" i="16"/>
  <c r="AQ12" i="16"/>
  <c r="AP12" i="16"/>
  <c r="AO12" i="16"/>
  <c r="AN12" i="16"/>
  <c r="AM12" i="16"/>
  <c r="AL12" i="16"/>
  <c r="AK12" i="16"/>
  <c r="AJ12" i="16"/>
  <c r="AI12" i="16"/>
  <c r="AH12" i="16"/>
  <c r="AG12" i="16"/>
  <c r="AF12" i="16"/>
  <c r="AE12" i="16"/>
  <c r="AD12" i="16"/>
  <c r="AC12" i="16"/>
  <c r="AB12" i="16"/>
  <c r="AA12" i="16"/>
  <c r="Z12" i="16"/>
  <c r="Y12" i="16"/>
  <c r="X12" i="16"/>
  <c r="W12" i="16"/>
  <c r="V12" i="16"/>
  <c r="U12" i="16"/>
  <c r="T12" i="16"/>
  <c r="S12" i="16"/>
  <c r="R12" i="16"/>
  <c r="BS11" i="16"/>
  <c r="BR11" i="16"/>
  <c r="BQ11" i="16"/>
  <c r="BP11" i="16"/>
  <c r="BO11" i="16"/>
  <c r="BN11" i="16"/>
  <c r="BM11" i="16"/>
  <c r="BL11" i="16"/>
  <c r="BK11" i="16"/>
  <c r="BJ11" i="16"/>
  <c r="BI11" i="16"/>
  <c r="BG11" i="16"/>
  <c r="BF11" i="16"/>
  <c r="BE11" i="16"/>
  <c r="BD11" i="16"/>
  <c r="BC11" i="16"/>
  <c r="BB11" i="16"/>
  <c r="BA11" i="16"/>
  <c r="AZ11" i="16"/>
  <c r="AY11" i="16"/>
  <c r="AX11" i="16"/>
  <c r="AW11" i="16"/>
  <c r="AV11" i="16"/>
  <c r="AU11" i="16"/>
  <c r="AT11" i="16"/>
  <c r="AS11" i="16"/>
  <c r="AR11" i="16"/>
  <c r="AQ11" i="16"/>
  <c r="AP11" i="16"/>
  <c r="AO11" i="16"/>
  <c r="AN11" i="16"/>
  <c r="AM11" i="16"/>
  <c r="AL11" i="16"/>
  <c r="AK11" i="16"/>
  <c r="AJ11" i="16"/>
  <c r="AI11" i="16"/>
  <c r="AH11" i="16"/>
  <c r="AG11" i="16"/>
  <c r="AF11" i="16"/>
  <c r="AE11" i="16"/>
  <c r="AD11" i="16"/>
  <c r="AC11" i="16"/>
  <c r="AB11" i="16"/>
  <c r="AA11" i="16"/>
  <c r="Z11" i="16"/>
  <c r="Y11" i="16"/>
  <c r="X11" i="16"/>
  <c r="W11" i="16"/>
  <c r="V11" i="16"/>
  <c r="U11" i="16"/>
  <c r="T11" i="16"/>
  <c r="S11" i="16"/>
  <c r="R11" i="16"/>
  <c r="BS10" i="16"/>
  <c r="BR10" i="16"/>
  <c r="BQ10" i="16"/>
  <c r="BP10" i="16"/>
  <c r="BO10" i="16"/>
  <c r="BN10" i="16"/>
  <c r="BM10" i="16"/>
  <c r="BL10" i="16"/>
  <c r="BK10" i="16"/>
  <c r="BJ10" i="16"/>
  <c r="BI10" i="16"/>
  <c r="BH10" i="16"/>
  <c r="BG10" i="16"/>
  <c r="BF10" i="16"/>
  <c r="BE10" i="16"/>
  <c r="BD10" i="16"/>
  <c r="BC10" i="16"/>
  <c r="BB10" i="16"/>
  <c r="BA10" i="16"/>
  <c r="AZ10" i="16"/>
  <c r="AY10" i="16"/>
  <c r="AX10" i="16"/>
  <c r="AW10" i="16"/>
  <c r="AV10" i="16"/>
  <c r="AU10" i="16"/>
  <c r="AT10" i="16"/>
  <c r="AS10" i="16"/>
  <c r="AR10" i="16"/>
  <c r="AQ10" i="16"/>
  <c r="AP10" i="16"/>
  <c r="AO10" i="16"/>
  <c r="AN10" i="16"/>
  <c r="AM10" i="16"/>
  <c r="AL10" i="16"/>
  <c r="AK10" i="16"/>
  <c r="AJ10" i="16"/>
  <c r="AI10" i="16"/>
  <c r="AH10" i="16"/>
  <c r="AG10" i="16"/>
  <c r="AF10" i="16"/>
  <c r="AE10" i="16"/>
  <c r="AD10" i="16"/>
  <c r="AC10" i="16"/>
  <c r="AB10" i="16"/>
  <c r="AA10" i="16"/>
  <c r="Z10" i="16"/>
  <c r="Y10" i="16"/>
  <c r="X10" i="16"/>
  <c r="W10" i="16"/>
  <c r="V10" i="16"/>
  <c r="U10" i="16"/>
  <c r="T10" i="16"/>
  <c r="S10" i="16"/>
  <c r="R10" i="16"/>
  <c r="BS9" i="16"/>
  <c r="BR9" i="16"/>
  <c r="BQ9" i="16"/>
  <c r="BP9" i="16"/>
  <c r="BO9" i="16"/>
  <c r="BN9" i="16"/>
  <c r="BM9" i="16"/>
  <c r="BL9" i="16"/>
  <c r="BK9" i="16"/>
  <c r="BJ9" i="16"/>
  <c r="BI9" i="16"/>
  <c r="BH9" i="16"/>
  <c r="BG9" i="16"/>
  <c r="BF9" i="16"/>
  <c r="BE9" i="16"/>
  <c r="BD9" i="16"/>
  <c r="BC9" i="16"/>
  <c r="BB9" i="16"/>
  <c r="BA9" i="16"/>
  <c r="AZ9" i="16"/>
  <c r="AY9" i="16"/>
  <c r="AX9" i="16"/>
  <c r="AW9" i="16"/>
  <c r="AV9" i="16"/>
  <c r="AU9" i="16"/>
  <c r="AT9" i="16"/>
  <c r="AS9" i="16"/>
  <c r="AR9" i="16"/>
  <c r="AQ9" i="16"/>
  <c r="AP9" i="16"/>
  <c r="AO9" i="16"/>
  <c r="AN9" i="16"/>
  <c r="AM9" i="16"/>
  <c r="AL9" i="16"/>
  <c r="AK9" i="16"/>
  <c r="AJ9" i="16"/>
  <c r="AI9" i="16"/>
  <c r="AH9" i="16"/>
  <c r="AG9" i="16"/>
  <c r="AF9" i="16"/>
  <c r="AE9" i="16"/>
  <c r="AD9" i="16"/>
  <c r="AC9" i="16"/>
  <c r="AB9" i="16"/>
  <c r="AA9" i="16"/>
  <c r="Z9" i="16"/>
  <c r="Y9" i="16"/>
  <c r="X9" i="16"/>
  <c r="W9" i="16"/>
  <c r="V9" i="16"/>
  <c r="U9" i="16"/>
  <c r="T9" i="16"/>
  <c r="S9" i="16"/>
  <c r="R9" i="16"/>
  <c r="BS8" i="16"/>
  <c r="BR8" i="16"/>
  <c r="BQ8" i="16"/>
  <c r="BP8" i="16"/>
  <c r="BO8" i="16"/>
  <c r="BN8" i="16"/>
  <c r="BM8" i="16"/>
  <c r="BL8" i="16"/>
  <c r="BK8" i="16"/>
  <c r="BJ8" i="16"/>
  <c r="BI8" i="16"/>
  <c r="BH8" i="16"/>
  <c r="BG8" i="16"/>
  <c r="BF8" i="16"/>
  <c r="BE8" i="16"/>
  <c r="BD8" i="16"/>
  <c r="BC8" i="16"/>
  <c r="BB8" i="16"/>
  <c r="BA8" i="16"/>
  <c r="AZ8" i="16"/>
  <c r="AY8" i="16"/>
  <c r="AX8" i="16"/>
  <c r="AW8" i="16"/>
  <c r="AV8" i="16"/>
  <c r="AU8" i="16"/>
  <c r="AT8" i="16"/>
  <c r="AS8" i="16"/>
  <c r="AR8" i="16"/>
  <c r="AQ8" i="16"/>
  <c r="AP8" i="16"/>
  <c r="AO8" i="16"/>
  <c r="AN8" i="16"/>
  <c r="AM8" i="16"/>
  <c r="AL8" i="16"/>
  <c r="AK8" i="16"/>
  <c r="AJ8" i="16"/>
  <c r="AI8" i="16"/>
  <c r="AH8" i="16"/>
  <c r="AG8" i="16"/>
  <c r="AF8" i="16"/>
  <c r="AE8" i="16"/>
  <c r="AD8" i="16"/>
  <c r="AC8" i="16"/>
  <c r="AB8" i="16"/>
  <c r="AA8" i="16"/>
  <c r="Z8" i="16"/>
  <c r="Y8" i="16"/>
  <c r="X8" i="16"/>
  <c r="W8" i="16"/>
  <c r="V8" i="16"/>
  <c r="U8" i="16"/>
  <c r="T8" i="16"/>
  <c r="S8" i="16"/>
  <c r="R8" i="16"/>
  <c r="BS7" i="16"/>
  <c r="BR7" i="16"/>
  <c r="BQ7" i="16"/>
  <c r="BP7" i="16"/>
  <c r="BO7" i="16"/>
  <c r="BN7" i="16"/>
  <c r="BM7" i="16"/>
  <c r="BL7" i="16"/>
  <c r="BK7" i="16"/>
  <c r="BJ7" i="16"/>
  <c r="BI7" i="16"/>
  <c r="BH7" i="16"/>
  <c r="BG7" i="16"/>
  <c r="BF7" i="16"/>
  <c r="BE7" i="16"/>
  <c r="BD7" i="16"/>
  <c r="BC7" i="16"/>
  <c r="BB7" i="16"/>
  <c r="BA7" i="16"/>
  <c r="AZ7" i="16"/>
  <c r="AY7" i="16"/>
  <c r="AX7" i="16"/>
  <c r="AW7" i="16"/>
  <c r="AV7" i="16"/>
  <c r="AU7" i="16"/>
  <c r="AT7" i="16"/>
  <c r="AS7" i="16"/>
  <c r="AR7" i="16"/>
  <c r="AQ7" i="16"/>
  <c r="AP7" i="16"/>
  <c r="AO7" i="16"/>
  <c r="AN7" i="16"/>
  <c r="AM7" i="16"/>
  <c r="AL7" i="16"/>
  <c r="AK7" i="16"/>
  <c r="AJ7" i="16"/>
  <c r="AI7" i="16"/>
  <c r="AH7" i="16"/>
  <c r="AG7" i="16"/>
  <c r="AF7" i="16"/>
  <c r="AE7" i="16"/>
  <c r="AD7" i="16"/>
  <c r="AC7" i="16"/>
  <c r="AB7" i="16"/>
  <c r="AA7" i="16"/>
  <c r="Z7" i="16"/>
  <c r="Y7" i="16"/>
  <c r="X7" i="16"/>
  <c r="W7" i="16"/>
  <c r="V7" i="16"/>
  <c r="U7" i="16"/>
  <c r="T7" i="16"/>
  <c r="S7" i="16"/>
  <c r="R7" i="16"/>
  <c r="B7" i="16"/>
  <c r="BS6" i="16"/>
  <c r="BR6" i="16"/>
  <c r="BQ6" i="16"/>
  <c r="BP6" i="16"/>
  <c r="BO6" i="16"/>
  <c r="BN6" i="16"/>
  <c r="BM6" i="16"/>
  <c r="BL6" i="16"/>
  <c r="BK6" i="16"/>
  <c r="BJ6" i="16"/>
  <c r="BI6" i="16"/>
  <c r="BH6" i="16"/>
  <c r="BG6" i="16"/>
  <c r="BF6" i="16"/>
  <c r="BE6" i="16"/>
  <c r="BD6" i="16"/>
  <c r="BC6" i="16"/>
  <c r="BB6" i="16"/>
  <c r="BA6" i="16"/>
  <c r="AZ6" i="16"/>
  <c r="AY6" i="16"/>
  <c r="AX6" i="16"/>
  <c r="AW6" i="16"/>
  <c r="AV6" i="16"/>
  <c r="AU6" i="16"/>
  <c r="AT6" i="16"/>
  <c r="AS6" i="16"/>
  <c r="AR6" i="16"/>
  <c r="AQ6" i="16"/>
  <c r="AP6" i="16"/>
  <c r="AO6" i="16"/>
  <c r="AN6" i="16"/>
  <c r="AM6" i="16"/>
  <c r="AL6" i="16"/>
  <c r="AK6" i="16"/>
  <c r="AJ6" i="16"/>
  <c r="AI6" i="16"/>
  <c r="AH6" i="16"/>
  <c r="AG6" i="16"/>
  <c r="AF6" i="16"/>
  <c r="AE6" i="16"/>
  <c r="AD6" i="16"/>
  <c r="AC6" i="16"/>
  <c r="AB6" i="16"/>
  <c r="AA6" i="16"/>
  <c r="Z6" i="16"/>
  <c r="Y6" i="16"/>
  <c r="X6" i="16"/>
  <c r="W6" i="16"/>
  <c r="V6" i="16"/>
  <c r="U6" i="16"/>
  <c r="T6" i="16"/>
  <c r="S6" i="16"/>
  <c r="R6" i="16"/>
  <c r="B6" i="16"/>
  <c r="B5" i="16"/>
  <c r="B4" i="16"/>
  <c r="B3" i="16"/>
  <c r="A1" i="16"/>
  <c r="W4" i="10" l="1"/>
  <c r="V4" i="10"/>
  <c r="U4" i="10"/>
  <c r="T4" i="10"/>
  <c r="G27" i="4"/>
  <c r="H27" i="4"/>
  <c r="I27" i="4"/>
  <c r="J27" i="4"/>
  <c r="F27" i="4"/>
  <c r="M39" i="4" l="1"/>
  <c r="K39" i="4"/>
  <c r="D39" i="4"/>
  <c r="T6" i="4"/>
  <c r="U6" i="4"/>
  <c r="V6" i="4"/>
  <c r="AC6" i="4"/>
  <c r="AL6" i="4"/>
  <c r="AM6" i="4"/>
  <c r="AN6" i="4"/>
  <c r="AO6" i="4"/>
  <c r="AP6" i="4"/>
  <c r="AQ6" i="4"/>
  <c r="AR6" i="4"/>
  <c r="AS6" i="4"/>
  <c r="AT6" i="4"/>
  <c r="AU6" i="4"/>
  <c r="AV6" i="4"/>
  <c r="AW6" i="4"/>
  <c r="AX6" i="4"/>
  <c r="AY6" i="4"/>
  <c r="AZ6" i="4"/>
  <c r="BA6" i="4"/>
  <c r="BB6" i="4"/>
  <c r="BC6" i="4"/>
  <c r="BD6" i="4"/>
  <c r="BE6" i="4"/>
  <c r="BF6" i="4"/>
  <c r="BG6" i="4"/>
  <c r="BH6" i="4"/>
  <c r="BI6" i="4"/>
  <c r="BJ6" i="4"/>
  <c r="BK6" i="4"/>
  <c r="BL6" i="4"/>
  <c r="BM6" i="4"/>
  <c r="BN6" i="4"/>
  <c r="BO6" i="4"/>
  <c r="BP6" i="4"/>
  <c r="BQ6" i="4"/>
  <c r="BR6" i="4"/>
  <c r="BS6" i="4"/>
  <c r="BT6" i="4"/>
  <c r="S6" i="4"/>
  <c r="B7" i="4"/>
  <c r="B6" i="4"/>
  <c r="B16" i="13"/>
  <c r="B4" i="4"/>
  <c r="B3" i="4"/>
  <c r="B5" i="4"/>
  <c r="A1" i="4"/>
  <c r="M30" i="4" l="1"/>
  <c r="M34" i="4"/>
  <c r="M35" i="4"/>
  <c r="M36" i="4"/>
  <c r="M37" i="4"/>
  <c r="M40" i="4"/>
  <c r="M41" i="4"/>
  <c r="M42" i="4"/>
  <c r="M43" i="4"/>
  <c r="M44" i="4"/>
  <c r="M46" i="4"/>
  <c r="M47" i="4"/>
  <c r="M48" i="4"/>
  <c r="M50" i="4"/>
  <c r="M51" i="4"/>
  <c r="M52" i="4"/>
  <c r="M54" i="4"/>
  <c r="M55" i="4"/>
  <c r="M56" i="4"/>
  <c r="M57" i="4"/>
  <c r="M59" i="4"/>
  <c r="M60" i="4"/>
  <c r="M61" i="4"/>
  <c r="M62" i="4"/>
  <c r="M63" i="4"/>
  <c r="M64" i="4"/>
  <c r="M65" i="4"/>
  <c r="M66" i="4"/>
  <c r="M67" i="4"/>
  <c r="M75" i="4"/>
  <c r="M76" i="4"/>
  <c r="M77" i="4"/>
  <c r="M78" i="4"/>
  <c r="M79" i="4"/>
  <c r="M80" i="4"/>
  <c r="M81" i="4"/>
  <c r="M82" i="4"/>
  <c r="M83" i="4"/>
  <c r="K30" i="4"/>
  <c r="K34" i="4"/>
  <c r="K35" i="4"/>
  <c r="K36" i="4"/>
  <c r="K37" i="4"/>
  <c r="K40" i="4"/>
  <c r="K41" i="4"/>
  <c r="K42" i="4"/>
  <c r="K43" i="4"/>
  <c r="K44" i="4"/>
  <c r="K46" i="4"/>
  <c r="K47" i="4"/>
  <c r="K48" i="4"/>
  <c r="K50" i="4"/>
  <c r="K51" i="4"/>
  <c r="K52" i="4"/>
  <c r="K54" i="4"/>
  <c r="K55" i="4"/>
  <c r="K56" i="4"/>
  <c r="K57" i="4"/>
  <c r="K59" i="4"/>
  <c r="K60" i="4"/>
  <c r="K61" i="4"/>
  <c r="K62" i="4"/>
  <c r="K63" i="4"/>
  <c r="K64" i="4"/>
  <c r="K65" i="4"/>
  <c r="K66" i="4"/>
  <c r="K67" i="4"/>
  <c r="K75" i="4"/>
  <c r="K76" i="4"/>
  <c r="K79" i="4"/>
  <c r="K80" i="4"/>
  <c r="K81" i="4"/>
  <c r="K83" i="4"/>
  <c r="S17" i="4"/>
  <c r="AP17" i="4"/>
  <c r="AQ17" i="4"/>
  <c r="AR17" i="4"/>
  <c r="AS17" i="4"/>
  <c r="AT17" i="4"/>
  <c r="AU17" i="4"/>
  <c r="AV17" i="4"/>
  <c r="AW17" i="4"/>
  <c r="AX17" i="4"/>
  <c r="AY17" i="4"/>
  <c r="AZ17" i="4"/>
  <c r="BA17" i="4"/>
  <c r="BB17" i="4"/>
  <c r="BC17" i="4"/>
  <c r="BD17" i="4"/>
  <c r="BE17" i="4"/>
  <c r="BF17" i="4"/>
  <c r="BG17" i="4"/>
  <c r="BH17" i="4"/>
  <c r="BI17" i="4"/>
  <c r="BJ17" i="4"/>
  <c r="BK17" i="4"/>
  <c r="BL17" i="4"/>
  <c r="BM17" i="4"/>
  <c r="BN17" i="4"/>
  <c r="BO17" i="4"/>
  <c r="BP17" i="4"/>
  <c r="BQ17" i="4"/>
  <c r="BR17" i="4"/>
  <c r="BS17" i="4"/>
  <c r="BT17" i="4"/>
  <c r="S18" i="4"/>
  <c r="AP18" i="4"/>
  <c r="AQ18" i="4"/>
  <c r="AR18" i="4"/>
  <c r="AS18" i="4"/>
  <c r="AT18" i="4"/>
  <c r="AU18" i="4"/>
  <c r="AV18" i="4"/>
  <c r="AW18" i="4"/>
  <c r="AX18" i="4"/>
  <c r="AY18" i="4"/>
  <c r="AZ18" i="4"/>
  <c r="BA18" i="4"/>
  <c r="BB18" i="4"/>
  <c r="BC18" i="4"/>
  <c r="BD18" i="4"/>
  <c r="BE18" i="4"/>
  <c r="BF18" i="4"/>
  <c r="BG18" i="4"/>
  <c r="BH18" i="4"/>
  <c r="BI18" i="4"/>
  <c r="BJ18" i="4"/>
  <c r="BK18" i="4"/>
  <c r="BL18" i="4"/>
  <c r="BM18" i="4"/>
  <c r="BN18" i="4"/>
  <c r="BO18" i="4"/>
  <c r="BP18" i="4"/>
  <c r="BQ18" i="4"/>
  <c r="BR18" i="4"/>
  <c r="BS18" i="4"/>
  <c r="BT18" i="4"/>
  <c r="S21" i="4"/>
  <c r="AP21" i="4"/>
  <c r="AQ21" i="4"/>
  <c r="AR21" i="4"/>
  <c r="AS21" i="4"/>
  <c r="AT21" i="4"/>
  <c r="AU21" i="4"/>
  <c r="AV21" i="4"/>
  <c r="AW21" i="4"/>
  <c r="AX21" i="4"/>
  <c r="AY21" i="4"/>
  <c r="AZ21" i="4"/>
  <c r="BA21" i="4"/>
  <c r="BB21" i="4"/>
  <c r="BC21" i="4"/>
  <c r="BD21" i="4"/>
  <c r="BE21" i="4"/>
  <c r="BF21" i="4"/>
  <c r="BG21" i="4"/>
  <c r="BH21" i="4"/>
  <c r="BI21" i="4"/>
  <c r="BJ21" i="4"/>
  <c r="BK21" i="4"/>
  <c r="BL21" i="4"/>
  <c r="BM21" i="4"/>
  <c r="BN21" i="4"/>
  <c r="BO21" i="4"/>
  <c r="BP21" i="4"/>
  <c r="BQ21" i="4"/>
  <c r="BR21" i="4"/>
  <c r="BS21" i="4"/>
  <c r="BT21" i="4"/>
  <c r="AP16" i="4"/>
  <c r="AQ16" i="4"/>
  <c r="AR16" i="4"/>
  <c r="AS16" i="4"/>
  <c r="AT16" i="4"/>
  <c r="AU16" i="4"/>
  <c r="AV16" i="4"/>
  <c r="AW16" i="4"/>
  <c r="AX16" i="4"/>
  <c r="AY16" i="4"/>
  <c r="AZ16" i="4"/>
  <c r="BA16" i="4"/>
  <c r="BB16" i="4"/>
  <c r="BC16" i="4"/>
  <c r="BD16" i="4"/>
  <c r="BE16" i="4"/>
  <c r="BF16" i="4"/>
  <c r="BG16" i="4"/>
  <c r="BH16" i="4"/>
  <c r="BI16" i="4"/>
  <c r="BJ16" i="4"/>
  <c r="BK16" i="4"/>
  <c r="BL16" i="4"/>
  <c r="BM16" i="4"/>
  <c r="BN16" i="4"/>
  <c r="BO16" i="4"/>
  <c r="BP16" i="4"/>
  <c r="BQ16" i="4"/>
  <c r="BR16" i="4"/>
  <c r="BS16" i="4"/>
  <c r="BT16" i="4"/>
  <c r="S16" i="4"/>
  <c r="D30" i="4" l="1"/>
  <c r="D34" i="4"/>
  <c r="D35" i="4"/>
  <c r="D36" i="4"/>
  <c r="S4" i="10" l="1"/>
  <c r="R4" i="10"/>
  <c r="I4" i="10"/>
  <c r="J4" i="10"/>
  <c r="D4" i="10"/>
  <c r="G4" i="10"/>
  <c r="H4" i="10"/>
  <c r="K4" i="10"/>
  <c r="L4" i="10"/>
  <c r="N4" i="10"/>
  <c r="P4" i="10"/>
  <c r="Q4" i="10"/>
  <c r="C4" i="10"/>
  <c r="BT29" i="4" l="1"/>
  <c r="AF83" i="4"/>
  <c r="AG83" i="4"/>
  <c r="AH83" i="4"/>
  <c r="AI83" i="4"/>
  <c r="AJ83" i="4"/>
  <c r="AL83" i="4"/>
  <c r="AM83" i="4"/>
  <c r="AN83" i="4"/>
  <c r="AO83" i="4"/>
  <c r="AP83" i="4"/>
  <c r="AQ83" i="4"/>
  <c r="AR83" i="4"/>
  <c r="AS83" i="4"/>
  <c r="AT83" i="4"/>
  <c r="AU83" i="4"/>
  <c r="AV83" i="4"/>
  <c r="AW83" i="4"/>
  <c r="AX83" i="4"/>
  <c r="AY83" i="4"/>
  <c r="AZ83" i="4"/>
  <c r="BA83" i="4"/>
  <c r="BB83" i="4"/>
  <c r="BC83" i="4"/>
  <c r="BD83" i="4"/>
  <c r="BE83" i="4"/>
  <c r="BF83" i="4"/>
  <c r="BG83" i="4"/>
  <c r="BH83" i="4"/>
  <c r="BI83" i="4"/>
  <c r="BJ83" i="4"/>
  <c r="BK83" i="4"/>
  <c r="BL83" i="4"/>
  <c r="BM83" i="4"/>
  <c r="BN83" i="4"/>
  <c r="BO83" i="4"/>
  <c r="BP83" i="4"/>
  <c r="BQ83" i="4"/>
  <c r="BR83" i="4"/>
  <c r="BS83" i="4"/>
  <c r="BT83" i="4"/>
  <c r="T28" i="4"/>
  <c r="U28" i="4"/>
  <c r="V28" i="4"/>
  <c r="W28" i="4"/>
  <c r="Y28" i="4"/>
  <c r="Z28" i="4"/>
  <c r="AF28" i="4"/>
  <c r="AG28" i="4"/>
  <c r="AH28" i="4"/>
  <c r="AJ28" i="4"/>
  <c r="AL28" i="4"/>
  <c r="AM28" i="4"/>
  <c r="AN28" i="4"/>
  <c r="AO28" i="4"/>
  <c r="AP28" i="4"/>
  <c r="AQ28" i="4"/>
  <c r="AR28" i="4"/>
  <c r="AS28" i="4"/>
  <c r="AT28" i="4"/>
  <c r="AU28" i="4"/>
  <c r="AV28" i="4"/>
  <c r="AW28" i="4"/>
  <c r="AX28" i="4"/>
  <c r="AY28" i="4"/>
  <c r="AZ28" i="4"/>
  <c r="BA28" i="4"/>
  <c r="BB28" i="4"/>
  <c r="BC28" i="4"/>
  <c r="BD28" i="4"/>
  <c r="BE28" i="4"/>
  <c r="BF28" i="4"/>
  <c r="BG28" i="4"/>
  <c r="BH28" i="4"/>
  <c r="BI28" i="4"/>
  <c r="BJ28" i="4"/>
  <c r="BK28" i="4"/>
  <c r="BL28" i="4"/>
  <c r="BM28" i="4"/>
  <c r="BN28" i="4"/>
  <c r="BO28" i="4"/>
  <c r="BP28" i="4"/>
  <c r="BQ28" i="4"/>
  <c r="BR28" i="4"/>
  <c r="BS28" i="4"/>
  <c r="BT28" i="4"/>
  <c r="T9" i="4"/>
  <c r="U9" i="4"/>
  <c r="V9" i="4"/>
  <c r="W9" i="4"/>
  <c r="AC9" i="4"/>
  <c r="AD9" i="4"/>
  <c r="AE9" i="4"/>
  <c r="AF9" i="4"/>
  <c r="AG9" i="4"/>
  <c r="AH9" i="4"/>
  <c r="AI9" i="4"/>
  <c r="AJ9" i="4"/>
  <c r="AK9" i="4"/>
  <c r="AL9" i="4"/>
  <c r="AM9" i="4"/>
  <c r="AN9" i="4"/>
  <c r="AO9" i="4"/>
  <c r="AP9" i="4"/>
  <c r="AQ9" i="4"/>
  <c r="AR9" i="4"/>
  <c r="AS9" i="4"/>
  <c r="AT9" i="4"/>
  <c r="AU9" i="4"/>
  <c r="AV9" i="4"/>
  <c r="AW9" i="4"/>
  <c r="AX9" i="4"/>
  <c r="AY9" i="4"/>
  <c r="AZ9" i="4"/>
  <c r="BA9" i="4"/>
  <c r="BB9" i="4"/>
  <c r="BC9" i="4"/>
  <c r="BD9" i="4"/>
  <c r="BE9" i="4"/>
  <c r="BF9" i="4"/>
  <c r="BG9" i="4"/>
  <c r="BH9" i="4"/>
  <c r="BI9" i="4"/>
  <c r="BJ9" i="4"/>
  <c r="BK9" i="4"/>
  <c r="BL9" i="4"/>
  <c r="BM9" i="4"/>
  <c r="BN9" i="4"/>
  <c r="BO9" i="4"/>
  <c r="BP9" i="4"/>
  <c r="BQ9" i="4"/>
  <c r="BR9" i="4"/>
  <c r="BS9" i="4"/>
  <c r="BT9" i="4"/>
  <c r="T10" i="4"/>
  <c r="AD10" i="4"/>
  <c r="AF10" i="4"/>
  <c r="AG10" i="4"/>
  <c r="AH10" i="4"/>
  <c r="AI10" i="4"/>
  <c r="AJ10" i="4"/>
  <c r="AK10" i="4"/>
  <c r="AL10" i="4"/>
  <c r="AM10" i="4"/>
  <c r="AN10" i="4"/>
  <c r="AO10" i="4"/>
  <c r="AP10" i="4"/>
  <c r="AQ10" i="4"/>
  <c r="AR10" i="4"/>
  <c r="AS10" i="4"/>
  <c r="AT10" i="4"/>
  <c r="AU10" i="4"/>
  <c r="AV10" i="4"/>
  <c r="AW10" i="4"/>
  <c r="AX10" i="4"/>
  <c r="AY10" i="4"/>
  <c r="AZ10" i="4"/>
  <c r="BA10" i="4"/>
  <c r="BB10" i="4"/>
  <c r="BC10" i="4"/>
  <c r="BD10" i="4"/>
  <c r="BE10" i="4"/>
  <c r="BF10" i="4"/>
  <c r="BG10" i="4"/>
  <c r="BH10" i="4"/>
  <c r="BI10" i="4"/>
  <c r="BJ10" i="4"/>
  <c r="BK10" i="4"/>
  <c r="BL10" i="4"/>
  <c r="BM10" i="4"/>
  <c r="BN10" i="4"/>
  <c r="BO10" i="4"/>
  <c r="BP10" i="4"/>
  <c r="BQ10" i="4"/>
  <c r="BR10" i="4"/>
  <c r="BS10" i="4"/>
  <c r="BT10" i="4"/>
  <c r="AD11" i="4"/>
  <c r="AE11" i="4"/>
  <c r="AF11" i="4"/>
  <c r="AG11" i="4"/>
  <c r="AH11" i="4"/>
  <c r="AI11" i="4"/>
  <c r="AJ11" i="4"/>
  <c r="AK11" i="4"/>
  <c r="AL11" i="4"/>
  <c r="AM11" i="4"/>
  <c r="AN11" i="4"/>
  <c r="AO11" i="4"/>
  <c r="AP11" i="4"/>
  <c r="AQ11" i="4"/>
  <c r="AR11" i="4"/>
  <c r="AS11" i="4"/>
  <c r="AT11" i="4"/>
  <c r="AU11" i="4"/>
  <c r="AV11" i="4"/>
  <c r="AW11" i="4"/>
  <c r="AX11" i="4"/>
  <c r="AY11" i="4"/>
  <c r="AZ11" i="4"/>
  <c r="BA11" i="4"/>
  <c r="BB11" i="4"/>
  <c r="BC11" i="4"/>
  <c r="BD11" i="4"/>
  <c r="BE11" i="4"/>
  <c r="BF11" i="4"/>
  <c r="BG11" i="4"/>
  <c r="BH11" i="4"/>
  <c r="BJ11" i="4"/>
  <c r="BK11" i="4"/>
  <c r="BL11" i="4"/>
  <c r="BM11" i="4"/>
  <c r="BN11" i="4"/>
  <c r="BO11" i="4"/>
  <c r="BP11" i="4"/>
  <c r="BQ11" i="4"/>
  <c r="BR11" i="4"/>
  <c r="BS11" i="4"/>
  <c r="BT11" i="4"/>
  <c r="S11" i="4"/>
  <c r="S9" i="4"/>
  <c r="T8" i="4"/>
  <c r="U8" i="4"/>
  <c r="V8" i="4"/>
  <c r="W8" i="4"/>
  <c r="AC8" i="4"/>
  <c r="AD8" i="4"/>
  <c r="AE8" i="4"/>
  <c r="AF8" i="4"/>
  <c r="AG8" i="4"/>
  <c r="AH8" i="4"/>
  <c r="AI8" i="4"/>
  <c r="AJ8" i="4"/>
  <c r="AK8" i="4"/>
  <c r="AL8" i="4"/>
  <c r="AM8" i="4"/>
  <c r="AN8" i="4"/>
  <c r="AO8" i="4"/>
  <c r="AP8" i="4"/>
  <c r="AQ8" i="4"/>
  <c r="AR8" i="4"/>
  <c r="AS8" i="4"/>
  <c r="AT8" i="4"/>
  <c r="AU8" i="4"/>
  <c r="AV8" i="4"/>
  <c r="AW8" i="4"/>
  <c r="AX8" i="4"/>
  <c r="AY8" i="4"/>
  <c r="AZ8" i="4"/>
  <c r="BA8" i="4"/>
  <c r="BB8" i="4"/>
  <c r="BC8" i="4"/>
  <c r="BD8" i="4"/>
  <c r="BE8" i="4"/>
  <c r="BF8" i="4"/>
  <c r="BG8" i="4"/>
  <c r="BH8" i="4"/>
  <c r="BI8" i="4"/>
  <c r="BJ8" i="4"/>
  <c r="BK8" i="4"/>
  <c r="BL8" i="4"/>
  <c r="BM8" i="4"/>
  <c r="BN8" i="4"/>
  <c r="BO8" i="4"/>
  <c r="BP8" i="4"/>
  <c r="BQ8" i="4"/>
  <c r="BR8" i="4"/>
  <c r="BS8" i="4"/>
  <c r="BT8" i="4"/>
  <c r="S8" i="4"/>
  <c r="T7" i="4"/>
  <c r="U7" i="4"/>
  <c r="V7" i="4"/>
  <c r="W7" i="4"/>
  <c r="AC7" i="4"/>
  <c r="AD7" i="4"/>
  <c r="AE7" i="4"/>
  <c r="AF7" i="4"/>
  <c r="AG7" i="4"/>
  <c r="AH7" i="4"/>
  <c r="AI7" i="4"/>
  <c r="AJ7" i="4"/>
  <c r="AK7" i="4"/>
  <c r="AL7" i="4"/>
  <c r="AM7" i="4"/>
  <c r="AN7" i="4"/>
  <c r="AO7" i="4"/>
  <c r="AP7" i="4"/>
  <c r="AQ7" i="4"/>
  <c r="AR7" i="4"/>
  <c r="AS7" i="4"/>
  <c r="AT7" i="4"/>
  <c r="AU7" i="4"/>
  <c r="AV7" i="4"/>
  <c r="AW7" i="4"/>
  <c r="AX7" i="4"/>
  <c r="AY7" i="4"/>
  <c r="AZ7" i="4"/>
  <c r="BA7" i="4"/>
  <c r="BB7" i="4"/>
  <c r="BC7" i="4"/>
  <c r="BD7" i="4"/>
  <c r="BE7" i="4"/>
  <c r="BF7" i="4"/>
  <c r="BG7" i="4"/>
  <c r="BH7" i="4"/>
  <c r="BI7" i="4"/>
  <c r="BJ7" i="4"/>
  <c r="BK7" i="4"/>
  <c r="BL7" i="4"/>
  <c r="BM7" i="4"/>
  <c r="BN7" i="4"/>
  <c r="BO7" i="4"/>
  <c r="BP7" i="4"/>
  <c r="BQ7" i="4"/>
  <c r="BR7" i="4"/>
  <c r="BS7" i="4"/>
  <c r="BT7" i="4"/>
  <c r="S7" i="4"/>
  <c r="R83" i="4"/>
  <c r="R29" i="4"/>
  <c r="Q28" i="4"/>
  <c r="Q29" i="4"/>
  <c r="Q30" i="4"/>
  <c r="L12" i="12"/>
  <c r="H6" i="12"/>
  <c r="I6" i="12"/>
  <c r="J6" i="12"/>
  <c r="G12" i="12"/>
  <c r="H12" i="12"/>
  <c r="I12" i="12"/>
  <c r="J12" i="12"/>
  <c r="J25" i="4"/>
  <c r="I25" i="4"/>
  <c r="H25" i="4"/>
  <c r="G25" i="4"/>
  <c r="F25" i="4"/>
  <c r="Q12" i="12" l="1"/>
  <c r="Q6" i="12"/>
  <c r="D6" i="12"/>
  <c r="F12" i="12"/>
  <c r="G6" i="12"/>
  <c r="F6" i="12"/>
  <c r="D12" i="12"/>
  <c r="D83" i="4"/>
  <c r="D82" i="4"/>
  <c r="D81" i="4"/>
  <c r="D80" i="4"/>
  <c r="D79" i="4"/>
  <c r="D78" i="4"/>
  <c r="D77" i="4"/>
  <c r="D76" i="4"/>
  <c r="D75" i="4"/>
  <c r="D67" i="4"/>
  <c r="D66" i="4"/>
  <c r="D65" i="4"/>
  <c r="D64" i="4"/>
  <c r="D63" i="4"/>
  <c r="D62" i="4"/>
  <c r="D61" i="4"/>
  <c r="D60" i="4"/>
  <c r="D59" i="4"/>
  <c r="D57" i="4"/>
  <c r="D56" i="4"/>
  <c r="D55" i="4"/>
  <c r="D54" i="4"/>
  <c r="D52" i="4"/>
  <c r="D51" i="4"/>
  <c r="D50" i="4"/>
  <c r="D48" i="4"/>
  <c r="D47" i="4"/>
  <c r="D46" i="4"/>
  <c r="D44" i="4"/>
  <c r="D43" i="4"/>
  <c r="D42" i="4"/>
  <c r="D41" i="4"/>
  <c r="D40" i="4"/>
  <c r="D37" i="4"/>
  <c r="Q20" i="12" l="1"/>
  <c r="Q18" i="12"/>
  <c r="Q31" i="12"/>
  <c r="Q35" i="12"/>
  <c r="Q36" i="12"/>
  <c r="Q22" i="12"/>
  <c r="Q24" i="12"/>
  <c r="Q26" i="12"/>
  <c r="Q41" i="12"/>
  <c r="Q29" i="12"/>
  <c r="Q30" i="12"/>
  <c r="Q51" i="12"/>
  <c r="Q52" i="12"/>
  <c r="Q53" i="12"/>
  <c r="Q54" i="12"/>
  <c r="Q38" i="12"/>
  <c r="Q13" i="12"/>
  <c r="Q44" i="12"/>
  <c r="Q55" i="12"/>
  <c r="Q39" i="12"/>
  <c r="Q15" i="12"/>
  <c r="Q45" i="12"/>
  <c r="Q56" i="12"/>
  <c r="Q46" i="12"/>
  <c r="Q57" i="12"/>
  <c r="Q40" i="12"/>
  <c r="Q16" i="12"/>
  <c r="Q19" i="12"/>
  <c r="Q34" i="12"/>
  <c r="Q47" i="12"/>
  <c r="Q28" i="12"/>
  <c r="Q17" i="12"/>
  <c r="Q48" i="12"/>
  <c r="Q21" i="12"/>
  <c r="Q49" i="12"/>
  <c r="Q25" i="12"/>
  <c r="Q42" i="12"/>
  <c r="Q33" i="12"/>
  <c r="Q37" i="12"/>
  <c r="Q50" i="12"/>
  <c r="L25" i="12" l="1"/>
  <c r="L24" i="12"/>
  <c r="L15" i="12"/>
  <c r="L49" i="12"/>
  <c r="L47" i="12"/>
  <c r="L39" i="12"/>
  <c r="L36" i="12"/>
  <c r="L34" i="12"/>
  <c r="L21" i="12"/>
  <c r="L19" i="12"/>
  <c r="L44" i="12"/>
  <c r="L18" i="12"/>
  <c r="L31" i="12"/>
  <c r="L30" i="12"/>
  <c r="L29" i="12"/>
  <c r="L13" i="12"/>
  <c r="L26" i="12"/>
  <c r="L40" i="12"/>
  <c r="L50" i="12"/>
  <c r="L38" i="12"/>
  <c r="L37" i="12"/>
  <c r="L35" i="12"/>
  <c r="L46" i="12"/>
  <c r="L22" i="12"/>
  <c r="L20" i="12"/>
  <c r="L41" i="12"/>
  <c r="L33" i="12"/>
  <c r="L17" i="12"/>
  <c r="L42" i="12"/>
  <c r="L28" i="12"/>
  <c r="L45" i="12"/>
  <c r="L16" i="12"/>
  <c r="P16" i="12"/>
  <c r="O16" i="12"/>
  <c r="N16" i="12"/>
  <c r="F49" i="12"/>
  <c r="G49" i="12"/>
  <c r="H49" i="12"/>
  <c r="I49" i="12"/>
  <c r="D49" i="12"/>
  <c r="J49" i="12"/>
  <c r="H48" i="12"/>
  <c r="I48" i="12"/>
  <c r="J48" i="12"/>
  <c r="D48" i="12"/>
  <c r="G48" i="12"/>
  <c r="F48" i="12"/>
  <c r="F39" i="12"/>
  <c r="G39" i="12"/>
  <c r="H39" i="12"/>
  <c r="I39" i="12"/>
  <c r="J39" i="12"/>
  <c r="D39" i="12"/>
  <c r="J38" i="12"/>
  <c r="D38" i="12"/>
  <c r="F38" i="12"/>
  <c r="G38" i="12"/>
  <c r="I38" i="12"/>
  <c r="H38" i="12"/>
  <c r="J50" i="12"/>
  <c r="D50" i="12"/>
  <c r="F50" i="12"/>
  <c r="G50" i="12"/>
  <c r="I50" i="12"/>
  <c r="H50" i="12"/>
  <c r="D47" i="12"/>
  <c r="F47" i="12"/>
  <c r="G47" i="12"/>
  <c r="H47" i="12"/>
  <c r="I47" i="12"/>
  <c r="J47" i="12"/>
  <c r="F57" i="12"/>
  <c r="G57" i="12"/>
  <c r="H57" i="12"/>
  <c r="I57" i="12"/>
  <c r="D57" i="12"/>
  <c r="J57" i="12"/>
  <c r="F40" i="12"/>
  <c r="G40" i="12"/>
  <c r="H40" i="12"/>
  <c r="I40" i="12"/>
  <c r="D40" i="12"/>
  <c r="J40" i="12"/>
  <c r="F37" i="12"/>
  <c r="G37" i="12"/>
  <c r="H37" i="12"/>
  <c r="I37" i="12"/>
  <c r="D37" i="12"/>
  <c r="J37" i="12"/>
  <c r="H36" i="12"/>
  <c r="I36" i="12"/>
  <c r="J36" i="12"/>
  <c r="D36" i="12"/>
  <c r="F36" i="12"/>
  <c r="G36" i="12"/>
  <c r="D35" i="12"/>
  <c r="F35" i="12"/>
  <c r="G35" i="12"/>
  <c r="H35" i="12"/>
  <c r="I35" i="12"/>
  <c r="J35" i="12"/>
  <c r="F34" i="12"/>
  <c r="G34" i="12"/>
  <c r="H34" i="12"/>
  <c r="I34" i="12"/>
  <c r="D34" i="12"/>
  <c r="J34" i="12"/>
  <c r="F46" i="12"/>
  <c r="G46" i="12"/>
  <c r="H46" i="12"/>
  <c r="I46" i="12"/>
  <c r="D46" i="12"/>
  <c r="J46" i="12"/>
  <c r="D55" i="12"/>
  <c r="F55" i="12"/>
  <c r="G55" i="12"/>
  <c r="H55" i="12"/>
  <c r="I55" i="12"/>
  <c r="J55" i="12"/>
  <c r="H24" i="12"/>
  <c r="I24" i="12"/>
  <c r="D24" i="12"/>
  <c r="J24" i="12"/>
  <c r="G24" i="12"/>
  <c r="F24" i="12"/>
  <c r="F54" i="12"/>
  <c r="G54" i="12"/>
  <c r="H54" i="12"/>
  <c r="D54" i="12"/>
  <c r="I54" i="12"/>
  <c r="J54" i="12"/>
  <c r="F15" i="12"/>
  <c r="G15" i="12"/>
  <c r="H15" i="12"/>
  <c r="I15" i="12"/>
  <c r="J15" i="12"/>
  <c r="D15" i="12"/>
  <c r="F22" i="12"/>
  <c r="G22" i="12"/>
  <c r="H22" i="12"/>
  <c r="I22" i="12"/>
  <c r="D22" i="12"/>
  <c r="J22" i="12"/>
  <c r="D20" i="12"/>
  <c r="F20" i="12"/>
  <c r="G20" i="12"/>
  <c r="H20" i="12"/>
  <c r="I20" i="12"/>
  <c r="J20" i="12"/>
  <c r="G41" i="12"/>
  <c r="H41" i="12"/>
  <c r="I41" i="12"/>
  <c r="J41" i="12"/>
  <c r="D41" i="12"/>
  <c r="F41" i="12"/>
  <c r="D44" i="12"/>
  <c r="F44" i="12"/>
  <c r="G44" i="12"/>
  <c r="H44" i="12"/>
  <c r="I44" i="12"/>
  <c r="J44" i="12"/>
  <c r="G53" i="12"/>
  <c r="H53" i="12"/>
  <c r="I53" i="12"/>
  <c r="J53" i="12"/>
  <c r="D53" i="12"/>
  <c r="F53" i="12"/>
  <c r="D21" i="12"/>
  <c r="J21" i="12"/>
  <c r="F21" i="12"/>
  <c r="G21" i="12"/>
  <c r="H21" i="12"/>
  <c r="I21" i="12"/>
  <c r="I19" i="12"/>
  <c r="D19" i="12"/>
  <c r="J19" i="12"/>
  <c r="F19" i="12"/>
  <c r="G19" i="12"/>
  <c r="H19" i="12"/>
  <c r="F25" i="12"/>
  <c r="G25" i="12"/>
  <c r="H25" i="12"/>
  <c r="I25" i="12"/>
  <c r="D25" i="12"/>
  <c r="J25" i="12"/>
  <c r="G17" i="12"/>
  <c r="H17" i="12"/>
  <c r="I17" i="12"/>
  <c r="J17" i="12"/>
  <c r="F17" i="12"/>
  <c r="D17" i="12"/>
  <c r="I31" i="12"/>
  <c r="D31" i="12"/>
  <c r="J31" i="12"/>
  <c r="F31" i="12"/>
  <c r="H31" i="12"/>
  <c r="G31" i="12"/>
  <c r="F52" i="12"/>
  <c r="G52" i="12"/>
  <c r="H52" i="12"/>
  <c r="I52" i="12"/>
  <c r="D52" i="12"/>
  <c r="J52" i="12"/>
  <c r="J26" i="12"/>
  <c r="D26" i="12"/>
  <c r="F26" i="12"/>
  <c r="G26" i="12"/>
  <c r="H26" i="12"/>
  <c r="I26" i="12"/>
  <c r="D33" i="12"/>
  <c r="F33" i="12"/>
  <c r="G33" i="12"/>
  <c r="H33" i="12"/>
  <c r="J33" i="12"/>
  <c r="I33" i="12"/>
  <c r="F18" i="12"/>
  <c r="G18" i="12"/>
  <c r="H18" i="12"/>
  <c r="D18" i="12"/>
  <c r="I18" i="12"/>
  <c r="J18" i="12"/>
  <c r="D56" i="12"/>
  <c r="F56" i="12"/>
  <c r="G56" i="12"/>
  <c r="H56" i="12"/>
  <c r="I56" i="12"/>
  <c r="J56" i="12"/>
  <c r="F30" i="12"/>
  <c r="G30" i="12"/>
  <c r="H30" i="12"/>
  <c r="I30" i="12"/>
  <c r="J30" i="12"/>
  <c r="D30" i="12"/>
  <c r="G29" i="12"/>
  <c r="H29" i="12"/>
  <c r="I29" i="12"/>
  <c r="J29" i="12"/>
  <c r="F29" i="12"/>
  <c r="D29" i="12"/>
  <c r="F28" i="12"/>
  <c r="G28" i="12"/>
  <c r="H28" i="12"/>
  <c r="I28" i="12"/>
  <c r="D28" i="12"/>
  <c r="J28" i="12"/>
  <c r="F16" i="12"/>
  <c r="G16" i="12"/>
  <c r="H16" i="12"/>
  <c r="I16" i="12"/>
  <c r="J16" i="12"/>
  <c r="D16" i="12"/>
  <c r="F13" i="12"/>
  <c r="G13" i="12"/>
  <c r="H13" i="12"/>
  <c r="I13" i="12"/>
  <c r="J13" i="12"/>
  <c r="D13" i="12"/>
  <c r="F51" i="12"/>
  <c r="G51" i="12"/>
  <c r="H51" i="12"/>
  <c r="I51" i="12"/>
  <c r="J51" i="12"/>
  <c r="D51" i="12"/>
  <c r="D42" i="12"/>
  <c r="F42" i="12"/>
  <c r="G42" i="12"/>
  <c r="H42" i="12"/>
  <c r="I42" i="12"/>
  <c r="J42" i="12"/>
  <c r="D45" i="12"/>
  <c r="F45" i="12"/>
  <c r="G45" i="12"/>
  <c r="H45" i="12"/>
  <c r="I45" i="12"/>
  <c r="J45" i="12"/>
  <c r="Q43" i="12"/>
  <c r="L43" i="12" l="1"/>
  <c r="I43" i="12"/>
  <c r="D43" i="12"/>
  <c r="J43" i="12"/>
  <c r="F43" i="12"/>
  <c r="H43" i="12"/>
  <c r="G43" i="12"/>
  <c r="M59" i="12" l="1"/>
  <c r="K59" i="12"/>
  <c r="P59" i="12"/>
  <c r="Q6" i="10" s="1"/>
  <c r="O59" i="12"/>
  <c r="P6" i="10" s="1"/>
  <c r="N59" i="12"/>
  <c r="O6" i="10" s="1"/>
  <c r="K32" i="4" l="1"/>
  <c r="M32" i="4"/>
  <c r="D32" i="4"/>
  <c r="M49" i="4"/>
  <c r="K49" i="4"/>
  <c r="D49" i="4"/>
  <c r="F23" i="12" l="1"/>
  <c r="M38" i="4"/>
  <c r="D38" i="4"/>
  <c r="K38" i="4"/>
  <c r="K33" i="4"/>
  <c r="M33" i="4"/>
  <c r="D33" i="4"/>
  <c r="Q8" i="12"/>
  <c r="I8" i="12"/>
  <c r="L8" i="12"/>
  <c r="H8" i="12"/>
  <c r="F8" i="12"/>
  <c r="G8" i="12"/>
  <c r="J8" i="12"/>
  <c r="D8" i="12"/>
  <c r="M53" i="4"/>
  <c r="D53" i="4"/>
  <c r="K53" i="4"/>
  <c r="M28" i="4"/>
  <c r="D28" i="4"/>
  <c r="K28" i="4"/>
  <c r="M58" i="4"/>
  <c r="D58" i="4"/>
  <c r="K58" i="4"/>
  <c r="D29" i="4"/>
  <c r="K29" i="4"/>
  <c r="M29" i="4"/>
  <c r="M31" i="4"/>
  <c r="K31" i="4"/>
  <c r="D31" i="4"/>
  <c r="I23" i="12" l="1"/>
  <c r="H23" i="12"/>
  <c r="I27" i="12"/>
  <c r="J32" i="12"/>
  <c r="D32" i="12"/>
  <c r="L27" i="12"/>
  <c r="Q23" i="12"/>
  <c r="D23" i="12"/>
  <c r="J23" i="12"/>
  <c r="L23" i="12"/>
  <c r="G23" i="12"/>
  <c r="I14" i="12"/>
  <c r="I5" i="12"/>
  <c r="Q5" i="12"/>
  <c r="H5" i="12"/>
  <c r="F5" i="12"/>
  <c r="G5" i="12"/>
  <c r="D5" i="12"/>
  <c r="J5" i="12"/>
  <c r="H32" i="12"/>
  <c r="Q32" i="12"/>
  <c r="F4" i="10"/>
  <c r="M4" i="10"/>
  <c r="O4" i="10"/>
  <c r="I9" i="12"/>
  <c r="J9" i="12"/>
  <c r="F9" i="12"/>
  <c r="Q9" i="12"/>
  <c r="G9" i="12"/>
  <c r="D9" i="12"/>
  <c r="L9" i="12"/>
  <c r="H9" i="12"/>
  <c r="D27" i="12"/>
  <c r="J27" i="12"/>
  <c r="H27" i="12"/>
  <c r="G27" i="12"/>
  <c r="F27" i="12"/>
  <c r="Q7" i="12"/>
  <c r="H7" i="12"/>
  <c r="J7" i="12"/>
  <c r="L7" i="12"/>
  <c r="F7" i="12"/>
  <c r="G7" i="12"/>
  <c r="I7" i="12"/>
  <c r="D7" i="12"/>
  <c r="I32" i="12" l="1"/>
  <c r="L14" i="12"/>
  <c r="J14" i="12"/>
  <c r="H14" i="12"/>
  <c r="F14" i="12"/>
  <c r="F32" i="12"/>
  <c r="D14" i="12"/>
  <c r="Q14" i="12"/>
  <c r="G14" i="12"/>
  <c r="G32" i="12"/>
  <c r="Q27" i="12"/>
  <c r="L32" i="12"/>
  <c r="Y4" i="10"/>
  <c r="J4" i="12"/>
  <c r="D4" i="12"/>
  <c r="H4" i="12"/>
  <c r="I4" i="12"/>
  <c r="F4" i="12"/>
  <c r="G4" i="12"/>
  <c r="Q4" i="12"/>
  <c r="F59" i="12" l="1"/>
  <c r="G6" i="10" s="1"/>
  <c r="H59" i="12"/>
  <c r="I6" i="10" s="1"/>
  <c r="J59" i="12"/>
  <c r="K6" i="10" s="1"/>
  <c r="D59" i="12"/>
  <c r="E6" i="10" s="1"/>
  <c r="I59" i="12"/>
  <c r="J6" i="10" s="1"/>
  <c r="L59" i="12"/>
  <c r="M6" i="10" s="1"/>
  <c r="G59" i="12"/>
  <c r="H6" i="10" s="1"/>
  <c r="Q59" i="12"/>
  <c r="Y6"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tc={74E8638D-807E-489A-A707-A2BB671AF9D8}</author>
    <author>tc={906E535E-A4A0-4E81-85E3-20D300879A87}</author>
    <author>tc={BAFFD6DF-6267-4F33-A3E5-5E644A4F6A47}</author>
    <author>tc={C8D4C695-8044-4849-B69A-6084AC8C4C55}</author>
    <author>Roberto Pugliese</author>
    <author>tc={44797D2F-8421-4862-BFFF-898E0A32C853}</author>
    <author>tc={15C6C10F-DD39-48B4-BEAE-570038F65CAB}</author>
    <author>tc={5B9504AD-779C-4DF2-9977-CCB88440C623}</author>
  </authors>
  <commentList>
    <comment ref="A1" authorId="0" shapeId="0" xr:uid="{74E8638D-807E-489A-A707-A2BB671AF9D8}">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@Roberto Pugliese seems all the grouping with SMLXXXX_X gets thrown out as soon as the order is changed using the filter. Maybe just remove the grouping?
Reply:
    I see, yeah ok.</t>
      </text>
    </comment>
    <comment ref="B1" authorId="1" shapeId="0" xr:uid="{906E535E-A4A0-4E81-85E3-20D300879A87}">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Minor - can you add a dedicate filter row so the icon doesn't hide the header text please @Roberto Pugliese 
Reply:
    Ah, of course... and here I was added a prefix SPACE character...
Reply:
    So it seems it’s a little more complicated than I thought, this is an EXCEL TABLE and it seems I’m not able to move the filter location… Stay tuned.</t>
      </text>
    </comment>
    <comment ref="DD1" authorId="2" shapeId="0" xr:uid="{BAFFD6DF-6267-4F33-A3E5-5E644A4F6A47}">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@Roberto Pugliese currently no way to show which features are being developed to which ASIL level. We often only have 1 or 2 features at ASIL B, the rest QM. Maybe instead of “YES” in the “RoadMap” sheet, have the ASIL level?
Reply:
    Good idea!  Are you able to make those changes @Andrew Kay 
Reply:
    Question though, if we do this, how will we show those cells where there is a DEP or CR value?</t>
      </text>
    </comment>
    <comment ref="DH1" authorId="3" shapeId="0" xr:uid="{C8D4C695-8044-4849-B69A-6084AC8C4C55}">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@Roberto Pugliese need to expand to NCAP23, NCAP26, GSR, GSR2, GB/T
Reply:
    Done
Reply:
    Check the entered data @Andrew Kay </t>
      </text>
    </comment>
    <comment ref="DO1" authorId="4" shapeId="0" xr:uid="{5B63E7CC-049D-4AA7-9A0F-2DD2D02D0BAE}">
      <text>
        <r>
          <rPr>
            <b/>
            <sz val="9"/>
            <color indexed="81"/>
            <rFont val="Tahoma"/>
            <family val="2"/>
          </rPr>
          <t>Roberto Pugliese:</t>
        </r>
        <r>
          <rPr>
            <sz val="9"/>
            <color indexed="81"/>
            <rFont val="Tahoma"/>
            <family val="2"/>
          </rPr>
          <t xml:space="preserve">
See OMSiQ Packaging Guidelines and OMSiQ Image Quality Requirements</t>
        </r>
      </text>
    </comment>
    <comment ref="DP1" authorId="4" shapeId="0" xr:uid="{F7BDD6A2-EBC6-4A78-AD6C-E4703B4BBD5B}">
      <text>
        <r>
          <rPr>
            <b/>
            <sz val="9"/>
            <color indexed="81"/>
            <rFont val="Tahoma"/>
            <family val="2"/>
          </rPr>
          <t>Roberto Pugliese:</t>
        </r>
        <r>
          <rPr>
            <sz val="9"/>
            <color indexed="81"/>
            <rFont val="Tahoma"/>
            <family val="2"/>
          </rPr>
          <t xml:space="preserve">
See OMSiQ Packaging Guidelines and OMSiQ Image Quality Requirements</t>
        </r>
      </text>
    </comment>
    <comment ref="DQ1" authorId="4" shapeId="0" xr:uid="{5FED7F12-2643-4198-9CC3-6AE61F85D1D3}">
      <text>
        <r>
          <rPr>
            <b/>
            <sz val="9"/>
            <color indexed="81"/>
            <rFont val="Tahoma"/>
            <family val="2"/>
          </rPr>
          <t>Roberto Pugliese:</t>
        </r>
        <r>
          <rPr>
            <sz val="9"/>
            <color indexed="81"/>
            <rFont val="Tahoma"/>
            <family val="2"/>
          </rPr>
          <t xml:space="preserve">
See OMSiQ Packaging Guidelines and OMSiQ Image Quality Requirements</t>
        </r>
      </text>
    </comment>
    <comment ref="DR1" authorId="4" shapeId="0" xr:uid="{78795D0F-1807-45C0-83A7-764C5390D50D}">
      <text>
        <r>
          <rPr>
            <b/>
            <sz val="9"/>
            <color indexed="81"/>
            <rFont val="Tahoma"/>
            <family val="2"/>
          </rPr>
          <t>Roberto Pugliese:</t>
        </r>
        <r>
          <rPr>
            <sz val="9"/>
            <color indexed="81"/>
            <rFont val="Tahoma"/>
            <family val="2"/>
          </rPr>
          <t xml:space="preserve">
See OMSiQ Packaging Guidelines and OMSiQ Image Quality Requirements</t>
        </r>
      </text>
    </comment>
    <comment ref="DV1" authorId="4" shapeId="0" xr:uid="{8DEC35FD-2818-447A-9CA5-18105F8C1DB4}">
      <text>
        <r>
          <rPr>
            <b/>
            <sz val="9"/>
            <color indexed="81"/>
            <rFont val="Tahoma"/>
            <family val="2"/>
          </rPr>
          <t>Roberto Pugliese:</t>
        </r>
        <r>
          <rPr>
            <sz val="9"/>
            <color indexed="81"/>
            <rFont val="Tahoma"/>
            <family val="2"/>
          </rPr>
          <t xml:space="preserve">
See OMSiQ Packaging Guidelines and OMSiQ Image Quality Requirements</t>
        </r>
      </text>
    </comment>
    <comment ref="DW1" authorId="4" shapeId="0" xr:uid="{1C153803-8387-4D02-8EFB-8C8342C6EBED}">
      <text>
        <r>
          <rPr>
            <b/>
            <sz val="9"/>
            <color indexed="81"/>
            <rFont val="Tahoma"/>
            <family val="2"/>
          </rPr>
          <t>Roberto Pugliese:</t>
        </r>
        <r>
          <rPr>
            <sz val="9"/>
            <color indexed="81"/>
            <rFont val="Tahoma"/>
            <family val="2"/>
          </rPr>
          <t xml:space="preserve">
See OMSiQ Packaging Guidelines and OMSiQ Image Quality Requirements</t>
        </r>
      </text>
    </comment>
    <comment ref="DX1" authorId="4" shapeId="0" xr:uid="{4B03BF5E-B28B-4227-85E9-25437FE91344}">
      <text>
        <r>
          <rPr>
            <b/>
            <sz val="9"/>
            <color indexed="81"/>
            <rFont val="Tahoma"/>
            <family val="2"/>
          </rPr>
          <t>Roberto Pugliese:</t>
        </r>
        <r>
          <rPr>
            <sz val="9"/>
            <color indexed="81"/>
            <rFont val="Tahoma"/>
            <family val="2"/>
          </rPr>
          <t xml:space="preserve">
See OMSiQ Packaging Guidelines and OMSiQ Image Quality Requirements</t>
        </r>
      </text>
    </comment>
    <comment ref="DY1" authorId="5" shapeId="0" xr:uid="{44797D2F-8421-4862-BFFF-898E0A32C853}">
      <text>
        <t>[Threaded comment]
Your version of Excel allows you to read this threaded comment; however, any edits to it will get removed if the file is opened in a newer version of Excel. Learn more: https://go.microsoft.com/fwlink/?linkid=870924
Comment:
    @Roberto Pugliese not sure how to determine if bright or dark pupil. Currently don’t document this in the quotes. May need to update the WBS brief sheet
Reply:
    I think this is defined by the image sense and LED configuration, which I guess we should be capturing at an RFI/RQF stage.  See the Optical Guidelines document to see the ‘4’ configurations we support.</t>
      </text>
    </comment>
    <comment ref="ED1" authorId="4" shapeId="0" xr:uid="{3D16812E-52FD-47D6-A2CB-A48991CAF76A}">
      <text>
        <r>
          <rPr>
            <b/>
            <sz val="9"/>
            <color indexed="81"/>
            <rFont val="Tahoma"/>
            <family val="2"/>
          </rPr>
          <t xml:space="preserve">NOTE: </t>
        </r>
        <r>
          <rPr>
            <sz val="9"/>
            <color indexed="81"/>
            <rFont val="Tahoma"/>
            <family val="2"/>
          </rPr>
          <t xml:space="preserve">
To update the SEATING POSITIONS, double click the CELL to edit the VALUE.  Make sure the RADIO button in Column A is ENABLED.</t>
        </r>
      </text>
    </comment>
    <comment ref="A146" authorId="6" shapeId="0" xr:uid="{15C6C10F-DD39-48B4-BEAE-570038F65CAB}">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@Roberto Pugliese assume this either wasn’t meant to be grouped with SML0122, or you have to the wrong number. BTW SML0122 has 3 versions up to _2</t>
      </text>
    </comment>
    <comment ref="A216" authorId="4" shapeId="0" xr:uid="{1B66ECE9-1BAA-4AAB-8839-0A009FDDE1F0}">
      <text>
        <r>
          <rPr>
            <sz val="11"/>
            <color theme="1"/>
            <rFont val="Calibri"/>
            <family val="2"/>
            <scheme val="minor"/>
          </rPr>
          <t>Phase 1</t>
        </r>
      </text>
    </comment>
    <comment ref="A217" authorId="4" shapeId="0" xr:uid="{FA21BF57-6A58-43DF-B643-CBE2ADD797B4}">
      <text>
        <r>
          <rPr>
            <sz val="11"/>
            <color theme="1"/>
            <rFont val="Calibri"/>
            <family val="2"/>
            <scheme val="minor"/>
          </rPr>
          <t>Phase 2</t>
        </r>
      </text>
    </comment>
    <comment ref="A218" authorId="4" shapeId="0" xr:uid="{0B8A99CA-ED54-4FB2-83A7-BD0857D1BD6B}">
      <text>
        <r>
          <rPr>
            <sz val="11"/>
            <color theme="1"/>
            <rFont val="Calibri"/>
            <family val="2"/>
            <scheme val="minor"/>
          </rPr>
          <t>Phase 3</t>
        </r>
      </text>
    </comment>
    <comment ref="AL220" authorId="7" shapeId="0" xr:uid="{5B9504AD-779C-4DF2-9977-CCB88440C62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@Yiling Liang - Can you check this please, which VIS-ID is required (if any) for VWG002.</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tc={5A246E3F-9DE2-4A8F-8313-3BB190495DCD}</author>
    <author>tc={12B7882F-949D-4C6B-AD96-2F606225B8CE}</author>
  </authors>
  <commentList>
    <comment ref="D1" authorId="0" shapeId="0" xr:uid="{5A246E3F-9DE2-4A8F-8313-3BB190495DC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@Andrew Kay - should we add in the ADP's too?</t>
      </text>
    </comment>
    <comment ref="B94" authorId="1" shapeId="0" xr:uid="{12B7882F-949D-4C6B-AD96-2F606225B8CE}">
      <text>
        <t xml:space="preserve">[Threaded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@Roberto Pugliese you have VIS-SOD-HEALTH twice
Reply:
    Yep, I need a different name from @Tom Rogers.
Reply:
    I’ve changed it to -HR and -PREG for now
Reply:
    Yeah I believe we are calling it VIS-SOD-HEALTH.
- It would be ideal to distinguish between HR, HRV and Respiration somehow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tc={69A57D4E-D0B8-41DD-887B-60C791EF3AE7}</author>
    <author>tc={2A5076AF-BBD0-4ADA-B5E3-C26F5B2219F8}</author>
    <author>tc={35E5C100-E2C1-42E2-8DF2-01DFB51169C7}</author>
    <author>tc={76C5C278-909C-483B-9B7F-78718B9AD961}</author>
    <author>tc={06F05941-253B-4E22-8F82-9F80061B5A66}</author>
    <author>tc={79E37804-14DF-4EE1-959E-4088AC493FDE}</author>
    <author>tc={FB29FDEA-BBE8-498A-8A01-7340CD53DCE1}</author>
    <author>tc={6FA62F13-0745-460E-B66E-44A327E57805}</author>
    <author>tc={82F617F9-A71D-4B2B-A384-4AB809C660FA}</author>
  </authors>
  <commentList>
    <comment ref="R3" authorId="0" shapeId="0" xr:uid="{69A57D4E-D0B8-41DD-887B-60C791EF3AE7}">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146" authorId="1" shapeId="0" xr:uid="{2A5076AF-BBD0-4ADA-B5E3-C26F5B2219F8}">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289" authorId="2" shapeId="0" xr:uid="{35E5C100-E2C1-42E2-8DF2-01DFB51169C7}">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432" authorId="3" shapeId="0" xr:uid="{76C5C278-909C-483B-9B7F-78718B9AD961}">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575" authorId="4" shapeId="0" xr:uid="{06F05941-253B-4E22-8F82-9F80061B5A66}">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718" authorId="5" shapeId="0" xr:uid="{79E37804-14DF-4EE1-959E-4088AC493FDE}">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861" authorId="6" shapeId="0" xr:uid="{FB29FDEA-BBE8-498A-8A01-7340CD53DCE1}">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1004" authorId="7" shapeId="0" xr:uid="{6FA62F13-0745-460E-B66E-44A327E57805}">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 ref="R1147" authorId="8" shapeId="0" xr:uid="{82F617F9-A71D-4B2B-A384-4AB809C660FA}">
      <text>
        <t>[Threaded comment]
Your version of Excel allows you to read this threaded comment; however, any edits to it will get removed if the file is opened in a newer version of Excel. Learn more: https://go.microsoft.com/fwlink/?linkid=870924
Comment:
    In case if the Actual FROP is not meeting the realistic value, then PM can change the same in Data sheet by providing justification on the comment section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tc={3E198BCC-9F1B-480F-BCC3-461DD99425EE}</author>
    <author>tc={83F0B701-D6D0-410F-8E41-201F5ABE7694}</author>
    <author>tc={D2332A48-7EB0-4106-9D63-83EB2141AA6E}</author>
    <author>tc={02BF86D7-E2A2-4B0B-8C3B-1077928C6001}</author>
    <author>tc={F2CC5CEB-3D41-44A7-96F8-C83C324F1BB1}</author>
    <author>tc={5A8C5CF9-E39E-4776-831F-EBBBAF499C24}</author>
    <author>tc={80CAD661-6BF0-453C-B159-A3CD20F9D2E9}</author>
    <author>tc={413ACE65-48BE-44E3-9A9A-DA8EEE47EF18}</author>
    <author>tc={E3B03B5D-B8AE-4B34-94F7-9897492F1513}</author>
    <author>tc={4317BCAF-46F5-40AB-A480-DD37EAB704CC}</author>
    <author>tc={B161A7AE-B63B-4C6F-9AD2-06E94F46BE02}</author>
  </authors>
  <commentList>
    <comment ref="D1" authorId="0" shapeId="0" xr:uid="{3E198BCC-9F1B-480F-BCC3-461DD99425EE}">
      <text>
        <t>[Threaded comment]
Your version of Excel allows you to read this threaded comment; however, any edits to it will get removed if the file is opened in a newer version of Excel. Learn more: https://go.microsoft.com/fwlink/?linkid=870924
Comment:
    Logic:
Customer FROP Feature "N/A", however, Variant 1,2,3,4, or 5 has an "x"</t>
      </text>
    </comment>
    <comment ref="F1" authorId="1" shapeId="0" xr:uid="{83F0B701-D6D0-410F-8E41-201F5ABE7694}">
      <text>
        <t>[Threaded comment]
Your version of Excel allows you to read this threaded comment; however, any edits to it will get removed if the file is opened in a newer version of Excel. Learn more: https://go.microsoft.com/fwlink/?linkid=870924
Comment:
    Logic:
Customer FROP Feature = "x", however Variant 1,2,3,4 or 5 =  "N/A"</t>
      </text>
    </comment>
    <comment ref="G1" authorId="2" shapeId="0" xr:uid="{D2332A48-7EB0-4106-9D63-83EB2141AA6E}">
      <text>
        <t>[Threaded comment]
Your version of Excel allows you to read this threaded comment; however, any edits to it will get removed if the file is opened in a newer version of Excel. Learn more: https://go.microsoft.com/fwlink/?linkid=870924
Comment:
    Logic:
Customer FROP Feature = "N/A", however Variant 1,2,3,4 or 5 =  "x"</t>
      </text>
    </comment>
    <comment ref="H1" authorId="3" shapeId="0" xr:uid="{02BF86D7-E2A2-4B0B-8C3B-1077928C6001}">
      <text>
        <t>[Threaded comment]
Your version of Excel allows you to read this threaded comment; however, any edits to it will get removed if the file is opened in a newer version of Excel. Learn more: https://go.microsoft.com/fwlink/?linkid=870924
Comment:
    Logic:
Customer FROP Feature = "x", however Variant 1,2,3,4 or 5 =  "N/A</t>
      </text>
    </comment>
    <comment ref="I1" authorId="4" shapeId="0" xr:uid="{F2CC5CEB-3D41-44A7-96F8-C83C324F1BB1}">
      <text>
        <t>[Threaded comment]
Your version of Excel allows you to read this threaded comment; however, any edits to it will get removed if the file is opened in a newer version of Excel. Learn more: https://go.microsoft.com/fwlink/?linkid=870924
Comment:
    Logic:
Customer FROP Feature = "x", however Variant 1,2,3,4 or 5 =  "N/A</t>
      </text>
    </comment>
    <comment ref="J1" authorId="5" shapeId="0" xr:uid="{5A8C5CF9-E39E-4776-831F-EBBBAF499C24}">
      <text>
        <t>[Threaded comment]
Your version of Excel allows you to read this threaded comment; however, any edits to it will get removed if the file is opened in a newer version of Excel. Learn more: https://go.microsoft.com/fwlink/?linkid=870924
Comment:
    Logic:
Customer FROP Feature = "x", however Variant 1,2,3,4 or 5 =  "N/A</t>
      </text>
    </comment>
    <comment ref="Q1" authorId="6" shapeId="0" xr:uid="{80CAD661-6BF0-453C-B159-A3CD20F9D2E9}">
      <text>
        <t>[Threaded comment]
Your version of Excel allows you to read this threaded comment; however, any edits to it will get removed if the file is opened in a newer version of Excel. Learn more: https://go.microsoft.com/fwlink/?linkid=870924
Comment:
    Logic:
NOK = External is "N/A" and ASIL is not "N/A"</t>
      </text>
    </comment>
    <comment ref="L3" authorId="7" shapeId="0" xr:uid="{413ACE65-48BE-44E3-9A9A-DA8EEE47EF18}">
      <text>
        <t xml:space="preserve">[Threaded comment]
Your version of Excel allows you to read this threaded comment; however, any edits to it will get removed if the file is opened in a newer version of Excel. Learn more: https://go.microsoft.com/fwlink/?linkid=870924
Comment:
    Logic:
NOK= Middle is "x"  and External "N/A" and "DMS"
NOK = Middle is "x" and External is "x" and "DMS"  </t>
      </text>
    </comment>
    <comment ref="N3" authorId="8" shapeId="0" xr:uid="{E3B03B5D-B8AE-4B34-94F7-9897492F1513}">
      <text>
        <t xml:space="preserve">[Threaded comment]
Your version of Excel allows you to read this threaded comment; however, any edits to it will get removed if the file is opened in a newer version of Excel. Learn more: https://go.microsoft.com/fwlink/?linkid=870924
Comment:
    Logic:
NOK= Left is "x"  and External "N/A" and "DMS"
NOK = Left is "x" and External is "x" and "DMS"  </t>
      </text>
    </comment>
    <comment ref="O3" authorId="9" shapeId="0" xr:uid="{4317BCAF-46F5-40AB-A480-DD37EAB704CC}">
      <text>
        <t xml:space="preserve">[Threaded comment]
Your version of Excel allows you to read this threaded comment; however, any edits to it will get removed if the file is opened in a newer version of Excel. Learn more: https://go.microsoft.com/fwlink/?linkid=870924
Comment:
    Logic:
NOK= Middle is "x"  and External "N/A" and "DMS"
NOK = Middle is "x" and External is "x" and "DMS"  </t>
      </text>
    </comment>
    <comment ref="P3" authorId="10" shapeId="0" xr:uid="{B161A7AE-B63B-4C6F-9AD2-06E94F46BE02}">
      <text>
        <t xml:space="preserve">[Threaded comment]
Your version of Excel allows you to read this threaded comment; however, any edits to it will get removed if the file is opened in a newer version of Excel. Learn more: https://go.microsoft.com/fwlink/?linkid=870924
Comment:
    Logic:
NOK= Right is "x"  and External "N/A" and "DMS"
NOK = Right is "x" and External is "x" and "DMS"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<sst xmlns="http://schemas.openxmlformats.org/spreadsheetml/2006/main" count="14880" uniqueCount="1323">
  <si>
    <t>Project Configuration Database</t>
  </si>
  <si>
    <t>Document Owner</t>
  </si>
  <si>
    <t>Ariel Ibayan</t>
  </si>
  <si>
    <t>Document Status</t>
  </si>
  <si>
    <t>see sharepoint</t>
  </si>
  <si>
    <t>Last Change</t>
  </si>
  <si>
    <t>Document Version</t>
  </si>
  <si>
    <t>Template major  version</t>
  </si>
  <si>
    <t>Pending Release</t>
  </si>
  <si>
    <t>Template minor  version</t>
  </si>
  <si>
    <t>Template version</t>
  </si>
  <si>
    <t>Repository Location</t>
  </si>
  <si>
    <t>https://seeingmachines.sharepoint.com/sites/PRJ_PFD001/Shared%20Documents/Forms/AllItems.aspx?viewid=c04f6f93%2D544d%2D410a%2Db6dd%2D96b2ad91827e</t>
  </si>
  <si>
    <t>Document Overview</t>
  </si>
  <si>
    <t>The project configuration database tracks all the different 'configurations' that have been developed and/or quoted, to assist in the prioritisation and tracking of requests, features, etc.</t>
  </si>
  <si>
    <t>Revision status</t>
  </si>
  <si>
    <t>Version</t>
  </si>
  <si>
    <t>ID</t>
  </si>
  <si>
    <t>Change Details</t>
  </si>
  <si>
    <t>Date</t>
  </si>
  <si>
    <t>Author</t>
  </si>
  <si>
    <t>Approval</t>
  </si>
  <si>
    <t>Initial DRAFT release</t>
  </si>
  <si>
    <t>Roberto Pugliese</t>
  </si>
  <si>
    <t>&lt;approver&gt;</t>
  </si>
  <si>
    <t>Added OMS/DMS/BOTH column</t>
  </si>
  <si>
    <t xml:space="preserve">Project
</t>
  </si>
  <si>
    <t xml:space="preserve">     Project Stage?</t>
  </si>
  <si>
    <t xml:space="preserve">     Last Updated</t>
  </si>
  <si>
    <t xml:space="preserve">     Available Features</t>
  </si>
  <si>
    <t xml:space="preserve">     COG-DEL-INATTENTIVE</t>
  </si>
  <si>
    <t xml:space="preserve">     COG-DEL-DISENGAGED</t>
  </si>
  <si>
    <t xml:space="preserve">     COG-DEL-DISTRACTED</t>
  </si>
  <si>
    <t xml:space="preserve">     COG-DIL-DROWSY</t>
  </si>
  <si>
    <t xml:space="preserve">     COG-DIL-MICROSLEEPING</t>
  </si>
  <si>
    <t xml:space="preserve">     COG-DIL-SLEEPING</t>
  </si>
  <si>
    <t xml:space="preserve">     VIS-GESTURE-HEAD</t>
  </si>
  <si>
    <t xml:space="preserve">     VIS-ACTIVITY-AHP</t>
  </si>
  <si>
    <t xml:space="preserve">     VIS-ACTIVITY-HANDPOS</t>
  </si>
  <si>
    <t xml:space="preserve">     VIS-ACTIVITY-HELDITEM</t>
  </si>
  <si>
    <t xml:space="preserve">     VIS-ACTIVITY-OOP</t>
  </si>
  <si>
    <t xml:space="preserve">     VIS-MOUTH-SPEAK</t>
  </si>
  <si>
    <t xml:space="preserve">     VIS-MOUTH-LAUGH</t>
  </si>
  <si>
    <t xml:space="preserve">     VIS-MOUTH-COUGH</t>
  </si>
  <si>
    <t xml:space="preserve">     VIS-MOUTH-SNEEZE</t>
  </si>
  <si>
    <t xml:space="preserve">     VIS-MOUTH-YAWN</t>
  </si>
  <si>
    <t xml:space="preserve">     VIS-SMOKE</t>
  </si>
  <si>
    <t xml:space="preserve">     VIS-PHONE</t>
  </si>
  <si>
    <t xml:space="preserve">     VIS-DAS-COARSE</t>
  </si>
  <si>
    <t xml:space="preserve">     VIS-DAS-FINE</t>
  </si>
  <si>
    <t xml:space="preserve">     VIS-DAS-RAY</t>
  </si>
  <si>
    <t xml:space="preserve">     VIS-DAS-POSTURE</t>
  </si>
  <si>
    <t xml:space="preserve">     VIS-FOD-FACE</t>
  </si>
  <si>
    <t xml:space="preserve">     VIS-FOD-MASK</t>
  </si>
  <si>
    <t xml:space="preserve">     VIS-FOD-EYEWEAR</t>
  </si>
  <si>
    <t xml:space="preserve">     VIS-SOD-CHILDSEAT</t>
  </si>
  <si>
    <t xml:space="preserve">     VIS-SOD-SEATBELT</t>
  </si>
  <si>
    <t xml:space="preserve">     VIS-SOD-HEIGHT</t>
  </si>
  <si>
    <t xml:space="preserve">     VIS-SOD-WEIGHT</t>
  </si>
  <si>
    <t xml:space="preserve">     VIS-SOD-AGE</t>
  </si>
  <si>
    <t xml:space="preserve">     VIS-SOD-GENDER</t>
  </si>
  <si>
    <t xml:space="preserve">     VIS-SOD-PRESENCE-LOW</t>
  </si>
  <si>
    <t xml:space="preserve">     VIS-SOD-PRESENCE-HIGH</t>
  </si>
  <si>
    <t xml:space="preserve">     VIS-ID-RECOGNIZE-LOW</t>
  </si>
  <si>
    <t xml:space="preserve">     VIS-ID-RECOGNIZE-HIGH</t>
  </si>
  <si>
    <t xml:space="preserve">     VIS-ID-CHANGE</t>
  </si>
  <si>
    <t xml:space="preserve">     VIS-SPOOF</t>
  </si>
  <si>
    <t xml:space="preserve">     VIS-EXPR</t>
  </si>
  <si>
    <t xml:space="preserve">     CORE-BPT-COARSE</t>
  </si>
  <si>
    <t xml:space="preserve">     CORE-BPT-FINE</t>
  </si>
  <si>
    <t xml:space="preserve">     CORE-DEPTH</t>
  </si>
  <si>
    <t xml:space="preserve">     CORE-GET-GAZE</t>
  </si>
  <si>
    <t xml:space="preserve">     CORE-GET-EYELID</t>
  </si>
  <si>
    <t xml:space="preserve">     CORE-HT-POSE</t>
  </si>
  <si>
    <t xml:space="preserve">     CORE-HT-LANDMARKS</t>
  </si>
  <si>
    <t xml:space="preserve">     CORE-ED</t>
  </si>
  <si>
    <t xml:space="preserve">     CORE-AEC</t>
  </si>
  <si>
    <t xml:space="preserve">     CORE-FD</t>
  </si>
  <si>
    <t xml:space="preserve">     CORE-MS</t>
  </si>
  <si>
    <t xml:space="preserve">     UTIL-CPOSE-CF</t>
  </si>
  <si>
    <t xml:space="preserve">     UTIL-CPOSE-IMU</t>
  </si>
  <si>
    <t xml:space="preserve">     UTIL-VIDEO</t>
  </si>
  <si>
    <t xml:space="preserve">     UTIL-DIAG-STK</t>
  </si>
  <si>
    <t xml:space="preserve">     UTIL-DIAG-LBD</t>
  </si>
  <si>
    <t xml:space="preserve">     UTIL-DIAG-LIQ</t>
  </si>
  <si>
    <t xml:space="preserve">     UTIL-DIAG-COOA</t>
  </si>
  <si>
    <t xml:space="preserve">     Speculative Features</t>
  </si>
  <si>
    <t xml:space="preserve">     COG-DIL-INTOX</t>
  </si>
  <si>
    <t xml:space="preserve">     COG-ES</t>
  </si>
  <si>
    <t xml:space="preserve">     COG-OVERLOAD</t>
  </si>
  <si>
    <t xml:space="preserve">     VIS-MOUTH-SPEECH</t>
  </si>
  <si>
    <t xml:space="preserve">     VIS-SOD-HEALTH-PREG</t>
  </si>
  <si>
    <t xml:space="preserve">     VIS-CLOTHING</t>
  </si>
  <si>
    <t xml:space="preserve">     VIS-MOUTH-EATING-DRINKING</t>
  </si>
  <si>
    <t xml:space="preserve">     SFC109</t>
  </si>
  <si>
    <t xml:space="preserve">     VIS-CABIN-OBJECT</t>
  </si>
  <si>
    <t xml:space="preserve">     VIS-CABIN-STATE</t>
  </si>
  <si>
    <t xml:space="preserve">     VIS-SPOOF-NOVELTY</t>
  </si>
  <si>
    <t xml:space="preserve">     VIS-SOD-PETS</t>
  </si>
  <si>
    <t xml:space="preserve">     VIS-SOD-CHILDSEAT-TYPE</t>
  </si>
  <si>
    <t xml:space="preserve">     SFC115</t>
  </si>
  <si>
    <t xml:space="preserve">     SFC116</t>
  </si>
  <si>
    <t xml:space="preserve">     SFC117</t>
  </si>
  <si>
    <t xml:space="preserve">     VIS-SOD-HEALTH-HR</t>
  </si>
  <si>
    <t xml:space="preserve">     SFC120</t>
  </si>
  <si>
    <t xml:space="preserve">     SFC121</t>
  </si>
  <si>
    <t xml:space="preserve">     SFC122</t>
  </si>
  <si>
    <t xml:space="preserve">     SFC123</t>
  </si>
  <si>
    <t xml:space="preserve">     SFC124</t>
  </si>
  <si>
    <t xml:space="preserve">     SFC125</t>
  </si>
  <si>
    <t xml:space="preserve">     SFC126</t>
  </si>
  <si>
    <t xml:space="preserve">     SFC127</t>
  </si>
  <si>
    <t xml:space="preserve">     SFC128</t>
  </si>
  <si>
    <t xml:space="preserve">     SFC129</t>
  </si>
  <si>
    <t xml:space="preserve">     SFC130</t>
  </si>
  <si>
    <t xml:space="preserve">     SFC131</t>
  </si>
  <si>
    <t xml:space="preserve">     SFC132</t>
  </si>
  <si>
    <t xml:space="preserve">     SFC133</t>
  </si>
  <si>
    <t xml:space="preserve">     SFC134</t>
  </si>
  <si>
    <t xml:space="preserve">     SFC135</t>
  </si>
  <si>
    <t xml:space="preserve">     SFC136</t>
  </si>
  <si>
    <t xml:space="preserve">     SFC137</t>
  </si>
  <si>
    <t xml:space="preserve">     SFC138</t>
  </si>
  <si>
    <t xml:space="preserve">     SFC139</t>
  </si>
  <si>
    <t xml:space="preserve">     SFC140</t>
  </si>
  <si>
    <t xml:space="preserve">     SFC141</t>
  </si>
  <si>
    <t xml:space="preserve">     SFC142</t>
  </si>
  <si>
    <t xml:space="preserve">     SFC143</t>
  </si>
  <si>
    <t xml:space="preserve">     SFC144</t>
  </si>
  <si>
    <t xml:space="preserve">     SFC145</t>
  </si>
  <si>
    <t xml:space="preserve">     Compliance/Regulation</t>
  </si>
  <si>
    <t xml:space="preserve">     ASPICE (Level)</t>
  </si>
  <si>
    <t xml:space="preserve">     ASPICE (Version)</t>
  </si>
  <si>
    <t xml:space="preserve">     ISO 26262 (Level)</t>
  </si>
  <si>
    <t xml:space="preserve">     ISO 26262 (Version)</t>
  </si>
  <si>
    <t xml:space="preserve">     ISO 21448 (SOTIF)</t>
  </si>
  <si>
    <t xml:space="preserve">     ISO 21434 (Cyber Sec)</t>
  </si>
  <si>
    <t xml:space="preserve">     NCAP '23</t>
  </si>
  <si>
    <t xml:space="preserve">     NCAP '26</t>
  </si>
  <si>
    <t xml:space="preserve">     NCAP '29</t>
  </si>
  <si>
    <t xml:space="preserve">     GSR</t>
  </si>
  <si>
    <t xml:space="preserve">     GSR2</t>
  </si>
  <si>
    <t xml:space="preserve">     GB/T</t>
  </si>
  <si>
    <t xml:space="preserve">     Optical/Package Location</t>
  </si>
  <si>
    <t xml:space="preserve">     Frontal</t>
  </si>
  <si>
    <t xml:space="preserve">     Offset High</t>
  </si>
  <si>
    <t xml:space="preserve">     Offset Low</t>
  </si>
  <si>
    <t xml:space="preserve">     Overhead</t>
  </si>
  <si>
    <t xml:space="preserve">     Fusion</t>
  </si>
  <si>
    <t xml:space="preserve">     Camera Rotation</t>
  </si>
  <si>
    <t xml:space="preserve">     OMS/DMS/Both</t>
  </si>
  <si>
    <t xml:space="preserve">     OMSiQ-LOW</t>
  </si>
  <si>
    <t xml:space="preserve">     OMSiQ-MID</t>
  </si>
  <si>
    <t xml:space="preserve">     OMSiQ-HIGH</t>
  </si>
  <si>
    <t xml:space="preserve">     Bright Pupil</t>
  </si>
  <si>
    <t xml:space="preserve">     Dark Pupil</t>
  </si>
  <si>
    <t xml:space="preserve">     Smart Bright Pupil</t>
  </si>
  <si>
    <t xml:space="preserve">     NFOV</t>
  </si>
  <si>
    <t xml:space="preserve">     WFOV</t>
  </si>
  <si>
    <t xml:space="preserve">     Seating Positions</t>
  </si>
  <si>
    <t xml:space="preserve">     SoC\Accelerator</t>
  </si>
  <si>
    <t xml:space="preserve">     Ti Sitara</t>
  </si>
  <si>
    <t xml:space="preserve">     Ti TDA4 Entry</t>
  </si>
  <si>
    <t xml:space="preserve">     Ti TDA4 Low</t>
  </si>
  <si>
    <t xml:space="preserve">     Ti TDA4 Mid</t>
  </si>
  <si>
    <t xml:space="preserve">     Ti TDA4 High</t>
  </si>
  <si>
    <t xml:space="preserve">     AMD Ultrascale Zync ZU1</t>
  </si>
  <si>
    <t xml:space="preserve">     QCM SA81xx</t>
  </si>
  <si>
    <t xml:space="preserve">     QCM SA86xx</t>
  </si>
  <si>
    <t xml:space="preserve">     Renesas R-Car V4H</t>
  </si>
  <si>
    <t xml:space="preserve">     FDM Occula 8.0</t>
  </si>
  <si>
    <t xml:space="preserve">     FDM Occula 8.2</t>
  </si>
  <si>
    <t xml:space="preserve">     FDM Occula 8.3</t>
  </si>
  <si>
    <t xml:space="preserve">     OV OAX4600</t>
  </si>
  <si>
    <t xml:space="preserve">     Ambarella CV25</t>
  </si>
  <si>
    <t xml:space="preserve">     x86/64</t>
  </si>
  <si>
    <t xml:space="preserve">     eDME</t>
  </si>
  <si>
    <t xml:space="preserve">     TI Sitara 2 TOPS 2 GB RAM</t>
  </si>
  <si>
    <t xml:space="preserve">     TI Sitara 1 TOPS 8 GB RAM</t>
  </si>
  <si>
    <t xml:space="preserve">     Renesas R-Caar V4H</t>
  </si>
  <si>
    <t xml:space="preserve">     Operating System</t>
  </si>
  <si>
    <t xml:space="preserve">     Linux</t>
  </si>
  <si>
    <t xml:space="preserve">     QNX</t>
  </si>
  <si>
    <t xml:space="preserve">     Pike OS</t>
  </si>
  <si>
    <t xml:space="preserve">     Android</t>
  </si>
  <si>
    <t xml:space="preserve">     N/A</t>
  </si>
  <si>
    <t xml:space="preserve">     GHS Integrity</t>
  </si>
  <si>
    <t xml:space="preserve">     Windows</t>
  </si>
  <si>
    <t xml:space="preserve">     PetaLinux</t>
  </si>
  <si>
    <t>AVPxx2</t>
  </si>
  <si>
    <t>SML0001</t>
  </si>
  <si>
    <t>SML0002</t>
  </si>
  <si>
    <t>SML0003</t>
  </si>
  <si>
    <t>SML0004</t>
  </si>
  <si>
    <t>SML0005</t>
  </si>
  <si>
    <t>SML0006</t>
  </si>
  <si>
    <t>SML0007</t>
  </si>
  <si>
    <t>SML0008</t>
  </si>
  <si>
    <t>SML0009</t>
  </si>
  <si>
    <t>SML0010</t>
  </si>
  <si>
    <t>SML0011</t>
  </si>
  <si>
    <t>SML0012</t>
  </si>
  <si>
    <t>SML0013</t>
  </si>
  <si>
    <t>SML0014</t>
  </si>
  <si>
    <t>SML0015</t>
  </si>
  <si>
    <t>SML0016</t>
  </si>
  <si>
    <t>SML0017</t>
  </si>
  <si>
    <t>SML0018</t>
  </si>
  <si>
    <t>SML0019</t>
  </si>
  <si>
    <t>SML0020</t>
  </si>
  <si>
    <t>SML0021</t>
  </si>
  <si>
    <t>SML0022</t>
  </si>
  <si>
    <t>SML0023</t>
  </si>
  <si>
    <t>SML0024</t>
  </si>
  <si>
    <t>SML0025</t>
  </si>
  <si>
    <t>SML0026</t>
  </si>
  <si>
    <t>SML0027</t>
  </si>
  <si>
    <t>SML0028</t>
  </si>
  <si>
    <t>SML0029</t>
  </si>
  <si>
    <t>SML0029_1</t>
  </si>
  <si>
    <t>SML0030</t>
  </si>
  <si>
    <t>SML0031</t>
  </si>
  <si>
    <t>SML0032</t>
  </si>
  <si>
    <t>SML0033</t>
  </si>
  <si>
    <t>SML0034</t>
  </si>
  <si>
    <t>SML0035</t>
  </si>
  <si>
    <t>SML0036</t>
  </si>
  <si>
    <t>SML0037</t>
  </si>
  <si>
    <t>SML0038</t>
  </si>
  <si>
    <t>SML0039</t>
  </si>
  <si>
    <t>SML0040</t>
  </si>
  <si>
    <t>SML0041</t>
  </si>
  <si>
    <t>SML0042</t>
  </si>
  <si>
    <t>SML0043</t>
  </si>
  <si>
    <t>SML0044</t>
  </si>
  <si>
    <t>SML0045</t>
  </si>
  <si>
    <t>SML0046</t>
  </si>
  <si>
    <t>SML0047</t>
  </si>
  <si>
    <t>SML0048</t>
  </si>
  <si>
    <t>SML0049</t>
  </si>
  <si>
    <t>SML0050</t>
  </si>
  <si>
    <t>SML0051</t>
  </si>
  <si>
    <t>SML0052</t>
  </si>
  <si>
    <t>SML0053</t>
  </si>
  <si>
    <t>SML0054</t>
  </si>
  <si>
    <t>SML0055</t>
  </si>
  <si>
    <t>SML0056</t>
  </si>
  <si>
    <t>SML0057</t>
  </si>
  <si>
    <t>SML0058</t>
  </si>
  <si>
    <t>SML0059</t>
  </si>
  <si>
    <t>SML0060</t>
  </si>
  <si>
    <t>SML0061</t>
  </si>
  <si>
    <t>SML0062</t>
  </si>
  <si>
    <t>SML0063</t>
  </si>
  <si>
    <t>SML0064</t>
  </si>
  <si>
    <t>SML0065</t>
  </si>
  <si>
    <t>SML0066</t>
  </si>
  <si>
    <t>SML0066_1</t>
  </si>
  <si>
    <t>SML0067</t>
  </si>
  <si>
    <t>SML0068</t>
  </si>
  <si>
    <t>SML0068_1</t>
  </si>
  <si>
    <t>SML0069</t>
  </si>
  <si>
    <t>SML0070</t>
  </si>
  <si>
    <t>SML0070_1</t>
  </si>
  <si>
    <t>SML0071</t>
  </si>
  <si>
    <t>SML0072</t>
  </si>
  <si>
    <t>SML0072_1</t>
  </si>
  <si>
    <t>SML0072_2</t>
  </si>
  <si>
    <t>SML0073</t>
  </si>
  <si>
    <t>SML0074</t>
  </si>
  <si>
    <t>SML0075</t>
  </si>
  <si>
    <t>SML0076</t>
  </si>
  <si>
    <t>SML0077</t>
  </si>
  <si>
    <t>SML0078</t>
  </si>
  <si>
    <t>SML0079</t>
  </si>
  <si>
    <t>SML0079_1</t>
  </si>
  <si>
    <t>SML0080</t>
  </si>
  <si>
    <t>SML0081</t>
  </si>
  <si>
    <t>SML0082</t>
  </si>
  <si>
    <t>SML0082_1</t>
  </si>
  <si>
    <t>SML0082_2</t>
  </si>
  <si>
    <t>SML0082_3</t>
  </si>
  <si>
    <t>SML0082_4</t>
  </si>
  <si>
    <t>SML0082_5</t>
  </si>
  <si>
    <t>SML0083</t>
  </si>
  <si>
    <t>SML0084</t>
  </si>
  <si>
    <t>SML0085</t>
  </si>
  <si>
    <t>SML0086</t>
  </si>
  <si>
    <t>SML0086_1</t>
  </si>
  <si>
    <t>SML0087</t>
  </si>
  <si>
    <t>SML0088</t>
  </si>
  <si>
    <t>SML0088_1</t>
  </si>
  <si>
    <t>SML0089</t>
  </si>
  <si>
    <t>SML0090</t>
  </si>
  <si>
    <t>SML0091</t>
  </si>
  <si>
    <t>SML0092</t>
  </si>
  <si>
    <t>SML0093</t>
  </si>
  <si>
    <t>SML0094</t>
  </si>
  <si>
    <t>SML0095</t>
  </si>
  <si>
    <t>SML0095_1</t>
  </si>
  <si>
    <t>SML0095_2</t>
  </si>
  <si>
    <t>SML0095_3</t>
  </si>
  <si>
    <t>SML0096</t>
  </si>
  <si>
    <t>SML0097</t>
  </si>
  <si>
    <t>SML0098</t>
  </si>
  <si>
    <t>SML0098_1</t>
  </si>
  <si>
    <t>SML0098_2</t>
  </si>
  <si>
    <t>SML0099</t>
  </si>
  <si>
    <t>SML0100</t>
  </si>
  <si>
    <t>SML0101</t>
  </si>
  <si>
    <t>SML0102</t>
  </si>
  <si>
    <t>SML0103</t>
  </si>
  <si>
    <t>SML0104</t>
  </si>
  <si>
    <t>SML0105</t>
  </si>
  <si>
    <t>SML0106</t>
  </si>
  <si>
    <t>SML0106_1</t>
  </si>
  <si>
    <t>SML0106_2</t>
  </si>
  <si>
    <t>SML0106_3</t>
  </si>
  <si>
    <t>SML0106_4</t>
  </si>
  <si>
    <t>SML0106_5</t>
  </si>
  <si>
    <t>SML0106_6</t>
  </si>
  <si>
    <t>SML0107</t>
  </si>
  <si>
    <t>SML0108</t>
  </si>
  <si>
    <t>SML0109</t>
  </si>
  <si>
    <t>SML0110</t>
  </si>
  <si>
    <t>SML0111</t>
  </si>
  <si>
    <t>SML0112</t>
  </si>
  <si>
    <t>SML0113</t>
  </si>
  <si>
    <t>SML0114</t>
  </si>
  <si>
    <t>SML0115</t>
  </si>
  <si>
    <t>SML0115_1</t>
  </si>
  <si>
    <t>SML0116</t>
  </si>
  <si>
    <t>SML0117</t>
  </si>
  <si>
    <t>SML0117_1</t>
  </si>
  <si>
    <t>SML0118</t>
  </si>
  <si>
    <t>SML0119</t>
  </si>
  <si>
    <t>SML0120</t>
  </si>
  <si>
    <t>B</t>
  </si>
  <si>
    <t>'18</t>
  </si>
  <si>
    <t>x</t>
  </si>
  <si>
    <t>SML0120_1</t>
  </si>
  <si>
    <t>SML0120_2</t>
  </si>
  <si>
    <t>SML0120_3</t>
  </si>
  <si>
    <t>SML0120_4</t>
  </si>
  <si>
    <t>SML0121</t>
  </si>
  <si>
    <t>SML0122</t>
  </si>
  <si>
    <t>QM</t>
  </si>
  <si>
    <t>SML0122_1</t>
  </si>
  <si>
    <t>SML0122_2</t>
  </si>
  <si>
    <t>SML0123</t>
  </si>
  <si>
    <t>SML0124</t>
  </si>
  <si>
    <t>SML0125</t>
  </si>
  <si>
    <t>SML0126</t>
  </si>
  <si>
    <t>SML0126_1</t>
  </si>
  <si>
    <t>SML0126_2</t>
  </si>
  <si>
    <t>SML0127</t>
  </si>
  <si>
    <t>SML0128</t>
  </si>
  <si>
    <t>SML0129</t>
  </si>
  <si>
    <t>SML0129_1</t>
  </si>
  <si>
    <t>SML0130</t>
  </si>
  <si>
    <t>SML0131</t>
  </si>
  <si>
    <t>SML0131_1</t>
  </si>
  <si>
    <t>SML0132</t>
  </si>
  <si>
    <t>SML0133</t>
  </si>
  <si>
    <t>SML0134</t>
  </si>
  <si>
    <t>SML0135</t>
  </si>
  <si>
    <t>SML0136</t>
  </si>
  <si>
    <t>SML0137</t>
  </si>
  <si>
    <t>SML0138</t>
  </si>
  <si>
    <t>SML0139</t>
  </si>
  <si>
    <t>SML0140</t>
  </si>
  <si>
    <t>SML0140_1</t>
  </si>
  <si>
    <t>SML0140_2</t>
  </si>
  <si>
    <t>SML0141</t>
  </si>
  <si>
    <t>SML0141_1</t>
  </si>
  <si>
    <t>SML0142</t>
  </si>
  <si>
    <t>SML0143</t>
  </si>
  <si>
    <t>SML0144</t>
  </si>
  <si>
    <t>SML0145</t>
  </si>
  <si>
    <t>SML0146</t>
  </si>
  <si>
    <t>SML0147</t>
  </si>
  <si>
    <t>DME00x_1</t>
  </si>
  <si>
    <t>PLT</t>
  </si>
  <si>
    <t>DME00x_2</t>
  </si>
  <si>
    <t>DME00x_3</t>
  </si>
  <si>
    <t>DME00x_4</t>
  </si>
  <si>
    <t>DME00x_5</t>
  </si>
  <si>
    <t>OMS001_1</t>
  </si>
  <si>
    <t>AVPXX1</t>
  </si>
  <si>
    <t>TLS</t>
  </si>
  <si>
    <t>BDM001</t>
  </si>
  <si>
    <t>BMW001</t>
  </si>
  <si>
    <t>DLG001</t>
  </si>
  <si>
    <t>DMS002</t>
  </si>
  <si>
    <t>'11</t>
  </si>
  <si>
    <t>FIS001</t>
  </si>
  <si>
    <t>GMG002</t>
  </si>
  <si>
    <t>GUA002</t>
  </si>
  <si>
    <t>HGA001</t>
  </si>
  <si>
    <t>RSA001</t>
  </si>
  <si>
    <t>STL001</t>
  </si>
  <si>
    <t>AAV001</t>
  </si>
  <si>
    <t>ACT</t>
  </si>
  <si>
    <t>AVP003</t>
  </si>
  <si>
    <t>AVP008</t>
  </si>
  <si>
    <t>CAP001</t>
  </si>
  <si>
    <t>CAT004</t>
  </si>
  <si>
    <t>DMS003</t>
  </si>
  <si>
    <t>GUA003</t>
  </si>
  <si>
    <t>RSA002</t>
  </si>
  <si>
    <t>STL002</t>
  </si>
  <si>
    <t>TVL001_1</t>
  </si>
  <si>
    <t>TVL001_2</t>
  </si>
  <si>
    <t>EXP</t>
  </si>
  <si>
    <t>TVL001_3</t>
  </si>
  <si>
    <t>VWG001</t>
  </si>
  <si>
    <t>VWG002</t>
  </si>
  <si>
    <t>project_code</t>
  </si>
  <si>
    <t>variant</t>
  </si>
  <si>
    <t>TIMINGDIAGNOSTICS</t>
  </si>
  <si>
    <t>CORE-FD</t>
  </si>
  <si>
    <t>HET</t>
  </si>
  <si>
    <t>GLF</t>
  </si>
  <si>
    <t>IPF</t>
  </si>
  <si>
    <t>PREFERRED_HEAD_POSE</t>
  </si>
  <si>
    <t>HPF</t>
  </si>
  <si>
    <t>PREFERRED_EYE_DATA</t>
  </si>
  <si>
    <t>BM</t>
  </si>
  <si>
    <t>CORE-AEC</t>
  </si>
  <si>
    <t>FP</t>
  </si>
  <si>
    <t>CORE-EC</t>
  </si>
  <si>
    <t>VIS-FOD</t>
  </si>
  <si>
    <t>VIS-ID-RECOGNIZE-LOW</t>
  </si>
  <si>
    <t>BD</t>
  </si>
  <si>
    <t>VM</t>
  </si>
  <si>
    <t>MS</t>
  </si>
  <si>
    <t>DIL</t>
  </si>
  <si>
    <t>DGAZE</t>
  </si>
  <si>
    <t>LIQ</t>
  </si>
  <si>
    <t>UTIL-DIAG-LBD</t>
  </si>
  <si>
    <t>DIAG-STK</t>
  </si>
  <si>
    <t>VIS-SOD</t>
  </si>
  <si>
    <t>CPOSE-CF</t>
  </si>
  <si>
    <t>CPOSE_UPDATE</t>
  </si>
  <si>
    <t>DIAG-COOA</t>
  </si>
  <si>
    <t>CT</t>
  </si>
  <si>
    <t>DDIAG-FOD</t>
  </si>
  <si>
    <t>DDETECT</t>
  </si>
  <si>
    <t>DRIVERCHANGE</t>
  </si>
  <si>
    <t>CORE-ED</t>
  </si>
  <si>
    <t>GTE</t>
  </si>
  <si>
    <t>COG-DEL</t>
  </si>
  <si>
    <t>DRIVERID</t>
  </si>
  <si>
    <t>DDIAG-IRBD</t>
  </si>
  <si>
    <t>VIS-MOUTH</t>
  </si>
  <si>
    <t>OD</t>
  </si>
  <si>
    <t>VIS-SMOKE</t>
  </si>
  <si>
    <t>VIS-PHONE</t>
  </si>
  <si>
    <t>CORE-BPT</t>
  </si>
  <si>
    <t>VIS-SPOOF-APPEARANCE</t>
  </si>
  <si>
    <t>VIS-SPOOF</t>
  </si>
  <si>
    <t>VIS-ID-RECOGNIZE-HIGH</t>
  </si>
  <si>
    <t>VIS-ID-CHANGE-HIGH</t>
  </si>
  <si>
    <t>VIS-ID-CHANGE-LOW</t>
  </si>
  <si>
    <t>DIAG-LIQ</t>
  </si>
  <si>
    <t>OOP</t>
  </si>
  <si>
    <t>SEATBELT_DETECTOR</t>
  </si>
  <si>
    <t>HWE</t>
  </si>
  <si>
    <t>DAS</t>
  </si>
  <si>
    <t>PERCLOS</t>
  </si>
  <si>
    <t>DAL</t>
  </si>
  <si>
    <t>EXPRDET</t>
  </si>
  <si>
    <t>HGD</t>
  </si>
  <si>
    <t>DMOUTH</t>
  </si>
  <si>
    <t>SOD</t>
  </si>
  <si>
    <t>COSO</t>
  </si>
  <si>
    <t>EOSOV1/HET</t>
  </si>
  <si>
    <t>AGD</t>
  </si>
  <si>
    <t>EOSOV1/BPT</t>
  </si>
  <si>
    <t>EOSOV1/CPOSE-CF</t>
  </si>
  <si>
    <t>EOSOV1/VIS-SOD</t>
  </si>
  <si>
    <t>EAD</t>
  </si>
  <si>
    <t>EOSOV1/OD</t>
  </si>
  <si>
    <t>EOSOV1/DGAZE</t>
  </si>
  <si>
    <t>FACEBOXSELECTOR</t>
  </si>
  <si>
    <t>Mapped to Sub-Feature codes</t>
  </si>
  <si>
    <t>cap001</t>
  </si>
  <si>
    <t>enginevariant_exp</t>
  </si>
  <si>
    <t>1.0.0</t>
  </si>
  <si>
    <t>dme00x_1</t>
  </si>
  <si>
    <t>enginevariant_generic</t>
  </si>
  <si>
    <t>2.0.0</t>
  </si>
  <si>
    <t>1.6.1</t>
  </si>
  <si>
    <t>0.6.0</t>
  </si>
  <si>
    <t>1.2.0</t>
  </si>
  <si>
    <t>dme00x_2</t>
  </si>
  <si>
    <t>enginevariant_offset_high</t>
  </si>
  <si>
    <t>dme00x_3</t>
  </si>
  <si>
    <t>enginevariant_offset_low_rhd</t>
  </si>
  <si>
    <t>dme00x_4</t>
  </si>
  <si>
    <t>enginevariant_offset_low_lhd</t>
  </si>
  <si>
    <t>dme00x_5</t>
  </si>
  <si>
    <t>enginevariant_frontal</t>
  </si>
  <si>
    <t>gua003</t>
  </si>
  <si>
    <t>oms001</t>
  </si>
  <si>
    <t>demo_config_single_channel</t>
  </si>
  <si>
    <t>wfov_vg5761_minimal</t>
  </si>
  <si>
    <t>wfov_vg5761_all</t>
  </si>
  <si>
    <t>1,2</t>
  </si>
  <si>
    <t>wfov_vg5761_all_cpose</t>
  </si>
  <si>
    <t>nfov_all</t>
  </si>
  <si>
    <t>nfov_minimal</t>
  </si>
  <si>
    <t>nfov_minimal_cross_stream</t>
  </si>
  <si>
    <t>demo_config_dms_oms_split</t>
  </si>
  <si>
    <t>nfov_minimal_multi_mono</t>
  </si>
  <si>
    <t>global_metering</t>
  </si>
  <si>
    <t>icms_dms_oms_split_lhd</t>
  </si>
  <si>
    <t>icms_dms_oms_split_rhd</t>
  </si>
  <si>
    <t>icms_nfov_ic</t>
  </si>
  <si>
    <t>icms_nfov_cc_rhd</t>
  </si>
  <si>
    <t>icms_nfov_cc_lhd</t>
  </si>
  <si>
    <t>global_metering_multi_mono</t>
  </si>
  <si>
    <t>global_metering_dual</t>
  </si>
  <si>
    <t>global_metering_dual_mm</t>
  </si>
  <si>
    <t>1_occupant_single_channel</t>
  </si>
  <si>
    <t>1_occupant_cd_pilot</t>
  </si>
  <si>
    <t>1_occ_single_channel_mm</t>
  </si>
  <si>
    <t>1_occupant_strobe_ab</t>
  </si>
  <si>
    <t>2_occupants_single_channel</t>
  </si>
  <si>
    <t>2_occupants_strobe_ab_lhd</t>
  </si>
  <si>
    <t>2_occupants_strobe_ab_rhd</t>
  </si>
  <si>
    <t>rsa001</t>
  </si>
  <si>
    <t>stl001</t>
  </si>
  <si>
    <t>stl002</t>
  </si>
  <si>
    <t>enginevariant_exp_apillar</t>
  </si>
  <si>
    <t>vtl001</t>
  </si>
  <si>
    <t>enginevariant</t>
  </si>
  <si>
    <t>enginevariant_apillar</t>
  </si>
  <si>
    <t>enginevariant_rvm</t>
  </si>
  <si>
    <t>vwg001</t>
  </si>
  <si>
    <t>enginevariant_exp_dual_vwg_dsp</t>
  </si>
  <si>
    <t>Source:</t>
  </si>
  <si>
    <t>https://jenkins.onsm.cloud/job/xplat_github/job/focal_gcc_10.common.nightly.opt/job/master/lastSuccessfulBuild/artifact/bazel-bin/tools/algo_version_vs_projects_gen_tool/</t>
  </si>
  <si>
    <t>Request</t>
  </si>
  <si>
    <t>NO</t>
  </si>
  <si>
    <t>YES</t>
  </si>
  <si>
    <t>DEP</t>
  </si>
  <si>
    <t>CAN</t>
  </si>
  <si>
    <t>CR</t>
  </si>
  <si>
    <t>N/A</t>
  </si>
  <si>
    <t>Feature Code</t>
  </si>
  <si>
    <t>AVPXX2</t>
  </si>
  <si>
    <t>BMW002</t>
  </si>
  <si>
    <t>GUA004</t>
  </si>
  <si>
    <t>SML_122_1</t>
  </si>
  <si>
    <t>SMLXXX</t>
  </si>
  <si>
    <t>COG-DEL-DISENGAGED</t>
  </si>
  <si>
    <t>Takeover support</t>
  </si>
  <si>
    <t>COG-DEL-DISTRACTED</t>
  </si>
  <si>
    <t>Visual distraction</t>
  </si>
  <si>
    <t>COG-DEL-INATTENTIVE</t>
  </si>
  <si>
    <t>Cognitive distraction</t>
  </si>
  <si>
    <t>COG-DIL</t>
  </si>
  <si>
    <t>COG-DIL-DROWSY</t>
  </si>
  <si>
    <t>Level of drowsiness</t>
  </si>
  <si>
    <t>COG-DIL-INTOX</t>
  </si>
  <si>
    <t>Intoxication detection</t>
  </si>
  <si>
    <t>COG-DIL-MICROSLEEPING</t>
  </si>
  <si>
    <t>Microsleeping</t>
  </si>
  <si>
    <t>VIS-GESTURE</t>
  </si>
  <si>
    <t>COG-DIL-SLEEPING</t>
  </si>
  <si>
    <t>Sleeping</t>
  </si>
  <si>
    <t>COG-ES</t>
  </si>
  <si>
    <t>Emotional state</t>
  </si>
  <si>
    <t>VIS-ACTIVITY</t>
  </si>
  <si>
    <t>Brightness control</t>
  </si>
  <si>
    <t>CORE-BPT-COARSE</t>
  </si>
  <si>
    <t>Coarse body pose</t>
  </si>
  <si>
    <t>CORE-BPT-FINE</t>
  </si>
  <si>
    <t>Fine body pose</t>
  </si>
  <si>
    <t>Eyelid dynamics</t>
  </si>
  <si>
    <t>Face detection</t>
  </si>
  <si>
    <t>CORE-DEPTH</t>
  </si>
  <si>
    <t>Monocular Depth Perception</t>
  </si>
  <si>
    <t>CORE-GET-EYELID</t>
  </si>
  <si>
    <t>Eyelid aperture and eye state</t>
  </si>
  <si>
    <t>CORE-GET-GAZE</t>
  </si>
  <si>
    <t>Gaze and pupil diameter</t>
  </si>
  <si>
    <t>CORE-HT-LANDMARKS</t>
  </si>
  <si>
    <t>Face Landmarks</t>
  </si>
  <si>
    <t>CORE-HT-POSE</t>
  </si>
  <si>
    <t>Head pose</t>
  </si>
  <si>
    <t>CORE-MS</t>
  </si>
  <si>
    <t>Mouth shape</t>
  </si>
  <si>
    <t>COG-OVERLOAD</t>
  </si>
  <si>
    <t>Cognitive load</t>
  </si>
  <si>
    <t>VIS-DAS</t>
  </si>
  <si>
    <t>SFC109</t>
  </si>
  <si>
    <t>Auto-dimming mirror control</t>
  </si>
  <si>
    <t>VIS-SPOOF-NOVELTY</t>
  </si>
  <si>
    <t>Novelty contact detection</t>
  </si>
  <si>
    <t>VIS-SOD-CHILDSEAT-TYPE</t>
  </si>
  <si>
    <t>Child seat type classification</t>
  </si>
  <si>
    <t>SFC115</t>
  </si>
  <si>
    <t>Occupant weight</t>
  </si>
  <si>
    <t>SFC116</t>
  </si>
  <si>
    <t>Window state classification</t>
  </si>
  <si>
    <t>SFC117</t>
  </si>
  <si>
    <t>Headset detection</t>
  </si>
  <si>
    <t>SFC120</t>
  </si>
  <si>
    <t>Sweating</t>
  </si>
  <si>
    <t>SFC121</t>
  </si>
  <si>
    <t>Vasometry</t>
  </si>
  <si>
    <t>SFC122</t>
  </si>
  <si>
    <t>Medical event classification</t>
  </si>
  <si>
    <t>SFC123</t>
  </si>
  <si>
    <t>Strabismus detection</t>
  </si>
  <si>
    <t>SFC124</t>
  </si>
  <si>
    <t>Eye movement type classification</t>
  </si>
  <si>
    <t>SFC125</t>
  </si>
  <si>
    <t>Stress level estimation</t>
  </si>
  <si>
    <t>SFC126</t>
  </si>
  <si>
    <t>Whole body spoofing</t>
  </si>
  <si>
    <t>SFC127</t>
  </si>
  <si>
    <t>Childseat occupant age</t>
  </si>
  <si>
    <t>SFC128</t>
  </si>
  <si>
    <t>Child age estimation</t>
  </si>
  <si>
    <t>VIS-ID</t>
  </si>
  <si>
    <t>SFC129</t>
  </si>
  <si>
    <t>Child gender estimation</t>
  </si>
  <si>
    <t>SFC130</t>
  </si>
  <si>
    <t>Drowsiness in L3+ driving</t>
  </si>
  <si>
    <t>SFC131</t>
  </si>
  <si>
    <t>NCAP advanced phone use</t>
  </si>
  <si>
    <t>SFC132</t>
  </si>
  <si>
    <t>Pilot vigilance</t>
  </si>
  <si>
    <t>VIS-EXPR</t>
  </si>
  <si>
    <t>SFC133</t>
  </si>
  <si>
    <t>Occupant out-of-position detection</t>
  </si>
  <si>
    <t>SFC134</t>
  </si>
  <si>
    <t>Occupant Height</t>
  </si>
  <si>
    <t>SFC135</t>
  </si>
  <si>
    <t>Seat configuration classification</t>
  </si>
  <si>
    <t>CORE-GET</t>
  </si>
  <si>
    <t>SFC136</t>
  </si>
  <si>
    <t>Head pose and gaze (CPU-ONLY)</t>
  </si>
  <si>
    <t>SFC137</t>
  </si>
  <si>
    <t>Child presence detection</t>
  </si>
  <si>
    <t>CORE-HT</t>
  </si>
  <si>
    <t>SFC138</t>
  </si>
  <si>
    <t>Cognitive distraction detection</t>
  </si>
  <si>
    <t>SFC139</t>
  </si>
  <si>
    <t>Manual takeover support</t>
  </si>
  <si>
    <t>SFC140</t>
  </si>
  <si>
    <t>IMU based camera pose</t>
  </si>
  <si>
    <t>SFC141</t>
  </si>
  <si>
    <t>Video conferencing</t>
  </si>
  <si>
    <t>SFC142</t>
  </si>
  <si>
    <t>Passenger glancing at MM</t>
  </si>
  <si>
    <t>SFC143</t>
  </si>
  <si>
    <t>Phone in cabin detection</t>
  </si>
  <si>
    <t>UTIL-CPOSE</t>
  </si>
  <si>
    <t>SFC144</t>
  </si>
  <si>
    <t>Face outside FOV</t>
  </si>
  <si>
    <t>SFC145</t>
  </si>
  <si>
    <t>DMS camera pose</t>
  </si>
  <si>
    <t>UTIL-VIDEO</t>
  </si>
  <si>
    <t>UTIL-CPOSE-CF</t>
  </si>
  <si>
    <t>Vision based camera pose</t>
  </si>
  <si>
    <t>UTIL-DIAG</t>
  </si>
  <si>
    <t>UTIL-CPOSE-IMU</t>
  </si>
  <si>
    <t>UTIL-DIAG-COOA</t>
  </si>
  <si>
    <t>Camera misalignment</t>
  </si>
  <si>
    <t>Lens blockage detection</t>
  </si>
  <si>
    <t>UTIL-DIAG-LIQ</t>
  </si>
  <si>
    <t>Low image quality</t>
  </si>
  <si>
    <t>UTIL-DIAG-STK</t>
  </si>
  <si>
    <t>Frozen image detection</t>
  </si>
  <si>
    <t>VIS-ACTIVITY-AHP</t>
  </si>
  <si>
    <t>Abnormal head posture</t>
  </si>
  <si>
    <t>VIS-ACTIVITY-HANDPOS</t>
  </si>
  <si>
    <t>Hand position classification</t>
  </si>
  <si>
    <t>VIS-ACTIVITY-HELDITEM</t>
  </si>
  <si>
    <t>Held item classification</t>
  </si>
  <si>
    <t>VIS-ACTIVITY-OOP</t>
  </si>
  <si>
    <t>Out of Position</t>
  </si>
  <si>
    <t>VIS-CABIN-OBJECT</t>
  </si>
  <si>
    <t>Cabin object detection</t>
  </si>
  <si>
    <t>VIS-CABIN-STATE</t>
  </si>
  <si>
    <t>Cabin trim state</t>
  </si>
  <si>
    <t>VIS-CLOTHING</t>
  </si>
  <si>
    <t>Clothing warmth classification</t>
  </si>
  <si>
    <t>VIS-DAS-COARSE</t>
  </si>
  <si>
    <t>Viewing target classification</t>
  </si>
  <si>
    <t>VIS-DAS-FINE</t>
  </si>
  <si>
    <t>VIS-DAS-POSTURE</t>
  </si>
  <si>
    <t>Visual attention from posture</t>
  </si>
  <si>
    <t>VIS-DAS-RAY</t>
  </si>
  <si>
    <t>Visual attention ray</t>
  </si>
  <si>
    <t>Facial expression</t>
  </si>
  <si>
    <t>VIS-FOD-EYEWEAR</t>
  </si>
  <si>
    <t>Eyewear detection</t>
  </si>
  <si>
    <t>VIS-FOD-FACE</t>
  </si>
  <si>
    <t>Face occlusion</t>
  </si>
  <si>
    <t>VIS-FOD-MASK</t>
  </si>
  <si>
    <t>Face mask detection</t>
  </si>
  <si>
    <t>VIS-GESTURE-HAND</t>
  </si>
  <si>
    <t>Hand gesture classification</t>
  </si>
  <si>
    <t>VIS-GESTURE-HEAD</t>
  </si>
  <si>
    <t>Head nodding/shaking</t>
  </si>
  <si>
    <t>VIS-ID-CHANGE</t>
  </si>
  <si>
    <t>Occupant change</t>
  </si>
  <si>
    <t>Security recognition</t>
  </si>
  <si>
    <t>Convenience recognition</t>
  </si>
  <si>
    <t>VIS-MOUTH-COUGH</t>
  </si>
  <si>
    <t>Coughing</t>
  </si>
  <si>
    <t>VIS-MOUTH-EATING-DRINKING</t>
  </si>
  <si>
    <t>Eating and drinking</t>
  </si>
  <si>
    <t>VIS-MOUTH-LAUGH</t>
  </si>
  <si>
    <t>Laughing</t>
  </si>
  <si>
    <t>VIS-MOUTH-SNEEZE</t>
  </si>
  <si>
    <t>Sneezing</t>
  </si>
  <si>
    <t>VIS-MOUTH-SPEAK</t>
  </si>
  <si>
    <t>Speaking</t>
  </si>
  <si>
    <t>VIS-MOUTH-SPEECH</t>
  </si>
  <si>
    <t>Visual speech recognition</t>
  </si>
  <si>
    <t>VIS-MOUTH-YAWN</t>
  </si>
  <si>
    <t>Yawning</t>
  </si>
  <si>
    <t>Phone handling</t>
  </si>
  <si>
    <t>Smoking</t>
  </si>
  <si>
    <t>VIS-SOD-AGE</t>
  </si>
  <si>
    <t>Age</t>
  </si>
  <si>
    <t>VIS-SOD-CHILDSEAT</t>
  </si>
  <si>
    <t>Child seat detection</t>
  </si>
  <si>
    <t>VIS-SOD-GENDER</t>
  </si>
  <si>
    <t>Gender</t>
  </si>
  <si>
    <t>VIS-SOD-HEALTH-PREG</t>
  </si>
  <si>
    <t>Pregnancy detection</t>
  </si>
  <si>
    <t>VIS-SOD-HEALTH-HR</t>
  </si>
  <si>
    <t>Heart rate monitoring</t>
  </si>
  <si>
    <t>VIS-SOD-HEIGHT</t>
  </si>
  <si>
    <t>Height</t>
  </si>
  <si>
    <t>VIS-SOD-PETS</t>
  </si>
  <si>
    <t>Animal detection</t>
  </si>
  <si>
    <t>VIS-SOD-PRESENCE-HIGH</t>
  </si>
  <si>
    <t>Presence detection (Object)</t>
  </si>
  <si>
    <t>VIS-SOD-PRESENCE-LOW</t>
  </si>
  <si>
    <t>Presence detection (Head)</t>
  </si>
  <si>
    <t>VIS-SOD-SEATBELT</t>
  </si>
  <si>
    <t>Seat belt status</t>
  </si>
  <si>
    <t>VIS-SOD-WEIGHT</t>
  </si>
  <si>
    <t>Weight</t>
  </si>
  <si>
    <t>Spoofing</t>
  </si>
  <si>
    <t>Feature</t>
  </si>
  <si>
    <t>FDriver</t>
  </si>
  <si>
    <t>FPassenger</t>
  </si>
  <si>
    <t>FMiddle</t>
  </si>
  <si>
    <t>2Driver</t>
  </si>
  <si>
    <t>2Passenger</t>
  </si>
  <si>
    <t>2Middle</t>
  </si>
  <si>
    <t>3Driver</t>
  </si>
  <si>
    <t>3Passenger</t>
  </si>
  <si>
    <t>3Middle</t>
  </si>
  <si>
    <t xml:space="preserve">     Feature</t>
  </si>
  <si>
    <t>ASPICE</t>
  </si>
  <si>
    <t>Regulatory</t>
  </si>
  <si>
    <t>Package Location</t>
  </si>
  <si>
    <t>Image Quality</t>
  </si>
  <si>
    <t>References</t>
  </si>
  <si>
    <t>Template Instruction</t>
  </si>
  <si>
    <t>Hints</t>
  </si>
  <si>
    <t>Template Purpose</t>
  </si>
  <si>
    <t>The Feature Roll-Out Plan (FROP) provides a high level summary of the development schedule and key release timing and functionality.  This is communicated and agreed upon between the customer and the core team.</t>
  </si>
  <si>
    <t>Responsibilities</t>
  </si>
  <si>
    <t>Program Manager, Lead &lt;System/Software&gt; Engineer</t>
  </si>
  <si>
    <t>Usage instructions</t>
  </si>
  <si>
    <t>Remarks</t>
  </si>
  <si>
    <t>Important Notes:</t>
  </si>
  <si>
    <t>ISO26262</t>
  </si>
  <si>
    <t>ASIL</t>
  </si>
  <si>
    <t>ASPICE Versions</t>
  </si>
  <si>
    <t>Operating System</t>
  </si>
  <si>
    <t>SOCs</t>
  </si>
  <si>
    <t>Seat Position Encoding</t>
  </si>
  <si>
    <t>Image Sensor</t>
  </si>
  <si>
    <t>Maturity Level</t>
  </si>
  <si>
    <t>Performance Level</t>
  </si>
  <si>
    <t>Project Status</t>
  </si>
  <si>
    <t>Dependencies</t>
  </si>
  <si>
    <t>Image Rotation</t>
  </si>
  <si>
    <t>Lighting Support</t>
  </si>
  <si>
    <t>Feature Required</t>
  </si>
  <si>
    <t>Work Product</t>
  </si>
  <si>
    <t>Data Products</t>
  </si>
  <si>
    <t>Sub-Feature</t>
  </si>
  <si>
    <t>Active Projects</t>
  </si>
  <si>
    <t>Past Projects</t>
  </si>
  <si>
    <t>Quoted Projects</t>
  </si>
  <si>
    <t>Quoted Projects Code</t>
  </si>
  <si>
    <t>Quoted Projects (Name)</t>
  </si>
  <si>
    <t>All Projects</t>
  </si>
  <si>
    <t>Linux</t>
  </si>
  <si>
    <t>OV 2311 NoV 2MP IR</t>
  </si>
  <si>
    <t>ML0</t>
  </si>
  <si>
    <t>PL0</t>
  </si>
  <si>
    <t>Integration of Camera Control</t>
  </si>
  <si>
    <t>Frontal</t>
  </si>
  <si>
    <t>0 Deg</t>
  </si>
  <si>
    <t>OMSiQ-LOW</t>
  </si>
  <si>
    <t>Bright Pupil</t>
  </si>
  <si>
    <t>NONE</t>
  </si>
  <si>
    <t>DAT3.0</t>
  </si>
  <si>
    <t>A</t>
  </si>
  <si>
    <t>4.0</t>
  </si>
  <si>
    <t>QNX</t>
  </si>
  <si>
    <t>AR 0135 NoV 1MP IR</t>
  </si>
  <si>
    <t>ML1</t>
  </si>
  <si>
    <t>PL1</t>
  </si>
  <si>
    <t>Availability of Data Collection Infastructure</t>
  </si>
  <si>
    <t>Offset High</t>
  </si>
  <si>
    <t>90 Deg</t>
  </si>
  <si>
    <t>OMSiQ-MID</t>
  </si>
  <si>
    <t>Dark Pupil</t>
  </si>
  <si>
    <t>DRAFT</t>
  </si>
  <si>
    <t>INTERNAL</t>
  </si>
  <si>
    <t>Pike OS</t>
  </si>
  <si>
    <t>OX05B WoF 5MP RGBIR</t>
  </si>
  <si>
    <t>ML2</t>
  </si>
  <si>
    <t>PL2</t>
  </si>
  <si>
    <t>RFI</t>
  </si>
  <si>
    <t xml:space="preserve">Program Validation KPI Results </t>
  </si>
  <si>
    <t>Offset Low</t>
  </si>
  <si>
    <t>180 Deg</t>
  </si>
  <si>
    <t>OMSiQ-HIGH</t>
  </si>
  <si>
    <t>Smart Bright Pupil</t>
  </si>
  <si>
    <t>CONCEPT</t>
  </si>
  <si>
    <t>CUSTOMER</t>
  </si>
  <si>
    <t>IPMS</t>
  </si>
  <si>
    <t>C</t>
  </si>
  <si>
    <t>Android</t>
  </si>
  <si>
    <t>SM Reference Camera</t>
  </si>
  <si>
    <t>ML3</t>
  </si>
  <si>
    <t>PL3</t>
  </si>
  <si>
    <t>RFQ</t>
  </si>
  <si>
    <t>Target Hardware Available</t>
  </si>
  <si>
    <t>Overhead</t>
  </si>
  <si>
    <t>270 Deg</t>
  </si>
  <si>
    <t>REFINED</t>
  </si>
  <si>
    <t>VW MIK (Tranche 1 - 2 Box)</t>
  </si>
  <si>
    <t>D</t>
  </si>
  <si>
    <t>OVT OX05B1S 5.0MP WFOV with RVM configuration (FDM-CAM6)</t>
  </si>
  <si>
    <t>ML4</t>
  </si>
  <si>
    <t>PL4</t>
  </si>
  <si>
    <t>Optical Path Maturity (plus freeze)</t>
  </si>
  <si>
    <t>RELEASED</t>
  </si>
  <si>
    <t>SWEET 420</t>
  </si>
  <si>
    <t>GHS Integrity</t>
  </si>
  <si>
    <t>MIK C5 Sample</t>
  </si>
  <si>
    <t>ML5</t>
  </si>
  <si>
    <t>PL5</t>
  </si>
  <si>
    <t>DSP</t>
  </si>
  <si>
    <t>VALIDATED</t>
  </si>
  <si>
    <t>OMS JLR</t>
  </si>
  <si>
    <t>Windows</t>
  </si>
  <si>
    <t>Cx Sample</t>
  </si>
  <si>
    <t>ML6</t>
  </si>
  <si>
    <t>PL6</t>
  </si>
  <si>
    <t>ISP</t>
  </si>
  <si>
    <t>PetaLinux</t>
  </si>
  <si>
    <t>Dev Boards</t>
  </si>
  <si>
    <t>VW MIK (Tranche 1 - 1 Box/ 2 Box)</t>
  </si>
  <si>
    <t>Validation data collection</t>
  </si>
  <si>
    <t>Project Thunder (Data Acquisition)</t>
  </si>
  <si>
    <t>SDK</t>
  </si>
  <si>
    <t>TSS4 Project</t>
  </si>
  <si>
    <t>API</t>
  </si>
  <si>
    <t>TVL001</t>
  </si>
  <si>
    <t>DMS/OMS JLR</t>
  </si>
  <si>
    <t>Functional Safety</t>
  </si>
  <si>
    <t>APVXX2</t>
  </si>
  <si>
    <t>IKS25</t>
  </si>
  <si>
    <t>Honda DMC</t>
  </si>
  <si>
    <t>AVS DMS Cabin Camera</t>
  </si>
  <si>
    <t>GSR</t>
  </si>
  <si>
    <t>Basis NCAP</t>
  </si>
  <si>
    <t>Thunder Project</t>
  </si>
  <si>
    <t>VW MIK (Tranche 2 - 2 Box)</t>
  </si>
  <si>
    <t>DMS/OMS Lucid</t>
  </si>
  <si>
    <t>MIK</t>
  </si>
  <si>
    <t xml:space="preserve">R2 (IVI) Project </t>
  </si>
  <si>
    <t>DMS</t>
  </si>
  <si>
    <t xml:space="preserve">Gen4 </t>
  </si>
  <si>
    <t>VIS-SOD-HEALTH</t>
  </si>
  <si>
    <t>RVM DMS</t>
  </si>
  <si>
    <t>Thunder Project &amp; GSR</t>
  </si>
  <si>
    <t>SFC112</t>
  </si>
  <si>
    <t>SFC114</t>
  </si>
  <si>
    <t>Monitoring Enablers Innovation Project</t>
  </si>
  <si>
    <t xml:space="preserve">L663 &amp; LOKI </t>
  </si>
  <si>
    <t xml:space="preserve">Daimler Truck </t>
  </si>
  <si>
    <t>Sweet 500</t>
  </si>
  <si>
    <t>Thunder</t>
  </si>
  <si>
    <t>BR214</t>
  </si>
  <si>
    <t>DMS3</t>
  </si>
  <si>
    <t>Qualcomm Development</t>
  </si>
  <si>
    <t>L663</t>
  </si>
  <si>
    <t>Ferrari DMS</t>
  </si>
  <si>
    <t>DAA (Small)</t>
  </si>
  <si>
    <t>Emergency Biometric Vehicle Access</t>
  </si>
  <si>
    <t>Facial Biometric Platform</t>
  </si>
  <si>
    <t>Cariad China</t>
  </si>
  <si>
    <t>Nissan DMS</t>
  </si>
  <si>
    <t>Cariad EU</t>
  </si>
  <si>
    <t>DMS ADP</t>
  </si>
  <si>
    <t>ICM 1.0</t>
  </si>
  <si>
    <t>DMS Truck</t>
  </si>
  <si>
    <t xml:space="preserve">X2 and other Platform </t>
  </si>
  <si>
    <t>FlexEVAN/ Sweet500 A (NCAP/GSR)</t>
  </si>
  <si>
    <t>Harman Core Signals</t>
  </si>
  <si>
    <t>DAA Small (Forvia)</t>
  </si>
  <si>
    <t>DMS Inside Mirror</t>
  </si>
  <si>
    <t>DMS CCU/SDV2 Integration</t>
  </si>
  <si>
    <t>Production - Monitoring Enablers Innovation Project</t>
  </si>
  <si>
    <t>GM Gen 4</t>
  </si>
  <si>
    <t>Production - Monitoring Enablers Innovation Project  (DMS ICCM)</t>
  </si>
  <si>
    <t>DMS (R1 Peregrine)</t>
  </si>
  <si>
    <t>DMS VF8/9</t>
  </si>
  <si>
    <t>H8 Cherokee Demo  (H/W &amp; /S/W)</t>
  </si>
  <si>
    <t>DMS  PC Demo (Platform)</t>
  </si>
  <si>
    <t>FlexEVAN/ Sweet500 B (DMS/OMS)</t>
  </si>
  <si>
    <t>IPU DMS System</t>
  </si>
  <si>
    <t>Sweet 500 B (DMS/OMS)</t>
  </si>
  <si>
    <t>VTTI NHTSA ADP Study</t>
  </si>
  <si>
    <t>DMS RVM</t>
  </si>
  <si>
    <t>Camera Occupant info</t>
  </si>
  <si>
    <t>ICMU</t>
  </si>
  <si>
    <t>A1 A2 Front Sensing DMS</t>
  </si>
  <si>
    <t>wFOV</t>
  </si>
  <si>
    <t>Low Cost RVM DMS</t>
  </si>
  <si>
    <t>DAA Small</t>
  </si>
  <si>
    <t>MQB Platform DMS (SAIC/VW JV)</t>
  </si>
  <si>
    <t xml:space="preserve">BEV </t>
  </si>
  <si>
    <t>Eye Tracker ADP</t>
  </si>
  <si>
    <t>DMS/OMS</t>
  </si>
  <si>
    <t>WFOV RVM</t>
  </si>
  <si>
    <t xml:space="preserve">DMS </t>
  </si>
  <si>
    <t>Standalone OMS 2028</t>
  </si>
  <si>
    <t>DIL RFI</t>
  </si>
  <si>
    <t>Low Cost DMS China</t>
  </si>
  <si>
    <t>GM Feature Wars</t>
  </si>
  <si>
    <t>VW China</t>
  </si>
  <si>
    <t>Ampere OMS-DMS QC</t>
  </si>
  <si>
    <t>Standalone DMS 2028</t>
  </si>
  <si>
    <t>DMS In Cabin</t>
  </si>
  <si>
    <t>China Platform</t>
  </si>
  <si>
    <t>VW OMS/DMS KSS2.0</t>
  </si>
  <si>
    <t>Ford CE1 DMS+OMS</t>
  </si>
  <si>
    <t>Dashcam DMS &amp; OMS</t>
  </si>
  <si>
    <t>Next Gen E&amp;E Architecture</t>
  </si>
  <si>
    <t>DMS/ OMS Van</t>
  </si>
  <si>
    <t>Prefix</t>
  </si>
  <si>
    <t xml:space="preserve">     </t>
  </si>
  <si>
    <t>Project Stage?</t>
  </si>
  <si>
    <t>Last Updated</t>
  </si>
  <si>
    <t>Available Features</t>
  </si>
  <si>
    <t>Speculative Features</t>
  </si>
  <si>
    <t>ASPICE (Level)</t>
  </si>
  <si>
    <t>ASPICE (Version)</t>
  </si>
  <si>
    <t>ISO 26262 (Level)</t>
  </si>
  <si>
    <t>ISO 26262 (Version)</t>
  </si>
  <si>
    <t>ISO 21448 (SOTIF)</t>
  </si>
  <si>
    <t>ISO 21434 (Cyber Sec)</t>
  </si>
  <si>
    <t>NCAP</t>
  </si>
  <si>
    <t>GB/T</t>
  </si>
  <si>
    <t>Seating Positions</t>
  </si>
  <si>
    <t>Fusion</t>
  </si>
  <si>
    <t>Ti Sitara</t>
  </si>
  <si>
    <t>Ti TDA4 Entry</t>
  </si>
  <si>
    <t>Ti TDA4 Low</t>
  </si>
  <si>
    <t>Ti TDA4 Mid</t>
  </si>
  <si>
    <t>Ti TDA4 High</t>
  </si>
  <si>
    <t>AMD Ultrascale Zync ZU1</t>
  </si>
  <si>
    <t>QCM SA81xx</t>
  </si>
  <si>
    <t>QCM SA86xx</t>
  </si>
  <si>
    <t>Renesas R-Car V4H</t>
  </si>
  <si>
    <t>FDM Occula 8.0</t>
  </si>
  <si>
    <t>FDM Occula 8.2</t>
  </si>
  <si>
    <t>FDM Occula 8.3</t>
  </si>
  <si>
    <t>OV OAX4600</t>
  </si>
  <si>
    <t>Ambarella CV25</t>
  </si>
  <si>
    <t>x86/64</t>
  </si>
  <si>
    <t>eDME</t>
  </si>
  <si>
    <t>TI Sitara 2 TOPS 2 GB RAM</t>
  </si>
  <si>
    <t>TI Sitara 1 TOPS 8 GB RAM</t>
  </si>
  <si>
    <t>Renesas R-Caar V4H</t>
  </si>
  <si>
    <t>NFOV</t>
  </si>
  <si>
    <t>WFOV</t>
  </si>
  <si>
    <t>Tier 1/Customer</t>
  </si>
  <si>
    <t>Years</t>
  </si>
  <si>
    <t>OEM:</t>
  </si>
  <si>
    <t>Calendar Weeks</t>
  </si>
  <si>
    <t>Project:</t>
  </si>
  <si>
    <t>Months</t>
  </si>
  <si>
    <t>Jan</t>
  </si>
  <si>
    <t>Feb</t>
  </si>
  <si>
    <t>Mar</t>
  </si>
  <si>
    <t>Apr</t>
  </si>
  <si>
    <t>May</t>
  </si>
  <si>
    <t>Jun</t>
  </si>
  <si>
    <t>Jul</t>
  </si>
  <si>
    <t>Aug</t>
  </si>
  <si>
    <t>Sep</t>
  </si>
  <si>
    <t>Oct</t>
  </si>
  <si>
    <t>Nov</t>
  </si>
  <si>
    <t>Dec</t>
  </si>
  <si>
    <t>Version:</t>
  </si>
  <si>
    <t>Release Period of the Month</t>
  </si>
  <si>
    <t>Date:</t>
  </si>
  <si>
    <t>OEM Milestone</t>
  </si>
  <si>
    <t>Tier 1 Milestone</t>
  </si>
  <si>
    <t>SM Milestone</t>
  </si>
  <si>
    <t>Release System Details</t>
  </si>
  <si>
    <t>External
Dependencies</t>
  </si>
  <si>
    <t>Feature Reference #</t>
  </si>
  <si>
    <t>Feature Type</t>
  </si>
  <si>
    <t>Domain - Type - Capability</t>
  </si>
  <si>
    <t>Features Incl.</t>
  </si>
  <si>
    <t>Indicate
"DMS"
"OMS" or 
"Both"</t>
  </si>
  <si>
    <t>Front Seats</t>
  </si>
  <si>
    <t>2nd Row Seats</t>
  </si>
  <si>
    <t>ASIL
(QM/A/B)</t>
  </si>
  <si>
    <t>Specification/Source Ref.</t>
  </si>
  <si>
    <t>Driver</t>
  </si>
  <si>
    <t>Middle</t>
  </si>
  <si>
    <t>Passenger</t>
  </si>
  <si>
    <t>Left</t>
  </si>
  <si>
    <t>Right</t>
  </si>
  <si>
    <t>DEL01</t>
  </si>
  <si>
    <t>Driver Engagement Level (DEL)</t>
  </si>
  <si>
    <t>DEL02</t>
  </si>
  <si>
    <t>DEL03</t>
  </si>
  <si>
    <t>DIL01</t>
  </si>
  <si>
    <t>Driver Impairment Level (DIL)</t>
  </si>
  <si>
    <t>DIL02</t>
  </si>
  <si>
    <t>DIL03</t>
  </si>
  <si>
    <t>CL01</t>
  </si>
  <si>
    <t>Cognitive Load (CL)</t>
  </si>
  <si>
    <r>
      <t>COG-OVERLOAD</t>
    </r>
    <r>
      <rPr>
        <vertAlign val="superscript"/>
        <sz val="10"/>
        <color theme="1"/>
        <rFont val="Arial"/>
        <family val="2"/>
      </rPr>
      <t>5</t>
    </r>
  </si>
  <si>
    <t>ES01</t>
  </si>
  <si>
    <t>Emotion State (ES)</t>
  </si>
  <si>
    <r>
      <t>COG-ES</t>
    </r>
    <r>
      <rPr>
        <vertAlign val="superscript"/>
        <sz val="10"/>
        <color theme="1"/>
        <rFont val="Arial"/>
        <family val="2"/>
      </rPr>
      <t>5</t>
    </r>
  </si>
  <si>
    <t>ACT01</t>
  </si>
  <si>
    <t>Body Activity (ACTIVITY)</t>
  </si>
  <si>
    <t>ACT02</t>
  </si>
  <si>
    <t>ACT03</t>
  </si>
  <si>
    <t>ACT04</t>
  </si>
  <si>
    <t>GES01</t>
  </si>
  <si>
    <t xml:space="preserve">Body Gesture (GESTURE) </t>
  </si>
  <si>
    <t>SOD01</t>
  </si>
  <si>
    <t>Seat Occupancy Detection (SOD)</t>
  </si>
  <si>
    <t>VIS-SOD-PRESENCE</t>
  </si>
  <si>
    <t>SOD02</t>
  </si>
  <si>
    <t>SOD03</t>
  </si>
  <si>
    <t>SOD07</t>
  </si>
  <si>
    <t>SOD08</t>
  </si>
  <si>
    <t>SOD5</t>
  </si>
  <si>
    <t>SOD6</t>
  </si>
  <si>
    <t>MOUTH01</t>
  </si>
  <si>
    <t>Mouth Activity (MOUTH)</t>
  </si>
  <si>
    <t>MOUTH02</t>
  </si>
  <si>
    <t>MOUTH03</t>
  </si>
  <si>
    <t>MOUTH04</t>
  </si>
  <si>
    <t>MOUTH05</t>
  </si>
  <si>
    <t>SMOKE01</t>
  </si>
  <si>
    <t>Smoking Detection (SMOKE)</t>
  </si>
  <si>
    <t>DAS01</t>
  </si>
  <si>
    <t>Driver Attention State (DAS)</t>
  </si>
  <si>
    <t>DAS02</t>
  </si>
  <si>
    <t>DAS03</t>
  </si>
  <si>
    <t>DAS04</t>
  </si>
  <si>
    <t>PHONE01</t>
  </si>
  <si>
    <t>Phone Handling</t>
  </si>
  <si>
    <t>EXPR01</t>
  </si>
  <si>
    <t>Facial Expression (EXPR)</t>
  </si>
  <si>
    <t>ID01</t>
  </si>
  <si>
    <t>Identity (ID)</t>
  </si>
  <si>
    <t>ID02</t>
  </si>
  <si>
    <t>ID03</t>
  </si>
  <si>
    <t>FOD01</t>
  </si>
  <si>
    <t>Face Occlusion
 Detection (FOD)</t>
  </si>
  <si>
    <t>FOD02</t>
  </si>
  <si>
    <t>FOD03</t>
  </si>
  <si>
    <t>SPOOF01</t>
  </si>
  <si>
    <t>Spoofing (SPOOF)</t>
  </si>
  <si>
    <t>HT01</t>
  </si>
  <si>
    <t>Head Tracking (HT)</t>
  </si>
  <si>
    <t>HT02</t>
  </si>
  <si>
    <t>GET01</t>
  </si>
  <si>
    <t>Gaze Eye Tracking (GET)</t>
  </si>
  <si>
    <t>GET02</t>
  </si>
  <si>
    <t>ED02</t>
  </si>
  <si>
    <t>Eyelid Dynamics (ED)</t>
  </si>
  <si>
    <t>MS01</t>
  </si>
  <si>
    <t>Mouth Shape (MS)</t>
  </si>
  <si>
    <t>CORE - MS</t>
  </si>
  <si>
    <t>FD01</t>
  </si>
  <si>
    <t>Face Detection (FD)</t>
  </si>
  <si>
    <t>AEC01</t>
  </si>
  <si>
    <t>Automated Exposure Control (AEC)</t>
  </si>
  <si>
    <t>BPT01</t>
  </si>
  <si>
    <t>Core Tracking (CORE)</t>
  </si>
  <si>
    <t>BPT02</t>
  </si>
  <si>
    <t>DIAG01</t>
  </si>
  <si>
    <t>Diagnostics (DIAG)</t>
  </si>
  <si>
    <t xml:space="preserve"> </t>
  </si>
  <si>
    <t>DIAG02</t>
  </si>
  <si>
    <t>DIAG03</t>
  </si>
  <si>
    <t>DIAG04</t>
  </si>
  <si>
    <t>VDO01</t>
  </si>
  <si>
    <t>Video</t>
  </si>
  <si>
    <t>UTIL-VDO</t>
  </si>
  <si>
    <t>CPOSE01</t>
  </si>
  <si>
    <t>Camera Pose (CPOSE)</t>
  </si>
  <si>
    <t>CPOSE02</t>
  </si>
  <si>
    <t>FROP Level</t>
  </si>
  <si>
    <t>Description</t>
  </si>
  <si>
    <t>Not available.</t>
  </si>
  <si>
    <t>Featured definition and requirements complete but no availability in the release.</t>
  </si>
  <si>
    <t>Feature interface and signals available, but only with dummy data to support integration.</t>
  </si>
  <si>
    <t>Feature available. Capability and performance gaps.</t>
  </si>
  <si>
    <t>Feature functionally complete. Performance gaps for corner case conditions.</t>
  </si>
  <si>
    <t>Feature complete and ready for production.</t>
  </si>
  <si>
    <t>Benign</t>
  </si>
  <si>
    <t>Challenging</t>
  </si>
  <si>
    <t>Function</t>
  </si>
  <si>
    <t>Sub-Function</t>
  </si>
  <si>
    <t>Factor</t>
  </si>
  <si>
    <t>Target</t>
  </si>
  <si>
    <t>Actual</t>
  </si>
  <si>
    <t>Feature enabled</t>
  </si>
  <si>
    <t>FROP Level based on accuracy</t>
  </si>
  <si>
    <t>FROP Level based on availability</t>
  </si>
  <si>
    <t>Actual FROP</t>
  </si>
  <si>
    <t>Environment</t>
  </si>
  <si>
    <t>Database</t>
  </si>
  <si>
    <t>Comment</t>
  </si>
  <si>
    <t>HEAD POSE</t>
  </si>
  <si>
    <t>(SIL)</t>
  </si>
  <si>
    <t>SM Release Verification DB</t>
  </si>
  <si>
    <t>Availability</t>
  </si>
  <si>
    <t>Availability (%)</t>
  </si>
  <si>
    <t>X-position</t>
  </si>
  <si>
    <t>Average Absolute Error (mm)</t>
  </si>
  <si>
    <t>Error Standard Deviation (mm)</t>
  </si>
  <si>
    <t>Population Bias (mm)</t>
  </si>
  <si>
    <t>Y position</t>
  </si>
  <si>
    <t>Z-position</t>
  </si>
  <si>
    <t>X-rotation (roll)</t>
  </si>
  <si>
    <t>Average Absolute Error (deg)</t>
  </si>
  <si>
    <t>Error Standard Deviation (deg)</t>
  </si>
  <si>
    <t>Population Bias (deg)</t>
  </si>
  <si>
    <t>Y-rotation (pitch)</t>
  </si>
  <si>
    <t>Z-rotation (yaw)</t>
  </si>
  <si>
    <t>EYE OPENING</t>
  </si>
  <si>
    <t>Eye Closure</t>
  </si>
  <si>
    <t>Accuracy RMS Error (mm)</t>
  </si>
  <si>
    <t>DROWSINESS</t>
  </si>
  <si>
    <t>Unsafe Level of Drowsiness</t>
  </si>
  <si>
    <t>True Positive Rate</t>
  </si>
  <si>
    <t>False Positive Rate</t>
  </si>
  <si>
    <t>False Detections / Hour</t>
  </si>
  <si>
    <t>Max Latency (min)</t>
  </si>
  <si>
    <t>MICROSLEEP</t>
  </si>
  <si>
    <t>Max Latency (sec)</t>
  </si>
  <si>
    <t>ASLEEP</t>
  </si>
  <si>
    <t>VIEWING TARGET</t>
  </si>
  <si>
    <t>On/Off Road Classification</t>
  </si>
  <si>
    <t>On Road TPR (%)</t>
  </si>
  <si>
    <t>Off Road TPR (%)</t>
  </si>
  <si>
    <t>Granular State Estimation</t>
  </si>
  <si>
    <t>Driver Lap TPR (%)</t>
  </si>
  <si>
    <t>Off Road Left TPR (%)</t>
  </si>
  <si>
    <t>Off Road Right TPR (%)</t>
  </si>
  <si>
    <t>Center Console TPR (%)</t>
  </si>
  <si>
    <t>Eyes Closed TPR (%)</t>
  </si>
  <si>
    <t>DISTRACTION</t>
  </si>
  <si>
    <t>Visual Distraction</t>
  </si>
  <si>
    <t>Long Glance TPR (%)</t>
  </si>
  <si>
    <t>Visual Time-Sharing TPR (%)</t>
  </si>
  <si>
    <t>Detection Latency (msec)</t>
  </si>
  <si>
    <t>SPOOFING</t>
  </si>
  <si>
    <t>2D Attack TPR (%)</t>
  </si>
  <si>
    <t>Presence Detection</t>
  </si>
  <si>
    <t>Human TPR (%)</t>
  </si>
  <si>
    <t>No Human TPR (%)</t>
  </si>
  <si>
    <t>HUMAN OCCUPANT PRESENCE</t>
  </si>
  <si>
    <t>Front passenger
Presence Detection</t>
  </si>
  <si>
    <t>Empty TPR (%)</t>
  </si>
  <si>
    <t>Object TPR (%)</t>
  </si>
  <si>
    <t>Rear Left passenger
Presence Detection</t>
  </si>
  <si>
    <t>Rear Centre passenger
Presence Detection</t>
  </si>
  <si>
    <t>Rear Right passenger
Presence Detection</t>
  </si>
  <si>
    <t>CHILD SEAT DETECTION</t>
  </si>
  <si>
    <t>Child Seat TPR (%)</t>
  </si>
  <si>
    <t>CHILD PRESENCE</t>
  </si>
  <si>
    <t>Child Seat Status</t>
  </si>
  <si>
    <t>Unoccupied TPR (%)</t>
  </si>
  <si>
    <t>Occupied TPR (%)</t>
  </si>
  <si>
    <t>SMOKING DETECTION</t>
  </si>
  <si>
    <t>Smoking Status</t>
  </si>
  <si>
    <t>Not Smoking TPR (%)</t>
  </si>
  <si>
    <t>Smoking  TPR (%)</t>
  </si>
  <si>
    <t>PHONE HANDLING DETECTION</t>
  </si>
  <si>
    <t>Phone Handling Status</t>
  </si>
  <si>
    <t>No Phone Handling TPR (%)</t>
  </si>
  <si>
    <t>Phone Handling TPR (%)</t>
  </si>
  <si>
    <t>FACE BLOCKAGE</t>
  </si>
  <si>
    <t>Left Eye</t>
  </si>
  <si>
    <t>Right Eye</t>
  </si>
  <si>
    <t>Nose/Mouth</t>
  </si>
  <si>
    <t>SPEAKING</t>
  </si>
  <si>
    <t>Speaking detection</t>
  </si>
  <si>
    <t>TPR (%)</t>
  </si>
  <si>
    <t>LAUGHING</t>
  </si>
  <si>
    <t>Laughing detection</t>
  </si>
  <si>
    <t>COUGHING</t>
  </si>
  <si>
    <t>Coughing detection</t>
  </si>
  <si>
    <t>SNEEZING</t>
  </si>
  <si>
    <t>Sneezing detection</t>
  </si>
  <si>
    <t>YAWNING</t>
  </si>
  <si>
    <t>Yawning detection</t>
  </si>
  <si>
    <t>BODY DIRECTION</t>
  </si>
  <si>
    <t>Region 1 TPR (%)</t>
  </si>
  <si>
    <t>Region 2 TPR (%)</t>
  </si>
  <si>
    <t>Region 3 TPR (%)</t>
  </si>
  <si>
    <t>Region 4 TPR (%)</t>
  </si>
  <si>
    <t>Region 5 TPR (%)</t>
  </si>
  <si>
    <t>Region 6 TPR (%)</t>
  </si>
  <si>
    <t>Region 7 TPR (%)</t>
  </si>
  <si>
    <t>HEAD NODDING</t>
  </si>
  <si>
    <t>Nodding detection</t>
  </si>
  <si>
    <t>ABNORMAL HEAD POSTURE</t>
  </si>
  <si>
    <t>Abnormal posture detection</t>
  </si>
  <si>
    <t>HAND POSITION</t>
  </si>
  <si>
    <t>HELD OBJECT CLASSIFICATION</t>
  </si>
  <si>
    <t>Object Estimation</t>
  </si>
  <si>
    <t>Object 1 TPR (%)</t>
  </si>
  <si>
    <t>Object 2 TPR (%)</t>
  </si>
  <si>
    <t>Object 3 TPR (%)</t>
  </si>
  <si>
    <t>Object 4 TPR (%)</t>
  </si>
  <si>
    <t>Object 5 TPR (%)</t>
  </si>
  <si>
    <t>Object 6 TPR (%)</t>
  </si>
  <si>
    <t>Object 7 TPR (%)</t>
  </si>
  <si>
    <t>DRIVER CHANGE</t>
  </si>
  <si>
    <t>Occupant change detection</t>
  </si>
  <si>
    <t>DRIVER RECOGNITION</t>
  </si>
  <si>
    <t>Recognition</t>
  </si>
  <si>
    <t>LENS BLOCKAGE DETECTION</t>
  </si>
  <si>
    <t>LOW IMAGE QUALITY</t>
  </si>
  <si>
    <t>Poor quality detection</t>
  </si>
  <si>
    <t>CAMERA POSE ADJUSTMENT</t>
  </si>
  <si>
    <t>Live</t>
  </si>
  <si>
    <t>-</t>
  </si>
  <si>
    <t>Misalignment detection</t>
  </si>
  <si>
    <t>Manual test (No accuracy target)</t>
  </si>
  <si>
    <t>BRIGHTNESS CONTROL</t>
  </si>
  <si>
    <t>ER1.2</t>
  </si>
  <si>
    <t>ER1.3</t>
  </si>
  <si>
    <t>CRS Available?</t>
  </si>
  <si>
    <t>SRS Available?</t>
  </si>
  <si>
    <t>API Doc Available?</t>
  </si>
  <si>
    <t>Qualification Test Available?</t>
  </si>
  <si>
    <t>R1</t>
  </si>
  <si>
    <t>ER2.1</t>
  </si>
  <si>
    <t>ER2.2</t>
  </si>
  <si>
    <t>R3</t>
  </si>
  <si>
    <t>ER4.1</t>
  </si>
  <si>
    <t>R4</t>
  </si>
  <si>
    <t>R5</t>
  </si>
  <si>
    <t>Additional Customer Features
Indicate with "x"</t>
  </si>
  <si>
    <t>Indicate internal only features "x"</t>
  </si>
  <si>
    <t>Summarized Internal/ External Features</t>
  </si>
  <si>
    <t>Variant #1</t>
  </si>
  <si>
    <t>Variant #2</t>
  </si>
  <si>
    <t>Variant #3</t>
  </si>
  <si>
    <t>Variant #4</t>
  </si>
  <si>
    <t>Variant #5</t>
  </si>
  <si>
    <t>2nd Row Price Adders</t>
  </si>
  <si>
    <t>Tier 1 /Customer</t>
  </si>
  <si>
    <t>OEM</t>
  </si>
  <si>
    <t>Project Name</t>
  </si>
  <si>
    <t>Quote Number</t>
  </si>
  <si>
    <t>Total Errors</t>
  </si>
  <si>
    <t>(Populate for Internal and External Selections)</t>
  </si>
  <si>
    <t>Blank in Field (&gt;0)</t>
  </si>
  <si>
    <t>Mismatch Error in Overall Features vs Variants</t>
  </si>
  <si>
    <t xml:space="preserve">1) Check if a variant is checked, that an x is included in the Overall </t>
  </si>
  <si>
    <t>2) Check if Fronts Seat or Passenger Seat aligns with Overall</t>
  </si>
  <si>
    <t>3) If any are a color then output the worst case color</t>
  </si>
  <si>
    <t>4) Blanks in the information section</t>
  </si>
  <si>
    <t>5) Blanks or error in the table</t>
  </si>
  <si>
    <t>ASIL
(QM/A/B/C/D)</t>
  </si>
  <si>
    <t>VIS-SOD-SIZE</t>
  </si>
  <si>
    <t>Instructions:</t>
  </si>
  <si>
    <t>1) All Inputs need only to be done in the Internal (FROP) tab</t>
  </si>
  <si>
    <t>2) Once inputs are completed, check cell G3 to confirm that all inputs are complete (cell should be "green").  If cell is "red" then use the FROP checker tab to identify the error and make the necessary corrections.*</t>
  </si>
  <si>
    <t xml:space="preserve">3) Once cell G3 is "green" and FROP is ready for approval, then go to FROP (Customer) and Filter cell D21 for all "x".  </t>
  </si>
  <si>
    <t>4) Go to FROP (Customer) and hide all non populated variants in columns "E" through "I"</t>
  </si>
  <si>
    <t>5) Go to FROP (Customer) and hide all non populated configurations in columns "J" through "O"</t>
  </si>
  <si>
    <t>6) Go to FROP (Customer) and hide all non populated External Dependencies in rows "14" through "18"</t>
  </si>
  <si>
    <t xml:space="preserve">7) PDF the Customer (FROP) tab and submit the file for approval in Teams. </t>
  </si>
  <si>
    <t>Note:</t>
  </si>
  <si>
    <t>*The FROP checked will only catch logic errors, not strategic errors.</t>
  </si>
  <si>
    <t>**If additional pulldown information needs to be added, then it can be included in the Pulldown tab.</t>
  </si>
  <si>
    <t>Target Hardware System (Dev./Prod.)</t>
  </si>
  <si>
    <t>SoC</t>
  </si>
  <si>
    <t>Imager/Camera</t>
  </si>
  <si>
    <t>Base</t>
  </si>
  <si>
    <t>SOD04</t>
  </si>
  <si>
    <t>DIAG05</t>
  </si>
  <si>
    <t>UTIL-DIAG-IRBD</t>
  </si>
  <si>
    <t>Feature complete and ready for production. FuSa safety cases defined where appropriate.</t>
  </si>
  <si>
    <t>SML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</si>
</sst>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quot;$&quot;#,##0.00"/>
    <numFmt numFmtId="166" formatCode="_-* #,##0.00_€_-;\-* #,##0.00_€_-;_-* &quot;-&quot;??_€_-;_-@_-"/>
    <numFmt numFmtId="167" formatCode="[$-409]dd/mmm/yyyy;@"/>
    <numFmt numFmtId="168" formatCode="0.0"/>
    <numFmt numFmtId="169" formatCode="0.0%"/>
    <numFmt numFmtId="170" formatCode="d/mm/yy;@"/>
  </numFmts>
  <fonts count="58">
    <font>
      <sz val="11"/>
      <color theme="1"/>
      <name val="Calibri"/>
      <family val="2"/>
      <scheme val="minor"/>
    </font>
    <font>
      <b/>
      <sz val="11"/>
      <color theme="1"/>
      <name val="Calibri"/>
      <family val="2"/>
      <scheme val="minor"/>
    </font>
    <font>
      <b/>
      <sz val="16"/>
      <color theme="1"/>
      <name val="Calibri"/>
      <family val="2"/>
      <scheme val="minor"/>
    </font>
    <font>
      <sz val="11"/>
      <color theme="1"/>
      <name val="Calibri"/>
      <family val="2"/>
      <scheme val="minor"/>
    </font>
    <font>
      <b/>
      <sz val="15"/>
      <name val="Arial"/>
      <family val="2"/>
    </font>
    <font>
      <sz val="12"/>
      <name val="Arial"/>
      <family val="2"/>
    </font>
    <font>
      <sz val="12"/>
      <color theme="1"/>
      <name val="Arial"/>
      <family val="2"/>
    </font>
    <font>
      <sz val="12"/>
      <color rgb="FFFF0000"/>
      <name val="Arial"/>
      <family val="2"/>
    </font>
    <font>
      <b/>
      <sz val="12"/>
      <color rgb="FF00B0F0"/>
      <name val="Arial"/>
      <family val="2"/>
    </font>
    <font>
      <sz val="11"/>
      <name val="Calibri"/>
      <family val="2"/>
      <scheme val="minor"/>
    </font>
    <font>
      <sz val="10"/>
      <name val="Arial"/>
      <family val="2"/>
    </font>
    <font>
      <sz val="10"/>
      <color theme="1"/>
      <name val="Arial"/>
      <family val="2"/>
    </font>
    <font>
      <vertAlign val="superscript"/>
      <sz val="10"/>
      <color theme="1"/>
      <name val="Arial"/>
      <family val="2"/>
    </font>
    <font>
      <b/>
      <sz val="11"/>
      <name val="Calibri"/>
      <family val="2"/>
      <scheme val="minor"/>
    </font>
    <font>
      <b/>
      <sz val="20"/>
      <name val="Calibri"/>
      <family val="2"/>
      <scheme val="minor"/>
    </font>
    <font>
      <b/>
      <sz val="10"/>
      <name val="Arial"/>
      <family val="2"/>
    </font>
    <font>
      <b/>
      <sz val="9"/>
      <color indexed="81"/>
      <name val="Tahoma"/>
      <family val="2"/>
    </font>
    <font>
      <b/>
      <sz val="11"/>
      <color theme="0"/>
      <name val="Calibri"/>
      <family val="2"/>
      <scheme val="minor"/>
    </font>
    <font>
      <sz val="9"/>
      <color indexed="81"/>
      <name val="Tahoma"/>
      <family val="2"/>
    </font>
    <font>
      <b/>
      <sz val="9"/>
      <color theme="1"/>
      <name val="Calibri"/>
      <family val="2"/>
      <scheme val="minor"/>
    </font>
    <font>
      <b/>
      <sz val="11"/>
      <color rgb="FF000000"/>
      <name val="Calibri"/>
      <family val="2"/>
      <scheme val="minor"/>
    </font>
    <font>
      <sz val="11"/>
      <color rgb="FF000000"/>
      <name val="Calibri"/>
      <family val="2"/>
      <scheme val="minor"/>
    </font>
    <font>
      <sz val="8"/>
      <name val="Calibri"/>
      <family val="2"/>
      <scheme val="minor"/>
    </font>
    <font>
      <b/>
      <sz val="20"/>
      <color theme="1"/>
      <name val="Calibri"/>
      <family val="2"/>
      <scheme val="minor"/>
    </font>
    <font>
      <b/>
      <u/>
      <sz val="11"/>
      <color theme="1"/>
      <name val="Calibri"/>
      <family val="2"/>
      <scheme val="minor"/>
    </font>
    <font>
      <b/>
      <sz val="14"/>
      <color theme="1"/>
      <name val="Calibri"/>
      <family val="2"/>
      <scheme val="minor"/>
    </font>
    <font>
      <b/>
      <sz val="11"/>
      <name val="Arial"/>
      <family val="2"/>
    </font>
    <font>
      <b/>
      <sz val="18"/>
      <name val="Calibri"/>
      <family val="2"/>
      <scheme val="minor"/>
    </font>
    <font>
      <sz val="10"/>
      <color indexed="9"/>
      <name val="Arial"/>
      <family val="2"/>
    </font>
    <font>
      <sz val="10"/>
      <name val="Calibri"/>
      <family val="2"/>
      <scheme val="minor"/>
    </font>
    <font>
      <u/>
      <sz val="11"/>
      <name val="Calibri"/>
      <family val="2"/>
      <scheme val="minor"/>
    </font>
    <font>
      <u/>
      <sz val="11"/>
      <color theme="10"/>
      <name val="Calibri"/>
      <family val="2"/>
      <scheme val="minor"/>
    </font>
    <font>
      <sz val="11"/>
      <color rgb="FF000000"/>
      <name val="Calibri"/>
      <family val="2"/>
      <charset val="1"/>
    </font>
    <font>
      <sz val="10"/>
      <color rgb="FF000000"/>
      <name val="Arial"/>
      <family val="2"/>
      <charset val="1"/>
    </font>
    <font>
      <sz val="20"/>
      <color theme="1"/>
      <name val="Calibri"/>
      <family val="2"/>
      <scheme val="minor"/>
    </font>
    <font>
      <b/>
      <sz val="11"/>
      <color rgb="FF333333"/>
      <name val="Calibri"/>
      <family val="2"/>
      <scheme val="minor"/>
    </font>
    <font>
      <sz val="11"/>
      <color rgb="FF333333"/>
      <name val="Calibri"/>
      <family val="2"/>
      <scheme val="minor"/>
    </font>
    <font>
      <b/>
      <u/>
      <sz val="11"/>
      <color rgb="FF333333"/>
      <name val="Calibri"/>
      <family val="2"/>
      <scheme val="minor"/>
    </font>
    <font>
      <b/>
      <sz val="11"/>
      <color rgb="FFFF0000"/>
      <name val="Calibri"/>
      <family val="2"/>
      <charset val="1"/>
    </font>
    <font>
      <b/>
      <sz val="11"/>
      <color rgb="FF000000"/>
      <name val="Calibri"/>
      <family val="2"/>
      <charset val="1"/>
    </font>
    <font>
      <sz val="11"/>
      <name val="Calibri"/>
      <family val="2"/>
      <charset val="1"/>
    </font>
    <font>
      <sz val="10"/>
      <color rgb="FF000000"/>
      <name val="Arial"/>
      <family val="2"/>
    </font>
    <font>
      <u/>
      <sz val="11"/>
      <color theme="10"/>
      <name val="Calibri"/>
      <family val="2"/>
    </font>
    <font>
      <sz val="10"/>
      <color theme="1"/>
      <name val="Helvetica Neue"/>
    </font>
    <font>
      <sz val="10"/>
      <color rgb="FFFFFFFF"/>
      <name val="Helvetica Neue"/>
    </font>
    <font>
      <sz val="10"/>
      <color rgb="FF980000"/>
      <name val="Helvetica Neue"/>
    </font>
    <font>
      <sz val="10"/>
      <color rgb="FFA61C00"/>
      <name val="Helvetica Neue"/>
    </font>
    <font>
      <sz val="8"/>
      <color theme="1"/>
      <name val="Calibri"/>
      <family val="2"/>
      <scheme val="minor"/>
    </font>
    <font>
      <sz val="8"/>
      <color theme="1"/>
      <name val="Arial"/>
      <family val="2"/>
    </font>
    <font>
      <sz val="8"/>
      <color rgb="FF11734B"/>
      <name val="Arial"/>
      <family val="2"/>
    </font>
    <font>
      <sz val="8"/>
      <color rgb="FFB10202"/>
      <name val="Arial"/>
      <family val="2"/>
    </font>
    <font>
      <sz val="8"/>
      <color theme="1"/>
      <name val="Helvetica Neue"/>
    </font>
    <font>
      <sz val="8"/>
      <color rgb="FF473821"/>
      <name val="Arial"/>
      <family val="2"/>
    </font>
    <font>
      <sz val="8"/>
      <color rgb="FF5A3286"/>
      <name val="Arial"/>
      <family val="2"/>
    </font>
    <font>
      <b/>
      <sz val="11"/>
      <color theme="6" tint="-0.249977111117893"/>
      <name val="Calibri"/>
      <family val="2"/>
      <scheme val="minor"/>
    </font>
    <font>
      <sz val="11"/>
      <color theme="6" tint="-0.249977111117893"/>
      <name val="Calibri"/>
      <family val="2"/>
      <scheme val="minor"/>
    </font>
    <font>
      <b/>
      <sz val="8"/>
      <color theme="0"/>
      <name val="Calibri"/>
      <family val="2"/>
      <scheme val="minor"/>
    </font>
    <font>
      <sz val="8"/>
      <color rgb="FF000000"/>
      <name val="Segoe UI"/>
      <family val="2"/>
    </font>
  </fonts>
  <fills count="36">
    <fill>
      <patternFill patternType="none"/>
    </fill>
    <fill>
      <patternFill patternType="gray125"/>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64"/>
      </patternFill>
    </fill>
    <fill>
      <patternFill patternType="solid">
        <fgColor theme="1"/>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4"/>
        <bgColor theme="4"/>
      </patternFill>
    </fill>
    <fill>
      <patternFill patternType="solid">
        <fgColor rgb="FFBFBFBF"/>
        <bgColor rgb="FF000000"/>
      </patternFill>
    </fill>
    <fill>
      <patternFill patternType="solid">
        <fgColor rgb="FF92D050"/>
        <bgColor indexed="64"/>
      </patternFill>
    </fill>
    <fill>
      <patternFill patternType="solid">
        <fgColor theme="0" tint="-0.14993743705557422"/>
        <bgColor indexed="64"/>
      </patternFill>
    </fill>
    <fill>
      <patternFill patternType="solid">
        <fgColor theme="0" tint="-0.2499160740989410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bgColor indexed="64"/>
      </patternFill>
    </fill>
    <fill>
      <patternFill patternType="solid">
        <fgColor theme="0"/>
        <bgColor rgb="FF000000"/>
      </patternFill>
    </fill>
    <fill>
      <patternFill patternType="solid">
        <fgColor rgb="FFFFFF00"/>
        <bgColor indexed="64"/>
      </patternFill>
    </fill>
    <fill>
      <patternFill patternType="solid">
        <fgColor theme="1" tint="4.9989318521683403E-2"/>
        <bgColor indexed="64"/>
      </patternFill>
    </fill>
    <fill>
      <patternFill patternType="solid">
        <fgColor theme="2" tint="-0.89999084444715716"/>
        <bgColor indexed="64"/>
      </patternFill>
    </fill>
    <fill>
      <patternFill patternType="solid">
        <fgColor theme="4" tint="0.59999389629810485"/>
        <bgColor indexed="64"/>
      </patternFill>
    </fill>
    <fill>
      <patternFill patternType="solid">
        <fgColor theme="0" tint="-0.14996795556505021"/>
        <bgColor indexed="64"/>
      </patternFill>
    </fill>
    <fill>
      <patternFill patternType="solid">
        <fgColor rgb="FFFFFFFF"/>
        <bgColor indexed="64"/>
      </patternFill>
    </fill>
    <fill>
      <patternFill patternType="solid">
        <fgColor rgb="FFDEEBF7"/>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rgb="FF23A5B9"/>
        <bgColor indexed="64"/>
      </patternFill>
    </fill>
    <fill>
      <patternFill patternType="solid">
        <fgColor rgb="FFF3F3F3"/>
        <bgColor indexed="64"/>
      </patternFill>
    </fill>
    <fill>
      <patternFill patternType="solid">
        <fgColor rgb="FFD9D2E9"/>
        <bgColor indexed="64"/>
      </patternFill>
    </fill>
    <fill>
      <patternFill patternType="solid">
        <fgColor rgb="FFFCE5CD"/>
        <bgColor indexed="64"/>
      </patternFill>
    </fill>
    <fill>
      <patternFill patternType="solid">
        <fgColor rgb="FFEAD1DC"/>
        <bgColor indexed="64"/>
      </patternFill>
    </fill>
    <fill>
      <patternFill patternType="solid">
        <fgColor theme="7" tint="0.59999389629810485"/>
        <bgColor indexed="64"/>
      </patternFill>
    </fill>
  </fills>
  <borders count="160">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auto="1"/>
      </left>
      <right/>
      <top style="medium">
        <color auto="1"/>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auto="1"/>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auto="1"/>
      </right>
      <top style="dashed">
        <color indexed="64"/>
      </top>
      <bottom style="dashed">
        <color indexed="64"/>
      </bottom>
      <diagonal/>
    </border>
    <border>
      <left style="medium">
        <color indexed="64"/>
      </left>
      <right style="dashed">
        <color indexed="64"/>
      </right>
      <top style="dashed">
        <color indexed="64"/>
      </top>
      <bottom style="medium">
        <color auto="1"/>
      </bottom>
      <diagonal/>
    </border>
    <border>
      <left style="dashed">
        <color indexed="64"/>
      </left>
      <right style="dashed">
        <color indexed="64"/>
      </right>
      <top style="dashed">
        <color indexed="64"/>
      </top>
      <bottom style="medium">
        <color auto="1"/>
      </bottom>
      <diagonal/>
    </border>
    <border>
      <left style="dashed">
        <color indexed="64"/>
      </left>
      <right style="medium">
        <color auto="1"/>
      </right>
      <top style="dashed">
        <color indexed="64"/>
      </top>
      <bottom style="medium">
        <color auto="1"/>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dashed">
        <color indexed="64"/>
      </left>
      <right style="dashed">
        <color indexed="64"/>
      </right>
      <top/>
      <bottom style="medium">
        <color indexed="64"/>
      </bottom>
      <diagonal/>
    </border>
    <border>
      <left style="dashed">
        <color indexed="64"/>
      </left>
      <right style="medium">
        <color indexed="64"/>
      </right>
      <top style="medium">
        <color indexed="64"/>
      </top>
      <bottom/>
      <diagonal/>
    </border>
    <border>
      <left style="dashed">
        <color indexed="64"/>
      </left>
      <right style="medium">
        <color indexed="64"/>
      </right>
      <top/>
      <bottom/>
      <diagonal/>
    </border>
    <border>
      <left style="dashed">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dashed">
        <color indexed="64"/>
      </right>
      <top style="dashed">
        <color indexed="64"/>
      </top>
      <bottom/>
      <diagonal/>
    </border>
    <border>
      <left style="dashed">
        <color indexed="64"/>
      </left>
      <right style="dashed">
        <color indexed="64"/>
      </right>
      <top style="dashed">
        <color indexed="64"/>
      </top>
      <bottom/>
      <diagonal/>
    </border>
    <border>
      <left style="dashed">
        <color indexed="64"/>
      </left>
      <right style="medium">
        <color auto="1"/>
      </right>
      <top style="dashed">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auto="1"/>
      </right>
      <top/>
      <bottom/>
      <diagonal/>
    </border>
    <border>
      <left style="thin">
        <color indexed="64"/>
      </left>
      <right style="thin">
        <color auto="1"/>
      </right>
      <top/>
      <bottom style="thin">
        <color auto="1"/>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medium">
        <color indexed="64"/>
      </left>
      <right style="medium">
        <color indexed="64"/>
      </right>
      <top/>
      <bottom style="thin">
        <color indexed="64"/>
      </bottom>
      <diagonal/>
    </border>
    <border>
      <left/>
      <right style="thin">
        <color auto="1"/>
      </right>
      <top style="thin">
        <color auto="1"/>
      </top>
      <bottom style="thin">
        <color auto="1"/>
      </bottom>
      <diagonal/>
    </border>
    <border>
      <left/>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medium">
        <color auto="1"/>
      </left>
      <right/>
      <top style="medium">
        <color auto="1"/>
      </top>
      <bottom style="hair">
        <color auto="1"/>
      </bottom>
      <diagonal/>
    </border>
    <border>
      <left style="dashed">
        <color indexed="64"/>
      </left>
      <right style="dashed">
        <color indexed="64"/>
      </right>
      <top style="medium">
        <color auto="1"/>
      </top>
      <bottom style="hair">
        <color auto="1"/>
      </bottom>
      <diagonal/>
    </border>
    <border>
      <left style="dashed">
        <color indexed="64"/>
      </left>
      <right style="medium">
        <color indexed="64"/>
      </right>
      <top style="medium">
        <color auto="1"/>
      </top>
      <bottom style="hair">
        <color auto="1"/>
      </bottom>
      <diagonal/>
    </border>
    <border>
      <left style="medium">
        <color auto="1"/>
      </left>
      <right/>
      <top style="hair">
        <color auto="1"/>
      </top>
      <bottom style="hair">
        <color auto="1"/>
      </bottom>
      <diagonal/>
    </border>
    <border>
      <left style="dashed">
        <color indexed="64"/>
      </left>
      <right style="dashed">
        <color indexed="64"/>
      </right>
      <top style="hair">
        <color auto="1"/>
      </top>
      <bottom style="hair">
        <color auto="1"/>
      </bottom>
      <diagonal/>
    </border>
    <border>
      <left style="dashed">
        <color indexed="64"/>
      </left>
      <right style="medium">
        <color indexed="64"/>
      </right>
      <top style="hair">
        <color auto="1"/>
      </top>
      <bottom style="hair">
        <color auto="1"/>
      </bottom>
      <diagonal/>
    </border>
    <border>
      <left style="medium">
        <color auto="1"/>
      </left>
      <right/>
      <top style="hair">
        <color auto="1"/>
      </top>
      <bottom style="medium">
        <color indexed="64"/>
      </bottom>
      <diagonal/>
    </border>
    <border>
      <left style="dashed">
        <color indexed="64"/>
      </left>
      <right style="dashed">
        <color indexed="64"/>
      </right>
      <top style="hair">
        <color auto="1"/>
      </top>
      <bottom style="medium">
        <color indexed="64"/>
      </bottom>
      <diagonal/>
    </border>
    <border>
      <left style="dashed">
        <color indexed="64"/>
      </left>
      <right style="medium">
        <color indexed="64"/>
      </right>
      <top style="hair">
        <color auto="1"/>
      </top>
      <bottom style="medium">
        <color indexed="64"/>
      </bottom>
      <diagonal/>
    </border>
    <border>
      <left/>
      <right/>
      <top style="medium">
        <color indexed="64"/>
      </top>
      <bottom style="hair">
        <color indexed="64"/>
      </bottom>
      <diagonal/>
    </border>
    <border>
      <left/>
      <right/>
      <top style="hair">
        <color indexed="64"/>
      </top>
      <bottom style="hair">
        <color indexed="64"/>
      </bottom>
      <diagonal/>
    </border>
    <border>
      <left style="medium">
        <color indexed="64"/>
      </left>
      <right style="dashed">
        <color indexed="64"/>
      </right>
      <top style="hair">
        <color indexed="64"/>
      </top>
      <bottom style="medium">
        <color indexed="64"/>
      </bottom>
      <diagonal/>
    </border>
    <border>
      <left style="medium">
        <color auto="1"/>
      </left>
      <right style="dashed">
        <color indexed="64"/>
      </right>
      <top style="medium">
        <color auto="1"/>
      </top>
      <bottom/>
      <diagonal/>
    </border>
    <border>
      <left style="medium">
        <color auto="1"/>
      </left>
      <right style="dashed">
        <color indexed="64"/>
      </right>
      <top/>
      <bottom/>
      <diagonal/>
    </border>
    <border>
      <left style="medium">
        <color auto="1"/>
      </left>
      <right style="dashed">
        <color indexed="64"/>
      </right>
      <top/>
      <bottom style="medium">
        <color indexed="64"/>
      </bottom>
      <diagonal/>
    </border>
    <border>
      <left/>
      <right/>
      <top/>
      <bottom style="thin">
        <color rgb="FF000000"/>
      </bottom>
      <diagonal/>
    </border>
    <border>
      <left style="thin">
        <color auto="1"/>
      </left>
      <right style="thin">
        <color auto="1"/>
      </right>
      <top style="thin">
        <color auto="1"/>
      </top>
      <bottom/>
      <diagonal/>
    </border>
    <border>
      <left style="medium">
        <color auto="1"/>
      </left>
      <right/>
      <top style="hair">
        <color auto="1"/>
      </top>
      <bottom/>
      <diagonal/>
    </border>
    <border>
      <left style="dashed">
        <color indexed="64"/>
      </left>
      <right style="dashed">
        <color indexed="64"/>
      </right>
      <top style="hair">
        <color auto="1"/>
      </top>
      <bottom/>
      <diagonal/>
    </border>
    <border>
      <left style="dashed">
        <color indexed="64"/>
      </left>
      <right style="medium">
        <color indexed="64"/>
      </right>
      <top style="hair">
        <color auto="1"/>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dashed">
        <color indexed="64"/>
      </left>
      <right/>
      <top style="medium">
        <color auto="1"/>
      </top>
      <bottom style="hair">
        <color auto="1"/>
      </bottom>
      <diagonal/>
    </border>
    <border>
      <left style="dashed">
        <color indexed="64"/>
      </left>
      <right/>
      <top style="hair">
        <color auto="1"/>
      </top>
      <bottom style="hair">
        <color auto="1"/>
      </bottom>
      <diagonal/>
    </border>
    <border>
      <left style="medium">
        <color indexed="64"/>
      </left>
      <right style="dashed">
        <color indexed="64"/>
      </right>
      <top style="medium">
        <color auto="1"/>
      </top>
      <bottom style="hair">
        <color auto="1"/>
      </bottom>
      <diagonal/>
    </border>
    <border>
      <left style="medium">
        <color indexed="64"/>
      </left>
      <right style="dashed">
        <color indexed="64"/>
      </right>
      <top style="hair">
        <color auto="1"/>
      </top>
      <bottom style="hair">
        <color auto="1"/>
      </bottom>
      <diagonal/>
    </border>
    <border>
      <left style="dashed">
        <color indexed="64"/>
      </left>
      <right style="dashed">
        <color indexed="64"/>
      </right>
      <top/>
      <bottom style="hair">
        <color auto="1"/>
      </bottom>
      <diagonal/>
    </border>
    <border>
      <left style="dashed">
        <color indexed="64"/>
      </left>
      <right/>
      <top style="hair">
        <color auto="1"/>
      </top>
      <bottom/>
      <diagonal/>
    </border>
    <border>
      <left style="medium">
        <color indexed="64"/>
      </left>
      <right style="dashed">
        <color indexed="64"/>
      </right>
      <top style="hair">
        <color auto="1"/>
      </top>
      <bottom/>
      <diagonal/>
    </border>
    <border>
      <left style="medium">
        <color auto="1"/>
      </left>
      <right/>
      <top/>
      <bottom style="hair">
        <color auto="1"/>
      </bottom>
      <diagonal/>
    </border>
    <border>
      <left style="dashed">
        <color indexed="64"/>
      </left>
      <right style="medium">
        <color indexed="64"/>
      </right>
      <top/>
      <bottom style="hair">
        <color auto="1"/>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dashed">
        <color indexed="64"/>
      </right>
      <top/>
      <bottom style="hair">
        <color auto="1"/>
      </bottom>
      <diagonal/>
    </border>
    <border>
      <left style="dashed">
        <color indexed="64"/>
      </left>
      <right/>
      <top style="medium">
        <color indexed="64"/>
      </top>
      <bottom style="dashed">
        <color indexed="64"/>
      </bottom>
      <diagonal/>
    </border>
    <border>
      <left style="dashed">
        <color indexed="64"/>
      </left>
      <right/>
      <top style="dashed">
        <color indexed="64"/>
      </top>
      <bottom style="dashed">
        <color indexed="64"/>
      </bottom>
      <diagonal/>
    </border>
    <border>
      <left/>
      <right/>
      <top style="hair">
        <color auto="1"/>
      </top>
      <bottom style="medium">
        <color indexed="64"/>
      </bottom>
      <diagonal/>
    </border>
    <border>
      <left/>
      <right/>
      <top style="thin">
        <color auto="1"/>
      </top>
      <bottom/>
      <diagonal/>
    </border>
    <border>
      <left style="hair">
        <color auto="1"/>
      </left>
      <right style="hair">
        <color auto="1"/>
      </right>
      <top style="hair">
        <color auto="1"/>
      </top>
      <bottom style="medium">
        <color indexed="64"/>
      </bottom>
      <diagonal/>
    </border>
    <border>
      <left style="hair">
        <color auto="1"/>
      </left>
      <right style="hair">
        <color auto="1"/>
      </right>
      <top/>
      <bottom style="hair">
        <color auto="1"/>
      </bottom>
      <diagonal/>
    </border>
    <border>
      <left style="hair">
        <color auto="1"/>
      </left>
      <right/>
      <top style="medium">
        <color auto="1"/>
      </top>
      <bottom/>
      <diagonal/>
    </border>
    <border>
      <left/>
      <right style="hair">
        <color auto="1"/>
      </right>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top/>
      <bottom style="hair">
        <color auto="1"/>
      </bottom>
      <diagonal/>
    </border>
    <border>
      <left style="hair">
        <color auto="1"/>
      </left>
      <right/>
      <top style="hair">
        <color auto="1"/>
      </top>
      <bottom style="hair">
        <color auto="1"/>
      </bottom>
      <diagonal/>
    </border>
    <border>
      <left style="hair">
        <color auto="1"/>
      </left>
      <right/>
      <top style="hair">
        <color auto="1"/>
      </top>
      <bottom style="medium">
        <color indexed="64"/>
      </bottom>
      <diagonal/>
    </border>
    <border>
      <left/>
      <right style="hair">
        <color auto="1"/>
      </right>
      <top style="hair">
        <color auto="1"/>
      </top>
      <bottom style="medium">
        <color indexed="64"/>
      </bottom>
      <diagonal/>
    </border>
    <border>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style="thin">
        <color auto="1"/>
      </right>
      <top style="thin">
        <color auto="1"/>
      </top>
      <bottom/>
      <diagonal/>
    </border>
    <border>
      <left style="thin">
        <color rgb="FF000000"/>
      </left>
      <right style="thin">
        <color auto="1"/>
      </right>
      <top/>
      <bottom/>
      <diagonal/>
    </border>
    <border>
      <left style="thin">
        <color rgb="FF000000"/>
      </left>
      <right style="thin">
        <color auto="1"/>
      </right>
      <top/>
      <bottom style="thin">
        <color rgb="FF000000"/>
      </bottom>
      <diagonal/>
    </border>
    <border>
      <left style="thin">
        <color rgb="FF000000"/>
      </left>
      <right style="thin">
        <color auto="1"/>
      </right>
      <top style="thin">
        <color rgb="FF000000"/>
      </top>
      <bottom/>
      <diagonal/>
    </border>
    <border>
      <left style="thin">
        <color rgb="FF000000"/>
      </left>
      <right/>
      <top/>
      <bottom style="thin">
        <color rgb="FF000000"/>
      </bottom>
      <diagonal/>
    </border>
    <border>
      <left style="thin">
        <color auto="1"/>
      </left>
      <right/>
      <top style="thin">
        <color auto="1"/>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top/>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rgb="FFCCCCCC"/>
      </left>
      <right style="medium">
        <color rgb="FFCCCCCC"/>
      </right>
      <top style="medium">
        <color rgb="FFCCCCCC"/>
      </top>
      <bottom style="medium">
        <color rgb="FFCCCCCC"/>
      </bottom>
      <diagonal/>
    </border>
    <border>
      <left style="medium">
        <color indexed="64"/>
      </left>
      <right style="medium">
        <color indexed="64"/>
      </right>
      <top style="hair">
        <color indexed="64"/>
      </top>
      <bottom style="hair">
        <color indexed="64"/>
      </bottom>
      <diagonal/>
    </border>
    <border>
      <left style="medium">
        <color rgb="FFCCCCCC"/>
      </left>
      <right style="medium">
        <color rgb="FFCCCCCC"/>
      </right>
      <top style="medium">
        <color rgb="FFCCCCCC"/>
      </top>
      <bottom/>
      <diagonal/>
    </border>
    <border>
      <left style="medium">
        <color rgb="FFCCCCCC"/>
      </left>
      <right style="medium">
        <color rgb="FFCCCCCC"/>
      </right>
      <top/>
      <bottom style="medium">
        <color rgb="FFCCCCCC"/>
      </bottom>
      <diagonal/>
    </border>
    <border>
      <left style="thin">
        <color indexed="64"/>
      </left>
      <right style="hair">
        <color auto="1"/>
      </right>
      <top style="hair">
        <color auto="1"/>
      </top>
      <bottom style="hair">
        <color auto="1"/>
      </bottom>
      <diagonal/>
    </border>
    <border>
      <left style="medium">
        <color indexed="64"/>
      </left>
      <right/>
      <top style="hair">
        <color indexed="64"/>
      </top>
      <bottom style="thin">
        <color indexed="64"/>
      </bottom>
      <diagonal/>
    </border>
    <border>
      <left style="thin">
        <color indexed="64"/>
      </left>
      <right/>
      <top style="hair">
        <color indexed="64"/>
      </top>
      <bottom style="hair">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top/>
      <bottom style="hair">
        <color indexed="64"/>
      </bottom>
      <diagonal/>
    </border>
    <border>
      <left style="medium">
        <color indexed="64"/>
      </left>
      <right style="hair">
        <color indexed="64"/>
      </right>
      <top/>
      <bottom style="hair">
        <color indexed="64"/>
      </bottom>
      <diagonal/>
    </border>
    <border>
      <left/>
      <right style="hair">
        <color indexed="64"/>
      </right>
      <top style="medium">
        <color indexed="64"/>
      </top>
      <bottom/>
      <diagonal/>
    </border>
    <border>
      <left style="medium">
        <color indexed="64"/>
      </left>
      <right style="medium">
        <color indexed="64"/>
      </right>
      <top style="hair">
        <color indexed="64"/>
      </top>
      <bottom style="medium">
        <color indexed="64"/>
      </bottom>
      <diagonal/>
    </border>
    <border>
      <left style="thin">
        <color indexed="64"/>
      </left>
      <right style="hair">
        <color auto="1"/>
      </right>
      <top style="hair">
        <color indexed="64"/>
      </top>
      <bottom style="medium">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top style="hair">
        <color indexed="64"/>
      </top>
      <bottom style="medium">
        <color indexed="64"/>
      </bottom>
      <diagonal/>
    </border>
    <border>
      <left style="medium">
        <color indexed="64"/>
      </left>
      <right style="medium">
        <color indexed="64"/>
      </right>
      <top/>
      <bottom style="hair">
        <color indexed="64"/>
      </bottom>
      <diagonal/>
    </border>
    <border>
      <left style="hair">
        <color indexed="64"/>
      </left>
      <right style="medium">
        <color indexed="64"/>
      </right>
      <top/>
      <bottom style="hair">
        <color indexed="64"/>
      </bottom>
      <diagonal/>
    </border>
    <border>
      <left style="thin">
        <color indexed="64"/>
      </left>
      <right style="hair">
        <color auto="1"/>
      </right>
      <top/>
      <bottom style="hair">
        <color auto="1"/>
      </bottom>
      <diagonal/>
    </border>
    <border>
      <left style="thin">
        <color indexed="64"/>
      </left>
      <right style="hair">
        <color auto="1"/>
      </right>
      <top style="medium">
        <color indexed="64"/>
      </top>
      <bottom/>
      <diagonal/>
    </border>
    <border>
      <left style="thin">
        <color indexed="64"/>
      </left>
      <right/>
      <top style="medium">
        <color indexed="64"/>
      </top>
      <bottom/>
      <diagonal/>
    </border>
    <border>
      <left style="thin">
        <color indexed="64"/>
      </left>
      <right/>
      <top style="hair">
        <color indexed="64"/>
      </top>
      <bottom style="thin">
        <color indexed="64"/>
      </bottom>
      <diagonal/>
    </border>
    <border>
      <left style="hair">
        <color indexed="64"/>
      </left>
      <right style="thin">
        <color indexed="64"/>
      </right>
      <top/>
      <bottom style="hair">
        <color auto="1"/>
      </bottom>
      <diagonal/>
    </border>
    <border>
      <left style="hair">
        <color indexed="64"/>
      </left>
      <right style="thin">
        <color indexed="64"/>
      </right>
      <top style="hair">
        <color auto="1"/>
      </top>
      <bottom style="hair">
        <color auto="1"/>
      </bottom>
      <diagonal/>
    </border>
    <border>
      <left style="hair">
        <color indexed="64"/>
      </left>
      <right style="thin">
        <color indexed="64"/>
      </right>
      <top style="hair">
        <color auto="1"/>
      </top>
      <bottom style="medium">
        <color indexed="64"/>
      </bottom>
      <diagonal/>
    </border>
    <border>
      <left/>
      <right/>
      <top style="thin">
        <color theme="6"/>
      </top>
      <bottom style="thin">
        <color theme="6"/>
      </bottom>
      <diagonal/>
    </border>
    <border>
      <left/>
      <right/>
      <top/>
      <bottom style="thin">
        <color theme="6"/>
      </bottom>
      <diagonal/>
    </border>
    <border>
      <left/>
      <right/>
      <top/>
      <bottom style="hair">
        <color auto="1"/>
      </bottom>
      <diagonal/>
    </border>
  </borders>
  <cellStyleXfs count="12">
    <xf numFmtId="0" fontId="0" fillId="0" borderId="0"/>
    <xf numFmtId="164" fontId="3" fillId="0" borderId="0" applyFon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0" fontId="10" fillId="0" borderId="0"/>
    <xf numFmtId="0" fontId="31" fillId="0" borderId="0" applyNumberFormat="0" applyFill="0" applyBorder="0" applyAlignment="0" applyProtection="0"/>
    <xf numFmtId="0" fontId="32" fillId="0" borderId="0"/>
    <xf numFmtId="9" fontId="32" fillId="0" borderId="0" applyBorder="0" applyProtection="0"/>
    <xf numFmtId="0" fontId="33" fillId="0" borderId="0"/>
    <xf numFmtId="0" fontId="32" fillId="0" borderId="0"/>
    <xf numFmtId="0" fontId="41" fillId="0" borderId="0"/>
    <xf numFmtId="0" fontId="42" fillId="0" borderId="0" applyNumberFormat="0" applyFill="0" applyBorder="0" applyAlignment="0" applyProtection="0">
      <alignment vertical="top"/>
      <protection locked="0"/>
    </xf>
  </cellStyleXfs>
  <cellXfs count="680">
    <xf numFmtId="0" fontId="0" fillId="0" borderId="0" xfId="0"/>
    <xf numFmtId="0" fontId="0" fillId="0" borderId="0" xfId="0" applyProtection="1">
      <protection locked="0"/>
    </xf>
    <xf numFmtId="0" fontId="10" fillId="4" borderId="30" xfId="0" applyFont="1" applyFill="1" applyBorder="1" applyAlignment="1">
      <alignment horizontal="center" vertical="center"/>
    </xf>
    <xf numFmtId="0" fontId="10" fillId="4"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0" borderId="1" xfId="0" applyFont="1" applyBorder="1" applyAlignment="1">
      <alignment horizontal="center" vertical="center"/>
    </xf>
    <xf numFmtId="0" fontId="10" fillId="0" borderId="1" xfId="0" applyFont="1" applyBorder="1" applyAlignment="1">
      <alignment horizontal="center" vertical="center"/>
    </xf>
    <xf numFmtId="0" fontId="11" fillId="0" borderId="34" xfId="0" applyFont="1" applyBorder="1" applyAlignment="1">
      <alignment horizontal="center" vertical="center"/>
    </xf>
    <xf numFmtId="0" fontId="13" fillId="3" borderId="2" xfId="0" applyFont="1" applyFill="1" applyBorder="1" applyAlignment="1">
      <alignment horizontal="right" vertical="center"/>
    </xf>
    <xf numFmtId="165" fontId="1" fillId="3" borderId="2" xfId="0" applyNumberFormat="1" applyFont="1" applyFill="1" applyBorder="1" applyAlignment="1">
      <alignment horizontal="center" vertical="center" wrapText="1"/>
    </xf>
    <xf numFmtId="0" fontId="0" fillId="5" borderId="30"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0" fillId="5" borderId="34" xfId="0" applyFill="1" applyBorder="1"/>
    <xf numFmtId="0" fontId="0" fillId="0" borderId="0" xfId="0" applyAlignment="1">
      <alignment horizontal="center"/>
    </xf>
    <xf numFmtId="0" fontId="0" fillId="0" borderId="0" xfId="0" applyAlignment="1">
      <alignment vertical="center"/>
    </xf>
    <xf numFmtId="0" fontId="11" fillId="0" borderId="1" xfId="0" applyFont="1" applyBorder="1" applyAlignment="1">
      <alignment horizontal="center" vertical="center" wrapText="1"/>
    </xf>
    <xf numFmtId="165" fontId="1" fillId="3" borderId="3" xfId="0" applyNumberFormat="1" applyFont="1" applyFill="1" applyBorder="1" applyAlignment="1">
      <alignment horizontal="center" vertical="center" wrapText="1"/>
    </xf>
    <xf numFmtId="0" fontId="0" fillId="0" borderId="0" xfId="0" applyAlignment="1">
      <alignment horizontal="center" vertical="center"/>
    </xf>
    <xf numFmtId="0" fontId="15" fillId="7" borderId="3" xfId="0" applyFont="1" applyFill="1" applyBorder="1" applyAlignment="1">
      <alignment vertical="center" wrapText="1"/>
    </xf>
    <xf numFmtId="0" fontId="15" fillId="7" borderId="2" xfId="0" applyFont="1" applyFill="1" applyBorder="1" applyAlignment="1">
      <alignment horizontal="center" vertical="center" wrapText="1"/>
    </xf>
    <xf numFmtId="0" fontId="10" fillId="4" borderId="51" xfId="0" applyFont="1" applyFill="1" applyBorder="1" applyAlignment="1">
      <alignment horizontal="center" vertical="center"/>
    </xf>
    <xf numFmtId="0" fontId="11" fillId="4" borderId="52" xfId="0" applyFont="1" applyFill="1" applyBorder="1" applyAlignment="1">
      <alignment horizontal="center" vertical="center"/>
    </xf>
    <xf numFmtId="0" fontId="0" fillId="10" borderId="0" xfId="0" applyFill="1"/>
    <xf numFmtId="0" fontId="0" fillId="0" borderId="2" xfId="0" applyBorder="1" applyAlignment="1">
      <alignment horizontal="center"/>
    </xf>
    <xf numFmtId="0" fontId="0" fillId="5" borderId="0" xfId="0" applyFill="1" applyAlignment="1">
      <alignment horizontal="center"/>
    </xf>
    <xf numFmtId="0" fontId="10" fillId="4" borderId="52" xfId="0" applyFont="1" applyFill="1" applyBorder="1" applyAlignment="1">
      <alignment horizontal="center" vertical="center"/>
    </xf>
    <xf numFmtId="0" fontId="11" fillId="0" borderId="52" xfId="0" applyFont="1" applyBorder="1" applyAlignment="1">
      <alignment horizontal="center" vertical="center"/>
    </xf>
    <xf numFmtId="0" fontId="11" fillId="0" borderId="52" xfId="0" applyFont="1" applyBorder="1" applyAlignment="1">
      <alignment horizontal="center" vertical="center" wrapText="1"/>
    </xf>
    <xf numFmtId="0" fontId="10" fillId="0" borderId="52" xfId="0" applyFont="1" applyBorder="1" applyAlignment="1">
      <alignment horizontal="center" vertical="center"/>
    </xf>
    <xf numFmtId="0" fontId="11" fillId="0" borderId="53" xfId="0" applyFont="1" applyBorder="1" applyAlignment="1">
      <alignment horizontal="center" vertical="center"/>
    </xf>
    <xf numFmtId="0" fontId="0" fillId="5" borderId="39" xfId="0" applyFill="1" applyBorder="1"/>
    <xf numFmtId="0" fontId="0" fillId="0" borderId="39" xfId="0" applyBorder="1" applyAlignment="1">
      <alignment horizontal="center"/>
    </xf>
    <xf numFmtId="0" fontId="0" fillId="5" borderId="40" xfId="0" applyFill="1" applyBorder="1"/>
    <xf numFmtId="0" fontId="0" fillId="0" borderId="40" xfId="0" applyBorder="1" applyAlignment="1">
      <alignment horizontal="center"/>
    </xf>
    <xf numFmtId="0" fontId="0" fillId="5" borderId="41" xfId="0" applyFill="1" applyBorder="1"/>
    <xf numFmtId="0" fontId="0" fillId="0" borderId="41" xfId="0" applyBorder="1" applyAlignment="1">
      <alignment horizontal="center"/>
    </xf>
    <xf numFmtId="0" fontId="0" fillId="5" borderId="39" xfId="0" applyFill="1" applyBorder="1" applyAlignment="1">
      <alignment horizontal="center"/>
    </xf>
    <xf numFmtId="0" fontId="0" fillId="5" borderId="40" xfId="0" applyFill="1" applyBorder="1" applyAlignment="1">
      <alignment horizontal="center"/>
    </xf>
    <xf numFmtId="0" fontId="0" fillId="5" borderId="41" xfId="0" applyFill="1" applyBorder="1" applyAlignment="1">
      <alignment horizontal="center"/>
    </xf>
    <xf numFmtId="0" fontId="0" fillId="5" borderId="7" xfId="0" applyFill="1" applyBorder="1" applyAlignment="1">
      <alignment horizontal="center"/>
    </xf>
    <xf numFmtId="0" fontId="9" fillId="0" borderId="0" xfId="0" applyFont="1" applyAlignment="1">
      <alignment horizontal="center"/>
    </xf>
    <xf numFmtId="0" fontId="10" fillId="4" borderId="29" xfId="0" applyFont="1" applyFill="1" applyBorder="1" applyAlignment="1">
      <alignment horizontal="center" vertical="center"/>
    </xf>
    <xf numFmtId="0" fontId="10" fillId="4" borderId="31" xfId="0" applyFont="1" applyFill="1" applyBorder="1" applyAlignment="1">
      <alignment horizontal="center" vertical="center"/>
    </xf>
    <xf numFmtId="0" fontId="10" fillId="0" borderId="31" xfId="0" applyFont="1" applyBorder="1" applyAlignment="1">
      <alignment horizontal="center" vertical="center"/>
    </xf>
    <xf numFmtId="0" fontId="11" fillId="0" borderId="31" xfId="0" applyFont="1" applyBorder="1" applyAlignment="1">
      <alignment horizontal="center" vertical="center"/>
    </xf>
    <xf numFmtId="0" fontId="10" fillId="0" borderId="31" xfId="0" applyFont="1" applyBorder="1" applyAlignment="1">
      <alignment horizontal="center" vertical="center" wrapText="1"/>
    </xf>
    <xf numFmtId="0" fontId="10" fillId="0" borderId="33" xfId="0" applyFont="1"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wrapText="1"/>
    </xf>
    <xf numFmtId="0" fontId="6" fillId="0" borderId="0" xfId="0" applyFont="1" applyAlignment="1">
      <alignment horizontal="center" vertical="center"/>
    </xf>
    <xf numFmtId="0" fontId="5" fillId="0" borderId="0" xfId="0" applyFont="1" applyAlignment="1">
      <alignment horizontal="center"/>
    </xf>
    <xf numFmtId="0" fontId="6" fillId="0" borderId="0" xfId="0" applyFont="1"/>
    <xf numFmtId="0" fontId="6" fillId="0" borderId="0" xfId="0" applyFont="1" applyAlignment="1">
      <alignment horizontal="center"/>
    </xf>
    <xf numFmtId="0" fontId="7" fillId="0" borderId="0" xfId="0" applyFont="1"/>
    <xf numFmtId="0" fontId="20" fillId="9" borderId="1" xfId="0" applyFont="1" applyFill="1" applyBorder="1" applyAlignment="1">
      <alignment horizontal="center"/>
    </xf>
    <xf numFmtId="0" fontId="21" fillId="0" borderId="1" xfId="0" applyFont="1" applyBorder="1" applyAlignment="1">
      <alignment horizontal="center"/>
    </xf>
    <xf numFmtId="0" fontId="0" fillId="0" borderId="0" xfId="0" applyAlignment="1">
      <alignment vertical="top"/>
    </xf>
    <xf numFmtId="0" fontId="1" fillId="11" borderId="52" xfId="0" applyFont="1" applyFill="1" applyBorder="1" applyAlignment="1">
      <alignment horizontal="right" vertical="top"/>
    </xf>
    <xf numFmtId="0" fontId="0" fillId="0" borderId="1" xfId="0" applyBorder="1" applyAlignment="1" applyProtection="1">
      <alignment vertical="top" wrapText="1"/>
      <protection locked="0"/>
    </xf>
    <xf numFmtId="0" fontId="1" fillId="0" borderId="1" xfId="0" applyFont="1" applyBorder="1" applyAlignment="1" applyProtection="1">
      <alignment vertical="top"/>
      <protection locked="0"/>
    </xf>
    <xf numFmtId="0" fontId="10" fillId="5" borderId="31" xfId="0" applyFont="1" applyFill="1" applyBorder="1" applyAlignment="1">
      <alignment horizontal="center" vertical="center"/>
    </xf>
    <xf numFmtId="0" fontId="21" fillId="13" borderId="1" xfId="0" applyFont="1" applyFill="1" applyBorder="1" applyAlignment="1">
      <alignment horizontal="center"/>
    </xf>
    <xf numFmtId="0" fontId="21" fillId="14" borderId="1" xfId="0" applyFont="1" applyFill="1" applyBorder="1" applyAlignment="1">
      <alignment horizontal="center"/>
    </xf>
    <xf numFmtId="0" fontId="21" fillId="15" borderId="1" xfId="0" applyFont="1" applyFill="1" applyBorder="1" applyAlignment="1">
      <alignment horizontal="center"/>
    </xf>
    <xf numFmtId="0" fontId="21" fillId="16" borderId="1" xfId="0" applyFont="1" applyFill="1" applyBorder="1" applyAlignment="1">
      <alignment horizontal="center"/>
    </xf>
    <xf numFmtId="0" fontId="21" fillId="17" borderId="1" xfId="0" applyFont="1" applyFill="1" applyBorder="1" applyAlignment="1">
      <alignment horizont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14" fontId="0" fillId="0" borderId="0" xfId="0" applyNumberFormat="1"/>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14" fontId="0" fillId="0" borderId="61" xfId="0" applyNumberFormat="1" applyBorder="1" applyAlignment="1">
      <alignment horizontal="center" vertical="center"/>
    </xf>
    <xf numFmtId="14" fontId="0" fillId="0" borderId="62" xfId="0" applyNumberFormat="1" applyBorder="1" applyAlignment="1">
      <alignment horizontal="center" vertical="center"/>
    </xf>
    <xf numFmtId="14" fontId="0" fillId="0" borderId="63" xfId="0" applyNumberFormat="1" applyBorder="1" applyAlignment="1">
      <alignment horizontal="center" vertical="center"/>
    </xf>
    <xf numFmtId="14" fontId="0" fillId="0" borderId="64" xfId="0" applyNumberFormat="1" applyBorder="1" applyAlignment="1">
      <alignment horizontal="center" vertical="center"/>
    </xf>
    <xf numFmtId="14" fontId="0" fillId="0" borderId="65" xfId="0" applyNumberFormat="1" applyBorder="1" applyAlignment="1">
      <alignment horizontal="center" vertical="center"/>
    </xf>
    <xf numFmtId="14" fontId="0" fillId="0" borderId="66" xfId="0" applyNumberFormat="1" applyBorder="1" applyAlignment="1">
      <alignment horizontal="center" vertical="center"/>
    </xf>
    <xf numFmtId="0" fontId="1" fillId="3" borderId="0" xfId="0" applyFont="1" applyFill="1" applyAlignment="1">
      <alignment horizontal="right" vertical="center"/>
    </xf>
    <xf numFmtId="0" fontId="10" fillId="0" borderId="39" xfId="0" applyFont="1" applyBorder="1" applyAlignment="1">
      <alignment horizontal="center" vertical="center"/>
    </xf>
    <xf numFmtId="0" fontId="10" fillId="0" borderId="29" xfId="0" applyFont="1" applyBorder="1" applyAlignment="1">
      <alignment horizontal="center" vertical="center"/>
    </xf>
    <xf numFmtId="0" fontId="0" fillId="5" borderId="51" xfId="0" applyFill="1" applyBorder="1" applyAlignment="1">
      <alignment horizontal="center"/>
    </xf>
    <xf numFmtId="0" fontId="0" fillId="0" borderId="36" xfId="0" applyBorder="1"/>
    <xf numFmtId="0" fontId="11" fillId="0" borderId="58" xfId="0" applyFont="1" applyBorder="1"/>
    <xf numFmtId="0" fontId="11" fillId="0" borderId="59" xfId="0" applyFont="1" applyBorder="1"/>
    <xf numFmtId="0" fontId="11" fillId="0" borderId="60" xfId="0" applyFont="1" applyBorder="1"/>
    <xf numFmtId="0" fontId="11" fillId="0" borderId="67" xfId="0" applyFont="1" applyBorder="1"/>
    <xf numFmtId="0" fontId="10" fillId="0" borderId="40" xfId="0" applyFont="1" applyBorder="1" applyAlignment="1">
      <alignment horizontal="center" vertical="center"/>
    </xf>
    <xf numFmtId="0" fontId="0" fillId="5" borderId="52" xfId="0" applyFill="1" applyBorder="1" applyAlignment="1">
      <alignment horizontal="center"/>
    </xf>
    <xf numFmtId="0" fontId="0" fillId="0" borderId="37" xfId="0" applyBorder="1"/>
    <xf numFmtId="0" fontId="11" fillId="0" borderId="61" xfId="0" applyFont="1" applyBorder="1"/>
    <xf numFmtId="0" fontId="11" fillId="0" borderId="62" xfId="0" applyFont="1" applyBorder="1"/>
    <xf numFmtId="0" fontId="11" fillId="0" borderId="63" xfId="0" applyFont="1" applyBorder="1"/>
    <xf numFmtId="0" fontId="11" fillId="0" borderId="68" xfId="0" applyFont="1" applyBorder="1"/>
    <xf numFmtId="0" fontId="0" fillId="0" borderId="1" xfId="0" applyBorder="1" applyAlignment="1">
      <alignment horizontal="center"/>
    </xf>
    <xf numFmtId="0" fontId="0" fillId="5" borderId="52" xfId="0" applyFill="1" applyBorder="1"/>
    <xf numFmtId="0" fontId="10" fillId="5" borderId="40" xfId="0" applyFont="1" applyFill="1" applyBorder="1" applyAlignment="1">
      <alignment horizontal="center" vertical="center"/>
    </xf>
    <xf numFmtId="0" fontId="0" fillId="0" borderId="52" xfId="0" applyBorder="1" applyAlignment="1">
      <alignment horizontal="center"/>
    </xf>
    <xf numFmtId="0" fontId="10" fillId="0" borderId="41" xfId="0" applyFont="1" applyBorder="1" applyAlignment="1">
      <alignment horizontal="center" vertical="center"/>
    </xf>
    <xf numFmtId="0" fontId="0" fillId="5" borderId="53" xfId="0" applyFill="1" applyBorder="1"/>
    <xf numFmtId="0" fontId="0" fillId="0" borderId="38" xfId="0" applyBorder="1"/>
    <xf numFmtId="0" fontId="11" fillId="0" borderId="69" xfId="0" applyFont="1" applyBorder="1"/>
    <xf numFmtId="0" fontId="11" fillId="0" borderId="65" xfId="0" applyFont="1" applyBorder="1"/>
    <xf numFmtId="0" fontId="11" fillId="0" borderId="66" xfId="0" applyFont="1" applyBorder="1"/>
    <xf numFmtId="0" fontId="8" fillId="0" borderId="0" xfId="0" applyFont="1"/>
    <xf numFmtId="0" fontId="15" fillId="3" borderId="2" xfId="0" applyFont="1" applyFill="1" applyBorder="1" applyAlignment="1">
      <alignment vertical="center" wrapText="1"/>
    </xf>
    <xf numFmtId="0" fontId="11" fillId="0" borderId="61" xfId="0" applyFont="1" applyBorder="1" applyAlignment="1">
      <alignment horizontal="center" vertical="center"/>
    </xf>
    <xf numFmtId="0" fontId="11" fillId="0" borderId="62" xfId="0" applyFont="1" applyBorder="1" applyAlignment="1">
      <alignment horizontal="center" vertical="center"/>
    </xf>
    <xf numFmtId="0" fontId="11" fillId="0" borderId="63" xfId="0" applyFont="1" applyBorder="1" applyAlignment="1">
      <alignment horizontal="center" vertical="center"/>
    </xf>
    <xf numFmtId="0" fontId="0" fillId="0" borderId="17" xfId="0" applyBorder="1" applyAlignment="1">
      <alignment horizontal="center" vertical="center" shrinkToFit="1"/>
    </xf>
    <xf numFmtId="0" fontId="0" fillId="0" borderId="18" xfId="0" applyBorder="1" applyAlignment="1">
      <alignment horizontal="center" vertical="center" shrinkToFit="1"/>
    </xf>
    <xf numFmtId="0" fontId="0" fillId="0" borderId="19" xfId="0" applyBorder="1" applyAlignment="1">
      <alignment horizontal="center" vertical="center" shrinkToFit="1"/>
    </xf>
    <xf numFmtId="0" fontId="0" fillId="0" borderId="42" xfId="0" applyBorder="1" applyAlignment="1">
      <alignment horizontal="center" vertical="center" shrinkToFit="1"/>
    </xf>
    <xf numFmtId="0" fontId="0" fillId="0" borderId="43" xfId="0" applyBorder="1" applyAlignment="1">
      <alignment horizontal="center" vertical="center" shrinkToFit="1"/>
    </xf>
    <xf numFmtId="0" fontId="0" fillId="0" borderId="44" xfId="0" applyBorder="1" applyAlignment="1">
      <alignment horizontal="center" vertical="center" shrinkToFit="1"/>
    </xf>
    <xf numFmtId="14" fontId="0" fillId="0" borderId="20" xfId="0" applyNumberFormat="1" applyBorder="1" applyAlignment="1">
      <alignment horizontal="center" vertical="center" shrinkToFit="1"/>
    </xf>
    <xf numFmtId="14" fontId="0" fillId="0" borderId="21" xfId="0" applyNumberFormat="1" applyBorder="1" applyAlignment="1">
      <alignment horizontal="center" vertical="center" shrinkToFit="1"/>
    </xf>
    <xf numFmtId="14" fontId="0" fillId="0" borderId="22" xfId="0" applyNumberFormat="1" applyBorder="1" applyAlignment="1">
      <alignment horizontal="center" vertical="center" shrinkToFit="1"/>
    </xf>
    <xf numFmtId="14" fontId="0" fillId="0" borderId="58" xfId="0" applyNumberFormat="1" applyBorder="1" applyAlignment="1">
      <alignment horizontal="center" vertical="center" shrinkToFit="1"/>
    </xf>
    <xf numFmtId="14" fontId="0" fillId="0" borderId="59" xfId="0" applyNumberFormat="1" applyBorder="1" applyAlignment="1">
      <alignment horizontal="center" vertical="center" shrinkToFit="1"/>
    </xf>
    <xf numFmtId="14" fontId="0" fillId="0" borderId="60" xfId="0" applyNumberFormat="1" applyBorder="1" applyAlignment="1">
      <alignment horizontal="center" vertical="center" shrinkToFit="1"/>
    </xf>
    <xf numFmtId="14" fontId="0" fillId="0" borderId="61" xfId="0" applyNumberFormat="1" applyBorder="1" applyAlignment="1">
      <alignment horizontal="center" vertical="center" shrinkToFit="1"/>
    </xf>
    <xf numFmtId="14" fontId="0" fillId="0" borderId="62" xfId="0" applyNumberFormat="1" applyBorder="1" applyAlignment="1">
      <alignment horizontal="center" vertical="center" shrinkToFit="1"/>
    </xf>
    <xf numFmtId="14" fontId="0" fillId="0" borderId="63" xfId="0" applyNumberFormat="1" applyBorder="1" applyAlignment="1">
      <alignment horizontal="center" vertical="center" shrinkToFit="1"/>
    </xf>
    <xf numFmtId="14" fontId="0" fillId="0" borderId="64" xfId="0" applyNumberFormat="1" applyBorder="1" applyAlignment="1">
      <alignment horizontal="center" vertical="center" shrinkToFit="1"/>
    </xf>
    <xf numFmtId="14" fontId="0" fillId="0" borderId="65" xfId="0" applyNumberFormat="1" applyBorder="1" applyAlignment="1">
      <alignment horizontal="center" vertical="center" shrinkToFit="1"/>
    </xf>
    <xf numFmtId="14" fontId="0" fillId="0" borderId="66" xfId="0" applyNumberFormat="1" applyBorder="1" applyAlignment="1">
      <alignment horizontal="center" vertical="center" shrinkToFit="1"/>
    </xf>
    <xf numFmtId="0" fontId="1" fillId="0" borderId="0" xfId="0" applyFont="1"/>
    <xf numFmtId="0" fontId="24" fillId="0" borderId="0" xfId="0" applyFont="1"/>
    <xf numFmtId="0" fontId="0" fillId="0" borderId="40" xfId="0" applyBorder="1" applyAlignment="1">
      <alignment horizontal="center" vertical="center"/>
    </xf>
    <xf numFmtId="0" fontId="1" fillId="3" borderId="13" xfId="0" applyFont="1" applyFill="1" applyBorder="1" applyAlignment="1">
      <alignment horizontal="right" vertical="center" shrinkToFit="1"/>
    </xf>
    <xf numFmtId="0" fontId="1" fillId="3" borderId="10" xfId="0" applyFont="1" applyFill="1" applyBorder="1" applyAlignment="1">
      <alignment horizontal="right" vertical="center" shrinkToFit="1"/>
    </xf>
    <xf numFmtId="0" fontId="1" fillId="3" borderId="9" xfId="0" applyFont="1" applyFill="1" applyBorder="1" applyAlignment="1">
      <alignment horizontal="right" vertical="center" shrinkToFit="1"/>
    </xf>
    <xf numFmtId="0" fontId="1" fillId="3" borderId="3" xfId="0" applyFont="1" applyFill="1" applyBorder="1" applyAlignment="1">
      <alignment horizontal="right" vertical="center" shrinkToFit="1"/>
    </xf>
    <xf numFmtId="0" fontId="1" fillId="3" borderId="4" xfId="0" applyFont="1" applyFill="1" applyBorder="1" applyAlignment="1">
      <alignment horizontal="right" vertical="center" shrinkToFit="1"/>
    </xf>
    <xf numFmtId="0" fontId="1" fillId="3" borderId="5" xfId="0" applyFont="1" applyFill="1" applyBorder="1" applyAlignment="1">
      <alignment horizontal="right" vertical="center" shrinkToFit="1"/>
    </xf>
    <xf numFmtId="0" fontId="1" fillId="3" borderId="0" xfId="0" applyFont="1" applyFill="1" applyAlignment="1">
      <alignment horizontal="right" vertical="center" shrinkToFit="1"/>
    </xf>
    <xf numFmtId="0" fontId="0" fillId="0" borderId="73" xfId="0" applyBorder="1" applyProtection="1">
      <protection locked="0"/>
    </xf>
    <xf numFmtId="0" fontId="0" fillId="0" borderId="58" xfId="0" applyBorder="1" applyAlignment="1">
      <alignment horizontal="center" vertical="center" wrapText="1" shrinkToFit="1"/>
    </xf>
    <xf numFmtId="0" fontId="0" fillId="0" borderId="59" xfId="0" applyBorder="1" applyAlignment="1">
      <alignment horizontal="center" vertical="center" wrapText="1" shrinkToFit="1"/>
    </xf>
    <xf numFmtId="0" fontId="0" fillId="0" borderId="60" xfId="0" applyBorder="1" applyAlignment="1">
      <alignment horizontal="center" vertical="center" wrapText="1" shrinkToFit="1"/>
    </xf>
    <xf numFmtId="0" fontId="0" fillId="0" borderId="61" xfId="0" applyBorder="1" applyAlignment="1">
      <alignment horizontal="center" vertical="center" wrapText="1" shrinkToFit="1"/>
    </xf>
    <xf numFmtId="0" fontId="0" fillId="0" borderId="62" xfId="0" applyBorder="1" applyAlignment="1">
      <alignment horizontal="center" vertical="center" wrapText="1" shrinkToFit="1"/>
    </xf>
    <xf numFmtId="0" fontId="0" fillId="0" borderId="63" xfId="0" applyBorder="1" applyAlignment="1">
      <alignment horizontal="center" vertical="center" wrapText="1" shrinkToFit="1"/>
    </xf>
    <xf numFmtId="9" fontId="0" fillId="0" borderId="59" xfId="3" applyFont="1" applyBorder="1" applyAlignment="1">
      <alignment horizontal="center" vertical="center" wrapText="1" shrinkToFit="1"/>
    </xf>
    <xf numFmtId="9" fontId="0" fillId="0" borderId="62" xfId="3" applyFont="1" applyBorder="1" applyAlignment="1">
      <alignment horizontal="center" vertical="center" wrapText="1" shrinkToFit="1"/>
    </xf>
    <xf numFmtId="9" fontId="0" fillId="0" borderId="80" xfId="3" applyFont="1" applyBorder="1" applyAlignment="1">
      <alignment horizontal="center" vertical="center" wrapText="1" shrinkToFit="1"/>
    </xf>
    <xf numFmtId="0" fontId="0" fillId="0" borderId="81" xfId="0" applyBorder="1" applyAlignment="1">
      <alignment horizontal="center" vertical="center" wrapText="1" shrinkToFit="1"/>
    </xf>
    <xf numFmtId="9" fontId="0" fillId="0" borderId="81" xfId="3" applyFont="1" applyBorder="1" applyAlignment="1">
      <alignment horizontal="center" vertical="center" wrapText="1" shrinkToFit="1"/>
    </xf>
    <xf numFmtId="9" fontId="0" fillId="0" borderId="82" xfId="3" applyFont="1" applyBorder="1" applyAlignment="1">
      <alignment horizontal="center" vertical="center" wrapText="1" shrinkToFit="1"/>
    </xf>
    <xf numFmtId="0" fontId="0" fillId="0" borderId="83" xfId="0" applyBorder="1" applyAlignment="1">
      <alignment horizontal="center" vertical="center" wrapText="1" shrinkToFit="1"/>
    </xf>
    <xf numFmtId="9" fontId="0" fillId="0" borderId="83" xfId="3" applyFont="1" applyBorder="1" applyAlignment="1">
      <alignment horizontal="center" vertical="center" wrapText="1" shrinkToFit="1"/>
    </xf>
    <xf numFmtId="14" fontId="0" fillId="0" borderId="59" xfId="0" applyNumberFormat="1" applyBorder="1" applyAlignment="1">
      <alignment horizontal="center" vertical="center" wrapText="1"/>
    </xf>
    <xf numFmtId="14" fontId="0" fillId="0" borderId="62" xfId="0" applyNumberFormat="1" applyBorder="1" applyAlignment="1">
      <alignment horizontal="center" vertical="center" wrapText="1"/>
    </xf>
    <xf numFmtId="0" fontId="0" fillId="20" borderId="40" xfId="0" applyFill="1" applyBorder="1" applyAlignment="1">
      <alignment horizontal="center" vertical="center"/>
    </xf>
    <xf numFmtId="0" fontId="10" fillId="21" borderId="40" xfId="0" applyFont="1" applyFill="1" applyBorder="1" applyAlignment="1">
      <alignment horizontal="center" vertical="center"/>
    </xf>
    <xf numFmtId="0" fontId="9" fillId="0" borderId="0" xfId="0" applyFont="1" applyAlignment="1">
      <alignment horizontal="right"/>
    </xf>
    <xf numFmtId="0" fontId="9" fillId="0" borderId="0" xfId="0" quotePrefix="1" applyFont="1" applyAlignment="1">
      <alignment horizontal="right" vertical="center"/>
    </xf>
    <xf numFmtId="0" fontId="25" fillId="0" borderId="0" xfId="0" applyFont="1"/>
    <xf numFmtId="0" fontId="0" fillId="0" borderId="62" xfId="0" applyBorder="1" applyAlignment="1">
      <alignment horizontal="center" vertical="center" wrapText="1"/>
    </xf>
    <xf numFmtId="14" fontId="0" fillId="0" borderId="59" xfId="0" applyNumberFormat="1" applyBorder="1" applyAlignment="1">
      <alignment horizontal="center" vertical="center" wrapText="1" shrinkToFit="1"/>
    </xf>
    <xf numFmtId="0" fontId="0" fillId="0" borderId="17" xfId="0" applyBorder="1" applyAlignment="1">
      <alignment horizontal="center" vertical="center" wrapText="1"/>
    </xf>
    <xf numFmtId="0" fontId="0" fillId="0" borderId="18" xfId="0" applyBorder="1" applyAlignment="1">
      <alignment horizontal="center" vertical="center" wrapText="1"/>
    </xf>
    <xf numFmtId="0" fontId="0" fillId="0" borderId="17" xfId="0" applyBorder="1" applyAlignment="1">
      <alignment horizontal="center" vertical="center" wrapText="1" shrinkToFit="1"/>
    </xf>
    <xf numFmtId="0" fontId="0" fillId="0" borderId="18" xfId="0" applyBorder="1" applyAlignment="1">
      <alignment horizontal="center" vertical="center" wrapText="1" shrinkToFit="1"/>
    </xf>
    <xf numFmtId="0" fontId="0" fillId="0" borderId="19" xfId="0" applyBorder="1" applyAlignment="1">
      <alignment horizontal="center" vertical="center" wrapText="1" shrinkToFit="1"/>
    </xf>
    <xf numFmtId="0" fontId="0" fillId="0" borderId="42" xfId="0" applyBorder="1" applyAlignment="1">
      <alignment horizontal="center" vertical="center" wrapText="1" shrinkToFit="1"/>
    </xf>
    <xf numFmtId="0" fontId="0" fillId="0" borderId="43" xfId="0" applyBorder="1" applyAlignment="1">
      <alignment horizontal="center" vertical="center" wrapText="1" shrinkToFit="1"/>
    </xf>
    <xf numFmtId="0" fontId="0" fillId="0" borderId="44" xfId="0" applyBorder="1" applyAlignment="1">
      <alignment horizontal="center" vertical="center" wrapText="1" shrinkToFit="1"/>
    </xf>
    <xf numFmtId="14" fontId="0" fillId="0" borderId="20" xfId="0" applyNumberFormat="1" applyBorder="1" applyAlignment="1">
      <alignment horizontal="center" vertical="center" wrapText="1" shrinkToFit="1"/>
    </xf>
    <xf numFmtId="14" fontId="0" fillId="0" borderId="21" xfId="0" applyNumberFormat="1" applyBorder="1" applyAlignment="1">
      <alignment horizontal="center" vertical="center" wrapText="1" shrinkToFit="1"/>
    </xf>
    <xf numFmtId="14" fontId="0" fillId="0" borderId="18" xfId="0" applyNumberFormat="1" applyBorder="1" applyAlignment="1">
      <alignment horizontal="center" vertical="center" wrapText="1" shrinkToFit="1"/>
    </xf>
    <xf numFmtId="14" fontId="0" fillId="0" borderId="22" xfId="0" applyNumberFormat="1" applyBorder="1" applyAlignment="1">
      <alignment horizontal="center" vertical="center" wrapText="1" shrinkToFit="1"/>
    </xf>
    <xf numFmtId="14" fontId="0" fillId="0" borderId="58" xfId="0" applyNumberFormat="1" applyBorder="1" applyAlignment="1">
      <alignment horizontal="center" vertical="center" wrapText="1" shrinkToFit="1"/>
    </xf>
    <xf numFmtId="14" fontId="0" fillId="0" borderId="61" xfId="0" applyNumberFormat="1" applyBorder="1" applyAlignment="1">
      <alignment horizontal="center" vertical="center" wrapText="1" shrinkToFit="1"/>
    </xf>
    <xf numFmtId="14" fontId="0" fillId="0" borderId="62" xfId="0" applyNumberFormat="1" applyBorder="1" applyAlignment="1">
      <alignment horizontal="center" vertical="center" wrapText="1" shrinkToFit="1"/>
    </xf>
    <xf numFmtId="14" fontId="0" fillId="0" borderId="63" xfId="0" applyNumberFormat="1" applyBorder="1" applyAlignment="1">
      <alignment horizontal="center" vertical="center" wrapText="1" shrinkToFit="1"/>
    </xf>
    <xf numFmtId="0" fontId="0" fillId="0" borderId="75" xfId="0" applyBorder="1" applyAlignment="1">
      <alignment horizontal="center" vertical="center" wrapText="1" shrinkToFit="1"/>
    </xf>
    <xf numFmtId="0" fontId="0" fillId="0" borderId="76" xfId="0" applyBorder="1" applyAlignment="1">
      <alignment horizontal="center" vertical="center" wrapText="1" shrinkToFit="1"/>
    </xf>
    <xf numFmtId="9" fontId="0" fillId="0" borderId="76" xfId="3" applyFont="1" applyBorder="1" applyAlignment="1">
      <alignment horizontal="center" vertical="center" wrapText="1" shrinkToFit="1"/>
    </xf>
    <xf numFmtId="9" fontId="0" fillId="0" borderId="85" xfId="3" applyFont="1" applyBorder="1" applyAlignment="1">
      <alignment horizontal="center" vertical="center" wrapText="1" shrinkToFit="1"/>
    </xf>
    <xf numFmtId="9" fontId="0" fillId="0" borderId="86" xfId="3" applyFont="1" applyBorder="1" applyAlignment="1">
      <alignment horizontal="center" vertical="center" wrapText="1" shrinkToFit="1"/>
    </xf>
    <xf numFmtId="0" fontId="0" fillId="0" borderId="77" xfId="0" applyBorder="1" applyAlignment="1">
      <alignment horizontal="center" vertical="center" wrapText="1" shrinkToFit="1"/>
    </xf>
    <xf numFmtId="0" fontId="11" fillId="0" borderId="75" xfId="0" applyFont="1" applyBorder="1" applyAlignment="1">
      <alignment horizontal="center" vertical="center"/>
    </xf>
    <xf numFmtId="0" fontId="11" fillId="0" borderId="76" xfId="0" applyFont="1" applyBorder="1" applyAlignment="1">
      <alignment horizontal="center" vertical="center"/>
    </xf>
    <xf numFmtId="0" fontId="11" fillId="0" borderId="77" xfId="0" applyFont="1" applyBorder="1" applyAlignment="1">
      <alignment horizontal="center" vertical="center"/>
    </xf>
    <xf numFmtId="0" fontId="11" fillId="0" borderId="87" xfId="0" applyFont="1" applyBorder="1" applyAlignment="1">
      <alignment horizontal="center" vertical="center"/>
    </xf>
    <xf numFmtId="0" fontId="11" fillId="0" borderId="84" xfId="0" applyFont="1" applyBorder="1" applyAlignment="1">
      <alignment horizontal="center" vertical="center"/>
    </xf>
    <xf numFmtId="0" fontId="11" fillId="0" borderId="88" xfId="0" applyFont="1" applyBorder="1" applyAlignment="1">
      <alignment horizontal="center" vertical="center"/>
    </xf>
    <xf numFmtId="0" fontId="11" fillId="0" borderId="10" xfId="0" applyFont="1" applyBorder="1" applyAlignment="1">
      <alignment horizontal="center" vertical="center"/>
    </xf>
    <xf numFmtId="0" fontId="11" fillId="0" borderId="24" xfId="0" applyFont="1" applyBorder="1" applyAlignment="1">
      <alignment horizontal="center" vertical="center"/>
    </xf>
    <xf numFmtId="0" fontId="11" fillId="0" borderId="27" xfId="0" applyFont="1" applyBorder="1" applyAlignment="1">
      <alignment horizontal="center" vertical="center"/>
    </xf>
    <xf numFmtId="0" fontId="11" fillId="0" borderId="72" xfId="0" applyFont="1" applyBorder="1" applyAlignment="1">
      <alignment horizontal="center" vertical="center"/>
    </xf>
    <xf numFmtId="0" fontId="11" fillId="0" borderId="25" xfId="0" applyFont="1" applyBorder="1" applyAlignment="1">
      <alignment horizontal="center" vertical="center"/>
    </xf>
    <xf numFmtId="0" fontId="11" fillId="0" borderId="28" xfId="0" applyFont="1" applyBorder="1" applyAlignment="1">
      <alignment horizontal="center" vertical="center"/>
    </xf>
    <xf numFmtId="0" fontId="10" fillId="0" borderId="47" xfId="0" applyFont="1" applyBorder="1" applyAlignment="1">
      <alignment horizontal="center" vertical="center"/>
    </xf>
    <xf numFmtId="0" fontId="10" fillId="0" borderId="48" xfId="0" applyFont="1" applyBorder="1" applyAlignment="1">
      <alignment horizontal="center" vertical="center"/>
    </xf>
    <xf numFmtId="0" fontId="10" fillId="0" borderId="36" xfId="0" applyFont="1" applyBorder="1" applyAlignment="1">
      <alignment horizontal="center" vertical="center"/>
    </xf>
    <xf numFmtId="0" fontId="10" fillId="0" borderId="37" xfId="0" applyFont="1" applyBorder="1" applyAlignment="1">
      <alignment horizontal="center" vertical="center"/>
    </xf>
    <xf numFmtId="0" fontId="10" fillId="0" borderId="89" xfId="0" applyFont="1" applyBorder="1" applyAlignment="1">
      <alignment horizontal="center" vertical="center"/>
    </xf>
    <xf numFmtId="0" fontId="0" fillId="0" borderId="89" xfId="0" applyBorder="1" applyAlignment="1">
      <alignment horizontal="center" vertical="center"/>
    </xf>
    <xf numFmtId="0" fontId="10" fillId="0" borderId="54" xfId="0" applyFont="1" applyBorder="1" applyAlignment="1">
      <alignment horizontal="center" vertical="center"/>
    </xf>
    <xf numFmtId="0" fontId="0" fillId="0" borderId="54" xfId="0" applyBorder="1" applyAlignment="1">
      <alignment horizontal="center" vertical="center"/>
    </xf>
    <xf numFmtId="0" fontId="10" fillId="0" borderId="90" xfId="0" applyFont="1" applyBorder="1" applyAlignment="1">
      <alignment horizontal="center" vertical="center"/>
    </xf>
    <xf numFmtId="0" fontId="10" fillId="0" borderId="4" xfId="0" applyFont="1" applyBorder="1" applyAlignment="1">
      <alignment horizontal="center" vertical="center"/>
    </xf>
    <xf numFmtId="0" fontId="0" fillId="0" borderId="4" xfId="0" applyBorder="1" applyAlignment="1">
      <alignment horizontal="center" vertical="center"/>
    </xf>
    <xf numFmtId="0" fontId="10" fillId="0" borderId="92" xfId="0" applyFont="1" applyBorder="1" applyAlignment="1">
      <alignment horizontal="center" vertical="center"/>
    </xf>
    <xf numFmtId="0" fontId="0" fillId="0" borderId="5" xfId="0" applyBorder="1" applyAlignment="1">
      <alignment horizontal="center" vertical="center"/>
    </xf>
    <xf numFmtId="0" fontId="10" fillId="5" borderId="1" xfId="0" applyFont="1" applyFill="1" applyBorder="1" applyAlignment="1">
      <alignment horizontal="center" vertical="center"/>
    </xf>
    <xf numFmtId="0" fontId="15" fillId="3" borderId="8" xfId="0" applyFont="1" applyFill="1" applyBorder="1" applyAlignment="1">
      <alignment vertical="center" wrapText="1"/>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0" fillId="5" borderId="34" xfId="0" applyFont="1" applyFill="1" applyBorder="1" applyAlignment="1">
      <alignment horizontal="center" vertical="center"/>
    </xf>
    <xf numFmtId="0" fontId="11" fillId="0" borderId="35" xfId="0" applyFont="1" applyBorder="1" applyAlignment="1">
      <alignment horizontal="center" vertical="center"/>
    </xf>
    <xf numFmtId="0" fontId="11" fillId="0" borderId="32" xfId="0" applyFont="1" applyBorder="1" applyAlignment="1">
      <alignment horizontal="left" vertical="center"/>
    </xf>
    <xf numFmtId="0" fontId="11" fillId="0" borderId="35" xfId="0" applyFont="1" applyBorder="1" applyAlignment="1">
      <alignment horizontal="left" vertical="center"/>
    </xf>
    <xf numFmtId="0" fontId="10" fillId="0" borderId="32" xfId="0" applyFont="1" applyBorder="1" applyAlignment="1">
      <alignment horizontal="center" vertical="center"/>
    </xf>
    <xf numFmtId="0" fontId="11" fillId="0" borderId="32" xfId="0" applyFont="1" applyBorder="1" applyAlignment="1">
      <alignment horizontal="center" vertical="center"/>
    </xf>
    <xf numFmtId="0" fontId="10" fillId="5" borderId="33" xfId="0" applyFont="1" applyFill="1" applyBorder="1" applyAlignment="1">
      <alignment horizontal="center" vertical="center"/>
    </xf>
    <xf numFmtId="0" fontId="11" fillId="0" borderId="40" xfId="0" applyFont="1" applyBorder="1" applyAlignment="1">
      <alignment horizontal="center" vertical="center"/>
    </xf>
    <xf numFmtId="0" fontId="10" fillId="4" borderId="40" xfId="0" applyFont="1" applyFill="1" applyBorder="1" applyAlignment="1">
      <alignment horizontal="center" vertical="center"/>
    </xf>
    <xf numFmtId="0" fontId="10" fillId="4" borderId="54" xfId="0" applyFont="1" applyFill="1" applyBorder="1" applyAlignment="1">
      <alignment horizontal="center" vertical="center"/>
    </xf>
    <xf numFmtId="0" fontId="10" fillId="4" borderId="89" xfId="0" applyFont="1" applyFill="1" applyBorder="1" applyAlignment="1">
      <alignment horizontal="center" vertical="center"/>
    </xf>
    <xf numFmtId="0" fontId="11" fillId="0" borderId="4" xfId="0" applyFont="1" applyBorder="1" applyAlignment="1">
      <alignment horizontal="center" vertical="center"/>
    </xf>
    <xf numFmtId="0" fontId="10" fillId="0" borderId="89" xfId="0" applyFont="1" applyBorder="1" applyAlignment="1">
      <alignment horizontal="center" vertical="center" wrapText="1"/>
    </xf>
    <xf numFmtId="0" fontId="10" fillId="0" borderId="40" xfId="0" applyFont="1" applyBorder="1" applyAlignment="1">
      <alignment horizontal="center" vertical="center" wrapText="1"/>
    </xf>
    <xf numFmtId="0" fontId="10" fillId="0" borderId="54" xfId="0" applyFont="1" applyBorder="1" applyAlignment="1">
      <alignment horizontal="center" vertical="center" wrapText="1"/>
    </xf>
    <xf numFmtId="0" fontId="10" fillId="0" borderId="5" xfId="0" applyFont="1" applyBorder="1" applyAlignment="1">
      <alignment horizontal="center" vertical="center"/>
    </xf>
    <xf numFmtId="0" fontId="10" fillId="21" borderId="37" xfId="0" applyFont="1" applyFill="1" applyBorder="1" applyAlignment="1">
      <alignment horizontal="center" vertical="center"/>
    </xf>
    <xf numFmtId="0" fontId="15" fillId="3" borderId="6" xfId="0" applyFont="1" applyFill="1" applyBorder="1" applyAlignment="1">
      <alignment vertical="center" wrapText="1"/>
    </xf>
    <xf numFmtId="0" fontId="10" fillId="21" borderId="48" xfId="0" applyFont="1" applyFill="1" applyBorder="1" applyAlignment="1">
      <alignment horizontal="center" vertical="center"/>
    </xf>
    <xf numFmtId="0" fontId="10" fillId="5" borderId="32" xfId="0" applyFont="1" applyFill="1" applyBorder="1" applyAlignment="1">
      <alignment horizontal="center" vertical="center"/>
    </xf>
    <xf numFmtId="0" fontId="10" fillId="21" borderId="1" xfId="0" applyFont="1" applyFill="1" applyBorder="1" applyAlignment="1">
      <alignment horizontal="center" vertical="center"/>
    </xf>
    <xf numFmtId="0" fontId="10" fillId="21" borderId="32" xfId="0" applyFont="1" applyFill="1" applyBorder="1" applyAlignment="1">
      <alignment horizontal="center" vertical="center"/>
    </xf>
    <xf numFmtId="0" fontId="10" fillId="21" borderId="31" xfId="0" applyFont="1" applyFill="1" applyBorder="1" applyAlignment="1">
      <alignment horizontal="center" vertical="center"/>
    </xf>
    <xf numFmtId="0" fontId="10" fillId="4" borderId="97" xfId="0" applyFont="1" applyFill="1" applyBorder="1" applyAlignment="1">
      <alignment horizontal="left" vertical="center"/>
    </xf>
    <xf numFmtId="0" fontId="11" fillId="4" borderId="98" xfId="0" applyFont="1" applyFill="1" applyBorder="1" applyAlignment="1">
      <alignment horizontal="left" vertical="center"/>
    </xf>
    <xf numFmtId="0" fontId="11" fillId="0" borderId="31" xfId="0" applyFont="1" applyBorder="1" applyAlignment="1">
      <alignment horizontal="center" vertical="center" wrapText="1"/>
    </xf>
    <xf numFmtId="0" fontId="11" fillId="4" borderId="32" xfId="0" applyFont="1" applyFill="1" applyBorder="1" applyAlignment="1">
      <alignment horizontal="left" vertical="center"/>
    </xf>
    <xf numFmtId="0" fontId="11" fillId="0" borderId="90" xfId="0" applyFont="1" applyBorder="1" applyAlignment="1">
      <alignment horizontal="center" vertical="center" wrapText="1"/>
    </xf>
    <xf numFmtId="0" fontId="11" fillId="4" borderId="97" xfId="0" applyFont="1" applyFill="1" applyBorder="1" applyAlignment="1">
      <alignment horizontal="left" vertical="center"/>
    </xf>
    <xf numFmtId="0" fontId="11" fillId="0" borderId="78" xfId="0" applyFont="1" applyBorder="1" applyAlignment="1">
      <alignment horizontal="center" vertical="center" wrapText="1"/>
    </xf>
    <xf numFmtId="0" fontId="11" fillId="0" borderId="98" xfId="0" applyFont="1" applyBorder="1" applyAlignment="1">
      <alignment horizontal="left" vertical="center"/>
    </xf>
    <xf numFmtId="0" fontId="11" fillId="0" borderId="97" xfId="0" applyFont="1" applyBorder="1" applyAlignment="1">
      <alignment horizontal="left" vertical="center"/>
    </xf>
    <xf numFmtId="0" fontId="11" fillId="0" borderId="79" xfId="0" applyFont="1" applyBorder="1" applyAlignment="1">
      <alignment horizontal="center" vertical="center" wrapText="1"/>
    </xf>
    <xf numFmtId="0" fontId="11" fillId="0" borderId="99" xfId="0" applyFont="1" applyBorder="1" applyAlignment="1">
      <alignment horizontal="left" vertical="center"/>
    </xf>
    <xf numFmtId="0" fontId="10" fillId="0" borderId="98" xfId="0" applyFont="1" applyBorder="1" applyAlignment="1">
      <alignment horizontal="left" vertical="center"/>
    </xf>
    <xf numFmtId="0" fontId="11" fillId="0" borderId="100" xfId="0" applyFont="1" applyBorder="1" applyAlignment="1">
      <alignment horizontal="left" vertical="center"/>
    </xf>
    <xf numFmtId="0" fontId="11" fillId="0" borderId="101" xfId="0" applyFont="1" applyBorder="1" applyAlignment="1">
      <alignment horizontal="center" vertical="center"/>
    </xf>
    <xf numFmtId="0" fontId="11" fillId="0" borderId="86" xfId="0" applyFont="1" applyBorder="1" applyAlignment="1">
      <alignment horizontal="center" vertical="center"/>
    </xf>
    <xf numFmtId="0" fontId="11" fillId="0" borderId="83" xfId="0" applyFont="1" applyBorder="1" applyAlignment="1">
      <alignment horizontal="center" vertical="center"/>
    </xf>
    <xf numFmtId="0" fontId="11" fillId="0" borderId="71" xfId="0" applyFont="1" applyBorder="1" applyAlignment="1">
      <alignment horizontal="center" vertical="center"/>
    </xf>
    <xf numFmtId="0" fontId="10" fillId="0" borderId="50" xfId="0" applyFont="1" applyBorder="1" applyAlignment="1">
      <alignment horizontal="center" vertical="center"/>
    </xf>
    <xf numFmtId="0" fontId="10" fillId="0" borderId="97" xfId="0" applyFont="1" applyBorder="1" applyAlignment="1">
      <alignment horizontal="center" vertical="center"/>
    </xf>
    <xf numFmtId="0" fontId="10" fillId="5" borderId="50" xfId="0" applyFont="1" applyFill="1" applyBorder="1" applyAlignment="1">
      <alignment horizontal="center" vertical="center"/>
    </xf>
    <xf numFmtId="0" fontId="10" fillId="5" borderId="97" xfId="0" applyFont="1" applyFill="1" applyBorder="1" applyAlignment="1">
      <alignment horizontal="center" vertical="center"/>
    </xf>
    <xf numFmtId="0" fontId="10" fillId="0" borderId="93" xfId="0" applyFont="1" applyBorder="1" applyAlignment="1">
      <alignment horizontal="center" vertical="center"/>
    </xf>
    <xf numFmtId="0" fontId="10" fillId="0" borderId="100" xfId="0" applyFont="1" applyBorder="1" applyAlignment="1">
      <alignment horizontal="center" vertical="center"/>
    </xf>
    <xf numFmtId="0" fontId="10" fillId="21" borderId="93" xfId="0" applyFont="1" applyFill="1" applyBorder="1" applyAlignment="1">
      <alignment horizontal="center" vertical="center"/>
    </xf>
    <xf numFmtId="0" fontId="10" fillId="21" borderId="100" xfId="0" applyFont="1" applyFill="1" applyBorder="1" applyAlignment="1">
      <alignment horizontal="center" vertical="center"/>
    </xf>
    <xf numFmtId="0" fontId="10" fillId="5" borderId="35" xfId="0" applyFont="1" applyFill="1" applyBorder="1" applyAlignment="1">
      <alignment horizontal="center" vertical="center"/>
    </xf>
    <xf numFmtId="0" fontId="11" fillId="0" borderId="33" xfId="0" applyFont="1" applyBorder="1" applyAlignment="1">
      <alignment horizontal="center" vertical="center"/>
    </xf>
    <xf numFmtId="0" fontId="9" fillId="0" borderId="18" xfId="0" applyFont="1" applyBorder="1" applyAlignment="1">
      <alignment horizontal="center" vertical="center" wrapText="1" shrinkToFit="1"/>
    </xf>
    <xf numFmtId="0" fontId="9" fillId="0" borderId="0" xfId="0" applyFont="1" applyAlignment="1">
      <alignment horizontal="center" vertical="center"/>
    </xf>
    <xf numFmtId="0" fontId="10" fillId="0" borderId="32" xfId="0" applyFont="1" applyBorder="1" applyAlignment="1">
      <alignment horizontal="left" vertical="center"/>
    </xf>
    <xf numFmtId="0" fontId="9" fillId="0" borderId="0" xfId="0" applyFont="1"/>
    <xf numFmtId="0" fontId="9" fillId="0" borderId="0" xfId="0" applyFont="1" applyAlignment="1">
      <alignment vertical="center"/>
    </xf>
    <xf numFmtId="0" fontId="13" fillId="6" borderId="4" xfId="0" applyFont="1" applyFill="1" applyBorder="1" applyAlignment="1">
      <alignment horizontal="center" vertical="center" wrapText="1"/>
    </xf>
    <xf numFmtId="0" fontId="9" fillId="0" borderId="40" xfId="0" applyFont="1" applyBorder="1" applyAlignment="1">
      <alignment horizontal="center" vertical="center"/>
    </xf>
    <xf numFmtId="0" fontId="9" fillId="0" borderId="41" xfId="0" applyFont="1" applyBorder="1" applyAlignment="1">
      <alignment horizontal="center" vertical="center"/>
    </xf>
    <xf numFmtId="0" fontId="9" fillId="0" borderId="40" xfId="0" applyFont="1" applyBorder="1" applyAlignment="1">
      <alignment vertical="center" wrapText="1"/>
    </xf>
    <xf numFmtId="165" fontId="13" fillId="3" borderId="33" xfId="0" applyNumberFormat="1" applyFont="1" applyFill="1" applyBorder="1" applyAlignment="1">
      <alignment horizontal="center" vertical="center" wrapText="1"/>
    </xf>
    <xf numFmtId="165" fontId="13" fillId="3" borderId="34" xfId="0" applyNumberFormat="1" applyFont="1" applyFill="1" applyBorder="1" applyAlignment="1">
      <alignment horizontal="center" vertical="center" wrapText="1"/>
    </xf>
    <xf numFmtId="165" fontId="13" fillId="3" borderId="35" xfId="0" applyNumberFormat="1" applyFont="1" applyFill="1" applyBorder="1" applyAlignment="1">
      <alignment horizontal="center" vertical="center" wrapText="1"/>
    </xf>
    <xf numFmtId="0" fontId="26" fillId="3" borderId="33" xfId="0" applyFont="1" applyFill="1" applyBorder="1" applyAlignment="1">
      <alignment horizontal="center" vertical="top" wrapText="1"/>
    </xf>
    <xf numFmtId="0" fontId="26" fillId="3" borderId="34" xfId="0" applyFont="1" applyFill="1" applyBorder="1" applyAlignment="1">
      <alignment horizontal="center" vertical="top" wrapText="1"/>
    </xf>
    <xf numFmtId="0" fontId="26" fillId="3" borderId="35" xfId="0" applyFont="1" applyFill="1" applyBorder="1" applyAlignment="1">
      <alignment horizontal="center" vertical="top" wrapText="1"/>
    </xf>
    <xf numFmtId="0" fontId="9" fillId="0" borderId="0" xfId="0" applyFont="1" applyAlignment="1">
      <alignment wrapText="1"/>
    </xf>
    <xf numFmtId="0" fontId="13" fillId="3" borderId="13" xfId="0" applyFont="1" applyFill="1" applyBorder="1" applyAlignment="1">
      <alignment horizontal="right" vertical="center" wrapText="1"/>
    </xf>
    <xf numFmtId="0" fontId="13" fillId="3" borderId="10" xfId="0" applyFont="1" applyFill="1" applyBorder="1" applyAlignment="1">
      <alignment horizontal="right" vertical="center" wrapText="1"/>
    </xf>
    <xf numFmtId="0" fontId="13" fillId="3" borderId="9" xfId="0" applyFont="1" applyFill="1" applyBorder="1" applyAlignment="1">
      <alignment horizontal="right" vertical="center" wrapText="1"/>
    </xf>
    <xf numFmtId="0" fontId="13" fillId="3" borderId="3" xfId="0" applyFont="1" applyFill="1" applyBorder="1" applyAlignment="1">
      <alignment horizontal="right" vertical="center" wrapText="1"/>
    </xf>
    <xf numFmtId="0" fontId="13" fillId="3" borderId="4" xfId="0" applyFont="1" applyFill="1" applyBorder="1" applyAlignment="1">
      <alignment horizontal="right" vertical="center" wrapText="1"/>
    </xf>
    <xf numFmtId="0" fontId="13" fillId="3" borderId="0" xfId="0" applyFont="1" applyFill="1" applyAlignment="1">
      <alignment horizontal="right" vertical="center" wrapText="1"/>
    </xf>
    <xf numFmtId="0" fontId="0" fillId="0" borderId="54" xfId="0" applyBorder="1" applyAlignment="1">
      <alignment vertical="center" wrapText="1"/>
    </xf>
    <xf numFmtId="0" fontId="0" fillId="0" borderId="41" xfId="0" applyBorder="1" applyAlignment="1">
      <alignment vertical="center" wrapText="1"/>
    </xf>
    <xf numFmtId="0" fontId="0" fillId="0" borderId="5" xfId="0" applyBorder="1" applyAlignment="1">
      <alignment wrapText="1"/>
    </xf>
    <xf numFmtId="0" fontId="9" fillId="0" borderId="18"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17" xfId="0" applyFont="1" applyBorder="1" applyAlignment="1">
      <alignment horizontal="center" vertical="center" wrapText="1"/>
    </xf>
    <xf numFmtId="0" fontId="9" fillId="0" borderId="18" xfId="0" applyFont="1" applyBorder="1" applyAlignment="1">
      <alignment horizontal="center" vertical="center"/>
    </xf>
    <xf numFmtId="0" fontId="9" fillId="0" borderId="19" xfId="0" applyFont="1" applyBorder="1" applyAlignment="1">
      <alignment horizontal="center" vertical="center" wrapText="1" shrinkToFit="1"/>
    </xf>
    <xf numFmtId="0" fontId="9" fillId="0" borderId="18" xfId="0" applyFont="1" applyBorder="1" applyAlignment="1">
      <alignment horizontal="center" vertical="center" shrinkToFit="1"/>
    </xf>
    <xf numFmtId="0" fontId="9" fillId="0" borderId="54" xfId="0" applyFont="1" applyBorder="1" applyAlignment="1">
      <alignment vertical="center" wrapText="1"/>
    </xf>
    <xf numFmtId="0" fontId="10" fillId="0" borderId="97" xfId="0" applyFont="1" applyBorder="1" applyAlignment="1">
      <alignment horizontal="left" vertical="center"/>
    </xf>
    <xf numFmtId="0" fontId="9" fillId="0" borderId="54" xfId="0" applyFont="1" applyBorder="1" applyAlignment="1">
      <alignment horizontal="center" vertical="center"/>
    </xf>
    <xf numFmtId="0" fontId="9" fillId="0" borderId="89" xfId="0" applyFont="1" applyBorder="1" applyAlignment="1">
      <alignment horizontal="center" vertical="center"/>
    </xf>
    <xf numFmtId="0" fontId="10" fillId="0" borderId="99" xfId="0" applyFont="1" applyBorder="1" applyAlignment="1">
      <alignment horizontal="left" vertical="center"/>
    </xf>
    <xf numFmtId="0" fontId="9" fillId="0" borderId="4" xfId="0" applyFont="1" applyBorder="1" applyAlignment="1">
      <alignment horizontal="center" vertical="center"/>
    </xf>
    <xf numFmtId="0" fontId="10" fillId="0" borderId="98" xfId="0" applyFont="1" applyBorder="1" applyAlignment="1">
      <alignment horizontal="left" vertical="center" wrapText="1"/>
    </xf>
    <xf numFmtId="0" fontId="10" fillId="0" borderId="32" xfId="0" applyFont="1" applyBorder="1" applyAlignment="1">
      <alignment horizontal="left" vertical="center" wrapText="1"/>
    </xf>
    <xf numFmtId="0" fontId="10" fillId="0" borderId="97" xfId="0" applyFont="1" applyBorder="1" applyAlignment="1">
      <alignment horizontal="left" vertical="center" wrapText="1"/>
    </xf>
    <xf numFmtId="0" fontId="20" fillId="9" borderId="52" xfId="0" applyFont="1" applyFill="1" applyBorder="1" applyAlignment="1">
      <alignment horizontal="center"/>
    </xf>
    <xf numFmtId="0" fontId="20" fillId="9" borderId="56" xfId="0" applyFont="1" applyFill="1" applyBorder="1" applyAlignment="1">
      <alignment horizontal="center"/>
    </xf>
    <xf numFmtId="0" fontId="21" fillId="18" borderId="52" xfId="0" applyFont="1" applyFill="1" applyBorder="1"/>
    <xf numFmtId="0" fontId="13" fillId="9" borderId="55" xfId="0" applyFont="1" applyFill="1" applyBorder="1" applyAlignment="1">
      <alignment horizontal="center"/>
    </xf>
    <xf numFmtId="0" fontId="9" fillId="18" borderId="55" xfId="0" applyFont="1" applyFill="1" applyBorder="1"/>
    <xf numFmtId="0" fontId="21" fillId="18" borderId="56" xfId="0" applyFont="1" applyFill="1" applyBorder="1"/>
    <xf numFmtId="0" fontId="9" fillId="18" borderId="56" xfId="0" applyFont="1" applyFill="1" applyBorder="1"/>
    <xf numFmtId="14" fontId="0" fillId="0" borderId="85" xfId="0" applyNumberFormat="1" applyBorder="1" applyAlignment="1">
      <alignment horizontal="center" vertical="center" wrapText="1" shrinkToFit="1"/>
    </xf>
    <xf numFmtId="0" fontId="0" fillId="0" borderId="86" xfId="0" applyBorder="1" applyAlignment="1">
      <alignment horizontal="center" vertical="center" wrapText="1" shrinkToFit="1"/>
    </xf>
    <xf numFmtId="0" fontId="0" fillId="0" borderId="80" xfId="0" applyBorder="1" applyAlignment="1">
      <alignment horizontal="center" vertical="center" wrapText="1" shrinkToFit="1"/>
    </xf>
    <xf numFmtId="0" fontId="0" fillId="0" borderId="82" xfId="0" applyBorder="1" applyAlignment="1">
      <alignment horizontal="center" vertical="center" wrapText="1" shrinkToFit="1"/>
    </xf>
    <xf numFmtId="0" fontId="0" fillId="0" borderId="102" xfId="0" applyBorder="1" applyAlignment="1">
      <alignment horizontal="center" vertical="center"/>
    </xf>
    <xf numFmtId="0" fontId="0" fillId="0" borderId="103" xfId="0" applyBorder="1" applyAlignment="1">
      <alignment horizontal="center" vertical="center" wrapText="1"/>
    </xf>
    <xf numFmtId="0" fontId="9" fillId="0" borderId="103" xfId="0" applyFont="1" applyBorder="1" applyAlignment="1">
      <alignment horizontal="center" vertical="center" wrapText="1" shrinkToFit="1"/>
    </xf>
    <xf numFmtId="0" fontId="0" fillId="0" borderId="103" xfId="0" applyBorder="1" applyAlignment="1">
      <alignment horizontal="center" vertical="center" wrapText="1" shrinkToFit="1"/>
    </xf>
    <xf numFmtId="14" fontId="0" fillId="0" borderId="103" xfId="0" applyNumberFormat="1" applyBorder="1" applyAlignment="1">
      <alignment horizontal="center" vertical="center" wrapText="1" shrinkToFit="1"/>
    </xf>
    <xf numFmtId="14" fontId="0" fillId="0" borderId="80" xfId="0" applyNumberFormat="1" applyBorder="1" applyAlignment="1">
      <alignment horizontal="center" vertical="center" wrapText="1"/>
    </xf>
    <xf numFmtId="14" fontId="0" fillId="0" borderId="81" xfId="0" applyNumberFormat="1" applyBorder="1" applyAlignment="1">
      <alignment horizontal="center" vertical="center" wrapText="1"/>
    </xf>
    <xf numFmtId="0" fontId="9" fillId="0" borderId="17" xfId="0" applyFont="1" applyBorder="1" applyAlignment="1">
      <alignment horizontal="center" vertical="center" wrapText="1" shrinkToFit="1"/>
    </xf>
    <xf numFmtId="14" fontId="0" fillId="0" borderId="17" xfId="0" applyNumberFormat="1" applyBorder="1" applyAlignment="1">
      <alignment horizontal="center" vertical="center" wrapText="1" shrinkToFit="1"/>
    </xf>
    <xf numFmtId="14" fontId="0" fillId="0" borderId="82" xfId="0" applyNumberFormat="1" applyBorder="1" applyAlignment="1">
      <alignment horizontal="center" vertical="center" wrapText="1"/>
    </xf>
    <xf numFmtId="0" fontId="0" fillId="0" borderId="83" xfId="0" applyBorder="1" applyAlignment="1">
      <alignment horizontal="center" vertical="center" wrapText="1"/>
    </xf>
    <xf numFmtId="0" fontId="27" fillId="0" borderId="0" xfId="4" applyFont="1"/>
    <xf numFmtId="0" fontId="28" fillId="0" borderId="0" xfId="4" applyFont="1" applyAlignment="1" applyProtection="1">
      <alignment shrinkToFit="1"/>
      <protection locked="0"/>
    </xf>
    <xf numFmtId="0" fontId="29" fillId="0" borderId="0" xfId="4" applyFont="1" applyAlignment="1">
      <alignment vertical="top"/>
    </xf>
    <xf numFmtId="0" fontId="10" fillId="0" borderId="0" xfId="4" applyProtection="1">
      <protection locked="0"/>
    </xf>
    <xf numFmtId="0" fontId="1" fillId="23" borderId="52" xfId="0" quotePrefix="1" applyFont="1" applyFill="1" applyBorder="1"/>
    <xf numFmtId="0" fontId="0" fillId="23" borderId="56" xfId="0" quotePrefix="1" applyFill="1" applyBorder="1"/>
    <xf numFmtId="0" fontId="1" fillId="23" borderId="56" xfId="0" quotePrefix="1" applyFont="1" applyFill="1" applyBorder="1" applyAlignment="1">
      <alignment horizontal="right"/>
    </xf>
    <xf numFmtId="0" fontId="1" fillId="23" borderId="105" xfId="0" quotePrefix="1" applyFont="1" applyFill="1" applyBorder="1" applyAlignment="1">
      <alignment horizontal="left"/>
    </xf>
    <xf numFmtId="167" fontId="13" fillId="23" borderId="1" xfId="4" applyNumberFormat="1" applyFont="1" applyFill="1" applyBorder="1" applyAlignment="1">
      <alignment horizontal="center" vertical="top"/>
    </xf>
    <xf numFmtId="0" fontId="13" fillId="23" borderId="1" xfId="4" applyFont="1" applyFill="1" applyBorder="1" applyAlignment="1">
      <alignment horizontal="center" wrapText="1"/>
    </xf>
    <xf numFmtId="0" fontId="9" fillId="0" borderId="1" xfId="4" applyFont="1" applyBorder="1" applyAlignment="1" applyProtection="1">
      <alignment horizontal="center" vertical="top" wrapText="1"/>
      <protection locked="0"/>
    </xf>
    <xf numFmtId="0" fontId="9" fillId="0" borderId="1" xfId="4" applyFont="1" applyBorder="1" applyAlignment="1" applyProtection="1">
      <alignment vertical="top" wrapText="1"/>
      <protection locked="0"/>
    </xf>
    <xf numFmtId="167" fontId="9" fillId="0" borderId="1" xfId="4" applyNumberFormat="1" applyFont="1" applyBorder="1" applyAlignment="1" applyProtection="1">
      <alignment horizontal="center" vertical="top"/>
      <protection locked="0"/>
    </xf>
    <xf numFmtId="0" fontId="9" fillId="0" borderId="1" xfId="4" applyFont="1" applyBorder="1" applyAlignment="1" applyProtection="1">
      <alignment horizontal="left" vertical="top" wrapText="1"/>
      <protection locked="0"/>
    </xf>
    <xf numFmtId="0" fontId="9" fillId="0" borderId="1" xfId="4" applyFont="1" applyBorder="1" applyAlignment="1" applyProtection="1">
      <alignment horizontal="center" vertical="top"/>
      <protection locked="0"/>
    </xf>
    <xf numFmtId="0" fontId="9" fillId="0" borderId="1" xfId="4" applyFont="1" applyBorder="1" applyAlignment="1" applyProtection="1">
      <alignment vertical="top"/>
      <protection locked="0"/>
    </xf>
    <xf numFmtId="0" fontId="9" fillId="0" borderId="1" xfId="4" applyFont="1" applyBorder="1" applyAlignment="1" applyProtection="1">
      <alignment horizontal="left" vertical="top"/>
      <protection locked="0"/>
    </xf>
    <xf numFmtId="167" fontId="30" fillId="0" borderId="1" xfId="4" applyNumberFormat="1" applyFont="1" applyBorder="1" applyAlignment="1" applyProtection="1">
      <alignment horizontal="center" vertical="top"/>
      <protection locked="0"/>
    </xf>
    <xf numFmtId="0" fontId="1" fillId="23" borderId="52" xfId="0" applyFont="1" applyFill="1" applyBorder="1" applyAlignment="1">
      <alignment horizontal="right" vertical="top"/>
    </xf>
    <xf numFmtId="0" fontId="0" fillId="0" borderId="1" xfId="0" applyBorder="1" applyAlignment="1" applyProtection="1">
      <alignment vertical="top"/>
      <protection locked="0"/>
    </xf>
    <xf numFmtId="0" fontId="0" fillId="23" borderId="1" xfId="0" applyFill="1" applyBorder="1" applyAlignment="1">
      <alignment vertical="top"/>
    </xf>
    <xf numFmtId="0" fontId="0" fillId="23" borderId="1" xfId="0" applyFill="1" applyBorder="1" applyAlignment="1">
      <alignment horizontal="left" vertical="top"/>
    </xf>
    <xf numFmtId="0" fontId="0" fillId="23" borderId="50" xfId="0" applyFill="1" applyBorder="1" applyAlignment="1">
      <alignment horizontal="left" vertical="top"/>
    </xf>
    <xf numFmtId="0" fontId="0" fillId="23" borderId="50" xfId="0" applyFill="1" applyBorder="1" applyAlignment="1">
      <alignment vertical="top"/>
    </xf>
    <xf numFmtId="0" fontId="31" fillId="0" borderId="50" xfId="5" applyBorder="1" applyAlignment="1" applyProtection="1">
      <alignment vertical="top"/>
      <protection locked="0"/>
    </xf>
    <xf numFmtId="0" fontId="0" fillId="0" borderId="0" xfId="0" applyAlignment="1" applyProtection="1">
      <alignment vertical="top"/>
      <protection locked="0"/>
    </xf>
    <xf numFmtId="0" fontId="23" fillId="0" borderId="0" xfId="0" applyFont="1" applyAlignment="1">
      <alignment vertical="top"/>
    </xf>
    <xf numFmtId="0" fontId="34" fillId="0" borderId="0" xfId="0" applyFont="1" applyAlignment="1">
      <alignment vertical="top"/>
    </xf>
    <xf numFmtId="0" fontId="1" fillId="23" borderId="1" xfId="0" applyFont="1" applyFill="1" applyBorder="1" applyAlignment="1">
      <alignment vertical="top"/>
    </xf>
    <xf numFmtId="0" fontId="35" fillId="24" borderId="1" xfId="0" applyFont="1" applyFill="1" applyBorder="1" applyAlignment="1" applyProtection="1">
      <alignment vertical="top" wrapText="1"/>
      <protection locked="0"/>
    </xf>
    <xf numFmtId="0" fontId="36" fillId="4" borderId="1" xfId="0" applyFont="1" applyFill="1" applyBorder="1" applyAlignment="1" applyProtection="1">
      <alignment vertical="top" wrapText="1"/>
      <protection locked="0"/>
    </xf>
    <xf numFmtId="0" fontId="0" fillId="4" borderId="0" xfId="0" applyFill="1" applyAlignment="1" applyProtection="1">
      <alignment vertical="top" wrapText="1"/>
      <protection locked="0"/>
    </xf>
    <xf numFmtId="0" fontId="36" fillId="4" borderId="1" xfId="0" quotePrefix="1" applyFont="1" applyFill="1" applyBorder="1" applyAlignment="1" applyProtection="1">
      <alignment vertical="top" wrapText="1"/>
      <protection locked="0"/>
    </xf>
    <xf numFmtId="0" fontId="36" fillId="24" borderId="1" xfId="0" applyFont="1"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lignment wrapText="1"/>
    </xf>
    <xf numFmtId="0" fontId="32" fillId="0" borderId="0" xfId="9" applyAlignment="1" applyProtection="1">
      <alignment vertical="center"/>
      <protection locked="0"/>
    </xf>
    <xf numFmtId="0" fontId="32" fillId="0" borderId="0" xfId="9" applyProtection="1">
      <protection locked="0"/>
    </xf>
    <xf numFmtId="0" fontId="32" fillId="0" borderId="0" xfId="6" applyAlignment="1" applyProtection="1">
      <alignment horizontal="center"/>
      <protection locked="0"/>
    </xf>
    <xf numFmtId="0" fontId="38" fillId="0" borderId="0" xfId="6" applyFont="1" applyAlignment="1" applyProtection="1">
      <alignment horizontal="center"/>
      <protection locked="0"/>
    </xf>
    <xf numFmtId="0" fontId="38" fillId="0" borderId="0" xfId="6" applyFont="1" applyAlignment="1">
      <alignment horizontal="center"/>
    </xf>
    <xf numFmtId="0" fontId="32" fillId="0" borderId="0" xfId="6" applyProtection="1">
      <protection locked="0"/>
    </xf>
    <xf numFmtId="0" fontId="32" fillId="0" borderId="0" xfId="6"/>
    <xf numFmtId="0" fontId="32" fillId="0" borderId="0" xfId="9"/>
    <xf numFmtId="0" fontId="39" fillId="25" borderId="0" xfId="6" applyFont="1" applyFill="1" applyAlignment="1" applyProtection="1">
      <alignment horizontal="center"/>
      <protection locked="0"/>
    </xf>
    <xf numFmtId="0" fontId="32" fillId="0" borderId="0" xfId="6" applyAlignment="1">
      <alignment horizontal="center"/>
    </xf>
    <xf numFmtId="0" fontId="39" fillId="25" borderId="1" xfId="6" applyFont="1" applyFill="1" applyBorder="1" applyAlignment="1" applyProtection="1">
      <alignment horizontal="left" vertical="center"/>
      <protection locked="0"/>
    </xf>
    <xf numFmtId="0" fontId="39" fillId="25" borderId="1" xfId="6" applyFont="1" applyFill="1" applyBorder="1" applyAlignment="1" applyProtection="1">
      <alignment horizontal="center"/>
      <protection locked="0"/>
    </xf>
    <xf numFmtId="0" fontId="39" fillId="25" borderId="1" xfId="6" applyFont="1" applyFill="1" applyBorder="1" applyAlignment="1">
      <alignment horizontal="center"/>
    </xf>
    <xf numFmtId="0" fontId="39" fillId="25" borderId="1" xfId="6" applyFont="1" applyFill="1" applyBorder="1" applyProtection="1">
      <protection locked="0"/>
    </xf>
    <xf numFmtId="0" fontId="32" fillId="0" borderId="74" xfId="6" applyBorder="1" applyAlignment="1" applyProtection="1">
      <alignment vertical="center"/>
      <protection locked="0"/>
    </xf>
    <xf numFmtId="0" fontId="32" fillId="0" borderId="55" xfId="6" applyBorder="1" applyAlignment="1" applyProtection="1">
      <alignment horizontal="center" vertical="center"/>
      <protection locked="0"/>
    </xf>
    <xf numFmtId="0" fontId="32" fillId="0" borderId="1" xfId="6" applyBorder="1" applyAlignment="1" applyProtection="1">
      <alignment horizontal="center"/>
      <protection locked="0"/>
    </xf>
    <xf numFmtId="0" fontId="32" fillId="0" borderId="1" xfId="6" applyBorder="1" applyAlignment="1">
      <alignment horizontal="center"/>
    </xf>
    <xf numFmtId="0" fontId="32" fillId="0" borderId="52" xfId="6" applyBorder="1" applyAlignment="1" applyProtection="1">
      <alignment horizontal="center"/>
      <protection locked="0"/>
    </xf>
    <xf numFmtId="0" fontId="32" fillId="0" borderId="1" xfId="6" applyBorder="1" applyAlignment="1" applyProtection="1">
      <alignment horizontal="left" vertical="center"/>
      <protection locked="0"/>
    </xf>
    <xf numFmtId="0" fontId="32" fillId="0" borderId="52" xfId="6" applyBorder="1" applyProtection="1">
      <protection locked="0"/>
    </xf>
    <xf numFmtId="0" fontId="40" fillId="0" borderId="1" xfId="6" applyFont="1" applyBorder="1" applyAlignment="1" applyProtection="1">
      <alignment horizontal="center"/>
      <protection locked="0"/>
    </xf>
    <xf numFmtId="0" fontId="40" fillId="0" borderId="1" xfId="6" applyFont="1" applyBorder="1" applyAlignment="1">
      <alignment horizontal="center"/>
    </xf>
    <xf numFmtId="168" fontId="32" fillId="0" borderId="1" xfId="6" applyNumberFormat="1" applyBorder="1" applyAlignment="1" applyProtection="1">
      <alignment horizontal="center"/>
      <protection locked="0"/>
    </xf>
    <xf numFmtId="9" fontId="40" fillId="0" borderId="1" xfId="6" applyNumberFormat="1" applyFont="1" applyBorder="1" applyAlignment="1" applyProtection="1">
      <alignment horizontal="center"/>
      <protection locked="0"/>
    </xf>
    <xf numFmtId="9" fontId="32" fillId="0" borderId="1" xfId="6" applyNumberFormat="1" applyBorder="1" applyAlignment="1" applyProtection="1">
      <alignment horizontal="center"/>
      <protection locked="0"/>
    </xf>
    <xf numFmtId="0" fontId="32" fillId="0" borderId="1" xfId="6" applyBorder="1" applyAlignment="1" applyProtection="1">
      <alignment vertical="center"/>
      <protection locked="0"/>
    </xf>
    <xf numFmtId="10" fontId="32" fillId="0" borderId="1" xfId="6" applyNumberFormat="1" applyBorder="1" applyAlignment="1" applyProtection="1">
      <alignment horizontal="center"/>
      <protection locked="0"/>
    </xf>
    <xf numFmtId="2" fontId="32" fillId="0" borderId="1" xfId="6" applyNumberFormat="1" applyBorder="1" applyAlignment="1" applyProtection="1">
      <alignment horizontal="center"/>
      <protection locked="0"/>
    </xf>
    <xf numFmtId="1" fontId="32" fillId="0" borderId="1" xfId="6" applyNumberFormat="1" applyBorder="1" applyAlignment="1" applyProtection="1">
      <alignment horizontal="center"/>
      <protection locked="0"/>
    </xf>
    <xf numFmtId="0" fontId="32" fillId="0" borderId="0" xfId="6" applyAlignment="1" applyProtection="1">
      <alignment vertical="center"/>
      <protection locked="0"/>
    </xf>
    <xf numFmtId="0" fontId="32" fillId="0" borderId="116" xfId="6" applyBorder="1" applyAlignment="1" applyProtection="1">
      <alignment horizontal="left" vertical="center"/>
      <protection locked="0"/>
    </xf>
    <xf numFmtId="0" fontId="10" fillId="0" borderId="117" xfId="10" applyFont="1" applyBorder="1"/>
    <xf numFmtId="0" fontId="32" fillId="0" borderId="119" xfId="6" applyBorder="1" applyAlignment="1" applyProtection="1">
      <alignment horizontal="left" vertical="center"/>
      <protection locked="0"/>
    </xf>
    <xf numFmtId="0" fontId="32" fillId="0" borderId="122" xfId="6" applyBorder="1" applyAlignment="1" applyProtection="1">
      <alignment horizontal="left" vertical="center"/>
      <protection locked="0"/>
    </xf>
    <xf numFmtId="0" fontId="32" fillId="0" borderId="117" xfId="6" applyBorder="1" applyAlignment="1" applyProtection="1">
      <alignment horizontal="left" vertical="center"/>
      <protection locked="0"/>
    </xf>
    <xf numFmtId="10" fontId="40" fillId="0" borderId="1" xfId="6" applyNumberFormat="1" applyFont="1" applyBorder="1" applyAlignment="1">
      <alignment horizontal="center"/>
    </xf>
    <xf numFmtId="0" fontId="32" fillId="0" borderId="1" xfId="6" applyBorder="1" applyProtection="1">
      <protection locked="0"/>
    </xf>
    <xf numFmtId="0" fontId="32" fillId="0" borderId="123" xfId="6" applyBorder="1" applyProtection="1">
      <protection locked="0"/>
    </xf>
    <xf numFmtId="168" fontId="40" fillId="0" borderId="1" xfId="6" applyNumberFormat="1" applyFont="1" applyBorder="1" applyAlignment="1">
      <alignment horizontal="center"/>
    </xf>
    <xf numFmtId="0" fontId="32" fillId="0" borderId="124" xfId="6" applyBorder="1" applyAlignment="1" applyProtection="1">
      <alignment horizontal="left" vertical="center"/>
      <protection locked="0"/>
    </xf>
    <xf numFmtId="169" fontId="32" fillId="0" borderId="1" xfId="6" applyNumberFormat="1" applyBorder="1" applyAlignment="1" applyProtection="1">
      <alignment horizontal="center"/>
      <protection locked="0"/>
    </xf>
    <xf numFmtId="0" fontId="10" fillId="0" borderId="124" xfId="10" applyFont="1" applyBorder="1"/>
    <xf numFmtId="0" fontId="32" fillId="0" borderId="125" xfId="6" applyBorder="1" applyAlignment="1" applyProtection="1">
      <alignment horizontal="left" vertical="center"/>
      <protection locked="0"/>
    </xf>
    <xf numFmtId="0" fontId="10" fillId="0" borderId="125" xfId="10" applyFont="1" applyBorder="1"/>
    <xf numFmtId="0" fontId="32" fillId="0" borderId="119" xfId="6" applyBorder="1" applyAlignment="1" applyProtection="1">
      <alignment vertical="center"/>
      <protection locked="0"/>
    </xf>
    <xf numFmtId="0" fontId="32" fillId="0" borderId="126" xfId="6" applyBorder="1" applyAlignment="1" applyProtection="1">
      <alignment horizontal="left" vertical="center"/>
      <protection locked="0"/>
    </xf>
    <xf numFmtId="0" fontId="32" fillId="0" borderId="0" xfId="6" applyAlignment="1" applyProtection="1">
      <alignment horizontal="left" vertical="center"/>
      <protection locked="0"/>
    </xf>
    <xf numFmtId="0" fontId="32" fillId="0" borderId="117" xfId="6" applyBorder="1" applyAlignment="1" applyProtection="1">
      <alignment horizontal="center"/>
      <protection locked="0"/>
    </xf>
    <xf numFmtId="0" fontId="32" fillId="0" borderId="127" xfId="6" applyBorder="1" applyAlignment="1" applyProtection="1">
      <alignment horizontal="center"/>
      <protection locked="0"/>
    </xf>
    <xf numFmtId="0" fontId="10" fillId="0" borderId="1" xfId="10" applyFont="1" applyBorder="1"/>
    <xf numFmtId="0" fontId="32" fillId="0" borderId="122" xfId="6" applyBorder="1" applyProtection="1">
      <protection locked="0"/>
    </xf>
    <xf numFmtId="1" fontId="40" fillId="0" borderId="1" xfId="6" applyNumberFormat="1" applyFont="1" applyBorder="1" applyAlignment="1">
      <alignment horizontal="center"/>
    </xf>
    <xf numFmtId="0" fontId="10" fillId="0" borderId="128" xfId="10" applyFont="1" applyBorder="1"/>
    <xf numFmtId="0" fontId="32" fillId="0" borderId="128" xfId="6" applyBorder="1" applyAlignment="1" applyProtection="1">
      <alignment horizontal="left" vertical="center"/>
      <protection locked="0"/>
    </xf>
    <xf numFmtId="0" fontId="40" fillId="0" borderId="0" xfId="6" applyFont="1" applyAlignment="1" applyProtection="1">
      <alignment horizontal="center"/>
      <protection locked="0"/>
    </xf>
    <xf numFmtId="0" fontId="40" fillId="0" borderId="0" xfId="6" applyFont="1" applyAlignment="1">
      <alignment horizontal="center"/>
    </xf>
    <xf numFmtId="0" fontId="6" fillId="0" borderId="12"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21" fillId="0" borderId="0" xfId="6" applyFont="1" applyAlignment="1">
      <alignment vertical="center"/>
    </xf>
    <xf numFmtId="0" fontId="20" fillId="0" borderId="0" xfId="6" applyFont="1" applyAlignment="1">
      <alignment vertical="center"/>
    </xf>
    <xf numFmtId="0" fontId="21" fillId="0" borderId="0" xfId="6" applyFont="1" applyAlignment="1">
      <alignment vertical="top" wrapText="1"/>
    </xf>
    <xf numFmtId="0" fontId="21" fillId="0" borderId="0" xfId="6" applyFont="1" applyAlignment="1">
      <alignment vertical="center" wrapText="1"/>
    </xf>
    <xf numFmtId="0" fontId="45" fillId="0" borderId="131" xfId="0" applyFont="1" applyBorder="1" applyAlignment="1">
      <alignment vertical="center"/>
    </xf>
    <xf numFmtId="0" fontId="43" fillId="0" borderId="131" xfId="0" applyFont="1" applyBorder="1"/>
    <xf numFmtId="0" fontId="11" fillId="0" borderId="131" xfId="0" applyFont="1" applyBorder="1" applyAlignment="1">
      <alignment vertical="center"/>
    </xf>
    <xf numFmtId="0" fontId="45" fillId="24" borderId="131" xfId="0" applyFont="1" applyFill="1" applyBorder="1"/>
    <xf numFmtId="0" fontId="43" fillId="0" borderId="131" xfId="0" applyFont="1" applyBorder="1" applyAlignment="1">
      <alignment vertical="center"/>
    </xf>
    <xf numFmtId="0" fontId="45" fillId="0" borderId="131" xfId="0" applyFont="1" applyBorder="1"/>
    <xf numFmtId="0" fontId="46" fillId="0" borderId="131" xfId="0" applyFont="1" applyBorder="1" applyAlignment="1">
      <alignment vertical="center"/>
    </xf>
    <xf numFmtId="0" fontId="0" fillId="0" borderId="0" xfId="0" applyAlignment="1">
      <alignment textRotation="60"/>
    </xf>
    <xf numFmtId="0" fontId="47" fillId="0" borderId="0" xfId="0" applyFont="1" applyAlignment="1">
      <alignment horizontal="center" vertical="center"/>
    </xf>
    <xf numFmtId="0" fontId="0" fillId="27" borderId="0" xfId="0" applyFill="1" applyAlignment="1">
      <alignment horizontal="center" vertical="center"/>
    </xf>
    <xf numFmtId="0" fontId="0" fillId="0" borderId="0" xfId="0" applyAlignment="1">
      <alignment horizontal="left" vertical="center"/>
    </xf>
    <xf numFmtId="0" fontId="35" fillId="4" borderId="1" xfId="0" applyFont="1" applyFill="1" applyBorder="1" applyAlignment="1" applyProtection="1">
      <alignment horizontal="center" vertical="center" wrapText="1"/>
      <protection locked="0"/>
    </xf>
    <xf numFmtId="0" fontId="35" fillId="0" borderId="1" xfId="0" applyFont="1" applyBorder="1" applyAlignment="1" applyProtection="1">
      <alignment vertical="center" wrapText="1"/>
      <protection locked="0"/>
    </xf>
    <xf numFmtId="0" fontId="35" fillId="4" borderId="1" xfId="0" applyFont="1" applyFill="1" applyBorder="1" applyAlignment="1" applyProtection="1">
      <alignment vertical="center" wrapText="1"/>
      <protection locked="0"/>
    </xf>
    <xf numFmtId="0" fontId="36" fillId="0" borderId="1" xfId="0" applyFont="1" applyBorder="1" applyAlignment="1" applyProtection="1">
      <alignment vertical="center" wrapText="1"/>
      <protection locked="0"/>
    </xf>
    <xf numFmtId="0" fontId="36" fillId="4" borderId="1" xfId="0" applyFont="1" applyFill="1" applyBorder="1" applyAlignment="1" applyProtection="1">
      <alignment vertical="center" wrapText="1"/>
      <protection locked="0"/>
    </xf>
    <xf numFmtId="170" fontId="47" fillId="0" borderId="135" xfId="0" applyNumberFormat="1" applyFont="1" applyBorder="1" applyAlignment="1">
      <alignment horizontal="center"/>
    </xf>
    <xf numFmtId="0" fontId="47" fillId="0" borderId="129" xfId="0" applyFont="1" applyBorder="1" applyAlignment="1">
      <alignment horizontal="center" vertical="center"/>
    </xf>
    <xf numFmtId="0" fontId="47" fillId="0" borderId="110" xfId="0" applyFont="1" applyBorder="1" applyAlignment="1">
      <alignment horizontal="center" vertical="center"/>
    </xf>
    <xf numFmtId="0" fontId="47" fillId="0" borderId="130" xfId="0" applyFont="1" applyBorder="1" applyAlignment="1">
      <alignment horizontal="center" vertical="center"/>
    </xf>
    <xf numFmtId="0" fontId="44" fillId="30" borderId="134" xfId="0" applyFont="1" applyFill="1" applyBorder="1" applyAlignment="1">
      <alignment vertical="center" textRotation="45"/>
    </xf>
    <xf numFmtId="0" fontId="0" fillId="0" borderId="0" xfId="0" applyAlignment="1">
      <alignment textRotation="45"/>
    </xf>
    <xf numFmtId="0" fontId="48" fillId="0" borderId="131" xfId="0" applyFont="1" applyBorder="1" applyAlignment="1">
      <alignment horizontal="center" vertical="center"/>
    </xf>
    <xf numFmtId="0" fontId="48" fillId="0" borderId="131" xfId="0" applyFont="1" applyBorder="1" applyAlignment="1">
      <alignment horizontal="center"/>
    </xf>
    <xf numFmtId="0" fontId="49" fillId="0" borderId="131" xfId="0" applyFont="1" applyBorder="1" applyAlignment="1">
      <alignment horizontal="center"/>
    </xf>
    <xf numFmtId="0" fontId="50" fillId="0" borderId="131" xfId="0" applyFont="1" applyBorder="1" applyAlignment="1">
      <alignment horizontal="center" vertical="center"/>
    </xf>
    <xf numFmtId="0" fontId="49" fillId="0" borderId="131" xfId="0" applyFont="1" applyBorder="1" applyAlignment="1">
      <alignment horizontal="center" vertical="center"/>
    </xf>
    <xf numFmtId="0" fontId="51" fillId="0" borderId="131" xfId="0" applyFont="1" applyBorder="1" applyAlignment="1">
      <alignment horizontal="center"/>
    </xf>
    <xf numFmtId="0" fontId="52" fillId="0" borderId="131" xfId="0" applyFont="1" applyBorder="1" applyAlignment="1">
      <alignment horizontal="center" vertical="center"/>
    </xf>
    <xf numFmtId="0" fontId="52" fillId="0" borderId="131" xfId="0" applyFont="1" applyBorder="1" applyAlignment="1">
      <alignment horizontal="center"/>
    </xf>
    <xf numFmtId="0" fontId="53" fillId="0" borderId="131" xfId="0" applyFont="1" applyBorder="1" applyAlignment="1">
      <alignment horizontal="center"/>
    </xf>
    <xf numFmtId="0" fontId="48" fillId="0" borderId="131" xfId="0" applyFont="1" applyBorder="1" applyAlignment="1">
      <alignment vertical="center"/>
    </xf>
    <xf numFmtId="0" fontId="53" fillId="0" borderId="131" xfId="0" applyFont="1" applyBorder="1" applyAlignment="1">
      <alignment horizontal="center" vertical="center"/>
    </xf>
    <xf numFmtId="0" fontId="47" fillId="0" borderId="140" xfId="0" applyFont="1" applyBorder="1" applyAlignment="1" applyProtection="1">
      <alignment horizontal="center" vertical="center"/>
      <protection locked="0"/>
    </xf>
    <xf numFmtId="0" fontId="47" fillId="0" borderId="129" xfId="0" applyFont="1" applyBorder="1" applyAlignment="1" applyProtection="1">
      <alignment horizontal="center" vertical="center"/>
      <protection locked="0"/>
    </xf>
    <xf numFmtId="0" fontId="47" fillId="0" borderId="111" xfId="0" applyFont="1" applyBorder="1" applyAlignment="1" applyProtection="1">
      <alignment horizontal="center" vertical="center"/>
      <protection locked="0"/>
    </xf>
    <xf numFmtId="0" fontId="47" fillId="0" borderId="137" xfId="0" applyFont="1" applyBorder="1" applyAlignment="1" applyProtection="1">
      <alignment horizontal="center" vertical="center"/>
      <protection locked="0"/>
    </xf>
    <xf numFmtId="0" fontId="47" fillId="0" borderId="135" xfId="0" applyFont="1" applyBorder="1" applyAlignment="1" applyProtection="1">
      <alignment horizontal="center" vertical="center"/>
      <protection locked="0"/>
    </xf>
    <xf numFmtId="0" fontId="47" fillId="0" borderId="110" xfId="0" applyFont="1" applyBorder="1" applyAlignment="1" applyProtection="1">
      <alignment horizontal="center" vertical="center"/>
      <protection locked="0"/>
    </xf>
    <xf numFmtId="0" fontId="47" fillId="0" borderId="113" xfId="0" applyFont="1" applyBorder="1" applyAlignment="1" applyProtection="1">
      <alignment horizontal="center" vertical="center"/>
      <protection locked="0"/>
    </xf>
    <xf numFmtId="0" fontId="47" fillId="0" borderId="130" xfId="0" applyFont="1" applyBorder="1" applyAlignment="1" applyProtection="1">
      <alignment horizontal="center" vertical="center"/>
      <protection locked="0"/>
    </xf>
    <xf numFmtId="0" fontId="10" fillId="0" borderId="132" xfId="0" applyFont="1" applyBorder="1" applyAlignment="1" applyProtection="1">
      <alignment horizontal="center" vertical="center"/>
      <protection locked="0"/>
    </xf>
    <xf numFmtId="0" fontId="11" fillId="0" borderId="132" xfId="0" applyFont="1" applyBorder="1" applyAlignment="1" applyProtection="1">
      <alignment horizontal="center" vertical="center"/>
      <protection locked="0"/>
    </xf>
    <xf numFmtId="0" fontId="10" fillId="0" borderId="132" xfId="0" applyFont="1" applyBorder="1" applyAlignment="1" applyProtection="1">
      <alignment horizontal="center" vertical="center" wrapText="1"/>
      <protection locked="0"/>
    </xf>
    <xf numFmtId="0" fontId="0" fillId="0" borderId="0" xfId="0" applyAlignment="1" applyProtection="1">
      <alignment horizontal="center" textRotation="90"/>
      <protection locked="0"/>
    </xf>
    <xf numFmtId="0" fontId="47" fillId="0" borderId="61" xfId="0" applyFont="1" applyBorder="1" applyAlignment="1" applyProtection="1">
      <alignment horizontal="center" vertical="center"/>
      <protection locked="0"/>
    </xf>
    <xf numFmtId="0" fontId="47" fillId="0" borderId="136" xfId="0" applyFont="1" applyBorder="1" applyAlignment="1" applyProtection="1">
      <alignment horizontal="center" vertical="center"/>
      <protection locked="0"/>
    </xf>
    <xf numFmtId="0" fontId="0" fillId="0" borderId="0" xfId="0" applyAlignment="1" applyProtection="1">
      <alignment horizontal="center"/>
      <protection locked="0"/>
    </xf>
    <xf numFmtId="0" fontId="47" fillId="0" borderId="141" xfId="0" applyFont="1" applyBorder="1" applyAlignment="1">
      <alignment horizontal="center" vertical="center"/>
    </xf>
    <xf numFmtId="0" fontId="47" fillId="0" borderId="107" xfId="0" applyFont="1" applyBorder="1" applyAlignment="1">
      <alignment horizontal="center" vertical="center"/>
    </xf>
    <xf numFmtId="0" fontId="17" fillId="8" borderId="57" xfId="0" applyFont="1" applyFill="1" applyBorder="1" applyAlignment="1">
      <alignment horizontal="center" vertical="center" wrapText="1"/>
    </xf>
    <xf numFmtId="0" fontId="17" fillId="8" borderId="57" xfId="0" applyFont="1" applyFill="1" applyBorder="1" applyAlignment="1">
      <alignment horizontal="left" vertical="center" wrapText="1"/>
    </xf>
    <xf numFmtId="0" fontId="5" fillId="4" borderId="3" xfId="0" applyFont="1" applyFill="1" applyBorder="1" applyAlignment="1" applyProtection="1">
      <alignment horizontal="center" wrapText="1"/>
      <protection locked="0"/>
    </xf>
    <xf numFmtId="0" fontId="10" fillId="0" borderId="143" xfId="0" applyFont="1" applyBorder="1" applyAlignment="1" applyProtection="1">
      <alignment horizontal="center" vertical="center"/>
      <protection locked="0"/>
    </xf>
    <xf numFmtId="0" fontId="47" fillId="0" borderId="64" xfId="0" applyFont="1" applyBorder="1" applyAlignment="1" applyProtection="1">
      <alignment horizontal="center" vertical="center"/>
      <protection locked="0"/>
    </xf>
    <xf numFmtId="0" fontId="47" fillId="0" borderId="145" xfId="0" applyFont="1" applyBorder="1" applyAlignment="1">
      <alignment horizontal="center" vertical="center"/>
    </xf>
    <xf numFmtId="0" fontId="47" fillId="0" borderId="106" xfId="0" applyFont="1" applyBorder="1" applyAlignment="1">
      <alignment horizontal="center" vertical="center"/>
    </xf>
    <xf numFmtId="0" fontId="47" fillId="0" borderId="146" xfId="0" applyFont="1" applyBorder="1" applyAlignment="1">
      <alignment horizontal="center" vertical="center"/>
    </xf>
    <xf numFmtId="0" fontId="47" fillId="0" borderId="145" xfId="0" applyFont="1" applyBorder="1" applyAlignment="1" applyProtection="1">
      <alignment horizontal="center" vertical="center"/>
      <protection locked="0"/>
    </xf>
    <xf numFmtId="0" fontId="47" fillId="0" borderId="115" xfId="0" applyFont="1" applyBorder="1" applyAlignment="1" applyProtection="1">
      <alignment horizontal="center" vertical="center"/>
      <protection locked="0"/>
    </xf>
    <xf numFmtId="0" fontId="47" fillId="0" borderId="147" xfId="0" applyFont="1" applyBorder="1" applyAlignment="1" applyProtection="1">
      <alignment horizontal="center" vertical="center"/>
      <protection locked="0"/>
    </xf>
    <xf numFmtId="0" fontId="47" fillId="0" borderId="144" xfId="0" applyFont="1" applyBorder="1" applyAlignment="1" applyProtection="1">
      <alignment horizontal="center" vertical="center"/>
      <protection locked="0"/>
    </xf>
    <xf numFmtId="0" fontId="47" fillId="0" borderId="106" xfId="0" applyFont="1" applyBorder="1" applyAlignment="1" applyProtection="1">
      <alignment horizontal="center" vertical="center"/>
      <protection locked="0"/>
    </xf>
    <xf numFmtId="0" fontId="47" fillId="0" borderId="114" xfId="0" applyFont="1" applyBorder="1" applyAlignment="1" applyProtection="1">
      <alignment horizontal="center" vertical="center"/>
      <protection locked="0"/>
    </xf>
    <xf numFmtId="0" fontId="47" fillId="0" borderId="146" xfId="0" applyFont="1" applyBorder="1" applyAlignment="1" applyProtection="1">
      <alignment horizontal="center" vertical="center"/>
      <protection locked="0"/>
    </xf>
    <xf numFmtId="0" fontId="10" fillId="0" borderId="148" xfId="0" applyFont="1" applyBorder="1" applyAlignment="1" applyProtection="1">
      <alignment horizontal="center" vertical="center"/>
      <protection locked="0"/>
    </xf>
    <xf numFmtId="0" fontId="47" fillId="0" borderId="87" xfId="0" applyFont="1" applyBorder="1" applyAlignment="1" applyProtection="1">
      <alignment horizontal="center" vertical="center"/>
      <protection locked="0"/>
    </xf>
    <xf numFmtId="170" fontId="47" fillId="0" borderId="150" xfId="0" applyNumberFormat="1" applyFont="1" applyBorder="1" applyAlignment="1">
      <alignment horizontal="center"/>
    </xf>
    <xf numFmtId="0" fontId="47" fillId="0" borderId="109" xfId="0" applyFont="1" applyBorder="1" applyAlignment="1">
      <alignment horizontal="center" vertical="center"/>
    </xf>
    <xf numFmtId="0" fontId="47" fillId="0" borderId="149" xfId="0" applyFont="1" applyBorder="1" applyAlignment="1">
      <alignment horizontal="center" vertical="center"/>
    </xf>
    <xf numFmtId="0" fontId="47" fillId="0" borderId="141" xfId="0" applyFont="1" applyBorder="1" applyAlignment="1" applyProtection="1">
      <alignment horizontal="center" vertical="center"/>
      <protection locked="0"/>
    </xf>
    <xf numFmtId="0" fontId="47" fillId="0" borderId="109" xfId="0" applyFont="1" applyBorder="1" applyAlignment="1" applyProtection="1">
      <alignment horizontal="center" vertical="center"/>
      <protection locked="0"/>
    </xf>
    <xf numFmtId="0" fontId="47" fillId="0" borderId="150" xfId="0" applyFont="1" applyBorder="1" applyAlignment="1" applyProtection="1">
      <alignment horizontal="center" vertical="center"/>
      <protection locked="0"/>
    </xf>
    <xf numFmtId="0" fontId="47" fillId="0" borderId="107" xfId="0" applyFont="1" applyBorder="1" applyAlignment="1" applyProtection="1">
      <alignment horizontal="center" vertical="center"/>
      <protection locked="0"/>
    </xf>
    <xf numFmtId="0" fontId="47" fillId="0" borderId="112" xfId="0" applyFont="1" applyBorder="1" applyAlignment="1" applyProtection="1">
      <alignment horizontal="center" vertical="center"/>
      <protection locked="0"/>
    </xf>
    <xf numFmtId="0" fontId="47" fillId="0" borderId="149" xfId="0" applyFont="1" applyBorder="1" applyAlignment="1" applyProtection="1">
      <alignment horizontal="center" vertical="center"/>
      <protection locked="0"/>
    </xf>
    <xf numFmtId="0" fontId="47" fillId="35" borderId="4" xfId="0" applyFont="1" applyFill="1" applyBorder="1" applyAlignment="1">
      <alignment horizontal="center" vertical="center"/>
    </xf>
    <xf numFmtId="0" fontId="47" fillId="35" borderId="5" xfId="0" applyFont="1" applyFill="1" applyBorder="1" applyAlignment="1">
      <alignment horizontal="center" vertical="center"/>
    </xf>
    <xf numFmtId="170" fontId="47" fillId="0" borderId="137" xfId="0" applyNumberFormat="1" applyFont="1" applyBorder="1" applyAlignment="1">
      <alignment horizontal="center"/>
    </xf>
    <xf numFmtId="170" fontId="47" fillId="0" borderId="153" xfId="0" applyNumberFormat="1" applyFont="1" applyBorder="1" applyAlignment="1">
      <alignment horizontal="center"/>
    </xf>
    <xf numFmtId="170" fontId="47" fillId="0" borderId="147" xfId="0" applyNumberFormat="1" applyFont="1" applyBorder="1" applyAlignment="1">
      <alignment horizontal="center"/>
    </xf>
    <xf numFmtId="0" fontId="47" fillId="0" borderId="154" xfId="0" applyFont="1" applyBorder="1" applyAlignment="1" applyProtection="1">
      <alignment horizontal="center" vertical="center"/>
      <protection locked="0"/>
    </xf>
    <xf numFmtId="0" fontId="47" fillId="0" borderId="155" xfId="0" applyFont="1" applyBorder="1" applyAlignment="1" applyProtection="1">
      <alignment horizontal="center" vertical="center"/>
      <protection locked="0"/>
    </xf>
    <xf numFmtId="0" fontId="47" fillId="0" borderId="156" xfId="0" applyFont="1" applyBorder="1" applyAlignment="1" applyProtection="1">
      <alignment horizontal="center" vertical="center"/>
      <protection locked="0"/>
    </xf>
    <xf numFmtId="0" fontId="47" fillId="35" borderId="3" xfId="0" applyFont="1" applyFill="1" applyBorder="1" applyAlignment="1">
      <alignment horizontal="center" vertical="center"/>
    </xf>
    <xf numFmtId="49" fontId="47" fillId="0" borderId="112" xfId="0" applyNumberFormat="1" applyFont="1" applyBorder="1" applyAlignment="1" applyProtection="1">
      <alignment horizontal="center" vertical="center"/>
      <protection locked="0"/>
    </xf>
    <xf numFmtId="49" fontId="47" fillId="0" borderId="113" xfId="0" applyNumberFormat="1" applyFont="1" applyBorder="1" applyAlignment="1" applyProtection="1">
      <alignment horizontal="center" vertical="center"/>
      <protection locked="0"/>
    </xf>
    <xf numFmtId="49" fontId="47" fillId="0" borderId="113" xfId="0" quotePrefix="1" applyNumberFormat="1" applyFont="1" applyBorder="1" applyAlignment="1" applyProtection="1">
      <alignment horizontal="center" vertical="center"/>
      <protection locked="0"/>
    </xf>
    <xf numFmtId="49" fontId="47" fillId="0" borderId="114" xfId="0" applyNumberFormat="1" applyFont="1" applyBorder="1" applyAlignment="1" applyProtection="1">
      <alignment horizontal="center" vertical="center"/>
      <protection locked="0"/>
    </xf>
    <xf numFmtId="49" fontId="47" fillId="0" borderId="150" xfId="0" applyNumberFormat="1" applyFont="1" applyBorder="1" applyAlignment="1" applyProtection="1">
      <alignment horizontal="center" vertical="center"/>
      <protection locked="0"/>
    </xf>
    <xf numFmtId="49" fontId="47" fillId="0" borderId="135" xfId="0" applyNumberFormat="1" applyFont="1" applyBorder="1" applyAlignment="1" applyProtection="1">
      <alignment horizontal="center" vertical="center"/>
      <protection locked="0"/>
    </xf>
    <xf numFmtId="49" fontId="47" fillId="0" borderId="135" xfId="0" quotePrefix="1" applyNumberFormat="1" applyFont="1" applyBorder="1" applyAlignment="1" applyProtection="1">
      <alignment horizontal="center" vertical="center"/>
      <protection locked="0"/>
    </xf>
    <xf numFmtId="49" fontId="47" fillId="0" borderId="144" xfId="0" applyNumberFormat="1" applyFont="1" applyBorder="1" applyAlignment="1" applyProtection="1">
      <alignment horizontal="center" vertical="center"/>
      <protection locked="0"/>
    </xf>
    <xf numFmtId="49" fontId="0" fillId="27" borderId="0" xfId="0" applyNumberFormat="1" applyFill="1" applyAlignment="1">
      <alignment horizontal="center" vertical="center"/>
    </xf>
    <xf numFmtId="0" fontId="1" fillId="0" borderId="0" xfId="0" applyFont="1" applyAlignment="1">
      <alignment horizontal="center"/>
    </xf>
    <xf numFmtId="0" fontId="54" fillId="0" borderId="157" xfId="0" applyFont="1" applyBorder="1" applyAlignment="1">
      <alignment horizontal="right" textRotation="60"/>
    </xf>
    <xf numFmtId="0" fontId="1" fillId="0" borderId="0" xfId="0" applyFont="1" applyAlignment="1">
      <alignment textRotation="60"/>
    </xf>
    <xf numFmtId="49" fontId="55" fillId="27" borderId="158" xfId="0" applyNumberFormat="1" applyFont="1" applyFill="1" applyBorder="1" applyAlignment="1">
      <alignment horizontal="center" vertical="center"/>
    </xf>
    <xf numFmtId="0" fontId="47" fillId="0" borderId="159" xfId="0" applyFont="1" applyBorder="1" applyAlignment="1" applyProtection="1">
      <alignment horizontal="center" vertical="center"/>
      <protection locked="0"/>
    </xf>
    <xf numFmtId="0" fontId="47" fillId="0" borderId="68" xfId="0" applyFont="1" applyBorder="1" applyAlignment="1" applyProtection="1">
      <alignment horizontal="center" vertical="center"/>
      <protection locked="0"/>
    </xf>
    <xf numFmtId="0" fontId="47" fillId="0" borderId="104" xfId="0" applyFont="1" applyBorder="1" applyAlignment="1" applyProtection="1">
      <alignment horizontal="center" vertical="center"/>
      <protection locked="0"/>
    </xf>
    <xf numFmtId="170" fontId="47" fillId="35" borderId="4" xfId="0" applyNumberFormat="1" applyFont="1" applyFill="1" applyBorder="1" applyAlignment="1">
      <alignment horizontal="center" vertical="center"/>
    </xf>
    <xf numFmtId="0" fontId="56" fillId="35" borderId="4" xfId="0" applyFont="1" applyFill="1" applyBorder="1" applyAlignment="1" applyProtection="1">
      <alignment horizontal="center" vertical="center"/>
      <protection locked="0"/>
    </xf>
    <xf numFmtId="49" fontId="47" fillId="0" borderId="110" xfId="0" applyNumberFormat="1" applyFont="1" applyBorder="1" applyAlignment="1" applyProtection="1">
      <alignment horizontal="center" vertical="center"/>
      <protection locked="0"/>
    </xf>
    <xf numFmtId="0" fontId="47" fillId="35" borderId="4" xfId="0" applyFont="1" applyFill="1" applyBorder="1" applyAlignment="1" applyProtection="1">
      <alignment horizontal="center" vertical="center"/>
      <protection locked="0"/>
    </xf>
    <xf numFmtId="0" fontId="31" fillId="0" borderId="0" xfId="5"/>
    <xf numFmtId="0" fontId="1" fillId="0" borderId="0" xfId="0" applyFont="1" applyAlignment="1">
      <alignment horizontal="right"/>
    </xf>
    <xf numFmtId="0" fontId="0" fillId="2" borderId="0" xfId="0" applyFill="1" applyAlignment="1">
      <alignment vertical="center"/>
    </xf>
    <xf numFmtId="0" fontId="0" fillId="2" borderId="0" xfId="0" applyFill="1" applyAlignment="1">
      <alignment horizontal="right" vertical="center"/>
    </xf>
    <xf numFmtId="0" fontId="43" fillId="34" borderId="131" xfId="0" applyFont="1" applyFill="1" applyBorder="1" applyAlignment="1">
      <alignment horizontal="center" textRotation="90"/>
    </xf>
    <xf numFmtId="0" fontId="43" fillId="31" borderId="131" xfId="0" applyFont="1" applyFill="1" applyBorder="1" applyAlignment="1">
      <alignment horizontal="center" textRotation="90"/>
    </xf>
    <xf numFmtId="0" fontId="43" fillId="32" borderId="131" xfId="0" applyFont="1" applyFill="1" applyBorder="1" applyAlignment="1">
      <alignment horizontal="center" textRotation="90"/>
    </xf>
    <xf numFmtId="0" fontId="43" fillId="33" borderId="131" xfId="0" applyFont="1" applyFill="1" applyBorder="1" applyAlignment="1">
      <alignment horizontal="center" textRotation="90"/>
    </xf>
    <xf numFmtId="0" fontId="43" fillId="33" borderId="131" xfId="0" applyFont="1" applyFill="1" applyBorder="1" applyAlignment="1">
      <alignment horizontal="center" textRotation="90" wrapText="1"/>
    </xf>
    <xf numFmtId="0" fontId="13" fillId="29" borderId="13" xfId="0" applyFont="1" applyFill="1" applyBorder="1" applyAlignment="1" applyProtection="1">
      <alignment horizontal="center" textRotation="90"/>
      <protection locked="0"/>
    </xf>
    <xf numFmtId="0" fontId="13" fillId="29" borderId="151" xfId="0" applyFont="1" applyFill="1" applyBorder="1" applyAlignment="1" applyProtection="1">
      <alignment horizontal="center" textRotation="90"/>
      <protection locked="0"/>
    </xf>
    <xf numFmtId="0" fontId="17" fillId="5" borderId="12" xfId="0" applyFont="1" applyFill="1" applyBorder="1" applyAlignment="1" applyProtection="1">
      <alignment horizontal="center" textRotation="90"/>
      <protection locked="0"/>
    </xf>
    <xf numFmtId="0" fontId="13" fillId="28" borderId="12" xfId="0" applyFont="1" applyFill="1" applyBorder="1" applyAlignment="1" applyProtection="1">
      <alignment horizontal="center" textRotation="90"/>
      <protection locked="0"/>
    </xf>
    <xf numFmtId="0" fontId="13" fillId="28" borderId="13" xfId="0" applyFont="1" applyFill="1" applyBorder="1" applyAlignment="1" applyProtection="1">
      <alignment horizontal="center" textRotation="90"/>
      <protection locked="0"/>
    </xf>
    <xf numFmtId="0" fontId="17" fillId="5" borderId="2" xfId="0" applyFont="1" applyFill="1" applyBorder="1" applyAlignment="1" applyProtection="1">
      <alignment horizontal="center" textRotation="90"/>
      <protection locked="0"/>
    </xf>
    <xf numFmtId="0" fontId="9" fillId="22" borderId="13" xfId="0" applyFont="1" applyFill="1" applyBorder="1" applyAlignment="1" applyProtection="1">
      <alignment horizontal="center" textRotation="90"/>
      <protection locked="0"/>
    </xf>
    <xf numFmtId="0" fontId="9" fillId="22" borderId="142" xfId="0" applyFont="1" applyFill="1" applyBorder="1" applyAlignment="1" applyProtection="1">
      <alignment horizontal="center" textRotation="90"/>
      <protection locked="0"/>
    </xf>
    <xf numFmtId="0" fontId="9" fillId="22" borderId="108" xfId="0" applyFont="1" applyFill="1" applyBorder="1" applyAlignment="1" applyProtection="1">
      <alignment horizontal="center" textRotation="90"/>
      <protection locked="0"/>
    </xf>
    <xf numFmtId="0" fontId="9" fillId="22" borderId="12" xfId="0" applyFont="1" applyFill="1" applyBorder="1" applyAlignment="1" applyProtection="1">
      <alignment horizontal="center" textRotation="90"/>
      <protection locked="0"/>
    </xf>
    <xf numFmtId="0" fontId="9" fillId="22" borderId="152" xfId="0" applyFont="1" applyFill="1" applyBorder="1" applyAlignment="1" applyProtection="1">
      <alignment horizontal="center" textRotation="90"/>
      <protection locked="0"/>
    </xf>
    <xf numFmtId="0" fontId="9" fillId="22" borderId="11" xfId="0" applyFont="1" applyFill="1" applyBorder="1" applyAlignment="1" applyProtection="1">
      <alignment horizontal="center" textRotation="90"/>
      <protection locked="0"/>
    </xf>
    <xf numFmtId="0" fontId="9" fillId="22" borderId="12" xfId="0" applyFont="1" applyFill="1" applyBorder="1" applyAlignment="1" applyProtection="1">
      <alignment horizontal="center" textRotation="90" wrapText="1"/>
      <protection locked="0"/>
    </xf>
    <xf numFmtId="0" fontId="1" fillId="11" borderId="52" xfId="0" applyFont="1" applyFill="1" applyBorder="1"/>
    <xf numFmtId="0" fontId="1" fillId="11" borderId="55" xfId="0" applyFont="1" applyFill="1" applyBorder="1"/>
    <xf numFmtId="166" fontId="0" fillId="0" borderId="52" xfId="2" applyFont="1" applyBorder="1" applyAlignment="1" applyProtection="1">
      <alignment horizontal="left" vertical="top" wrapText="1"/>
      <protection locked="0"/>
    </xf>
    <xf numFmtId="166" fontId="0" fillId="0" borderId="55" xfId="2" applyFont="1" applyBorder="1" applyAlignment="1" applyProtection="1">
      <alignment horizontal="left" vertical="top" wrapText="1"/>
      <protection locked="0"/>
    </xf>
    <xf numFmtId="0" fontId="19" fillId="12" borderId="1" xfId="0" applyFont="1" applyFill="1" applyBorder="1" applyAlignment="1" applyProtection="1">
      <alignment horizontal="center" vertical="top"/>
      <protection locked="0"/>
    </xf>
    <xf numFmtId="0" fontId="23" fillId="0" borderId="0" xfId="0" applyFont="1" applyAlignment="1">
      <alignment horizontal="left"/>
    </xf>
    <xf numFmtId="0" fontId="0" fillId="2" borderId="0" xfId="0" applyFill="1" applyAlignment="1">
      <alignment horizontal="center" vertical="center"/>
    </xf>
    <xf numFmtId="0" fontId="46" fillId="0" borderId="133" xfId="0" applyFont="1" applyBorder="1" applyAlignment="1">
      <alignment vertical="center"/>
    </xf>
    <xf numFmtId="0" fontId="45" fillId="0" borderId="133" xfId="0" applyFont="1" applyBorder="1" applyAlignment="1">
      <alignment vertical="center"/>
    </xf>
    <xf numFmtId="49" fontId="55" fillId="27" borderId="0" xfId="0" applyNumberFormat="1" applyFont="1" applyFill="1" applyAlignment="1">
      <alignment horizontal="center" vertical="center"/>
    </xf>
    <xf numFmtId="49" fontId="55" fillId="27" borderId="158" xfId="0" applyNumberFormat="1" applyFont="1" applyFill="1" applyBorder="1" applyAlignment="1">
      <alignment horizontal="center" vertical="center"/>
    </xf>
    <xf numFmtId="0" fontId="1" fillId="19" borderId="1" xfId="0" applyFont="1" applyFill="1" applyBorder="1" applyAlignment="1" applyProtection="1">
      <alignment horizontal="left" vertical="top"/>
      <protection locked="0"/>
    </xf>
    <xf numFmtId="0" fontId="37" fillId="26" borderId="52" xfId="0" applyFont="1" applyFill="1" applyBorder="1" applyAlignment="1" applyProtection="1">
      <alignment horizontal="left" wrapText="1"/>
      <protection locked="0"/>
    </xf>
    <xf numFmtId="0" fontId="37" fillId="26" borderId="56" xfId="0" applyFont="1" applyFill="1" applyBorder="1" applyAlignment="1" applyProtection="1">
      <alignment horizontal="left" wrapText="1"/>
      <protection locked="0"/>
    </xf>
    <xf numFmtId="0" fontId="37" fillId="26" borderId="55" xfId="0" applyFont="1" applyFill="1" applyBorder="1" applyAlignment="1" applyProtection="1">
      <alignment horizontal="left" wrapText="1"/>
      <protection locked="0"/>
    </xf>
    <xf numFmtId="9" fontId="20" fillId="0" borderId="0" xfId="7" applyFont="1" applyBorder="1" applyAlignment="1">
      <alignment horizontal="left" vertical="center"/>
    </xf>
    <xf numFmtId="0" fontId="17" fillId="8" borderId="138" xfId="0" applyFont="1" applyFill="1" applyBorder="1" applyAlignment="1">
      <alignment horizontal="center" vertical="center" wrapText="1"/>
    </xf>
    <xf numFmtId="0" fontId="17" fillId="8" borderId="139" xfId="0" applyFont="1" applyFill="1" applyBorder="1" applyAlignment="1">
      <alignment horizontal="center" vertical="center" wrapText="1"/>
    </xf>
    <xf numFmtId="0" fontId="1" fillId="0" borderId="0" xfId="0" applyFont="1" applyAlignment="1">
      <alignment horizontal="center"/>
    </xf>
    <xf numFmtId="0" fontId="11" fillId="0" borderId="78" xfId="0" applyFont="1" applyBorder="1" applyAlignment="1">
      <alignment horizontal="center" vertical="center" wrapText="1"/>
    </xf>
    <xf numFmtId="0" fontId="11" fillId="0" borderId="31" xfId="0" applyFont="1" applyBorder="1" applyAlignment="1">
      <alignment horizontal="center" vertical="center" wrapText="1"/>
    </xf>
    <xf numFmtId="0" fontId="11" fillId="0" borderId="90" xfId="0" applyFont="1" applyBorder="1" applyAlignment="1">
      <alignment horizontal="center" vertical="center" wrapText="1"/>
    </xf>
    <xf numFmtId="0" fontId="26" fillId="3" borderId="95" xfId="0" applyFont="1" applyFill="1" applyBorder="1" applyAlignment="1">
      <alignment horizontal="center" vertical="center" wrapText="1"/>
    </xf>
    <xf numFmtId="0" fontId="10" fillId="0" borderId="90" xfId="0" applyFont="1" applyBorder="1" applyAlignment="1">
      <alignment horizontal="center" vertical="center" wrapText="1"/>
    </xf>
    <xf numFmtId="0" fontId="10" fillId="0" borderId="78" xfId="0" applyFont="1" applyBorder="1" applyAlignment="1">
      <alignment horizontal="center" vertical="center" wrapText="1"/>
    </xf>
    <xf numFmtId="0" fontId="11" fillId="0" borderId="79" xfId="0" applyFont="1" applyBorder="1" applyAlignment="1">
      <alignment horizontal="center" vertical="center" wrapText="1"/>
    </xf>
    <xf numFmtId="0" fontId="26" fillId="3" borderId="30" xfId="0" applyFont="1" applyFill="1" applyBorder="1" applyAlignment="1">
      <alignment horizontal="center" vertical="center" wrapText="1"/>
    </xf>
    <xf numFmtId="0" fontId="26" fillId="3" borderId="1"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26" fillId="3" borderId="32" xfId="0" applyFont="1" applyFill="1" applyBorder="1" applyAlignment="1">
      <alignment horizontal="center" vertical="center" wrapText="1"/>
    </xf>
    <xf numFmtId="0" fontId="26" fillId="3" borderId="29" xfId="0" applyFont="1" applyFill="1" applyBorder="1" applyAlignment="1">
      <alignment horizontal="center" vertical="center" wrapText="1"/>
    </xf>
    <xf numFmtId="0" fontId="26" fillId="3" borderId="31" xfId="0" applyFont="1" applyFill="1" applyBorder="1" applyAlignment="1">
      <alignment horizontal="center" vertical="center" wrapText="1"/>
    </xf>
    <xf numFmtId="0" fontId="26" fillId="3" borderId="2" xfId="0" applyFont="1" applyFill="1" applyBorder="1" applyAlignment="1">
      <alignment horizontal="center" vertical="center" wrapText="1"/>
    </xf>
    <xf numFmtId="0" fontId="1" fillId="2" borderId="70" xfId="0" applyFont="1" applyFill="1" applyBorder="1" applyAlignment="1">
      <alignment horizontal="center" vertical="center"/>
    </xf>
    <xf numFmtId="0" fontId="1" fillId="2" borderId="71" xfId="0" applyFont="1" applyFill="1" applyBorder="1" applyAlignment="1">
      <alignment horizontal="center" vertical="center"/>
    </xf>
    <xf numFmtId="0" fontId="2" fillId="0" borderId="12" xfId="0" applyFont="1" applyBorder="1" applyAlignment="1">
      <alignment horizontal="center" vertical="center"/>
    </xf>
    <xf numFmtId="0" fontId="11" fillId="0" borderId="33" xfId="0" applyFont="1" applyBorder="1" applyAlignment="1">
      <alignment horizontal="center" vertical="center" wrapText="1"/>
    </xf>
    <xf numFmtId="0" fontId="11" fillId="0" borderId="92" xfId="0" applyFont="1" applyBorder="1" applyAlignment="1">
      <alignment horizontal="center" vertical="center" wrapText="1"/>
    </xf>
    <xf numFmtId="0" fontId="26" fillId="3" borderId="96" xfId="0" applyFont="1" applyFill="1" applyBorder="1" applyAlignment="1">
      <alignment horizontal="center" vertical="center" wrapText="1"/>
    </xf>
    <xf numFmtId="164" fontId="10" fillId="0" borderId="78" xfId="1" applyFont="1" applyBorder="1" applyAlignment="1" applyProtection="1">
      <alignment horizontal="center" vertical="center" wrapText="1"/>
    </xf>
    <xf numFmtId="164" fontId="10" fillId="0" borderId="31" xfId="1" applyFont="1" applyBorder="1" applyAlignment="1" applyProtection="1">
      <alignment horizontal="center" vertical="center" wrapText="1"/>
    </xf>
    <xf numFmtId="0" fontId="26" fillId="3" borderId="3" xfId="0" applyFont="1" applyFill="1" applyBorder="1" applyAlignment="1">
      <alignment horizontal="center" vertical="center" wrapText="1"/>
    </xf>
    <xf numFmtId="0" fontId="26" fillId="3" borderId="4" xfId="0" applyFont="1" applyFill="1" applyBorder="1" applyAlignment="1">
      <alignment horizontal="center" vertical="center" wrapText="1"/>
    </xf>
    <xf numFmtId="0" fontId="26" fillId="3" borderId="5" xfId="0" applyFont="1" applyFill="1" applyBorder="1" applyAlignment="1">
      <alignment horizontal="center" vertical="center" wrapText="1"/>
    </xf>
    <xf numFmtId="0" fontId="0" fillId="0" borderId="6" xfId="0" applyBorder="1" applyAlignment="1">
      <alignment horizontal="center" vertical="center"/>
    </xf>
    <xf numFmtId="0" fontId="0" fillId="0" borderId="8" xfId="0" applyBorder="1" applyAlignment="1">
      <alignment horizontal="center" vertical="center"/>
    </xf>
    <xf numFmtId="0" fontId="13" fillId="6" borderId="3" xfId="0" applyFont="1" applyFill="1" applyBorder="1" applyAlignment="1">
      <alignment horizontal="center" vertical="center" wrapText="1"/>
    </xf>
    <xf numFmtId="0" fontId="13" fillId="6" borderId="4" xfId="0" applyFont="1" applyFill="1" applyBorder="1" applyAlignment="1">
      <alignment horizontal="center" vertical="center" wrapText="1"/>
    </xf>
    <xf numFmtId="14" fontId="0" fillId="0" borderId="6" xfId="0" applyNumberFormat="1" applyBorder="1" applyAlignment="1">
      <alignment horizontal="center" vertical="center"/>
    </xf>
    <xf numFmtId="14" fontId="0" fillId="0" borderId="8" xfId="0" applyNumberFormat="1" applyBorder="1" applyAlignment="1">
      <alignment horizontal="center" vertical="center"/>
    </xf>
    <xf numFmtId="0" fontId="15" fillId="3" borderId="11" xfId="0" applyFont="1" applyFill="1" applyBorder="1" applyAlignment="1">
      <alignment horizontal="center" vertical="center" wrapText="1"/>
    </xf>
    <xf numFmtId="0" fontId="15" fillId="3" borderId="91" xfId="0" applyFont="1" applyFill="1" applyBorder="1" applyAlignment="1">
      <alignment horizontal="center" vertical="center" wrapText="1"/>
    </xf>
    <xf numFmtId="0" fontId="15" fillId="3" borderId="13" xfId="0" applyFont="1" applyFill="1" applyBorder="1" applyAlignment="1">
      <alignment horizontal="center" vertical="center" wrapText="1"/>
    </xf>
    <xf numFmtId="0" fontId="15" fillId="3" borderId="10" xfId="0" applyFont="1" applyFill="1" applyBorder="1" applyAlignment="1">
      <alignment horizontal="center" vertical="center" wrapText="1"/>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2" fillId="0" borderId="13" xfId="0" applyFont="1" applyBorder="1" applyAlignment="1">
      <alignment horizontal="center" vertical="center"/>
    </xf>
    <xf numFmtId="0" fontId="2" fillId="0" borderId="11" xfId="0" applyFont="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14" fillId="0" borderId="0" xfId="0" applyFont="1" applyAlignment="1">
      <alignment horizontal="center" vertic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13" fillId="6" borderId="5" xfId="0" applyFont="1" applyFill="1" applyBorder="1" applyAlignment="1">
      <alignment horizontal="center" vertical="center" wrapText="1"/>
    </xf>
    <xf numFmtId="0" fontId="15" fillId="3" borderId="12" xfId="0" applyFont="1" applyFill="1" applyBorder="1" applyAlignment="1">
      <alignment horizontal="center" vertical="center" wrapText="1"/>
    </xf>
    <xf numFmtId="0" fontId="15" fillId="3" borderId="0" xfId="0" applyFont="1" applyFill="1" applyAlignment="1">
      <alignment horizontal="center" vertical="center" wrapText="1"/>
    </xf>
    <xf numFmtId="165" fontId="13" fillId="3" borderId="29" xfId="0" applyNumberFormat="1" applyFont="1" applyFill="1" applyBorder="1" applyAlignment="1">
      <alignment horizontal="center" vertical="center"/>
    </xf>
    <xf numFmtId="165" fontId="13" fillId="3" borderId="30" xfId="0" applyNumberFormat="1" applyFont="1" applyFill="1" applyBorder="1" applyAlignment="1">
      <alignment horizontal="center" vertical="center"/>
    </xf>
    <xf numFmtId="165" fontId="13" fillId="3" borderId="31" xfId="0" applyNumberFormat="1" applyFont="1" applyFill="1" applyBorder="1" applyAlignment="1">
      <alignment horizontal="center" vertical="center"/>
    </xf>
    <xf numFmtId="165" fontId="13" fillId="3" borderId="1" xfId="0" applyNumberFormat="1" applyFont="1" applyFill="1" applyBorder="1" applyAlignment="1">
      <alignment horizontal="center" vertical="center"/>
    </xf>
    <xf numFmtId="165" fontId="13" fillId="3" borderId="94" xfId="0" applyNumberFormat="1" applyFont="1" applyFill="1" applyBorder="1" applyAlignment="1">
      <alignment horizontal="center" vertical="center"/>
    </xf>
    <xf numFmtId="165" fontId="13" fillId="3" borderId="32" xfId="0" applyNumberFormat="1" applyFont="1" applyFill="1" applyBorder="1" applyAlignment="1">
      <alignment horizontal="center" vertical="center"/>
    </xf>
    <xf numFmtId="165" fontId="13" fillId="3" borderId="3" xfId="0" applyNumberFormat="1" applyFont="1" applyFill="1" applyBorder="1" applyAlignment="1">
      <alignment horizontal="center" vertical="center" wrapText="1"/>
    </xf>
    <xf numFmtId="165" fontId="13" fillId="3" borderId="4" xfId="0" applyNumberFormat="1" applyFont="1" applyFill="1" applyBorder="1" applyAlignment="1">
      <alignment horizontal="center" vertical="center" wrapText="1"/>
    </xf>
    <xf numFmtId="0" fontId="39" fillId="25" borderId="52" xfId="6" applyFont="1" applyFill="1" applyBorder="1" applyAlignment="1" applyProtection="1">
      <alignment horizontal="center"/>
      <protection locked="0"/>
    </xf>
    <xf numFmtId="0" fontId="39" fillId="25" borderId="55" xfId="6" applyFont="1" applyFill="1" applyBorder="1" applyAlignment="1" applyProtection="1">
      <alignment horizontal="center"/>
      <protection locked="0"/>
    </xf>
    <xf numFmtId="0" fontId="32" fillId="0" borderId="52" xfId="6" applyBorder="1" applyAlignment="1" applyProtection="1">
      <alignment horizontal="center" vertical="center"/>
      <protection locked="0"/>
    </xf>
    <xf numFmtId="0" fontId="32" fillId="0" borderId="56" xfId="6" applyBorder="1" applyAlignment="1" applyProtection="1">
      <alignment horizontal="center" vertical="center"/>
      <protection locked="0"/>
    </xf>
    <xf numFmtId="0" fontId="32" fillId="0" borderId="55" xfId="6" applyBorder="1" applyAlignment="1" applyProtection="1">
      <alignment horizontal="center" vertical="center"/>
      <protection locked="0"/>
    </xf>
    <xf numFmtId="0" fontId="32" fillId="0" borderId="74" xfId="6" applyBorder="1" applyAlignment="1" applyProtection="1">
      <alignment horizontal="left" vertical="center"/>
      <protection locked="0"/>
    </xf>
    <xf numFmtId="0" fontId="32" fillId="0" borderId="49" xfId="6" applyBorder="1" applyAlignment="1" applyProtection="1">
      <alignment horizontal="left" vertical="center"/>
      <protection locked="0"/>
    </xf>
    <xf numFmtId="0" fontId="32" fillId="0" borderId="50" xfId="6" applyBorder="1" applyAlignment="1" applyProtection="1">
      <alignment horizontal="left" vertical="center"/>
      <protection locked="0"/>
    </xf>
    <xf numFmtId="0" fontId="32" fillId="0" borderId="121" xfId="6" applyBorder="1" applyAlignment="1" applyProtection="1">
      <alignment horizontal="left" vertical="center"/>
      <protection locked="0"/>
    </xf>
    <xf numFmtId="0" fontId="32" fillId="0" borderId="119" xfId="6" applyBorder="1" applyAlignment="1" applyProtection="1">
      <alignment horizontal="left" vertical="center"/>
      <protection locked="0"/>
    </xf>
    <xf numFmtId="0" fontId="32" fillId="0" borderId="120" xfId="6" applyBorder="1" applyAlignment="1" applyProtection="1">
      <alignment horizontal="left" vertical="center"/>
      <protection locked="0"/>
    </xf>
    <xf numFmtId="0" fontId="32" fillId="0" borderId="74" xfId="6" applyBorder="1" applyAlignment="1" applyProtection="1">
      <alignment horizontal="center" vertical="center" wrapText="1"/>
      <protection locked="0"/>
    </xf>
    <xf numFmtId="0" fontId="32" fillId="0" borderId="49" xfId="6" applyBorder="1" applyAlignment="1" applyProtection="1">
      <alignment horizontal="center" vertical="center"/>
      <protection locked="0"/>
    </xf>
    <xf numFmtId="0" fontId="32" fillId="0" borderId="50" xfId="6" applyBorder="1" applyAlignment="1" applyProtection="1">
      <alignment horizontal="center" vertical="center"/>
      <protection locked="0"/>
    </xf>
    <xf numFmtId="0" fontId="32" fillId="0" borderId="1" xfId="6" applyBorder="1" applyAlignment="1" applyProtection="1">
      <alignment horizontal="left" vertical="center"/>
      <protection locked="0"/>
    </xf>
    <xf numFmtId="0" fontId="32" fillId="0" borderId="118" xfId="6" applyBorder="1" applyAlignment="1" applyProtection="1">
      <alignment horizontal="left" vertical="center"/>
      <protection locked="0"/>
    </xf>
    <xf numFmtId="0" fontId="32" fillId="0" borderId="125" xfId="6" applyBorder="1" applyAlignment="1" applyProtection="1">
      <alignment horizontal="left" vertical="center"/>
      <protection locked="0"/>
    </xf>
    <xf numFmtId="0" fontId="32" fillId="0" borderId="122" xfId="6" applyBorder="1" applyAlignment="1" applyProtection="1">
      <alignment horizontal="left" vertical="center"/>
      <protection locked="0"/>
    </xf>
    <xf numFmtId="0" fontId="32" fillId="0" borderId="0" xfId="6" applyAlignment="1" applyProtection="1">
      <alignment horizontal="left" vertical="center"/>
      <protection locked="0"/>
    </xf>
    <xf numFmtId="0" fontId="15" fillId="3" borderId="3" xfId="0" applyFont="1" applyFill="1" applyBorder="1" applyAlignment="1">
      <alignment horizontal="center" vertical="center" wrapText="1"/>
    </xf>
    <xf numFmtId="0" fontId="15" fillId="3" borderId="4" xfId="0" applyFont="1" applyFill="1" applyBorder="1" applyAlignment="1">
      <alignment horizontal="center" vertical="center" wrapText="1"/>
    </xf>
    <xf numFmtId="0" fontId="15" fillId="3" borderId="5" xfId="0" applyFont="1" applyFill="1" applyBorder="1" applyAlignment="1">
      <alignment horizontal="center" vertical="center" wrapText="1"/>
    </xf>
    <xf numFmtId="165" fontId="1" fillId="3" borderId="13" xfId="0" applyNumberFormat="1" applyFont="1" applyFill="1" applyBorder="1" applyAlignment="1">
      <alignment horizontal="center" vertical="center"/>
    </xf>
    <xf numFmtId="165" fontId="1" fillId="3" borderId="12" xfId="0" applyNumberFormat="1" applyFont="1" applyFill="1" applyBorder="1" applyAlignment="1">
      <alignment horizontal="center" vertical="center"/>
    </xf>
    <xf numFmtId="165" fontId="1" fillId="3" borderId="11" xfId="0" applyNumberFormat="1" applyFont="1" applyFill="1" applyBorder="1" applyAlignment="1">
      <alignment horizontal="center" vertical="center"/>
    </xf>
    <xf numFmtId="165" fontId="19" fillId="3" borderId="9" xfId="0" applyNumberFormat="1" applyFont="1" applyFill="1" applyBorder="1" applyAlignment="1">
      <alignment horizontal="center" vertical="center"/>
    </xf>
    <xf numFmtId="165" fontId="19" fillId="3" borderId="45" xfId="0" applyNumberFormat="1" applyFont="1" applyFill="1" applyBorder="1" applyAlignment="1">
      <alignment horizontal="center" vertical="center"/>
    </xf>
    <xf numFmtId="165" fontId="19" fillId="3" borderId="46" xfId="0" applyNumberFormat="1" applyFont="1" applyFill="1" applyBorder="1" applyAlignment="1">
      <alignment horizontal="center" vertical="center"/>
    </xf>
    <xf numFmtId="165" fontId="1" fillId="3" borderId="3" xfId="0" applyNumberFormat="1" applyFont="1" applyFill="1" applyBorder="1" applyAlignment="1">
      <alignment horizontal="center" vertical="center" wrapText="1"/>
    </xf>
    <xf numFmtId="165" fontId="1" fillId="3" borderId="4" xfId="0" applyNumberFormat="1" applyFont="1" applyFill="1" applyBorder="1" applyAlignment="1">
      <alignment horizontal="center" vertical="center" wrapText="1"/>
    </xf>
    <xf numFmtId="165" fontId="1" fillId="3" borderId="5" xfId="0" applyNumberFormat="1" applyFont="1" applyFill="1" applyBorder="1" applyAlignment="1">
      <alignment horizontal="center" vertical="center" wrapText="1"/>
    </xf>
    <xf numFmtId="0" fontId="21" fillId="0" borderId="52" xfId="0" applyFont="1" applyBorder="1"/>
    <xf numFmtId="0" fontId="21" fillId="0" borderId="56" xfId="0" applyFont="1" applyBorder="1"/>
    <xf numFmtId="0" fontId="21" fillId="0" borderId="55" xfId="0" applyFont="1" applyBorder="1"/>
    <xf numFmtId="0" fontId="11" fillId="0" borderId="1" xfId="0" applyFont="1" applyBorder="1" applyAlignment="1">
      <alignment horizontal="center" vertical="center" wrapText="1"/>
    </xf>
    <xf numFmtId="164" fontId="10" fillId="0" borderId="1" xfId="1" applyFont="1" applyBorder="1" applyAlignment="1" applyProtection="1">
      <alignment horizontal="center" vertical="center" wrapText="1"/>
    </xf>
    <xf numFmtId="0" fontId="11" fillId="0" borderId="34" xfId="0" applyFont="1" applyBorder="1" applyAlignment="1">
      <alignment horizontal="center" vertical="center" wrapText="1"/>
    </xf>
    <xf numFmtId="0" fontId="20" fillId="9" borderId="52" xfId="0" applyFont="1" applyFill="1" applyBorder="1" applyAlignment="1">
      <alignment horizontal="center"/>
    </xf>
    <xf numFmtId="0" fontId="20" fillId="9" borderId="56" xfId="0" applyFont="1" applyFill="1" applyBorder="1" applyAlignment="1">
      <alignment horizontal="center"/>
    </xf>
    <xf numFmtId="0" fontId="20" fillId="9" borderId="55" xfId="0" applyFont="1" applyFill="1" applyBorder="1" applyAlignment="1">
      <alignment horizontal="center"/>
    </xf>
    <xf numFmtId="0" fontId="1" fillId="2" borderId="25" xfId="0" applyFont="1" applyFill="1" applyBorder="1" applyAlignment="1">
      <alignment horizontal="center" vertical="center"/>
    </xf>
    <xf numFmtId="0" fontId="10" fillId="0" borderId="30" xfId="0" applyFont="1" applyBorder="1" applyAlignment="1">
      <alignment horizontal="center" vertical="center" wrapText="1"/>
    </xf>
    <xf numFmtId="0" fontId="10" fillId="0" borderId="1" xfId="0" applyFont="1" applyBorder="1" applyAlignment="1">
      <alignment horizontal="center" vertical="center" wrapText="1"/>
    </xf>
    <xf numFmtId="0" fontId="1" fillId="2" borderId="28" xfId="0" applyFont="1" applyFill="1" applyBorder="1" applyAlignment="1">
      <alignment horizontal="center" vertical="center"/>
    </xf>
    <xf numFmtId="0" fontId="1" fillId="2" borderId="72" xfId="0" applyFont="1" applyFill="1" applyBorder="1" applyAlignment="1">
      <alignment horizontal="center" vertical="center"/>
    </xf>
    <xf numFmtId="165" fontId="1" fillId="3" borderId="9" xfId="0" applyNumberFormat="1" applyFont="1" applyFill="1" applyBorder="1" applyAlignment="1">
      <alignment horizontal="center" vertical="center"/>
    </xf>
    <xf numFmtId="165" fontId="1" fillId="3" borderId="45" xfId="0" applyNumberFormat="1" applyFont="1" applyFill="1" applyBorder="1" applyAlignment="1">
      <alignment horizontal="center" vertical="center"/>
    </xf>
    <xf numFmtId="165" fontId="1" fillId="3" borderId="46" xfId="0" applyNumberFormat="1" applyFont="1" applyFill="1" applyBorder="1" applyAlignment="1">
      <alignment horizontal="center" vertical="center"/>
    </xf>
    <xf numFmtId="0" fontId="4" fillId="3" borderId="2"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1" fillId="6" borderId="4" xfId="0" applyFont="1" applyFill="1" applyBorder="1" applyAlignment="1">
      <alignment horizontal="center" vertical="center" wrapText="1"/>
    </xf>
    <xf numFmtId="0" fontId="1" fillId="6" borderId="5" xfId="0" applyFont="1" applyFill="1" applyBorder="1" applyAlignment="1">
      <alignment horizontal="center" vertical="center" wrapText="1"/>
    </xf>
  </cellXfs>
  <cellStyles count="12">
    <cellStyle name="Comma" xfId="1" builtinId="3"/>
    <cellStyle name="Comma 2" xfId="2" xr:uid="{C330CCF6-9547-4E29-8008-C47AE2DE0ACE}"/>
    <cellStyle name="Explanatory Text 2" xfId="9" xr:uid="{2F908071-A806-4608-91C7-9F355D1C229E}"/>
    <cellStyle name="Explanatory Text 3" xfId="8" xr:uid="{4E31257E-A1BE-405D-950F-0B4A5ECC8746}"/>
    <cellStyle name="Hyperlink" xfId="5" builtinId="8"/>
    <cellStyle name="Hyperlink 2" xfId="11" xr:uid="{AC59736E-D28B-4711-87EC-78789501A209}"/>
    <cellStyle name="Normal" xfId="0" builtinId="0"/>
    <cellStyle name="Normal 2" xfId="10" xr:uid="{FF2121FC-8CA7-487C-A648-FD21EAE87D07}"/>
    <cellStyle name="Normal 3" xfId="6" xr:uid="{3CFF8F2D-6C79-4E06-ADC6-D0AC4B364E29}"/>
    <cellStyle name="Percent" xfId="3" builtinId="5"/>
    <cellStyle name="Percent 2" xfId="7" xr:uid="{76A37837-018D-480E-9DE0-DB40F9DD252B}"/>
    <cellStyle name="Standard 2" xfId="4" xr:uid="{DAA9A8CB-FE83-4373-8F65-8D11237552AC}"/>
  </cellStyles>
  <dxfs count="391">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patternType="solid">
          <fgColor theme="9" tint="-0.24994659260841701"/>
          <bgColor theme="9" tint="-0.2499465926084170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59996337778862885"/>
        </patternFill>
      </fill>
    </dxf>
    <dxf>
      <fill>
        <patternFill>
          <bgColor theme="9" tint="0.79998168889431442"/>
        </patternFill>
      </fill>
    </dxf>
    <dxf>
      <fill>
        <patternFill>
          <bgColor theme="9" tint="0.59996337778862885"/>
        </patternFill>
      </fill>
    </dxf>
    <dxf>
      <fill>
        <patternFill>
          <bgColor theme="9"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bgColor theme="9"/>
        </patternFill>
      </fill>
    </dxf>
    <dxf>
      <fill>
        <patternFill patternType="solid">
          <fgColor theme="9" tint="-0.24994659260841701"/>
          <bgColor theme="9" tint="-0.24994659260841701"/>
        </patternFill>
      </fill>
    </dxf>
    <dxf>
      <fill>
        <gradientFill>
          <stop position="0">
            <color theme="9" tint="-0.25098422193060094"/>
          </stop>
          <stop position="1">
            <color theme="9"/>
          </stop>
        </gradientFill>
      </fill>
    </dxf>
    <dxf>
      <fill>
        <patternFill>
          <fgColor theme="9" tint="-0.24994659260841701"/>
          <bgColor theme="9" tint="-0.24994659260841701"/>
        </patternFill>
      </fill>
    </dxf>
    <dxf>
      <font>
        <color theme="8" tint="-0.499984740745262"/>
      </font>
      <fill>
        <patternFill>
          <bgColor theme="8" tint="0.59996337778862885"/>
        </patternFill>
      </fill>
    </dxf>
    <dxf>
      <font>
        <color auto="1"/>
      </font>
      <fill>
        <patternFill patternType="solid">
          <bgColor rgb="FFFFFFFF"/>
        </patternFill>
      </fill>
    </dxf>
    <dxf>
      <font>
        <color theme="1"/>
      </font>
      <fill>
        <patternFill patternType="solid">
          <bgColor theme="0" tint="-4.9989318521683403E-2"/>
        </patternFill>
      </fill>
    </dxf>
    <dxf>
      <fill>
        <patternFill>
          <bgColor rgb="FFEFF6EA"/>
        </patternFill>
      </fill>
    </dxf>
    <dxf>
      <font>
        <color auto="1"/>
      </font>
      <fill>
        <patternFill>
          <bgColor theme="9" tint="0.79998168889431442"/>
        </patternFill>
      </fill>
    </dxf>
    <dxf>
      <font>
        <color auto="1"/>
      </font>
      <fill>
        <patternFill>
          <bgColor theme="9" tint="0.59996337778862885"/>
        </patternFill>
      </fill>
    </dxf>
    <dxf>
      <fill>
        <patternFill>
          <bgColor theme="9" tint="0.39994506668294322"/>
        </patternFill>
      </fill>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alignment horizontal="general" vertical="bottom" textRotation="60" wrapText="0" indent="0" justifyLastLine="0" shrinkToFit="0" readingOrder="0"/>
    </dxf>
    <dxf>
      <alignment horizontal="general" vertical="bottom" textRotation="60" wrapText="0" indent="0" justifyLastLine="0" shrinkToFit="0" readingOrder="0"/>
    </dxf>
    <dxf>
      <fill>
        <patternFill>
          <bgColor theme="0" tint="-4.9989318521683403E-2"/>
        </patternFill>
      </fill>
    </dxf>
    <dxf>
      <fill>
        <patternFill>
          <bgColor rgb="FF92D050"/>
        </patternFill>
      </fill>
    </dxf>
    <dxf>
      <fill>
        <patternFill>
          <bgColor theme="7" tint="0.79998168889431442"/>
        </patternFill>
      </fill>
    </dxf>
    <dxf>
      <fill>
        <patternFill>
          <bgColor rgb="FF92D050"/>
        </patternFill>
      </fill>
    </dxf>
    <dxf>
      <fill>
        <patternFill>
          <bgColor theme="7" tint="0.79998168889431442"/>
        </patternFill>
      </fill>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dxf>
    <dxf>
      <alignment horizontal="general" vertical="bottom" textRotation="60" wrapText="0" indent="0" justifyLastLine="0" shrinkToFit="0" readingOrder="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medium">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medium">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right style="hair">
          <color auto="1"/>
        </right>
        <top style="hair">
          <color auto="1"/>
        </top>
        <bottom style="hair">
          <color auto="1"/>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thin">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thin">
          <color indexed="64"/>
        </left>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thin">
          <color indexed="64"/>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thin">
          <color indexed="64"/>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thin">
          <color indexed="64"/>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right/>
        <top style="hair">
          <color indexed="64"/>
        </top>
        <bottom style="hair">
          <color indexed="64"/>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thin">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auto="1"/>
        </top>
        <bottom style="hair">
          <color auto="1"/>
        </bottom>
        <vertical style="hair">
          <color indexed="64"/>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medium">
          <color indexed="64"/>
        </left>
        <right style="hair">
          <color indexed="64"/>
        </right>
        <top style="hair">
          <color auto="1"/>
        </top>
        <bottom style="hair">
          <color auto="1"/>
        </bottom>
        <vertical style="hair">
          <color indexed="64"/>
        </vertical>
        <horizontal style="hair">
          <color auto="1"/>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medium">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right style="hair">
          <color auto="1"/>
        </right>
        <top style="hair">
          <color auto="1"/>
        </top>
        <bottom style="hair">
          <color auto="1"/>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thin">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thin">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family val="2"/>
        <scheme val="minor"/>
      </font>
      <numFmt numFmtId="30" formatCode="@"/>
      <alignment horizontal="center" vertical="center" textRotation="0" wrapText="0" indent="0" justifyLastLine="0" shrinkToFit="0" readingOrder="0"/>
      <border diagonalUp="0" diagonalDown="0">
        <left style="thin">
          <color indexed="64"/>
        </left>
        <right style="hair">
          <color auto="1"/>
        </right>
        <top style="hair">
          <color auto="1"/>
        </top>
        <bottom style="hair">
          <color auto="1"/>
        </bottom>
        <vertical/>
        <horizontal style="hair">
          <color auto="1"/>
        </horizontal>
      </border>
      <protection locked="0" hidden="0"/>
    </dxf>
    <dxf>
      <font>
        <strike val="0"/>
        <outline val="0"/>
        <shadow val="0"/>
        <u val="none"/>
        <vertAlign val="baseline"/>
        <sz val="8"/>
        <color theme="1"/>
        <name val="Calibri"/>
        <family val="2"/>
        <scheme val="minor"/>
      </font>
      <numFmt numFmtId="30" formatCode="@"/>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thin">
          <color indexed="64"/>
        </left>
        <right style="hair">
          <color auto="1"/>
        </right>
        <top style="hair">
          <color auto="1"/>
        </top>
        <bottom style="hair">
          <color auto="1"/>
        </bottom>
        <vertical/>
        <horizontal style="hair">
          <color auto="1"/>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medium">
          <color indexed="64"/>
        </left>
        <right style="hair">
          <color indexed="64"/>
        </right>
        <top style="hair">
          <color indexed="64"/>
        </top>
        <bottom style="hair">
          <color indexed="64"/>
        </bottom>
        <vertical style="hair">
          <color indexed="64"/>
        </vertical>
        <horizontal style="hair">
          <color indexed="64"/>
        </horizontal>
      </border>
      <protection locked="0" hidden="0"/>
    </dxf>
    <dxf>
      <font>
        <b/>
        <i val="0"/>
        <strike val="0"/>
        <condense val="0"/>
        <extend val="0"/>
        <outline val="0"/>
        <shadow val="0"/>
        <u val="none"/>
        <vertAlign val="baseline"/>
        <sz val="8"/>
        <color theme="0"/>
        <name val="Calibri"/>
        <family val="2"/>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protection locked="0"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medium">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border diagonalUp="0" diagonalDown="0">
        <left style="medium">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fill>
        <patternFill patternType="solid">
          <fgColor indexed="64"/>
          <bgColor theme="7"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medium">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b val="0"/>
        <i val="0"/>
        <strike val="0"/>
        <condense val="0"/>
        <extend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0"/>
    </dxf>
    <dxf>
      <font>
        <strike val="0"/>
        <outline val="0"/>
        <shadow val="0"/>
        <u val="none"/>
        <vertAlign val="baseline"/>
        <sz val="8"/>
        <color theme="1"/>
        <name val="Calibri"/>
        <family val="2"/>
        <scheme val="minor"/>
      </font>
      <numFmt numFmtId="0" formatCode="General"/>
      <alignment horizontal="center" vertical="center" textRotation="0" wrapText="0" indent="0" justifyLastLine="0" shrinkToFit="0" readingOrder="0"/>
      <border diagonalUp="0" diagonalDown="0">
        <left style="medium">
          <color indexed="64"/>
        </left>
        <right style="hair">
          <color indexed="64"/>
        </right>
        <top style="hair">
          <color indexed="64"/>
        </top>
        <bottom style="hair">
          <color indexed="64"/>
        </bottom>
        <vertical style="hair">
          <color indexed="64"/>
        </vertical>
        <horizontal style="hair">
          <color indexed="64"/>
        </horizontal>
      </border>
      <protection locked="1" hidden="0"/>
    </dxf>
    <dxf>
      <font>
        <sz val="8"/>
      </font>
      <numFmt numFmtId="170" formatCode="d/mm/yy;@"/>
      <fill>
        <patternFill patternType="solid">
          <fgColor indexed="64"/>
          <bgColor theme="7" tint="0.5999938962981048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protection locked="1" hidden="0"/>
    </dxf>
    <dxf>
      <font>
        <strike val="0"/>
        <outline val="0"/>
        <shadow val="0"/>
        <u val="none"/>
        <vertAlign val="baseline"/>
        <sz val="8"/>
        <color theme="1"/>
        <name val="Calibri"/>
        <family val="2"/>
        <scheme val="minor"/>
      </font>
      <numFmt numFmtId="170" formatCode="d/mm/yy;@"/>
      <alignment horizontal="center" vertical="bottom" textRotation="0" wrapText="0" indent="0" justifyLastLine="0" shrinkToFit="0" readingOrder="0"/>
      <border diagonalUp="0" diagonalDown="0">
        <left/>
        <right style="medium">
          <color indexed="64"/>
        </right>
        <top style="hair">
          <color indexed="64"/>
        </top>
        <bottom style="hair">
          <color indexed="64"/>
        </bottom>
      </border>
      <protection locked="1" hidden="0"/>
    </dxf>
    <dxf>
      <font>
        <strike val="0"/>
        <outline val="0"/>
        <shadow val="0"/>
        <u val="none"/>
        <vertAlign val="baseline"/>
        <sz val="8"/>
        <color theme="1"/>
        <name val="Calibri"/>
        <family val="2"/>
        <scheme val="minor"/>
      </font>
      <alignment horizontal="center" vertical="center" textRotation="0" wrapText="0" indent="0" justifyLastLine="0" shrinkToFit="0" readingOrder="0"/>
      <border diagonalUp="0" diagonalDown="0">
        <left style="medium">
          <color indexed="64"/>
        </left>
        <right style="medium">
          <color indexed="64"/>
        </right>
        <top style="hair">
          <color indexed="64"/>
        </top>
        <bottom style="hair">
          <color indexed="64"/>
        </bottom>
      </border>
      <protection locked="0" hidden="0"/>
    </dxf>
    <dxf>
      <font>
        <b val="0"/>
        <i val="0"/>
        <strike val="0"/>
        <condense val="0"/>
        <extend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border diagonalUp="0" diagonalDown="0">
        <left style="medium">
          <color indexed="64"/>
        </left>
        <right style="medium">
          <color auto="1"/>
        </right>
        <top style="hair">
          <color indexed="64"/>
        </top>
        <bottom style="hair">
          <color indexed="64"/>
        </bottom>
      </border>
      <protection locked="0" hidden="0"/>
    </dxf>
    <dxf>
      <border>
        <bottom style="medium">
          <color indexed="64"/>
        </bottom>
      </border>
    </dxf>
    <dxf>
      <alignment horizontal="center" vertical="bottom" textRotation="90" wrapText="0" indent="0" justifyLastLine="0" shrinkToFit="0" readingOrder="0"/>
      <protection locked="0" hidden="0"/>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8" tint="0.79998168889431442"/>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0" tint="-0.14996795556505021"/>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5" tint="0.79998168889431442"/>
        </patternFill>
      </fill>
    </dxf>
    <dxf>
      <fill>
        <patternFill>
          <bgColor theme="9" tint="0.79998168889431442"/>
        </patternFill>
      </fill>
    </dxf>
    <dxf>
      <fill>
        <patternFill>
          <bgColor theme="6" tint="0.39994506668294322"/>
        </patternFill>
      </fill>
    </dxf>
    <dxf>
      <fill>
        <patternFill>
          <bgColor rgb="FFFFCC00"/>
        </patternFill>
      </fill>
    </dxf>
    <dxf>
      <fill>
        <patternFill>
          <bgColor rgb="FFFF6600"/>
        </patternFill>
      </fill>
    </dxf>
    <dxf>
      <fill>
        <patternFill>
          <bgColor rgb="FF99CCFF"/>
        </patternFill>
      </fill>
    </dxf>
  </dxfs>
  <tableStyles count="0" defaultTableStyle="TableStyleMedium2" defaultPivotStyle="PivotStyleLight16"/>
  <colors>
    <mruColors>
      <color rgb="FFACD193"/>
      <color rgb="FFECF5E7"/>
      <color rgb="FFFFFFFF"/>
      <color rgb="FFEFF6EA"/>
      <color rgb="FF8EC26A"/>
      <color rgb="FFFFE5E5"/>
      <color rgb="FFEFF6FB"/>
      <color rgb="FFFEE8E8"/>
      <color rgb="FF7EB0DE"/>
      <color rgb="FF91BC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_xlchart.v1.1</cx:f>
      </cx:strDim>
      <cx:numDim type="val">
        <cx:f dir="row">_xlchart.v1.2</cx:f>
      </cx:numDim>
    </cx:data>
  </cx:chartData>
  <cx:chart>
    <cx:title pos="t" align="ctr" overlay="0">
      <cx:tx>
        <cx:txData>
          <cx:v>Feature Request Pareto Chart (YES)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Feature Request Pareto Chart (YES)</a:t>
          </a:r>
        </a:p>
      </cx:txPr>
    </cx:title>
    <cx:plotArea>
      <cx:plotAreaRegion>
        <cx:series layoutId="clusteredColumn" uniqueId="{EF3CCE5D-AEC3-4D5C-93A0-CBBA3D43BF7B}">
          <cx:tx>
            <cx:txData>
              <cx:f>_xlchart.v1.0</cx:f>
              <cx:v>YES</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0"/>
        </cx:series>
        <cx:series layoutId="paretoLine" ownerIdx="0" uniqueId="{57D91B36-F580-4BB9-9C94-9D5DC0D0A35B}">
          <cx:axisId val="1"/>
        </cx:series>
      </cx:plotAreaRegion>
      <cx:axis id="0"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_xlchart.v1.4</cx:f>
      </cx:strDim>
      <cx:numDim type="val">
        <cx:f dir="row">_xlchart.v1.5</cx:f>
      </cx:numDim>
    </cx:data>
  </cx:chartData>
  <cx:chart>
    <cx:title pos="t" align="ctr" overlay="0">
      <cx:tx>
        <cx:txData>
          <cx:v>Feature Request Pareto Chart (DEPendancy)</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Feature Request Pareto Chart (DEPendancy)</a:t>
          </a:r>
        </a:p>
      </cx:txPr>
    </cx:title>
    <cx:plotArea>
      <cx:plotAreaRegion>
        <cx:series layoutId="clusteredColumn" uniqueId="{2261F546-7482-4D91-848D-3B43D74F5168}">
          <cx:tx>
            <cx:txData>
              <cx:f>_xlchart.v1.3</cx:f>
              <cx:v>DEP</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0"/>
        </cx:series>
        <cx:series layoutId="paretoLine" ownerIdx="0" uniqueId="{68A3ABDD-0212-42B7-9EEC-530405B06095}">
          <cx:axisId val="2"/>
        </cx:series>
      </cx:plotAreaRegion>
      <cx:axis id="0"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_xlchart.v1.7</cx:f>
      </cx:strDim>
      <cx:numDim type="val">
        <cx:f dir="row">_xlchart.v1.8</cx:f>
      </cx:numDim>
    </cx:data>
  </cx:chartData>
  <cx:chart>
    <cx:title pos="t" align="ctr" overlay="0">
      <cx:tx>
        <cx:txData>
          <cx:v>Feature Request Pareto Chart (Change Request)</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Feature Request Pareto Chart (Change Request)</a:t>
          </a:r>
        </a:p>
      </cx:txPr>
    </cx:title>
    <cx:plotArea>
      <cx:plotAreaRegion>
        <cx:series layoutId="clusteredColumn" uniqueId="{9405B604-3D58-4A1E-A414-F52C87F5DE19}">
          <cx:tx>
            <cx:txData>
              <cx:f>_xlchart.v1.6</cx:f>
              <cx:v>CR</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0"/>
        </cx:series>
        <cx:series layoutId="paretoLine" ownerIdx="0" uniqueId="{33E24891-EC59-41DB-8617-7D7706351D67}">
          <cx:axisId val="2"/>
        </cx:series>
      </cx:plotAreaRegion>
      <cx:axis id="0"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_xlchart.v1.10</cx:f>
      </cx:strDim>
      <cx:numDim type="val">
        <cx:f dir="row">_xlchart.v1.11</cx:f>
      </cx:numDim>
    </cx:data>
  </cx:chartData>
  <cx:chart>
    <cx:title pos="t" align="ctr" overlay="0">
      <cx:tx>
        <cx:txData>
          <cx:v>Feature Request Pareto Chart (Not Requested/Required)</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Feature Request Pareto Chart (Not Requested/Required)</a:t>
          </a:r>
        </a:p>
      </cx:txPr>
    </cx:title>
    <cx:plotArea>
      <cx:plotAreaRegion>
        <cx:series layoutId="clusteredColumn" uniqueId="{E0798E51-3D8E-4764-8D39-5C9CF0D3EE0E}">
          <cx:tx>
            <cx:txData>
              <cx:f>_xlchart.v1.9</cx:f>
              <cx:v>NO</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0"/>
        </cx:series>
        <cx:series layoutId="paretoLine" ownerIdx="0" uniqueId="{A594BEE0-0A2B-4AD4-BB6B-DE455EADBCAD}">
          <cx:axisId val="2"/>
        </cx:series>
      </cx:plotAreaRegion>
      <cx:axis id="0"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 dir="row">_xlchart.v1.22</cx:f>
      </cx:strDim>
      <cx:numDim type="val">
        <cx:f dir="row">_xlchart.v1.23</cx:f>
      </cx:numDim>
    </cx:data>
  </cx:chartData>
  <cx:chart>
    <cx:title pos="t" align="ctr" overlay="0">
      <cx:tx>
        <cx:rich>
          <a:bodyPr spcFirstLastPara="1" vertOverflow="ellipsis" horzOverflow="overflow" wrap="square" lIns="0" tIns="0" rIns="0" bIns="0" anchor="ctr" anchorCtr="1"/>
          <a:lstStyle/>
          <a:p>
            <a:pPr rtl="0">
              <a:defRPr sz="1200"/>
            </a:pPr>
            <a:r>
              <a:rPr lang="en-US" sz="1200" b="1" i="0" baseline="0">
                <a:effectLst/>
              </a:rPr>
              <a:t>Product Request Pareto Chart (Seat Positions)</a:t>
            </a:r>
            <a:endParaRPr lang="en-AU" sz="1200">
              <a:effectLst/>
            </a:endParaRPr>
          </a:p>
        </cx:rich>
      </cx:tx>
    </cx:title>
    <cx:plotArea>
      <cx:plotAreaRegion>
        <cx:series layoutId="clusteredColumn" uniqueId="{F6CADA71-507B-441B-9AE2-AF33944EFDFD}">
          <cx:tx>
            <cx:txData>
              <cx:f>_xlchart.v1.21</cx:f>
              <cx:v>     Seating Positions</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1"/>
        </cx:series>
        <cx:series layoutId="paretoLine" ownerIdx="0" uniqueId="{8770372A-217E-4A2D-8D34-2E08A0DF9897}">
          <cx:axisId val="2"/>
        </cx:series>
      </cx:plotAreaRegion>
      <cx:axis id="0">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 dir="row">_xlchart.v1.19</cx:f>
      </cx:strDim>
      <cx:numDim type="val">
        <cx:f dir="row">_xlchart.v1.20</cx:f>
      </cx:numDim>
    </cx:data>
  </cx:chartData>
  <cx:chart>
    <cx:title pos="t" align="ctr" overlay="0">
      <cx:tx>
        <cx:rich>
          <a:bodyPr spcFirstLastPara="1" vertOverflow="ellipsis" horzOverflow="overflow" wrap="square" lIns="0" tIns="0" rIns="0" bIns="0" anchor="ctr" anchorCtr="1"/>
          <a:lstStyle/>
          <a:p>
            <a:pPr rtl="0">
              <a:defRPr sz="1200"/>
            </a:pPr>
            <a:r>
              <a:rPr lang="en-US" sz="1200" b="1" i="0" baseline="0">
                <a:effectLst/>
              </a:rPr>
              <a:t>Product Request Pareto Chart (SoC)</a:t>
            </a:r>
            <a:endParaRPr lang="en-AU" sz="1200">
              <a:effectLst/>
            </a:endParaRPr>
          </a:p>
        </cx:rich>
      </cx:tx>
    </cx:title>
    <cx:plotArea>
      <cx:plotAreaRegion>
        <cx:series layoutId="clusteredColumn" uniqueId="{E844F7E1-08F1-4678-A074-94C7880A0B98}">
          <cx:tx>
            <cx:txData>
              <cx:f>_xlchart.v1.18</cx:f>
              <cx:v>x</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1"/>
        </cx:series>
        <cx:series layoutId="paretoLine" ownerIdx="0" uniqueId="{7D24715D-F467-4EFB-B0C8-3F12D27DC23F}">
          <cx:axisId val="2"/>
        </cx:series>
      </cx:plotAreaRegion>
      <cx:axis id="0">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 dir="row">_xlchart.v1.16</cx:f>
      </cx:strDim>
      <cx:numDim type="val">
        <cx:f dir="row">_xlchart.v1.17</cx:f>
      </cx:numDim>
    </cx:data>
  </cx:chartData>
  <cx:chart>
    <cx:title pos="t" align="ctr" overlay="0">
      <cx:tx>
        <cx:rich>
          <a:bodyPr spcFirstLastPara="1" vertOverflow="ellipsis" horzOverflow="overflow" wrap="square" lIns="0" tIns="0" rIns="0" bIns="0" anchor="ctr" anchorCtr="1"/>
          <a:lstStyle/>
          <a:p>
            <a:pPr rtl="0"/>
            <a:r>
              <a:rPr lang="en-US" sz="1200" b="1" i="0" baseline="0">
                <a:effectLst/>
              </a:rPr>
              <a:t>Pareto Chart (Image Quality)</a:t>
            </a:r>
            <a:endParaRPr lang="en-AU" sz="1050">
              <a:effectLst/>
            </a:endParaRPr>
          </a:p>
        </cx:rich>
      </cx:tx>
    </cx:title>
    <cx:plotArea>
      <cx:plotAreaRegion>
        <cx:series layoutId="clusteredColumn" uniqueId="{F6CADA71-507B-441B-9AE2-AF33944EFDFD}">
          <cx:tx>
            <cx:txData>
              <cx:f>_xlchart.v1.15</cx:f>
              <cx:v>Image Quality</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1"/>
        </cx:series>
        <cx:series layoutId="paretoLine" ownerIdx="0" uniqueId="{8770372A-217E-4A2D-8D34-2E08A0DF9897}">
          <cx:axisId val="2"/>
        </cx:series>
      </cx:plotAreaRegion>
      <cx:axis id="0">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 dir="row">_xlchart.v1.13</cx:f>
      </cx:strDim>
      <cx:numDim type="val">
        <cx:f dir="row">_xlchart.v1.14</cx:f>
      </cx:numDim>
    </cx:data>
  </cx:chartData>
  <cx:chart>
    <cx:title pos="t" align="ctr" overlay="0">
      <cx:tx>
        <cx:rich>
          <a:bodyPr spcFirstLastPara="1" vertOverflow="ellipsis" horzOverflow="overflow" wrap="square" lIns="0" tIns="0" rIns="0" bIns="0" anchor="ctr" anchorCtr="1"/>
          <a:lstStyle/>
          <a:p>
            <a:pPr rtl="0"/>
            <a:r>
              <a:rPr lang="en-US" sz="1200" b="1" i="0" baseline="0">
                <a:effectLst/>
              </a:rPr>
              <a:t>Pareto Chart</a:t>
            </a:r>
            <a:br>
              <a:rPr lang="en-US" sz="1200" b="1" i="0" baseline="0">
                <a:effectLst/>
              </a:rPr>
            </a:br>
            <a:r>
              <a:rPr lang="en-US" sz="1200" b="1" i="0" baseline="0">
                <a:effectLst/>
              </a:rPr>
              <a:t>(Package Location)</a:t>
            </a:r>
            <a:endParaRPr lang="en-AU" sz="1050">
              <a:effectLst/>
            </a:endParaRPr>
          </a:p>
        </cx:rich>
      </cx:tx>
    </cx:title>
    <cx:plotArea>
      <cx:plotAreaRegion>
        <cx:series layoutId="clusteredColumn" uniqueId="{F6CADA71-507B-441B-9AE2-AF33944EFDFD}">
          <cx:tx>
            <cx:txData>
              <cx:f>_xlchart.v1.12</cx:f>
              <cx:v>Package Location</cx:v>
            </cx:txData>
          </cx:tx>
          <cx:dataLabels pos="inEnd">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layoutPr>
            <cx:aggregation/>
          </cx:layoutPr>
          <cx:axisId val="1"/>
        </cx:series>
        <cx:series layoutId="paretoLine" ownerIdx="0" uniqueId="{8770372A-217E-4A2D-8D34-2E08A0DF9897}">
          <cx:axisId val="2"/>
        </cx:series>
      </cx:plotAreaRegion>
      <cx:axis id="0">
        <cx:catScaling gapWidth="0"/>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hidden="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2">
        <cx:valScaling max="1" min="0"/>
        <cx:units unit="percentage"/>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68">
  <cs:axisTitle>
    <cs:lnRef idx="0"/>
    <cs:fillRef idx="0"/>
    <cs:effectRef idx="0"/>
    <cs:fontRef idx="minor">
      <a:schemeClr val="dk1">
        <a:lumMod val="75000"/>
        <a:lumOff val="25000"/>
      </a:schemeClr>
    </cs:fontRef>
    <cs:defRPr sz="9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cs:chartArea>
  <cs:dataLabel>
    <cs:lnRef idx="0"/>
    <cs:fillRef idx="0"/>
    <cs:effectRef idx="0"/>
    <cs:fontRef idx="minor">
      <a:schemeClr val="dk1"/>
    </cs:fontRef>
    <cs:defRPr sz="900"/>
  </cs:dataLabel>
  <cs:dataLabelCallout>
    <cs:lnRef idx="0"/>
    <cs:fillRef idx="0"/>
    <cs:effectRef idx="0"/>
    <cs:fontRef idx="minor">
      <a:schemeClr val="lt1"/>
    </cs:fontRef>
    <cs:spPr>
      <a:solidFill>
        <a:schemeClr val="dk1">
          <a:lumMod val="65000"/>
          <a:lumOff val="35000"/>
          <a:alpha val="75000"/>
        </a:schemeClr>
      </a:solidFill>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75000"/>
            <a:lumOff val="25000"/>
          </a:schemeClr>
        </a:solidFill>
      </a:ln>
    </cs:spPr>
    <cs:defRPr sz="9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lumOff val="10000"/>
              </a:schemeClr>
            </a:gs>
            <a:gs pos="0">
              <a:schemeClr val="lt1">
                <a:lumMod val="75000"/>
                <a:alpha val="36000"/>
                <a:lumOff val="10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inor">
      <a:schemeClr val="dk1">
        <a:lumMod val="75000"/>
        <a:lumOff val="25000"/>
      </a:schemeClr>
    </cs:fontRef>
    <cs:defRPr sz="1800" b="1"/>
  </cs:title>
  <cs:trendline>
    <cs:lnRef idx="0"/>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75000"/>
        <a:lumOff val="25000"/>
      </a:schemeClr>
    </cs:fontRef>
    <cs:defRPr sz="9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defRPr sz="900"/>
  </cs:valueAxis>
  <cs:wall>
    <cs:lnRef idx="0"/>
    <cs:fillRef idx="0"/>
    <cs:effectRef idx="0"/>
    <cs:fontRef idx="minor">
      <a:schemeClr val="dk1"/>
    </cs:fontRef>
  </cs:wall>
</cs:chartStyle>
</file>

<file path=xl/ctrlProps/ctrlProp1.xml><?xml version="1.0" encoding="utf-8"?>
<formControlPr xmlns="http://schemas.microsoft.com/office/spreadsheetml/2009/9/main" objectType="Radio" firstButton="1" lockText="1"/>
</file>

<file path=xl/documenttasks/documenttask1.xml><?xml version="1.0" encoding="utf-8"?>
<Tasks xmlns="http://schemas.microsoft.com/office/tasks/2019/documenttasks">
  <Task id="{CFD6BC01-B89A-4795-A51D-4FE4EDBF4064}">
    <Anchor>
      <Comment id="{C8D4C695-8044-4849-B69A-6084AC8C4C55}"/>
    </Anchor>
    <History>
      <Event time="2024-12-03T03:03:32.14" id="{7B53B712-F2B6-4616-A511-902BF345CA5A}">
        <Attribution userId="S::andrew.kay@seeingmachines.com::6e00160e-cd7c-4720-b70e-35609a50afa2" userName="Andrew Kay" userProvider="AD"/>
        <Anchor>
          <Comment id="{C8D4C695-8044-4849-B69A-6084AC8C4C55}"/>
        </Anchor>
        <Create/>
      </Event>
      <Event time="2024-12-03T03:03:32.14" id="{33C2B98B-F514-4434-8A90-D358E459E35B}">
        <Attribution userId="S::andrew.kay@seeingmachines.com::6e00160e-cd7c-4720-b70e-35609a50afa2" userName="Andrew Kay" userProvider="AD"/>
        <Anchor>
          <Comment id="{C8D4C695-8044-4849-B69A-6084AC8C4C55}"/>
        </Anchor>
        <Assign userId="S::roberto.pugliese@seeingmachines.com::b6a18a74-5b52-4d2e-96e1-487780221351" userName="Roberto Pugliese" userProvider="AD"/>
      </Event>
      <Event time="2024-12-03T03:03:32.14" id="{06E279CB-5881-40AA-9F0F-3A85D40C26E4}">
        <Attribution userId="S::andrew.kay@seeingmachines.com::6e00160e-cd7c-4720-b70e-35609a50afa2" userName="Andrew Kay" userProvider="AD"/>
        <Anchor>
          <Comment id="{C8D4C695-8044-4849-B69A-6084AC8C4C55}"/>
        </Anchor>
        <SetTitle title="@Roberto Pugliese need to expand to NCAP23, NCAP26, GSR, GSR2, GB/T"/>
      </Event>
      <Event time="2024-12-04T03:09:21.08" id="{9B00EC60-C045-4DA2-8507-4119F108C810}">
        <Attribution userId="S::roberto.pugliese@seeingmachines.com::b6a18a74-5b52-4d2e-96e1-487780221351" userName="Roberto Pugliese" userProvider="AD"/>
        <Progress percentComplete="100"/>
      </Event>
      <Event time="2024-12-04T03:09:45.79" id="{486EE91C-A209-4D28-AAB2-99A5231D1611}">
        <Attribution userId="S::roberto.pugliese@seeingmachines.com::b6a18a74-5b52-4d2e-96e1-487780221351" userName="Roberto Pugliese" userProvider="AD"/>
        <Progress percentComplete="0"/>
      </Event>
      <Event time="2024-12-04T03:09:56.53" id="{DBE66E25-C89C-4D9B-8721-60427CAEF956}">
        <Attribution userId="S::roberto.pugliese@seeingmachines.com::b6a18a74-5b52-4d2e-96e1-487780221351" userName="Roberto Pugliese" userProvider="AD"/>
        <Anchor>
          <Comment id="{35FF6CDC-7745-4256-878C-7CFF744FAA66}"/>
        </Anchor>
        <UnassignAll/>
      </Event>
      <Event time="2024-12-04T03:09:56.53" id="{667CADA8-B6ED-4CCB-97D3-B84678455664}">
        <Attribution userId="S::roberto.pugliese@seeingmachines.com::b6a18a74-5b52-4d2e-96e1-487780221351" userName="Roberto Pugliese" userProvider="AD"/>
        <Anchor>
          <Comment id="{35FF6CDC-7745-4256-878C-7CFF744FAA66}"/>
        </Anchor>
        <Assign userId="S::andrew.kay@seeingmachines.com::6e00160e-cd7c-4720-b70e-35609a50afa2" userName="Andrew Kay" userProvider="AD"/>
      </Event>
    </History>
  </Task>
  <Task id="{30AC702B-44B8-4000-9E3F-D3A8E7FEE212}">
    <Anchor>
      <Comment id="{5B9504AD-779C-4DF2-9977-CCB88440C623}"/>
    </Anchor>
    <History>
      <Event time="2024-12-03T04:48:29.75" id="{7F58F5A2-8E70-4CCF-BA9B-CBC5DEB13C42}">
        <Attribution userId="S::roberto.pugliese@seeingmachines.com::b6a18a74-5b52-4d2e-96e1-487780221351" userName="Roberto Pugliese" userProvider="AD"/>
        <Anchor>
          <Comment id="{5B9504AD-779C-4DF2-9977-CCB88440C623}"/>
        </Anchor>
        <Create/>
      </Event>
      <Event time="2024-12-03T04:48:29.75" id="{E6D3A679-445C-41EC-8E0A-37CACB0AD3B2}">
        <Attribution userId="S::roberto.pugliese@seeingmachines.com::b6a18a74-5b52-4d2e-96e1-487780221351" userName="Roberto Pugliese" userProvider="AD"/>
        <Anchor>
          <Comment id="{5B9504AD-779C-4DF2-9977-CCB88440C623}"/>
        </Anchor>
        <Assign userId="S::yiling.liang@seeingmachines.com::37e79b7b-73f6-43fc-934a-b6a91e067d50" userName="Yiling Liang" userProvider="AD"/>
      </Event>
      <Event time="2024-12-03T04:48:29.75" id="{F98CB0A5-DFBF-45A9-8BEC-AC90D3396B52}">
        <Attribution userId="S::roberto.pugliese@seeingmachines.com::b6a18a74-5b52-4d2e-96e1-487780221351" userName="Roberto Pugliese" userProvider="AD"/>
        <Anchor>
          <Comment id="{5B9504AD-779C-4DF2-9977-CCB88440C623}"/>
        </Anchor>
        <SetTitle title="@Yiling Liang - Can you check this please, which VIS-ID is required (if any) for VWG002."/>
      </Event>
    </History>
  </Task>
  <Task id="{EAE69F75-7399-4206-8851-EF72FC1A6499}">
    <Anchor>
      <Comment id="{BAFFD6DF-6267-4F33-A3E5-5E644A4F6A47}"/>
    </Anchor>
    <History>
      <Event time="2024-12-03T03:05:27.41" id="{01B37190-58C6-4F7C-82CB-CCF8AA04BC04}">
        <Attribution userId="S::andrew.kay@seeingmachines.com::6e00160e-cd7c-4720-b70e-35609a50afa2" userName="Andrew Kay" userProvider="AD"/>
        <Anchor>
          <Comment id="{BAFFD6DF-6267-4F33-A3E5-5E644A4F6A47}"/>
        </Anchor>
        <Create/>
      </Event>
      <Event time="2024-12-03T03:05:27.41" id="{8FD754E8-DB67-4376-81A4-52963446B25C}">
        <Attribution userId="S::andrew.kay@seeingmachines.com::6e00160e-cd7c-4720-b70e-35609a50afa2" userName="Andrew Kay" userProvider="AD"/>
        <Anchor>
          <Comment id="{BAFFD6DF-6267-4F33-A3E5-5E644A4F6A47}"/>
        </Anchor>
        <Assign userId="S::roberto.pugliese@seeingmachines.com::b6a18a74-5b52-4d2e-96e1-487780221351" userName="Roberto Pugliese" userProvider="AD"/>
      </Event>
      <Event time="2024-12-03T03:05:27.41" id="{CED64CF8-7180-44EC-8EB5-666EDE89EF4C}">
        <Attribution userId="S::andrew.kay@seeingmachines.com::6e00160e-cd7c-4720-b70e-35609a50afa2" userName="Andrew Kay" userProvider="AD"/>
        <Anchor>
          <Comment id="{BAFFD6DF-6267-4F33-A3E5-5E644A4F6A47}"/>
        </Anchor>
        <SetTitle title="@Roberto Pugliese currently no way to show which features are being developed to which ASIL level. We often only have 1 or 2 features at ASIL B, the rest QM. Maybe instead of “YES” in the “RoadMap” sheet, have the ASIL level?"/>
      </Event>
      <Event time="2024-12-04T03:10:58.23" id="{793B98DC-494E-4B1C-BC11-609290D73CA0}">
        <Attribution userId="S::roberto.pugliese@seeingmachines.com::b6a18a74-5b52-4d2e-96e1-487780221351" userName="Roberto Pugliese" userProvider="AD"/>
        <Anchor>
          <Comment id="{B2C890BD-7216-420E-BCEC-C3B603C99747}"/>
        </Anchor>
        <UnassignAll/>
      </Event>
      <Event time="2024-12-04T03:10:58.23" id="{E9EBE21D-BB93-4A28-AF87-7DE19F1C43DA}">
        <Attribution userId="S::roberto.pugliese@seeingmachines.com::b6a18a74-5b52-4d2e-96e1-487780221351" userName="Roberto Pugliese" userProvider="AD"/>
        <Anchor>
          <Comment id="{B2C890BD-7216-420E-BCEC-C3B603C99747}"/>
        </Anchor>
        <Assign userId="S::andrew.kay@seeingmachines.com::6e00160e-cd7c-4720-b70e-35609a50afa2" userName="Andrew Kay" userProvider="AD"/>
      </Event>
    </History>
  </Task>
  <Task id="{F0A0B875-570E-4FB2-8A3C-74CBD09491D6}">
    <Anchor>
      <Comment id="{906E535E-A4A0-4E81-85E3-20D300879A87}"/>
    </Anchor>
    <History>
      <Event time="2024-12-03T23:45:39.24" id="{13251603-355C-4DEE-A85B-E4A44D7A7D18}">
        <Attribution userId="S::tom.rogers@seeingmachines.com::c03968fc-ab7d-4c49-aa9f-e52a1becb7cf" userName="Tom Rogers" userProvider="AD"/>
        <Anchor>
          <Comment id="{906E535E-A4A0-4E81-85E3-20D300879A87}"/>
        </Anchor>
        <Create/>
      </Event>
      <Event time="2024-12-03T23:45:39.24" id="{DD7A4DB1-9832-49FF-8044-2C074A3C2036}">
        <Attribution userId="S::tom.rogers@seeingmachines.com::c03968fc-ab7d-4c49-aa9f-e52a1becb7cf" userName="Tom Rogers" userProvider="AD"/>
        <Anchor>
          <Comment id="{906E535E-A4A0-4E81-85E3-20D300879A87}"/>
        </Anchor>
        <Assign userId="S::roberto.pugliese@seeingmachines.com::b6a18a74-5b52-4d2e-96e1-487780221351" userName="Roberto Pugliese" userProvider="AD"/>
      </Event>
      <Event time="2024-12-03T23:45:39.24" id="{17AF4B42-47B4-4F9B-9780-35B19541C0C6}">
        <Attribution userId="S::tom.rogers@seeingmachines.com::c03968fc-ab7d-4c49-aa9f-e52a1becb7cf" userName="Tom Rogers" userProvider="AD"/>
        <Anchor>
          <Comment id="{906E535E-A4A0-4E81-85E3-20D300879A87}"/>
        </Anchor>
        <SetTitle title="Minor - can you add a dedicate filter row so the icon doesn't hide the header text please @Roberto Pugliese"/>
      </Event>
      <Event time="2024-12-04T02:10:57.12" id="{BA1CDD82-1E47-4242-A95E-D973A9B49E64}">
        <Attribution userId="S::roberto.pugliese@seeingmachines.com::b6a18a74-5b52-4d2e-96e1-487780221351" userName="Roberto Pugliese" userProvider="AD"/>
        <Progress percentComplete="100"/>
      </Event>
      <Event time="2024-12-04T02:16:15.35" id="{29657586-0E97-4F81-B867-B8A53405D53B}">
        <Attribution userId="S::roberto.pugliese@seeingmachines.com::b6a18a74-5b52-4d2e-96e1-487780221351" userName="Roberto Pugliese" userProvider="AD"/>
        <Progress percentComplete="0"/>
      </Event>
      <Event time="2024-12-04T02:44:54.73" id="{1EE9A392-ACF8-4B62-90AD-8BEA7BCF19D7}">
        <Attribution userId="S::roberto.pugliese@seeingmachines.com::b6a18a74-5b52-4d2e-96e1-487780221351" userName="Roberto Pugliese" userProvider="AD"/>
        <Progress percentComplete="100"/>
      </Event>
    </History>
  </Task>
  <Task id="{677B4FBF-1345-4DD7-A878-E0588B4D416B}">
    <Anchor>
      <Comment id="{74E8638D-807E-489A-A707-A2BB671AF9D8}"/>
    </Anchor>
    <History>
      <Event time="2024-12-03T03:15:56.46" id="{8DD093E1-0A5D-4252-AF3B-6829712D318F}">
        <Attribution userId="S::andrew.kay@seeingmachines.com::6e00160e-cd7c-4720-b70e-35609a50afa2" userName="Andrew Kay" userProvider="AD"/>
        <Anchor>
          <Comment id="{74E8638D-807E-489A-A707-A2BB671AF9D8}"/>
        </Anchor>
        <Create/>
      </Event>
      <Event time="2024-12-03T03:15:56.46" id="{29191FD7-16DE-4C61-B407-E11E8F62CCEA}">
        <Attribution userId="S::andrew.kay@seeingmachines.com::6e00160e-cd7c-4720-b70e-35609a50afa2" userName="Andrew Kay" userProvider="AD"/>
        <Anchor>
          <Comment id="{74E8638D-807E-489A-A707-A2BB671AF9D8}"/>
        </Anchor>
        <Assign userId="S::roberto.pugliese@seeingmachines.com::b6a18a74-5b52-4d2e-96e1-487780221351" userName="Roberto Pugliese" userProvider="AD"/>
      </Event>
      <Event time="2024-12-03T03:15:56.46" id="{DBDDB844-393A-4AFC-90C1-121B4FB55914}">
        <Attribution userId="S::andrew.kay@seeingmachines.com::6e00160e-cd7c-4720-b70e-35609a50afa2" userName="Andrew Kay" userProvider="AD"/>
        <Anchor>
          <Comment id="{74E8638D-807E-489A-A707-A2BB671AF9D8}"/>
        </Anchor>
        <SetTitle title="@Roberto Pugliese seems all the grouping with SMLXXXX_X gets thrown out as soon as the order is changed using the filter. Maybe just remove the grouping?"/>
      </Event>
      <Event time="2024-12-03T04:19:40.57" id="{C5B81F3A-2A69-4DB1-8C6E-F0DE6A5E58A2}">
        <Attribution userId="S::roberto.pugliese@seeingmachines.com::b6a18a74-5b52-4d2e-96e1-487780221351" userName="Roberto Pugliese" userProvider="AD"/>
        <Progress percentComplete="100"/>
      </Event>
    </History>
  </Task>
  <Task id="{C2BAF7D9-C377-485B-A8E5-377EF4FE7714}">
    <Anchor>
      <Comment id="{15C6C10F-DD39-48B4-BEAE-570038F65CAB}"/>
    </Anchor>
    <History>
      <Event time="2024-12-03T03:11:42.46" id="{B9A2FCCB-672A-4C38-A0DE-1E4AC92EE545}">
        <Attribution userId="S::andrew.kay@seeingmachines.com::6e00160e-cd7c-4720-b70e-35609a50afa2" userName="Andrew Kay" userProvider="AD"/>
        <Anchor>
          <Comment id="{15C6C10F-DD39-48B4-BEAE-570038F65CAB}"/>
        </Anchor>
        <Create/>
      </Event>
      <Event time="2024-12-03T03:11:42.46" id="{A2AE3A9D-8CA5-4487-B698-C3A2E898D677}">
        <Attribution userId="S::andrew.kay@seeingmachines.com::6e00160e-cd7c-4720-b70e-35609a50afa2" userName="Andrew Kay" userProvider="AD"/>
        <Anchor>
          <Comment id="{15C6C10F-DD39-48B4-BEAE-570038F65CAB}"/>
        </Anchor>
        <Assign userId="S::roberto.pugliese@seeingmachines.com::b6a18a74-5b52-4d2e-96e1-487780221351" userName="Roberto Pugliese" userProvider="AD"/>
      </Event>
      <Event time="2024-12-03T03:11:42.46" id="{5910610E-B8E7-4FB2-9E64-E134590ECE50}">
        <Attribution userId="S::andrew.kay@seeingmachines.com::6e00160e-cd7c-4720-b70e-35609a50afa2" userName="Andrew Kay" userProvider="AD"/>
        <Anchor>
          <Comment id="{15C6C10F-DD39-48B4-BEAE-570038F65CAB}"/>
        </Anchor>
        <SetTitle title="@Roberto Pugliese assume this either wasn’t meant to be grouped with SML0122, or you have to the wrong number. BTW SML0122 has 3 versions up to _2"/>
      </Event>
    </History>
  </Task>
</Tasks>
</file>

<file path=xl/documenttasks/documenttask2.xml><?xml version="1.0" encoding="utf-8"?>
<Tasks xmlns="http://schemas.microsoft.com/office/tasks/2019/documenttasks">
  <Task id="{4783AB4A-0CE5-487C-AC86-E2FF7298FE8D}">
    <Anchor>
      <Comment id="{5A246E3F-9DE2-4A8F-8313-3BB190495DCD}"/>
    </Anchor>
    <History>
      <Event time="2024-12-03T05:52:49.13" id="{45B11AA9-E473-486C-A7C9-AFF5B6C4660E}">
        <Attribution userId="S::tom.rogers@seeingmachines.com::c03968fc-ab7d-4c49-aa9f-e52a1becb7cf" userName="Tom Rogers" userProvider="AD"/>
        <Anchor>
          <Comment id="{5A246E3F-9DE2-4A8F-8313-3BB190495DCD}"/>
        </Anchor>
        <Create/>
      </Event>
      <Event time="2024-12-03T05:52:49.13" id="{69088C48-D459-4E11-A13D-49E0DD511A6A}">
        <Attribution userId="S::tom.rogers@seeingmachines.com::c03968fc-ab7d-4c49-aa9f-e52a1becb7cf" userName="Tom Rogers" userProvider="AD"/>
        <Anchor>
          <Comment id="{5A246E3F-9DE2-4A8F-8313-3BB190495DCD}"/>
        </Anchor>
        <Assign userId="S::andrew.kay@seeingmachines.com::6e00160e-cd7c-4720-b70e-35609a50afa2" userName="Andrew Kay" userProvider="AD"/>
      </Event>
      <Event time="2024-12-03T05:52:49.13" id="{828E49B6-DDB1-425A-9702-FE92B78E995B}">
        <Attribution userId="S::tom.rogers@seeingmachines.com::c03968fc-ab7d-4c49-aa9f-e52a1becb7cf" userName="Tom Rogers" userProvider="AD"/>
        <Anchor>
          <Comment id="{5A246E3F-9DE2-4A8F-8313-3BB190495DCD}"/>
        </Anchor>
        <SetTitle title="@Andrew Kay - should we add in the ADP's too?"/>
      </Event>
    </History>
  </Task>
  <Task id="{131AB35E-C486-4487-B938-C4034E184932}">
    <Anchor>
      <Comment id="{12B7882F-949D-4C6B-AD96-2F606225B8CE}"/>
    </Anchor>
    <History>
      <Event time="2024-12-03T02:53:57.78" id="{6F45C99C-3598-4810-B187-A596806CD60B}">
        <Attribution userId="S::andrew.kay@seeingmachines.com::6e00160e-cd7c-4720-b70e-35609a50afa2" userName="Andrew Kay" userProvider="AD"/>
        <Anchor>
          <Comment id="{12B7882F-949D-4C6B-AD96-2F606225B8CE}"/>
        </Anchor>
        <Create/>
      </Event>
      <Event time="2024-12-03T02:53:57.78" id="{4DC4CEE7-EB1E-432D-89C9-003936CA09A2}">
        <Attribution userId="S::andrew.kay@seeingmachines.com::6e00160e-cd7c-4720-b70e-35609a50afa2" userName="Andrew Kay" userProvider="AD"/>
        <Anchor>
          <Comment id="{12B7882F-949D-4C6B-AD96-2F606225B8CE}"/>
        </Anchor>
        <Assign userId="S::roberto.pugliese@seeingmachines.com::b6a18a74-5b52-4d2e-96e1-487780221351" userName="Roberto Pugliese" userProvider="AD"/>
      </Event>
      <Event time="2024-12-03T02:53:57.78" id="{8A821A0C-A39A-44E2-9DC4-5589D5144DB9}">
        <Attribution userId="S::andrew.kay@seeingmachines.com::6e00160e-cd7c-4720-b70e-35609a50afa2" userName="Andrew Kay" userProvider="AD"/>
        <Anchor>
          <Comment id="{12B7882F-949D-4C6B-AD96-2F606225B8CE}"/>
        </Anchor>
        <SetTitle title="@Roberto Pugliese you have VIS-SOD-HEALTH twice"/>
      </Event>
      <Event time="2024-12-03T04:20:50.73" id="{9D4327D3-500C-4229-82C0-0CF0AB7E1227}">
        <Attribution userId="S::roberto.pugliese@seeingmachines.com::b6a18a74-5b52-4d2e-96e1-487780221351" userName="Roberto Pugliese" userProvider="AD"/>
        <Anchor>
          <Comment id="{0194AAD1-AACB-441A-8814-574967978779}"/>
        </Anchor>
        <UnassignAll/>
      </Event>
      <Event time="2024-12-03T04:20:50.73" id="{A8166754-22B3-4471-A960-BD6DA7AC3E87}">
        <Attribution userId="S::roberto.pugliese@seeingmachines.com::b6a18a74-5b52-4d2e-96e1-487780221351" userName="Roberto Pugliese" userProvider="AD"/>
        <Anchor>
          <Comment id="{0194AAD1-AACB-441A-8814-574967978779}"/>
        </Anchor>
        <Assign userId="S::tom.rogers@seeingmachines.com::c03968fc-ab7d-4c49-aa9f-e52a1becb7cf" userName="Tom Rogers" userProvider="AD"/>
      </Event>
    </History>
  </Task>
</Tasks>
</file>

<file path=xl/drawings/_rels/drawing2.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4" Type="http://schemas.microsoft.com/office/2014/relationships/chartEx" Target="../charts/chartEx4.xml"/></Relationships>
</file>

<file path=xl/drawings/_rels/drawing3.xml.rels><?xml version="1.0" encoding="UTF-8" standalone="yes"?>
<Relationships xmlns="http://schemas.openxmlformats.org/package/2006/relationships"><Relationship Id="rId3" Type="http://schemas.microsoft.com/office/2014/relationships/chartEx" Target="../charts/chartEx7.xml"/><Relationship Id="rId2" Type="http://schemas.microsoft.com/office/2014/relationships/chartEx" Target="../charts/chartEx6.xml"/><Relationship Id="rId1" Type="http://schemas.microsoft.com/office/2014/relationships/chartEx" Target="../charts/chartEx5.xml"/><Relationship Id="rId4" Type="http://schemas.microsoft.com/office/2014/relationships/chartEx" Target="../charts/chartEx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685800</xdr:colOff>
          <xdr:row>0</xdr:row>
          <xdr:rowOff>638175</xdr:rowOff>
        </xdr:to>
        <xdr:sp macro="" textlink="">
          <xdr:nvSpPr>
            <xdr:cNvPr id="66565" name="EnableEvents" descr="When enabled, updating the table data will cause the Last Updated field to be changed." hidden="1">
              <a:extLst>
                <a:ext uri="{63B3BB69-23CF-44E3-9099-C40C66FF867C}">
                  <a14:compatExt spid="_x0000_s66565"/>
                </a:ext>
                <a:ext uri="{FF2B5EF4-FFF2-40B4-BE49-F238E27FC236}">
                  <a16:creationId xmlns:a16="http://schemas.microsoft.com/office/drawing/2014/main" id="{00000000-0008-0000-0200-000005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AU" sz="800" b="0" i="0" u="none" strike="noStrike" baseline="0">
                  <a:solidFill>
                    <a:srgbClr val="000000"/>
                  </a:solidFill>
                  <a:latin typeface="Segoe UI"/>
                  <a:cs typeface="Segoe UI"/>
                </a:rPr>
                <a:t>Update Last Modified Date on Changes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8</xdr:row>
      <xdr:rowOff>185737</xdr:rowOff>
    </xdr:from>
    <xdr:to>
      <xdr:col>100</xdr:col>
      <xdr:colOff>0</xdr:colOff>
      <xdr:row>33</xdr:row>
      <xdr:rowOff>103237</xdr:rowOff>
    </xdr:to>
    <mc:AlternateContent xmlns:mc="http://schemas.openxmlformats.org/markup-compatibility/2006">
      <mc:Choice xmlns:cx1="http://schemas.microsoft.com/office/drawing/2015/9/8/chartex" Requires="cx1">
        <xdr:graphicFrame macro="">
          <xdr:nvGraphicFramePr>
            <xdr:cNvPr id="89" name="Chart 1">
              <a:extLst>
                <a:ext uri="{FF2B5EF4-FFF2-40B4-BE49-F238E27FC236}">
                  <a16:creationId xmlns:a16="http://schemas.microsoft.com/office/drawing/2014/main" id="{3D4B45E5-82F0-7895-2235-9FEC34A0DE8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85725" y="3357562"/>
              <a:ext cx="25126950" cy="468000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85725</xdr:colOff>
      <xdr:row>33</xdr:row>
      <xdr:rowOff>133350</xdr:rowOff>
    </xdr:from>
    <xdr:to>
      <xdr:col>100</xdr:col>
      <xdr:colOff>0</xdr:colOff>
      <xdr:row>58</xdr:row>
      <xdr:rowOff>50850</xdr:rowOff>
    </xdr:to>
    <mc:AlternateContent xmlns:mc="http://schemas.openxmlformats.org/markup-compatibility/2006">
      <mc:Choice xmlns:cx1="http://schemas.microsoft.com/office/drawing/2015/9/8/chartex" Requires="cx1">
        <xdr:graphicFrame macro="">
          <xdr:nvGraphicFramePr>
            <xdr:cNvPr id="111" name="Chart 4">
              <a:extLst>
                <a:ext uri="{FF2B5EF4-FFF2-40B4-BE49-F238E27FC236}">
                  <a16:creationId xmlns:a16="http://schemas.microsoft.com/office/drawing/2014/main" id="{F8E15AFE-A286-4440-BF6E-B5B4970982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85725" y="8067675"/>
              <a:ext cx="25126950" cy="468000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85725</xdr:colOff>
      <xdr:row>58</xdr:row>
      <xdr:rowOff>66675</xdr:rowOff>
    </xdr:from>
    <xdr:to>
      <xdr:col>100</xdr:col>
      <xdr:colOff>0</xdr:colOff>
      <xdr:row>82</xdr:row>
      <xdr:rowOff>174675</xdr:rowOff>
    </xdr:to>
    <mc:AlternateContent xmlns:mc="http://schemas.openxmlformats.org/markup-compatibility/2006">
      <mc:Choice xmlns:cx1="http://schemas.microsoft.com/office/drawing/2015/9/8/chartex" Requires="cx1">
        <xdr:graphicFrame macro="">
          <xdr:nvGraphicFramePr>
            <xdr:cNvPr id="131" name="Chart 5">
              <a:extLst>
                <a:ext uri="{FF2B5EF4-FFF2-40B4-BE49-F238E27FC236}">
                  <a16:creationId xmlns:a16="http://schemas.microsoft.com/office/drawing/2014/main" id="{D82215D0-9441-412C-9185-69445180CDC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5725" y="12763500"/>
              <a:ext cx="25126950" cy="468000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85725</xdr:colOff>
      <xdr:row>83</xdr:row>
      <xdr:rowOff>38100</xdr:rowOff>
    </xdr:from>
    <xdr:to>
      <xdr:col>100</xdr:col>
      <xdr:colOff>0</xdr:colOff>
      <xdr:row>107</xdr:row>
      <xdr:rowOff>146100</xdr:rowOff>
    </xdr:to>
    <mc:AlternateContent xmlns:mc="http://schemas.openxmlformats.org/markup-compatibility/2006">
      <mc:Choice xmlns:cx1="http://schemas.microsoft.com/office/drawing/2015/9/8/chartex" Requires="cx1">
        <xdr:graphicFrame macro="">
          <xdr:nvGraphicFramePr>
            <xdr:cNvPr id="155" name="Chart 6">
              <a:extLst>
                <a:ext uri="{FF2B5EF4-FFF2-40B4-BE49-F238E27FC236}">
                  <a16:creationId xmlns:a16="http://schemas.microsoft.com/office/drawing/2014/main" id="{22B6D54E-72A7-45DF-948F-4AA82D15F3F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5725" y="17497425"/>
              <a:ext cx="25126950" cy="468000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36</xdr:col>
      <xdr:colOff>14286</xdr:colOff>
      <xdr:row>2</xdr:row>
      <xdr:rowOff>76199</xdr:rowOff>
    </xdr:from>
    <xdr:to>
      <xdr:col>46</xdr:col>
      <xdr:colOff>0</xdr:colOff>
      <xdr:row>22</xdr:row>
      <xdr:rowOff>9524</xdr:rowOff>
    </xdr:to>
    <mc:AlternateContent xmlns:mc="http://schemas.openxmlformats.org/markup-compatibility/2006">
      <mc:Choice xmlns:cx1="http://schemas.microsoft.com/office/drawing/2015/9/8/chartex" Requires="cx1">
        <xdr:graphicFrame macro="">
          <xdr:nvGraphicFramePr>
            <xdr:cNvPr id="28" name="Chart 5">
              <a:extLst>
                <a:ext uri="{FF2B5EF4-FFF2-40B4-BE49-F238E27FC236}">
                  <a16:creationId xmlns:a16="http://schemas.microsoft.com/office/drawing/2014/main" id="{476477CB-D8BC-7AEE-A9B1-C9A45130BD1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777786" y="1838324"/>
              <a:ext cx="3452814" cy="374332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48</xdr:col>
      <xdr:colOff>4762</xdr:colOff>
      <xdr:row>2</xdr:row>
      <xdr:rowOff>76200</xdr:rowOff>
    </xdr:from>
    <xdr:to>
      <xdr:col>68</xdr:col>
      <xdr:colOff>0</xdr:colOff>
      <xdr:row>22</xdr:row>
      <xdr:rowOff>0</xdr:rowOff>
    </xdr:to>
    <mc:AlternateContent xmlns:mc="http://schemas.openxmlformats.org/markup-compatibility/2006">
      <mc:Choice xmlns:cx1="http://schemas.microsoft.com/office/drawing/2015/9/8/chartex" Requires="cx1">
        <xdr:graphicFrame macro="">
          <xdr:nvGraphicFramePr>
            <xdr:cNvPr id="27" name="Chart 8">
              <a:extLst>
                <a:ext uri="{FF2B5EF4-FFF2-40B4-BE49-F238E27FC236}">
                  <a16:creationId xmlns:a16="http://schemas.microsoft.com/office/drawing/2014/main" id="{08CCDD49-5E31-50D2-40C1-CC6BCEB85FA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321212" y="1838325"/>
              <a:ext cx="4757738" cy="3733800"/>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19707</xdr:colOff>
      <xdr:row>2</xdr:row>
      <xdr:rowOff>38427</xdr:rowOff>
    </xdr:from>
    <xdr:to>
      <xdr:col>34</xdr:col>
      <xdr:colOff>202982</xdr:colOff>
      <xdr:row>21</xdr:row>
      <xdr:rowOff>162252</xdr:rowOff>
    </xdr:to>
    <mc:AlternateContent xmlns:mc="http://schemas.openxmlformats.org/markup-compatibility/2006">
      <mc:Choice xmlns:cx1="http://schemas.microsoft.com/office/drawing/2015/9/8/chartex" Requires="cx1">
        <xdr:graphicFrame macro="">
          <xdr:nvGraphicFramePr>
            <xdr:cNvPr id="2" name="Chart 5">
              <a:extLst>
                <a:ext uri="{FF2B5EF4-FFF2-40B4-BE49-F238E27FC236}">
                  <a16:creationId xmlns:a16="http://schemas.microsoft.com/office/drawing/2014/main" id="{7F3B9FA3-4E0A-4D5D-89AD-65AE2D1BE3D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420882" y="1800552"/>
              <a:ext cx="2726450" cy="374332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19</xdr:col>
      <xdr:colOff>532086</xdr:colOff>
      <xdr:row>2</xdr:row>
      <xdr:rowOff>26603</xdr:rowOff>
    </xdr:from>
    <xdr:to>
      <xdr:col>25</xdr:col>
      <xdr:colOff>7227</xdr:colOff>
      <xdr:row>21</xdr:row>
      <xdr:rowOff>150428</xdr:rowOff>
    </xdr:to>
    <mc:AlternateContent xmlns:mc="http://schemas.openxmlformats.org/markup-compatibility/2006">
      <mc:Choice xmlns:cx1="http://schemas.microsoft.com/office/drawing/2015/9/8/chartex" Requires="cx1">
        <xdr:graphicFrame macro="">
          <xdr:nvGraphicFramePr>
            <xdr:cNvPr id="3" name="Chart 5">
              <a:extLst>
                <a:ext uri="{FF2B5EF4-FFF2-40B4-BE49-F238E27FC236}">
                  <a16:creationId xmlns:a16="http://schemas.microsoft.com/office/drawing/2014/main" id="{27BDD18D-4157-49AE-9C10-715E61CF243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6951936" y="1788728"/>
              <a:ext cx="1923066" cy="3743325"/>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seeingmachines.sharepoint.com/automotive/Shared%20Documents/Process/Quote%20Process/Templates/FROP%20Template%20v2_draft_Example.xlsx" TargetMode="External"/><Relationship Id="rId1" Type="http://schemas.openxmlformats.org/officeDocument/2006/relationships/externalLinkPath" Target="https://seeingmachines-my.sharepoint.com/personal/frank_miller_seeingmachines_com/Documents/Microsoft%20Teams%20Chat%20Files/SML00xx/06%20Schedule/FROP%20Template%20v2_draft_Examp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Instructions"/>
      <sheetName val="FROP (Internal)"/>
      <sheetName val="FROP (Customer)"/>
      <sheetName val="Internal Variant Details"/>
      <sheetName val="Pulldown Data"/>
      <sheetName val="FROP Checker Summary"/>
      <sheetName val="FROP Checker Details"/>
      <sheetName val="Example"/>
      <sheetName val="Version History"/>
    </sheetNames>
    <sheetDataSet>
      <sheetData sheetId="0" refreshError="1"/>
      <sheetData sheetId="1" refreshError="1"/>
      <sheetData sheetId="2">
        <row r="1">
          <cell r="A1" t="str">
            <v>Valeo_VW_VWG002_FROP_44951</v>
          </cell>
        </row>
        <row r="3">
          <cell r="B3" t="str">
            <v>Valeo</v>
          </cell>
        </row>
        <row r="4">
          <cell r="B4" t="str">
            <v>VW</v>
          </cell>
        </row>
        <row r="5">
          <cell r="B5" t="str">
            <v>VWG002</v>
          </cell>
        </row>
        <row r="6">
          <cell r="Y6" t="str">
            <v>Week 2</v>
          </cell>
          <cell r="AA6" t="str">
            <v>Week 4</v>
          </cell>
          <cell r="AD6" t="str">
            <v>Last week</v>
          </cell>
          <cell r="AG6" t="str">
            <v xml:space="preserve">Week 1 </v>
          </cell>
          <cell r="AJ6" t="str">
            <v>Week 2</v>
          </cell>
          <cell r="AL6" t="str">
            <v>Week 2</v>
          </cell>
          <cell r="AO6" t="str">
            <v>Week 4</v>
          </cell>
          <cell r="AR6" t="str">
            <v>Last week</v>
          </cell>
          <cell r="AU6" t="str">
            <v xml:space="preserve">Week 1 </v>
          </cell>
          <cell r="AW6" t="str">
            <v xml:space="preserve">Week 1 </v>
          </cell>
          <cell r="AZ6" t="str">
            <v>Week 3</v>
          </cell>
          <cell r="BD6" t="str">
            <v>Week 3</v>
          </cell>
          <cell r="BM6" t="str">
            <v xml:space="preserve">Week 1 </v>
          </cell>
        </row>
        <row r="7">
          <cell r="B7">
            <v>1</v>
          </cell>
          <cell r="Y7" t="str">
            <v>x</v>
          </cell>
        </row>
        <row r="8">
          <cell r="B8">
            <v>44951</v>
          </cell>
          <cell r="Y8" t="str">
            <v>REQF</v>
          </cell>
          <cell r="AA8" t="str">
            <v>REQF</v>
          </cell>
          <cell r="AD8" t="str">
            <v>FFV</v>
          </cell>
          <cell r="AG8" t="str">
            <v>FFV</v>
          </cell>
          <cell r="AJ8" t="str">
            <v>EFV</v>
          </cell>
          <cell r="AL8" t="str">
            <v>EFV</v>
          </cell>
          <cell r="AO8" t="str">
            <v>AFV</v>
          </cell>
          <cell r="AR8" t="str">
            <v>AFV</v>
          </cell>
          <cell r="AU8" t="str">
            <v>AFV</v>
          </cell>
          <cell r="AW8" t="str">
            <v>AFV</v>
          </cell>
          <cell r="AZ8" t="str">
            <v>SSSR</v>
          </cell>
          <cell r="BD8" t="str">
            <v>SSSR</v>
          </cell>
          <cell r="BM8" t="str">
            <v>SSSR</v>
          </cell>
        </row>
        <row r="9">
          <cell r="Y9" t="str">
            <v>SOD</v>
          </cell>
          <cell r="AA9" t="str">
            <v>ER1</v>
          </cell>
          <cell r="AD9" t="str">
            <v>R1</v>
          </cell>
          <cell r="AG9" t="str">
            <v>ER2</v>
          </cell>
          <cell r="AJ9" t="str">
            <v>R2</v>
          </cell>
          <cell r="AL9" t="str">
            <v>ER3</v>
          </cell>
          <cell r="AO9" t="str">
            <v>R3</v>
          </cell>
          <cell r="AR9" t="str">
            <v>ER4.1</v>
          </cell>
          <cell r="AU9" t="str">
            <v>ER4.2</v>
          </cell>
          <cell r="AW9" t="str">
            <v>ER4.3</v>
          </cell>
          <cell r="AZ9" t="str">
            <v>R4</v>
          </cell>
          <cell r="BD9" t="str">
            <v>R4</v>
          </cell>
          <cell r="BM9" t="str">
            <v>R4</v>
          </cell>
        </row>
        <row r="10">
          <cell r="Y10" t="str">
            <v>QNX</v>
          </cell>
          <cell r="AA10" t="str">
            <v>QNX</v>
          </cell>
          <cell r="AD10" t="str">
            <v>QNX</v>
          </cell>
          <cell r="AG10" t="str">
            <v>QNX</v>
          </cell>
          <cell r="AJ10" t="str">
            <v>QNX</v>
          </cell>
          <cell r="AL10" t="str">
            <v>QNX</v>
          </cell>
          <cell r="AO10" t="str">
            <v>QNX</v>
          </cell>
          <cell r="AR10" t="str">
            <v>QNX</v>
          </cell>
          <cell r="AU10" t="str">
            <v>QNX</v>
          </cell>
          <cell r="AW10" t="str">
            <v>QNX</v>
          </cell>
          <cell r="AZ10" t="str">
            <v>QNX</v>
          </cell>
          <cell r="BD10" t="str">
            <v>QNX</v>
          </cell>
          <cell r="BM10" t="str">
            <v>QNX</v>
          </cell>
        </row>
        <row r="11">
          <cell r="Y11" t="str">
            <v>Dev. Kit</v>
          </cell>
          <cell r="AA11" t="str">
            <v>A Sample</v>
          </cell>
          <cell r="AD11" t="str">
            <v>B Sample</v>
          </cell>
          <cell r="AG11" t="str">
            <v>B Sample</v>
          </cell>
          <cell r="AJ11" t="str">
            <v>B Sample</v>
          </cell>
          <cell r="AL11" t="str">
            <v>B Sample</v>
          </cell>
          <cell r="AO11" t="str">
            <v>C Sample</v>
          </cell>
          <cell r="AR11" t="str">
            <v>C Sample</v>
          </cell>
          <cell r="AU11" t="str">
            <v>C Sample</v>
          </cell>
          <cell r="AW11" t="str">
            <v>C Sample</v>
          </cell>
          <cell r="AZ11" t="str">
            <v>SOP Sample</v>
          </cell>
          <cell r="BD11" t="str">
            <v>SOP Sample</v>
          </cell>
          <cell r="BM11" t="str">
            <v>SOP Sample</v>
          </cell>
        </row>
        <row r="12">
          <cell r="Y12" t="str">
            <v>QCM SA4150</v>
          </cell>
          <cell r="AA12" t="str">
            <v>QCM SA4150</v>
          </cell>
          <cell r="AD12" t="str">
            <v>QCM SA4150</v>
          </cell>
          <cell r="AG12" t="str">
            <v>QCM SA4150</v>
          </cell>
          <cell r="AJ12" t="str">
            <v>QCM SA4150</v>
          </cell>
          <cell r="AL12" t="str">
            <v>QCM SA4150</v>
          </cell>
          <cell r="AO12" t="str">
            <v>QCM SA4150</v>
          </cell>
          <cell r="AR12" t="str">
            <v>QCM SA4150</v>
          </cell>
          <cell r="AU12" t="str">
            <v>QCM SA4150</v>
          </cell>
          <cell r="AW12" t="str">
            <v>QCM SA4150</v>
          </cell>
          <cell r="AZ12" t="str">
            <v>QCM SA4150</v>
          </cell>
          <cell r="BD12" t="str">
            <v>QCM SA4150</v>
          </cell>
          <cell r="BM12" t="str">
            <v>QCM SA4150</v>
          </cell>
        </row>
        <row r="14">
          <cell r="U14" t="str">
            <v>Integration of Camera Control</v>
          </cell>
          <cell r="AA14">
            <v>45017</v>
          </cell>
          <cell r="AD14">
            <v>45108</v>
          </cell>
          <cell r="AG14">
            <v>45200</v>
          </cell>
          <cell r="AJ14">
            <v>45261</v>
          </cell>
          <cell r="AL14">
            <v>45352</v>
          </cell>
          <cell r="AO14">
            <v>45444</v>
          </cell>
          <cell r="AR14">
            <v>45505</v>
          </cell>
          <cell r="AU14">
            <v>45597</v>
          </cell>
          <cell r="AW14">
            <v>45689</v>
          </cell>
          <cell r="AZ14">
            <v>45778</v>
          </cell>
          <cell r="BD14">
            <v>45778</v>
          </cell>
          <cell r="BM14">
            <v>45778</v>
          </cell>
        </row>
        <row r="15">
          <cell r="U15" t="str">
            <v>Dev Boards</v>
          </cell>
          <cell r="Y15">
            <v>44927</v>
          </cell>
        </row>
        <row r="16">
          <cell r="U16" t="str">
            <v>DSP</v>
          </cell>
        </row>
        <row r="17">
          <cell r="Y17">
            <v>44927</v>
          </cell>
          <cell r="AA17">
            <v>45017</v>
          </cell>
          <cell r="AD17">
            <v>45108</v>
          </cell>
          <cell r="AG17">
            <v>45200</v>
          </cell>
          <cell r="AJ17">
            <v>45261</v>
          </cell>
          <cell r="AL17">
            <v>45352</v>
          </cell>
          <cell r="AO17">
            <v>45444</v>
          </cell>
          <cell r="AR17">
            <v>45505</v>
          </cell>
          <cell r="AU17">
            <v>45597</v>
          </cell>
          <cell r="AW17">
            <v>45689</v>
          </cell>
          <cell r="AZ17">
            <v>45778</v>
          </cell>
          <cell r="BD17">
            <v>45778</v>
          </cell>
          <cell r="BM17">
            <v>45778</v>
          </cell>
        </row>
        <row r="18">
          <cell r="AA18">
            <v>45017</v>
          </cell>
          <cell r="AD18">
            <v>45108</v>
          </cell>
          <cell r="AG18">
            <v>45200</v>
          </cell>
          <cell r="AJ18">
            <v>45261</v>
          </cell>
          <cell r="AL18">
            <v>45352</v>
          </cell>
          <cell r="AO18">
            <v>45444</v>
          </cell>
          <cell r="AR18">
            <v>45505</v>
          </cell>
          <cell r="AU18">
            <v>45597</v>
          </cell>
          <cell r="AW18">
            <v>45689</v>
          </cell>
          <cell r="AZ18">
            <v>45778</v>
          </cell>
          <cell r="BD18">
            <v>45778</v>
          </cell>
          <cell r="BM18">
            <v>45778</v>
          </cell>
        </row>
        <row r="19">
          <cell r="I19" t="str">
            <v>Variant #1</v>
          </cell>
          <cell r="J19" t="str">
            <v>Variant #2</v>
          </cell>
          <cell r="K19" t="str">
            <v>Variant #3</v>
          </cell>
          <cell r="L19" t="str">
            <v>Variant #4</v>
          </cell>
          <cell r="M19" t="str">
            <v>Variant #5</v>
          </cell>
        </row>
        <row r="25">
          <cell r="F25" t="str">
            <v>N/A</v>
          </cell>
          <cell r="G25" t="str">
            <v>x</v>
          </cell>
          <cell r="I25" t="str">
            <v>x</v>
          </cell>
          <cell r="J25" t="str">
            <v>N/A</v>
          </cell>
          <cell r="K25" t="str">
            <v>N/A</v>
          </cell>
          <cell r="L25" t="str">
            <v>N/A</v>
          </cell>
          <cell r="M25" t="str">
            <v>N/A</v>
          </cell>
          <cell r="N25" t="str">
            <v>x</v>
          </cell>
          <cell r="T25" t="str">
            <v>QM</v>
          </cell>
          <cell r="Y25">
            <v>2</v>
          </cell>
          <cell r="AA25">
            <v>3</v>
          </cell>
          <cell r="AD25">
            <v>3</v>
          </cell>
          <cell r="AG25">
            <v>3</v>
          </cell>
          <cell r="AJ25">
            <v>3</v>
          </cell>
          <cell r="AL25">
            <v>4</v>
          </cell>
          <cell r="AO25">
            <v>4</v>
          </cell>
          <cell r="AR25">
            <v>4</v>
          </cell>
          <cell r="AU25">
            <v>4</v>
          </cell>
          <cell r="AW25">
            <v>5</v>
          </cell>
          <cell r="AZ25">
            <v>5</v>
          </cell>
        </row>
        <row r="26">
          <cell r="F26" t="str">
            <v>N/A</v>
          </cell>
          <cell r="G26" t="str">
            <v>N/A</v>
          </cell>
          <cell r="I26" t="str">
            <v>N/A</v>
          </cell>
          <cell r="J26" t="str">
            <v>N/A</v>
          </cell>
          <cell r="K26" t="str">
            <v>N/A</v>
          </cell>
          <cell r="L26" t="str">
            <v>N/A</v>
          </cell>
          <cell r="M26" t="str">
            <v>N/A</v>
          </cell>
          <cell r="N26" t="str">
            <v>N/A</v>
          </cell>
          <cell r="T26" t="str">
            <v>N/A</v>
          </cell>
        </row>
        <row r="27">
          <cell r="F27" t="str">
            <v>N/A</v>
          </cell>
          <cell r="G27" t="str">
            <v>N/A</v>
          </cell>
          <cell r="I27" t="str">
            <v>N/A</v>
          </cell>
          <cell r="J27" t="str">
            <v>N/A</v>
          </cell>
          <cell r="K27" t="str">
            <v>N/A</v>
          </cell>
          <cell r="L27" t="str">
            <v>N/A</v>
          </cell>
          <cell r="M27" t="str">
            <v>N/A</v>
          </cell>
          <cell r="N27" t="str">
            <v>N/A</v>
          </cell>
          <cell r="T27" t="str">
            <v>N/A</v>
          </cell>
        </row>
        <row r="28">
          <cell r="F28" t="str">
            <v>N/A</v>
          </cell>
          <cell r="G28" t="str">
            <v>x</v>
          </cell>
          <cell r="I28" t="str">
            <v>x</v>
          </cell>
          <cell r="J28" t="str">
            <v>N/A</v>
          </cell>
          <cell r="K28" t="str">
            <v>N/A</v>
          </cell>
          <cell r="L28" t="str">
            <v>N/A</v>
          </cell>
          <cell r="M28" t="str">
            <v>N/A</v>
          </cell>
          <cell r="N28" t="str">
            <v>x</v>
          </cell>
          <cell r="O28" t="str">
            <v>N/A</v>
          </cell>
          <cell r="P28" t="str">
            <v>N/A</v>
          </cell>
          <cell r="T28" t="str">
            <v>QM</v>
          </cell>
          <cell r="Y28">
            <v>2</v>
          </cell>
          <cell r="AA28">
            <v>3</v>
          </cell>
          <cell r="AD28">
            <v>3</v>
          </cell>
          <cell r="AG28">
            <v>3</v>
          </cell>
          <cell r="AJ28">
            <v>3</v>
          </cell>
          <cell r="AL28">
            <v>4</v>
          </cell>
          <cell r="AO28">
            <v>4</v>
          </cell>
          <cell r="AR28">
            <v>4</v>
          </cell>
          <cell r="AU28">
            <v>4</v>
          </cell>
          <cell r="AW28">
            <v>5</v>
          </cell>
          <cell r="AZ28">
            <v>5</v>
          </cell>
        </row>
        <row r="29">
          <cell r="F29" t="str">
            <v>N/A</v>
          </cell>
          <cell r="G29" t="str">
            <v>x</v>
          </cell>
          <cell r="I29" t="str">
            <v>x</v>
          </cell>
          <cell r="J29" t="str">
            <v>N/A</v>
          </cell>
          <cell r="K29" t="str">
            <v>N/A</v>
          </cell>
          <cell r="L29" t="str">
            <v>N/A</v>
          </cell>
          <cell r="M29" t="str">
            <v>N/A</v>
          </cell>
          <cell r="N29" t="str">
            <v>x</v>
          </cell>
          <cell r="O29" t="str">
            <v>N/A</v>
          </cell>
          <cell r="P29" t="str">
            <v>N/A</v>
          </cell>
          <cell r="T29" t="str">
            <v>QM</v>
          </cell>
          <cell r="Y29">
            <v>2</v>
          </cell>
          <cell r="AA29">
            <v>3</v>
          </cell>
          <cell r="AD29">
            <v>3</v>
          </cell>
          <cell r="AG29">
            <v>3</v>
          </cell>
          <cell r="AJ29">
            <v>3</v>
          </cell>
          <cell r="AL29">
            <v>4</v>
          </cell>
          <cell r="AO29">
            <v>4</v>
          </cell>
          <cell r="AR29">
            <v>4</v>
          </cell>
          <cell r="AU29">
            <v>4</v>
          </cell>
          <cell r="AW29">
            <v>5</v>
          </cell>
          <cell r="AZ29">
            <v>5</v>
          </cell>
        </row>
        <row r="30">
          <cell r="F30" t="str">
            <v>N/A</v>
          </cell>
          <cell r="G30" t="str">
            <v>x</v>
          </cell>
          <cell r="I30" t="str">
            <v>x</v>
          </cell>
          <cell r="J30" t="str">
            <v>N/A</v>
          </cell>
          <cell r="K30" t="str">
            <v>N/A</v>
          </cell>
          <cell r="L30" t="str">
            <v>N/A</v>
          </cell>
          <cell r="M30" t="str">
            <v>N/A</v>
          </cell>
          <cell r="N30" t="str">
            <v>x</v>
          </cell>
          <cell r="O30" t="str">
            <v>N/A</v>
          </cell>
          <cell r="P30" t="str">
            <v>N/A</v>
          </cell>
          <cell r="T30" t="str">
            <v>QM</v>
          </cell>
          <cell r="Y30">
            <v>2</v>
          </cell>
          <cell r="AA30">
            <v>3</v>
          </cell>
          <cell r="AD30">
            <v>3</v>
          </cell>
          <cell r="AG30">
            <v>3</v>
          </cell>
          <cell r="AJ30">
            <v>3</v>
          </cell>
          <cell r="AL30">
            <v>4</v>
          </cell>
          <cell r="AO30">
            <v>4</v>
          </cell>
          <cell r="AR30">
            <v>4</v>
          </cell>
          <cell r="AU30">
            <v>4</v>
          </cell>
          <cell r="AW30">
            <v>5</v>
          </cell>
          <cell r="AZ30">
            <v>5</v>
          </cell>
        </row>
        <row r="33">
          <cell r="F33" t="str">
            <v>N/A</v>
          </cell>
          <cell r="G33" t="str">
            <v>N/A</v>
          </cell>
          <cell r="I33" t="str">
            <v>N/A</v>
          </cell>
          <cell r="J33" t="str">
            <v>N/A</v>
          </cell>
          <cell r="K33" t="str">
            <v>N/A</v>
          </cell>
          <cell r="L33" t="str">
            <v>N/A</v>
          </cell>
          <cell r="M33" t="str">
            <v>N/A</v>
          </cell>
          <cell r="N33" t="str">
            <v>N/A</v>
          </cell>
          <cell r="O33" t="str">
            <v>N/A</v>
          </cell>
          <cell r="P33" t="str">
            <v>N/A</v>
          </cell>
          <cell r="T33" t="str">
            <v>N/A</v>
          </cell>
        </row>
        <row r="34">
          <cell r="F34" t="str">
            <v>N/A</v>
          </cell>
          <cell r="G34" t="str">
            <v>N/A</v>
          </cell>
          <cell r="I34" t="str">
            <v>N/A</v>
          </cell>
          <cell r="J34" t="str">
            <v>N/A</v>
          </cell>
          <cell r="K34" t="str">
            <v>N/A</v>
          </cell>
          <cell r="L34" t="str">
            <v>N/A</v>
          </cell>
          <cell r="M34" t="str">
            <v>N/A</v>
          </cell>
          <cell r="N34" t="str">
            <v>N/A</v>
          </cell>
          <cell r="O34" t="str">
            <v>N/A</v>
          </cell>
          <cell r="P34" t="str">
            <v>N/A</v>
          </cell>
          <cell r="T34" t="str">
            <v>N/A</v>
          </cell>
        </row>
        <row r="35">
          <cell r="F35" t="str">
            <v>N/A</v>
          </cell>
          <cell r="G35" t="str">
            <v>x</v>
          </cell>
          <cell r="I35" t="str">
            <v>x</v>
          </cell>
          <cell r="J35" t="str">
            <v>N/A</v>
          </cell>
          <cell r="K35" t="str">
            <v>N/A</v>
          </cell>
          <cell r="L35" t="str">
            <v>N/A</v>
          </cell>
          <cell r="M35" t="str">
            <v>N/A</v>
          </cell>
          <cell r="N35" t="str">
            <v>x</v>
          </cell>
          <cell r="O35" t="str">
            <v>N/A</v>
          </cell>
          <cell r="P35" t="str">
            <v>N/A</v>
          </cell>
          <cell r="T35" t="str">
            <v>QM</v>
          </cell>
          <cell r="Y35">
            <v>2</v>
          </cell>
          <cell r="AA35">
            <v>3</v>
          </cell>
          <cell r="AD35">
            <v>3</v>
          </cell>
          <cell r="AG35">
            <v>3</v>
          </cell>
          <cell r="AJ35">
            <v>3</v>
          </cell>
          <cell r="AL35">
            <v>4</v>
          </cell>
          <cell r="AO35">
            <v>4</v>
          </cell>
          <cell r="AR35">
            <v>4</v>
          </cell>
          <cell r="AU35">
            <v>4</v>
          </cell>
          <cell r="AW35">
            <v>5</v>
          </cell>
          <cell r="AZ35">
            <v>5</v>
          </cell>
        </row>
        <row r="36">
          <cell r="F36" t="str">
            <v>N/A</v>
          </cell>
          <cell r="G36" t="str">
            <v>N/A</v>
          </cell>
          <cell r="I36" t="str">
            <v>N/A</v>
          </cell>
          <cell r="J36" t="str">
            <v>N/A</v>
          </cell>
          <cell r="K36" t="str">
            <v>N/A</v>
          </cell>
          <cell r="L36" t="str">
            <v>N/A</v>
          </cell>
          <cell r="M36" t="str">
            <v>N/A</v>
          </cell>
          <cell r="N36" t="str">
            <v>N/A</v>
          </cell>
          <cell r="O36" t="str">
            <v>N/A</v>
          </cell>
          <cell r="P36" t="str">
            <v>N/A</v>
          </cell>
          <cell r="T36" t="str">
            <v>N/A</v>
          </cell>
        </row>
        <row r="37">
          <cell r="F37" t="str">
            <v>N/A</v>
          </cell>
          <cell r="G37" t="str">
            <v>N/A</v>
          </cell>
          <cell r="I37" t="str">
            <v>N/A</v>
          </cell>
          <cell r="J37" t="str">
            <v>N/A</v>
          </cell>
          <cell r="K37" t="str">
            <v>N/A</v>
          </cell>
          <cell r="L37" t="str">
            <v>N/A</v>
          </cell>
          <cell r="M37" t="str">
            <v>N/A</v>
          </cell>
          <cell r="N37" t="str">
            <v>N/A</v>
          </cell>
          <cell r="O37" t="str">
            <v>N/A</v>
          </cell>
          <cell r="P37" t="str">
            <v>N/A</v>
          </cell>
          <cell r="Q37" t="str">
            <v>N/A</v>
          </cell>
          <cell r="R37" t="str">
            <v>N/A</v>
          </cell>
          <cell r="S37" t="str">
            <v>N/A</v>
          </cell>
          <cell r="T37" t="str">
            <v>N/A</v>
          </cell>
        </row>
        <row r="38">
          <cell r="F38" t="str">
            <v>N/A</v>
          </cell>
          <cell r="G38" t="str">
            <v>N/A</v>
          </cell>
          <cell r="I38" t="str">
            <v>N/A</v>
          </cell>
          <cell r="J38" t="str">
            <v>N/A</v>
          </cell>
          <cell r="K38" t="str">
            <v>N/A</v>
          </cell>
          <cell r="L38" t="str">
            <v>N/A</v>
          </cell>
          <cell r="M38" t="str">
            <v>N/A</v>
          </cell>
          <cell r="N38" t="str">
            <v>N/A</v>
          </cell>
          <cell r="O38" t="str">
            <v>N/A</v>
          </cell>
          <cell r="P38" t="str">
            <v>N/A</v>
          </cell>
          <cell r="T38" t="str">
            <v>N/A</v>
          </cell>
        </row>
        <row r="39">
          <cell r="F39" t="str">
            <v>N/A</v>
          </cell>
          <cell r="G39" t="str">
            <v>N/A</v>
          </cell>
          <cell r="I39" t="str">
            <v>N/A</v>
          </cell>
          <cell r="J39" t="str">
            <v>N/A</v>
          </cell>
          <cell r="K39" t="str">
            <v>N/A</v>
          </cell>
          <cell r="L39" t="str">
            <v>N/A</v>
          </cell>
          <cell r="M39" t="str">
            <v>N/A</v>
          </cell>
          <cell r="N39" t="str">
            <v>N/A</v>
          </cell>
          <cell r="O39" t="str">
            <v>N/A</v>
          </cell>
          <cell r="P39" t="str">
            <v>N/A</v>
          </cell>
          <cell r="T39" t="str">
            <v>N/A</v>
          </cell>
        </row>
        <row r="40">
          <cell r="F40" t="str">
            <v>N/A</v>
          </cell>
          <cell r="G40" t="str">
            <v>N/A</v>
          </cell>
          <cell r="I40" t="str">
            <v>N/A</v>
          </cell>
          <cell r="J40" t="str">
            <v>N/A</v>
          </cell>
          <cell r="K40" t="str">
            <v>N/A</v>
          </cell>
          <cell r="L40" t="str">
            <v>N/A</v>
          </cell>
          <cell r="M40" t="str">
            <v>N/A</v>
          </cell>
          <cell r="N40" t="str">
            <v>N/A</v>
          </cell>
          <cell r="O40" t="str">
            <v>N/A</v>
          </cell>
          <cell r="P40" t="str">
            <v>N/A</v>
          </cell>
          <cell r="T40" t="str">
            <v>N/A</v>
          </cell>
        </row>
        <row r="41">
          <cell r="F41" t="str">
            <v>N/A</v>
          </cell>
          <cell r="G41" t="str">
            <v>N/A</v>
          </cell>
          <cell r="I41" t="str">
            <v>N/A</v>
          </cell>
          <cell r="J41" t="str">
            <v>N/A</v>
          </cell>
          <cell r="K41" t="str">
            <v>N/A</v>
          </cell>
          <cell r="L41" t="str">
            <v>N/A</v>
          </cell>
          <cell r="M41" t="str">
            <v>N/A</v>
          </cell>
          <cell r="N41" t="str">
            <v>N/A</v>
          </cell>
          <cell r="O41" t="str">
            <v>N/A</v>
          </cell>
          <cell r="P41" t="str">
            <v>N/A</v>
          </cell>
          <cell r="T41" t="str">
            <v>N/A</v>
          </cell>
        </row>
        <row r="42">
          <cell r="F42" t="str">
            <v>N/A</v>
          </cell>
          <cell r="G42" t="str">
            <v>N/A</v>
          </cell>
          <cell r="I42" t="str">
            <v>N/A</v>
          </cell>
          <cell r="J42" t="str">
            <v>N/A</v>
          </cell>
          <cell r="K42" t="str">
            <v>N/A</v>
          </cell>
          <cell r="L42" t="str">
            <v>N/A</v>
          </cell>
          <cell r="M42" t="str">
            <v>N/A</v>
          </cell>
          <cell r="N42" t="str">
            <v>N/A</v>
          </cell>
          <cell r="O42" t="str">
            <v>N/A</v>
          </cell>
          <cell r="P42" t="str">
            <v>N/A</v>
          </cell>
          <cell r="T42" t="str">
            <v>N/A</v>
          </cell>
        </row>
        <row r="43">
          <cell r="F43" t="str">
            <v>N/A</v>
          </cell>
          <cell r="G43" t="str">
            <v>N/A</v>
          </cell>
          <cell r="I43" t="str">
            <v>N/A</v>
          </cell>
          <cell r="J43" t="str">
            <v>N/A</v>
          </cell>
          <cell r="K43" t="str">
            <v>N/A</v>
          </cell>
          <cell r="L43" t="str">
            <v>N/A</v>
          </cell>
          <cell r="M43" t="str">
            <v>N/A</v>
          </cell>
          <cell r="N43" t="str">
            <v>N/A</v>
          </cell>
          <cell r="O43" t="str">
            <v>N/A</v>
          </cell>
          <cell r="P43" t="str">
            <v>N/A</v>
          </cell>
          <cell r="T43" t="str">
            <v>N/A</v>
          </cell>
        </row>
        <row r="44">
          <cell r="F44" t="str">
            <v>N/A</v>
          </cell>
          <cell r="G44" t="str">
            <v>x</v>
          </cell>
          <cell r="I44" t="str">
            <v>x</v>
          </cell>
          <cell r="J44" t="str">
            <v>N/A</v>
          </cell>
          <cell r="K44" t="str">
            <v>N/A</v>
          </cell>
          <cell r="L44" t="str">
            <v>N/A</v>
          </cell>
          <cell r="M44" t="str">
            <v>N/A</v>
          </cell>
          <cell r="N44" t="str">
            <v>x</v>
          </cell>
          <cell r="O44" t="str">
            <v>N/A</v>
          </cell>
          <cell r="P44" t="str">
            <v>N/A</v>
          </cell>
          <cell r="T44" t="str">
            <v>QM</v>
          </cell>
          <cell r="Y44">
            <v>2</v>
          </cell>
          <cell r="AA44">
            <v>3</v>
          </cell>
          <cell r="AD44">
            <v>3</v>
          </cell>
          <cell r="AG44">
            <v>3</v>
          </cell>
          <cell r="AJ44">
            <v>3</v>
          </cell>
          <cell r="AL44">
            <v>4</v>
          </cell>
          <cell r="AO44">
            <v>4</v>
          </cell>
          <cell r="AR44">
            <v>4</v>
          </cell>
          <cell r="AU44">
            <v>4</v>
          </cell>
          <cell r="AW44">
            <v>5</v>
          </cell>
          <cell r="AZ44">
            <v>5</v>
          </cell>
        </row>
        <row r="45">
          <cell r="F45" t="str">
            <v>N/A</v>
          </cell>
          <cell r="G45" t="str">
            <v>N/A</v>
          </cell>
          <cell r="I45" t="str">
            <v>N/A</v>
          </cell>
          <cell r="J45" t="str">
            <v>N/A</v>
          </cell>
          <cell r="K45" t="str">
            <v>N/A</v>
          </cell>
          <cell r="L45" t="str">
            <v>N/A</v>
          </cell>
          <cell r="M45" t="str">
            <v>N/A</v>
          </cell>
          <cell r="N45" t="str">
            <v>N/A</v>
          </cell>
          <cell r="O45" t="str">
            <v>N/A</v>
          </cell>
          <cell r="P45" t="str">
            <v>N/A</v>
          </cell>
          <cell r="T45" t="str">
            <v>N/A</v>
          </cell>
        </row>
        <row r="46">
          <cell r="F46" t="str">
            <v>N/A</v>
          </cell>
          <cell r="G46" t="str">
            <v>N/A</v>
          </cell>
          <cell r="I46" t="str">
            <v>N/A</v>
          </cell>
          <cell r="J46" t="str">
            <v>N/A</v>
          </cell>
          <cell r="K46" t="str">
            <v>N/A</v>
          </cell>
          <cell r="L46" t="str">
            <v>N/A</v>
          </cell>
          <cell r="M46" t="str">
            <v>N/A</v>
          </cell>
          <cell r="N46" t="str">
            <v>N/A</v>
          </cell>
          <cell r="O46" t="str">
            <v>N/A</v>
          </cell>
          <cell r="P46" t="str">
            <v>N/A</v>
          </cell>
          <cell r="T46" t="str">
            <v>N/A</v>
          </cell>
        </row>
        <row r="47">
          <cell r="F47" t="str">
            <v>N/A</v>
          </cell>
          <cell r="G47" t="str">
            <v>N/A</v>
          </cell>
          <cell r="I47" t="str">
            <v>N/A</v>
          </cell>
          <cell r="J47" t="str">
            <v>N/A</v>
          </cell>
          <cell r="K47" t="str">
            <v>N/A</v>
          </cell>
          <cell r="L47" t="str">
            <v>N/A</v>
          </cell>
          <cell r="M47" t="str">
            <v>N/A</v>
          </cell>
          <cell r="N47" t="str">
            <v>N/A</v>
          </cell>
          <cell r="O47" t="str">
            <v>N/A</v>
          </cell>
          <cell r="P47" t="str">
            <v>N/A</v>
          </cell>
          <cell r="T47" t="str">
            <v>N/A</v>
          </cell>
        </row>
        <row r="48">
          <cell r="F48" t="str">
            <v>N/A</v>
          </cell>
          <cell r="G48" t="str">
            <v>x</v>
          </cell>
          <cell r="I48" t="str">
            <v>x</v>
          </cell>
          <cell r="J48" t="str">
            <v>N/A</v>
          </cell>
          <cell r="K48" t="str">
            <v>N/A</v>
          </cell>
          <cell r="L48" t="str">
            <v>N/A</v>
          </cell>
          <cell r="M48" t="str">
            <v>N/A</v>
          </cell>
          <cell r="N48" t="str">
            <v>x</v>
          </cell>
          <cell r="O48" t="str">
            <v>N/A</v>
          </cell>
          <cell r="P48" t="str">
            <v>N/A</v>
          </cell>
          <cell r="T48" t="str">
            <v>QM</v>
          </cell>
          <cell r="Y48">
            <v>2</v>
          </cell>
          <cell r="AA48">
            <v>3</v>
          </cell>
          <cell r="AD48">
            <v>3</v>
          </cell>
          <cell r="AG48">
            <v>3</v>
          </cell>
          <cell r="AJ48">
            <v>3</v>
          </cell>
          <cell r="AL48">
            <v>4</v>
          </cell>
          <cell r="AO48">
            <v>4</v>
          </cell>
          <cell r="AR48">
            <v>4</v>
          </cell>
          <cell r="AU48">
            <v>4</v>
          </cell>
          <cell r="AW48">
            <v>5</v>
          </cell>
          <cell r="AZ48">
            <v>5</v>
          </cell>
        </row>
        <row r="49">
          <cell r="F49" t="str">
            <v>N/A</v>
          </cell>
          <cell r="G49" t="str">
            <v>x</v>
          </cell>
          <cell r="I49" t="str">
            <v>x</v>
          </cell>
          <cell r="J49" t="str">
            <v>N/A</v>
          </cell>
          <cell r="K49" t="str">
            <v>N/A</v>
          </cell>
          <cell r="L49" t="str">
            <v>N/A</v>
          </cell>
          <cell r="M49" t="str">
            <v>N/A</v>
          </cell>
          <cell r="N49" t="str">
            <v>x</v>
          </cell>
          <cell r="O49" t="str">
            <v>N/A</v>
          </cell>
          <cell r="P49" t="str">
            <v>N/A</v>
          </cell>
          <cell r="T49" t="str">
            <v>QM</v>
          </cell>
          <cell r="Y49">
            <v>2</v>
          </cell>
          <cell r="AA49">
            <v>3</v>
          </cell>
          <cell r="AD49">
            <v>3</v>
          </cell>
          <cell r="AG49">
            <v>3</v>
          </cell>
          <cell r="AJ49">
            <v>3</v>
          </cell>
          <cell r="AL49">
            <v>4</v>
          </cell>
          <cell r="AO49">
            <v>4</v>
          </cell>
          <cell r="AR49">
            <v>4</v>
          </cell>
          <cell r="AU49">
            <v>4</v>
          </cell>
          <cell r="AW49">
            <v>5</v>
          </cell>
          <cell r="AZ49">
            <v>5</v>
          </cell>
        </row>
        <row r="50">
          <cell r="F50" t="str">
            <v>N/A</v>
          </cell>
          <cell r="G50" t="str">
            <v>N/A</v>
          </cell>
          <cell r="I50" t="str">
            <v>N/A</v>
          </cell>
          <cell r="J50" t="str">
            <v>N/A</v>
          </cell>
          <cell r="K50" t="str">
            <v>N/A</v>
          </cell>
          <cell r="L50" t="str">
            <v>N/A</v>
          </cell>
          <cell r="M50" t="str">
            <v>N/A</v>
          </cell>
          <cell r="N50" t="str">
            <v>N/A</v>
          </cell>
          <cell r="O50" t="str">
            <v>N/A</v>
          </cell>
          <cell r="P50" t="str">
            <v>N/A</v>
          </cell>
          <cell r="T50" t="str">
            <v>N/A</v>
          </cell>
        </row>
        <row r="51">
          <cell r="F51" t="str">
            <v>N/A</v>
          </cell>
          <cell r="G51" t="str">
            <v>N/A</v>
          </cell>
          <cell r="I51" t="str">
            <v>N/A</v>
          </cell>
          <cell r="J51" t="str">
            <v>N/A</v>
          </cell>
          <cell r="K51" t="str">
            <v>N/A</v>
          </cell>
          <cell r="L51" t="str">
            <v>N/A</v>
          </cell>
          <cell r="M51" t="str">
            <v>N/A</v>
          </cell>
          <cell r="N51" t="str">
            <v>N/A</v>
          </cell>
          <cell r="O51" t="str">
            <v>N/A</v>
          </cell>
          <cell r="P51" t="str">
            <v>N/A</v>
          </cell>
          <cell r="T51" t="str">
            <v>N/A</v>
          </cell>
        </row>
        <row r="52">
          <cell r="F52" t="str">
            <v>N/A</v>
          </cell>
          <cell r="G52" t="str">
            <v>x</v>
          </cell>
          <cell r="I52" t="str">
            <v>x</v>
          </cell>
          <cell r="J52" t="str">
            <v>N/A</v>
          </cell>
          <cell r="K52" t="str">
            <v>N/A</v>
          </cell>
          <cell r="L52" t="str">
            <v>N/A</v>
          </cell>
          <cell r="M52" t="str">
            <v>N/A</v>
          </cell>
          <cell r="N52" t="str">
            <v>x</v>
          </cell>
          <cell r="O52" t="str">
            <v>N/A</v>
          </cell>
          <cell r="P52" t="str">
            <v>N/A</v>
          </cell>
          <cell r="T52" t="str">
            <v>QM</v>
          </cell>
          <cell r="Y52">
            <v>2</v>
          </cell>
          <cell r="AA52">
            <v>3</v>
          </cell>
          <cell r="AD52">
            <v>3</v>
          </cell>
          <cell r="AG52">
            <v>3</v>
          </cell>
          <cell r="AJ52">
            <v>3</v>
          </cell>
          <cell r="AL52">
            <v>4</v>
          </cell>
          <cell r="AO52">
            <v>4</v>
          </cell>
          <cell r="AR52">
            <v>4</v>
          </cell>
          <cell r="AU52">
            <v>4</v>
          </cell>
          <cell r="AW52">
            <v>5</v>
          </cell>
          <cell r="AZ52">
            <v>5</v>
          </cell>
        </row>
        <row r="53">
          <cell r="F53" t="str">
            <v>N/A</v>
          </cell>
          <cell r="G53" t="str">
            <v>x</v>
          </cell>
          <cell r="I53" t="str">
            <v>x</v>
          </cell>
          <cell r="J53" t="str">
            <v>N/A</v>
          </cell>
          <cell r="K53" t="str">
            <v>N/A</v>
          </cell>
          <cell r="L53" t="str">
            <v>N/A</v>
          </cell>
          <cell r="M53" t="str">
            <v>N/A</v>
          </cell>
          <cell r="N53" t="str">
            <v>x</v>
          </cell>
          <cell r="O53" t="str">
            <v>N/A</v>
          </cell>
          <cell r="P53" t="str">
            <v>N/A</v>
          </cell>
          <cell r="T53" t="str">
            <v>QM</v>
          </cell>
          <cell r="Y53">
            <v>2</v>
          </cell>
          <cell r="AA53">
            <v>3</v>
          </cell>
          <cell r="AD53">
            <v>3</v>
          </cell>
          <cell r="AG53">
            <v>3</v>
          </cell>
          <cell r="AJ53">
            <v>3</v>
          </cell>
          <cell r="AL53">
            <v>4</v>
          </cell>
          <cell r="AO53">
            <v>4</v>
          </cell>
          <cell r="AR53">
            <v>4</v>
          </cell>
          <cell r="AU53">
            <v>4</v>
          </cell>
          <cell r="AW53">
            <v>5</v>
          </cell>
          <cell r="AZ53">
            <v>5</v>
          </cell>
        </row>
        <row r="54">
          <cell r="F54" t="str">
            <v>N/A</v>
          </cell>
          <cell r="G54" t="str">
            <v>N/A</v>
          </cell>
          <cell r="I54" t="str">
            <v>N/A</v>
          </cell>
          <cell r="J54" t="str">
            <v>N/A</v>
          </cell>
          <cell r="K54" t="str">
            <v>N/A</v>
          </cell>
          <cell r="L54" t="str">
            <v>N/A</v>
          </cell>
          <cell r="M54" t="str">
            <v>N/A</v>
          </cell>
          <cell r="N54" t="str">
            <v>N/A</v>
          </cell>
          <cell r="O54" t="str">
            <v>N/A</v>
          </cell>
          <cell r="P54" t="str">
            <v>N/A</v>
          </cell>
          <cell r="T54" t="str">
            <v>QM</v>
          </cell>
        </row>
        <row r="55">
          <cell r="F55" t="str">
            <v>N/A</v>
          </cell>
          <cell r="G55" t="str">
            <v>x</v>
          </cell>
          <cell r="I55" t="str">
            <v>x</v>
          </cell>
          <cell r="J55" t="str">
            <v>N/A</v>
          </cell>
          <cell r="K55" t="str">
            <v>N/A</v>
          </cell>
          <cell r="L55" t="str">
            <v>N/A</v>
          </cell>
          <cell r="M55" t="str">
            <v>N/A</v>
          </cell>
          <cell r="N55" t="str">
            <v>x</v>
          </cell>
          <cell r="O55" t="str">
            <v>N/A</v>
          </cell>
          <cell r="P55" t="str">
            <v>N/A</v>
          </cell>
          <cell r="T55" t="str">
            <v>QM</v>
          </cell>
          <cell r="Y55">
            <v>2</v>
          </cell>
          <cell r="AA55">
            <v>3</v>
          </cell>
          <cell r="AD55">
            <v>3</v>
          </cell>
          <cell r="AG55">
            <v>3</v>
          </cell>
          <cell r="AJ55">
            <v>3</v>
          </cell>
          <cell r="AL55">
            <v>4</v>
          </cell>
          <cell r="AO55">
            <v>4</v>
          </cell>
          <cell r="AR55">
            <v>4</v>
          </cell>
          <cell r="AU55">
            <v>4</v>
          </cell>
          <cell r="AW55">
            <v>5</v>
          </cell>
          <cell r="AZ55">
            <v>5</v>
          </cell>
        </row>
        <row r="56">
          <cell r="F56" t="str">
            <v>N/A</v>
          </cell>
          <cell r="G56" t="str">
            <v>N/A</v>
          </cell>
          <cell r="I56" t="str">
            <v>N/A</v>
          </cell>
          <cell r="J56" t="str">
            <v>N/A</v>
          </cell>
          <cell r="K56" t="str">
            <v>N/A</v>
          </cell>
          <cell r="L56" t="str">
            <v>N/A</v>
          </cell>
          <cell r="M56" t="str">
            <v>N/A</v>
          </cell>
          <cell r="N56" t="str">
            <v>N/A</v>
          </cell>
          <cell r="O56" t="str">
            <v>N/A</v>
          </cell>
          <cell r="P56" t="str">
            <v>N/A</v>
          </cell>
          <cell r="T56" t="str">
            <v>QM</v>
          </cell>
        </row>
        <row r="57">
          <cell r="F57" t="str">
            <v>N/A</v>
          </cell>
          <cell r="G57" t="str">
            <v>N/A</v>
          </cell>
          <cell r="I57" t="str">
            <v>N/A</v>
          </cell>
          <cell r="J57" t="str">
            <v>N/A</v>
          </cell>
          <cell r="K57" t="str">
            <v>N/A</v>
          </cell>
          <cell r="L57" t="str">
            <v>N/A</v>
          </cell>
          <cell r="M57" t="str">
            <v>N/A</v>
          </cell>
          <cell r="N57" t="str">
            <v>N/A</v>
          </cell>
          <cell r="O57" t="str">
            <v>N/A</v>
          </cell>
          <cell r="P57" t="str">
            <v>N/A</v>
          </cell>
          <cell r="T57" t="str">
            <v>QM</v>
          </cell>
        </row>
        <row r="58">
          <cell r="F58" t="str">
            <v>N/A</v>
          </cell>
          <cell r="G58" t="str">
            <v>x</v>
          </cell>
          <cell r="I58" t="str">
            <v>x</v>
          </cell>
          <cell r="J58" t="str">
            <v>N/A</v>
          </cell>
          <cell r="K58" t="str">
            <v>N/A</v>
          </cell>
          <cell r="L58" t="str">
            <v>N/A</v>
          </cell>
          <cell r="M58" t="str">
            <v>N/A</v>
          </cell>
          <cell r="N58" t="str">
            <v>x</v>
          </cell>
          <cell r="O58" t="str">
            <v>N/A</v>
          </cell>
          <cell r="P58" t="str">
            <v>N/A</v>
          </cell>
          <cell r="T58" t="str">
            <v>QM</v>
          </cell>
          <cell r="Y58">
            <v>2</v>
          </cell>
          <cell r="AA58">
            <v>3</v>
          </cell>
          <cell r="AD58">
            <v>3</v>
          </cell>
          <cell r="AG58">
            <v>3</v>
          </cell>
          <cell r="AJ58">
            <v>3</v>
          </cell>
          <cell r="AL58">
            <v>4</v>
          </cell>
          <cell r="AO58">
            <v>4</v>
          </cell>
          <cell r="AR58">
            <v>4</v>
          </cell>
          <cell r="AU58">
            <v>4</v>
          </cell>
          <cell r="AW58">
            <v>5</v>
          </cell>
          <cell r="AZ58">
            <v>5</v>
          </cell>
        </row>
        <row r="59">
          <cell r="F59" t="str">
            <v>N/A</v>
          </cell>
          <cell r="G59" t="str">
            <v>x</v>
          </cell>
          <cell r="I59" t="str">
            <v>x</v>
          </cell>
          <cell r="J59" t="str">
            <v>N/A</v>
          </cell>
          <cell r="K59" t="str">
            <v>N/A</v>
          </cell>
          <cell r="L59" t="str">
            <v>N/A</v>
          </cell>
          <cell r="M59" t="str">
            <v>N/A</v>
          </cell>
          <cell r="N59" t="str">
            <v>x</v>
          </cell>
          <cell r="O59" t="str">
            <v>N/A</v>
          </cell>
          <cell r="P59" t="str">
            <v>N/A</v>
          </cell>
          <cell r="T59" t="str">
            <v>QM</v>
          </cell>
          <cell r="Y59">
            <v>2</v>
          </cell>
          <cell r="AA59">
            <v>3</v>
          </cell>
          <cell r="AD59">
            <v>3</v>
          </cell>
          <cell r="AG59">
            <v>3</v>
          </cell>
          <cell r="AJ59">
            <v>3</v>
          </cell>
          <cell r="AL59">
            <v>4</v>
          </cell>
          <cell r="AO59">
            <v>4</v>
          </cell>
          <cell r="AR59">
            <v>4</v>
          </cell>
          <cell r="AU59">
            <v>4</v>
          </cell>
          <cell r="AW59">
            <v>5</v>
          </cell>
          <cell r="AZ59">
            <v>5</v>
          </cell>
        </row>
        <row r="60">
          <cell r="F60" t="str">
            <v>N/A</v>
          </cell>
          <cell r="G60" t="str">
            <v>x</v>
          </cell>
          <cell r="I60" t="str">
            <v>x</v>
          </cell>
          <cell r="J60" t="str">
            <v>N/A</v>
          </cell>
          <cell r="K60" t="str">
            <v>N/A</v>
          </cell>
          <cell r="L60" t="str">
            <v>N/A</v>
          </cell>
          <cell r="M60" t="str">
            <v>N/A</v>
          </cell>
          <cell r="N60" t="str">
            <v>x</v>
          </cell>
          <cell r="O60" t="str">
            <v>N/A</v>
          </cell>
          <cell r="P60" t="str">
            <v>N/A</v>
          </cell>
          <cell r="T60" t="str">
            <v>QM</v>
          </cell>
          <cell r="Y60">
            <v>2</v>
          </cell>
          <cell r="AA60">
            <v>3</v>
          </cell>
          <cell r="AD60">
            <v>3</v>
          </cell>
          <cell r="AG60">
            <v>3</v>
          </cell>
          <cell r="AJ60">
            <v>3</v>
          </cell>
          <cell r="AL60">
            <v>4</v>
          </cell>
          <cell r="AO60">
            <v>4</v>
          </cell>
          <cell r="AR60">
            <v>4</v>
          </cell>
          <cell r="AU60">
            <v>4</v>
          </cell>
          <cell r="AW60">
            <v>5</v>
          </cell>
          <cell r="AZ60">
            <v>5</v>
          </cell>
        </row>
        <row r="61">
          <cell r="F61" t="str">
            <v>N/A</v>
          </cell>
          <cell r="G61" t="str">
            <v>x</v>
          </cell>
          <cell r="I61" t="str">
            <v>x</v>
          </cell>
          <cell r="J61" t="str">
            <v>N/A</v>
          </cell>
          <cell r="K61" t="str">
            <v>N/A</v>
          </cell>
          <cell r="L61" t="str">
            <v>N/A</v>
          </cell>
          <cell r="M61" t="str">
            <v>N/A</v>
          </cell>
          <cell r="N61" t="str">
            <v>x</v>
          </cell>
          <cell r="O61" t="str">
            <v>N/A</v>
          </cell>
          <cell r="P61" t="str">
            <v>N/A</v>
          </cell>
          <cell r="T61" t="str">
            <v>QM</v>
          </cell>
          <cell r="Y61">
            <v>2</v>
          </cell>
          <cell r="AA61">
            <v>3</v>
          </cell>
          <cell r="AD61">
            <v>3</v>
          </cell>
          <cell r="AG61">
            <v>3</v>
          </cell>
          <cell r="AJ61">
            <v>3</v>
          </cell>
          <cell r="AL61">
            <v>4</v>
          </cell>
          <cell r="AO61">
            <v>4</v>
          </cell>
          <cell r="AR61">
            <v>4</v>
          </cell>
          <cell r="AU61">
            <v>4</v>
          </cell>
          <cell r="AW61">
            <v>5</v>
          </cell>
          <cell r="AZ61">
            <v>5</v>
          </cell>
        </row>
        <row r="62">
          <cell r="F62" t="str">
            <v>N/A</v>
          </cell>
          <cell r="G62" t="str">
            <v>x</v>
          </cell>
          <cell r="I62" t="str">
            <v>x</v>
          </cell>
          <cell r="J62" t="str">
            <v>N/A</v>
          </cell>
          <cell r="K62" t="str">
            <v>N/A</v>
          </cell>
          <cell r="L62" t="str">
            <v>N/A</v>
          </cell>
          <cell r="M62" t="str">
            <v>N/A</v>
          </cell>
          <cell r="N62" t="str">
            <v>x</v>
          </cell>
          <cell r="O62" t="str">
            <v>N/A</v>
          </cell>
          <cell r="P62" t="str">
            <v>N/A</v>
          </cell>
          <cell r="T62" t="str">
            <v>QM</v>
          </cell>
          <cell r="Y62">
            <v>2</v>
          </cell>
          <cell r="AA62">
            <v>3</v>
          </cell>
          <cell r="AD62">
            <v>3</v>
          </cell>
          <cell r="AG62">
            <v>3</v>
          </cell>
          <cell r="AJ62">
            <v>3</v>
          </cell>
          <cell r="AL62">
            <v>4</v>
          </cell>
          <cell r="AO62">
            <v>4</v>
          </cell>
          <cell r="AR62">
            <v>4</v>
          </cell>
          <cell r="AU62">
            <v>4</v>
          </cell>
          <cell r="AW62">
            <v>5</v>
          </cell>
          <cell r="AZ62">
            <v>5</v>
          </cell>
        </row>
        <row r="63">
          <cell r="F63" t="str">
            <v>N/A</v>
          </cell>
          <cell r="G63" t="str">
            <v>N/A</v>
          </cell>
          <cell r="I63" t="str">
            <v>N/A</v>
          </cell>
          <cell r="J63" t="str">
            <v>N/A</v>
          </cell>
          <cell r="K63" t="str">
            <v>N/A</v>
          </cell>
          <cell r="L63" t="str">
            <v>N/A</v>
          </cell>
          <cell r="M63" t="str">
            <v>N/A</v>
          </cell>
          <cell r="N63" t="str">
            <v>N/A</v>
          </cell>
          <cell r="O63" t="str">
            <v>N/A</v>
          </cell>
          <cell r="P63" t="str">
            <v>N/A</v>
          </cell>
          <cell r="T63" t="str">
            <v>QM</v>
          </cell>
        </row>
        <row r="64">
          <cell r="F64" t="str">
            <v>N/A</v>
          </cell>
          <cell r="G64" t="str">
            <v>x</v>
          </cell>
          <cell r="I64" t="str">
            <v>x</v>
          </cell>
          <cell r="J64" t="str">
            <v>N/A</v>
          </cell>
          <cell r="K64" t="str">
            <v>N/A</v>
          </cell>
          <cell r="L64" t="str">
            <v>N/A</v>
          </cell>
          <cell r="M64" t="str">
            <v>N/A</v>
          </cell>
          <cell r="N64" t="str">
            <v>x</v>
          </cell>
          <cell r="O64" t="str">
            <v>N/A</v>
          </cell>
          <cell r="P64" t="str">
            <v>N/A</v>
          </cell>
          <cell r="T64" t="str">
            <v>QM</v>
          </cell>
          <cell r="Y64">
            <v>2</v>
          </cell>
          <cell r="AA64">
            <v>3</v>
          </cell>
          <cell r="AD64">
            <v>3</v>
          </cell>
          <cell r="AG64">
            <v>3</v>
          </cell>
          <cell r="AJ64">
            <v>3</v>
          </cell>
          <cell r="AL64">
            <v>4</v>
          </cell>
          <cell r="AO64">
            <v>4</v>
          </cell>
          <cell r="AR64">
            <v>4</v>
          </cell>
          <cell r="AU64">
            <v>4</v>
          </cell>
          <cell r="AW64">
            <v>5</v>
          </cell>
          <cell r="AZ64">
            <v>5</v>
          </cell>
        </row>
        <row r="65">
          <cell r="F65" t="str">
            <v>N/A</v>
          </cell>
          <cell r="G65" t="str">
            <v>N/A</v>
          </cell>
          <cell r="I65" t="str">
            <v>N/A</v>
          </cell>
          <cell r="J65" t="str">
            <v>N/A</v>
          </cell>
          <cell r="K65" t="str">
            <v>N/A</v>
          </cell>
          <cell r="L65" t="str">
            <v>N/A</v>
          </cell>
          <cell r="M65" t="str">
            <v>N/A</v>
          </cell>
          <cell r="N65" t="str">
            <v>N/A</v>
          </cell>
          <cell r="O65" t="str">
            <v>N/A</v>
          </cell>
          <cell r="P65" t="str">
            <v>N/A</v>
          </cell>
          <cell r="T65" t="str">
            <v>QM</v>
          </cell>
        </row>
        <row r="66">
          <cell r="F66" t="str">
            <v>N/A</v>
          </cell>
          <cell r="G66" t="str">
            <v>N/A</v>
          </cell>
          <cell r="I66" t="str">
            <v>N/A</v>
          </cell>
          <cell r="J66" t="str">
            <v>N/A</v>
          </cell>
          <cell r="K66" t="str">
            <v>N/A</v>
          </cell>
          <cell r="L66" t="str">
            <v>N/A</v>
          </cell>
          <cell r="M66" t="str">
            <v>N/A</v>
          </cell>
          <cell r="N66" t="str">
            <v>N/A</v>
          </cell>
          <cell r="O66" t="str">
            <v>N/A</v>
          </cell>
          <cell r="P66" t="str">
            <v>N/A</v>
          </cell>
          <cell r="T66" t="str">
            <v>QM</v>
          </cell>
        </row>
        <row r="67">
          <cell r="F67" t="str">
            <v>N/A</v>
          </cell>
          <cell r="G67" t="str">
            <v>N/A</v>
          </cell>
          <cell r="I67" t="str">
            <v>N/A</v>
          </cell>
          <cell r="J67" t="str">
            <v>N/A</v>
          </cell>
          <cell r="K67" t="str">
            <v>N/A</v>
          </cell>
          <cell r="L67" t="str">
            <v>N/A</v>
          </cell>
          <cell r="M67" t="str">
            <v>N/A</v>
          </cell>
          <cell r="N67" t="str">
            <v>N/A</v>
          </cell>
          <cell r="O67" t="str">
            <v>N/A</v>
          </cell>
          <cell r="P67" t="str">
            <v>N/A</v>
          </cell>
          <cell r="T67" t="str">
            <v>QM</v>
          </cell>
        </row>
        <row r="68">
          <cell r="F68" t="str">
            <v>N/A</v>
          </cell>
          <cell r="G68" t="str">
            <v>x</v>
          </cell>
          <cell r="I68" t="str">
            <v>x</v>
          </cell>
          <cell r="J68" t="str">
            <v>N/A</v>
          </cell>
          <cell r="K68" t="str">
            <v>N/A</v>
          </cell>
          <cell r="L68" t="str">
            <v>N/A</v>
          </cell>
          <cell r="M68" t="str">
            <v>N/A</v>
          </cell>
          <cell r="N68" t="str">
            <v>x</v>
          </cell>
          <cell r="O68" t="str">
            <v>N/A</v>
          </cell>
          <cell r="P68" t="str">
            <v>N/A</v>
          </cell>
          <cell r="T68" t="str">
            <v>QM</v>
          </cell>
          <cell r="Y68">
            <v>2</v>
          </cell>
          <cell r="AA68">
            <v>3</v>
          </cell>
          <cell r="AD68">
            <v>3</v>
          </cell>
          <cell r="AG68">
            <v>3</v>
          </cell>
          <cell r="AJ68">
            <v>3</v>
          </cell>
          <cell r="AL68">
            <v>4</v>
          </cell>
          <cell r="AO68">
            <v>4</v>
          </cell>
          <cell r="AR68">
            <v>4</v>
          </cell>
          <cell r="AU68">
            <v>4</v>
          </cell>
          <cell r="AW68">
            <v>5</v>
          </cell>
          <cell r="AZ68">
            <v>5</v>
          </cell>
        </row>
        <row r="69">
          <cell r="F69" t="str">
            <v>N/A</v>
          </cell>
          <cell r="G69" t="str">
            <v>x</v>
          </cell>
          <cell r="I69" t="str">
            <v>x</v>
          </cell>
          <cell r="J69" t="str">
            <v>N/A</v>
          </cell>
          <cell r="K69" t="str">
            <v>N/A</v>
          </cell>
          <cell r="L69" t="str">
            <v>N/A</v>
          </cell>
          <cell r="M69" t="str">
            <v>N/A</v>
          </cell>
          <cell r="N69" t="str">
            <v>x</v>
          </cell>
          <cell r="T69" t="str">
            <v>QM</v>
          </cell>
          <cell r="Y69">
            <v>2</v>
          </cell>
          <cell r="AA69">
            <v>3</v>
          </cell>
          <cell r="AD69">
            <v>3</v>
          </cell>
          <cell r="AG69">
            <v>3</v>
          </cell>
          <cell r="AJ69">
            <v>3</v>
          </cell>
          <cell r="AL69">
            <v>4</v>
          </cell>
          <cell r="AO69">
            <v>4</v>
          </cell>
          <cell r="AR69">
            <v>4</v>
          </cell>
          <cell r="AU69">
            <v>4</v>
          </cell>
          <cell r="AW69">
            <v>5</v>
          </cell>
          <cell r="AZ69">
            <v>5</v>
          </cell>
        </row>
        <row r="70">
          <cell r="F70" t="str">
            <v>N/A</v>
          </cell>
          <cell r="G70" t="str">
            <v>N/A</v>
          </cell>
          <cell r="I70" t="str">
            <v>N/A</v>
          </cell>
          <cell r="J70" t="str">
            <v>N/A</v>
          </cell>
          <cell r="K70" t="str">
            <v>N/A</v>
          </cell>
          <cell r="L70" t="str">
            <v>N/A</v>
          </cell>
          <cell r="M70" t="str">
            <v>N/A</v>
          </cell>
          <cell r="N70" t="str">
            <v>N/A</v>
          </cell>
          <cell r="O70" t="str">
            <v>N/A</v>
          </cell>
          <cell r="P70" t="str">
            <v>N/A</v>
          </cell>
          <cell r="T70" t="str">
            <v>QM</v>
          </cell>
        </row>
        <row r="71">
          <cell r="F71" t="str">
            <v>N/A</v>
          </cell>
          <cell r="G71" t="str">
            <v>N/A</v>
          </cell>
          <cell r="I71" t="str">
            <v>N/A</v>
          </cell>
          <cell r="J71" t="str">
            <v>N/A</v>
          </cell>
          <cell r="K71" t="str">
            <v>N/A</v>
          </cell>
          <cell r="L71" t="str">
            <v>N/A</v>
          </cell>
          <cell r="M71" t="str">
            <v>N/A</v>
          </cell>
          <cell r="N71" t="str">
            <v>N/A</v>
          </cell>
          <cell r="O71" t="str">
            <v>N/A</v>
          </cell>
          <cell r="P71" t="str">
            <v>N/A</v>
          </cell>
          <cell r="T71" t="str">
            <v>QM</v>
          </cell>
        </row>
        <row r="72">
          <cell r="F72" t="str">
            <v>N/A</v>
          </cell>
          <cell r="G72" t="str">
            <v>N/A</v>
          </cell>
          <cell r="I72" t="str">
            <v>N/A</v>
          </cell>
          <cell r="J72" t="str">
            <v>N/A</v>
          </cell>
          <cell r="K72" t="str">
            <v>N/A</v>
          </cell>
          <cell r="L72" t="str">
            <v>N/A</v>
          </cell>
          <cell r="M72" t="str">
            <v>N/A</v>
          </cell>
          <cell r="N72" t="str">
            <v>N/A</v>
          </cell>
          <cell r="T72" t="str">
            <v>QM</v>
          </cell>
        </row>
        <row r="73">
          <cell r="F73" t="str">
            <v>N/A</v>
          </cell>
          <cell r="G73" t="str">
            <v>x</v>
          </cell>
          <cell r="I73" t="str">
            <v>x</v>
          </cell>
          <cell r="J73" t="str">
            <v>N/A</v>
          </cell>
          <cell r="K73" t="str">
            <v>N/A</v>
          </cell>
          <cell r="L73" t="str">
            <v>N/A</v>
          </cell>
          <cell r="M73" t="str">
            <v>N/A</v>
          </cell>
          <cell r="N73" t="str">
            <v>x</v>
          </cell>
          <cell r="T73" t="str">
            <v>QM</v>
          </cell>
          <cell r="Y73">
            <v>2</v>
          </cell>
          <cell r="AA73">
            <v>3</v>
          </cell>
          <cell r="AD73">
            <v>3</v>
          </cell>
          <cell r="AG73">
            <v>3</v>
          </cell>
          <cell r="AJ73">
            <v>3</v>
          </cell>
          <cell r="AL73">
            <v>4</v>
          </cell>
          <cell r="AO73">
            <v>4</v>
          </cell>
          <cell r="AR73">
            <v>4</v>
          </cell>
          <cell r="AU73">
            <v>4</v>
          </cell>
          <cell r="AW73">
            <v>5</v>
          </cell>
          <cell r="AZ73">
            <v>5</v>
          </cell>
        </row>
        <row r="74">
          <cell r="F74" t="str">
            <v>N/A</v>
          </cell>
          <cell r="G74" t="str">
            <v>N/A</v>
          </cell>
          <cell r="I74" t="str">
            <v>N/A</v>
          </cell>
          <cell r="J74" t="str">
            <v>N/A</v>
          </cell>
          <cell r="K74" t="str">
            <v>N/A</v>
          </cell>
          <cell r="L74" t="str">
            <v>N/A</v>
          </cell>
          <cell r="M74" t="str">
            <v>N/A</v>
          </cell>
          <cell r="N74" t="str">
            <v>N/A</v>
          </cell>
          <cell r="T74" t="str">
            <v>N/A</v>
          </cell>
        </row>
        <row r="75">
          <cell r="F75" t="str">
            <v>N/A</v>
          </cell>
          <cell r="G75" t="str">
            <v>N/A</v>
          </cell>
          <cell r="I75" t="str">
            <v>N/A</v>
          </cell>
          <cell r="J75" t="str">
            <v>N/A</v>
          </cell>
          <cell r="K75" t="str">
            <v>N/A</v>
          </cell>
          <cell r="L75" t="str">
            <v>N/A</v>
          </cell>
          <cell r="M75" t="str">
            <v>N/A</v>
          </cell>
          <cell r="N75" t="str">
            <v>N/A</v>
          </cell>
          <cell r="T75" t="str">
            <v>N/A</v>
          </cell>
        </row>
        <row r="76">
          <cell r="F76" t="str">
            <v>N/A</v>
          </cell>
          <cell r="G76" t="str">
            <v>N/A</v>
          </cell>
          <cell r="I76" t="str">
            <v>N/A</v>
          </cell>
          <cell r="J76" t="str">
            <v>N/A</v>
          </cell>
          <cell r="K76" t="str">
            <v>N/A</v>
          </cell>
          <cell r="L76" t="str">
            <v>N/A</v>
          </cell>
          <cell r="M76" t="str">
            <v>N/A</v>
          </cell>
          <cell r="N76" t="str">
            <v>N/A</v>
          </cell>
          <cell r="T76" t="str">
            <v>N/A</v>
          </cell>
        </row>
        <row r="77">
          <cell r="F77" t="str">
            <v>N/A</v>
          </cell>
          <cell r="G77" t="str">
            <v>N/A</v>
          </cell>
          <cell r="I77" t="str">
            <v>N/A</v>
          </cell>
          <cell r="J77" t="str">
            <v>N/A</v>
          </cell>
          <cell r="K77" t="str">
            <v>N/A</v>
          </cell>
          <cell r="L77" t="str">
            <v>N/A</v>
          </cell>
          <cell r="M77" t="str">
            <v>N/A</v>
          </cell>
          <cell r="N77" t="str">
            <v>N/A</v>
          </cell>
          <cell r="T77" t="str">
            <v>N/A</v>
          </cell>
        </row>
        <row r="78">
          <cell r="F78" t="str">
            <v>N/A</v>
          </cell>
          <cell r="G78" t="str">
            <v>N/A</v>
          </cell>
          <cell r="I78" t="str">
            <v>N/A</v>
          </cell>
          <cell r="J78" t="str">
            <v>N/A</v>
          </cell>
          <cell r="K78" t="str">
            <v>N/A</v>
          </cell>
          <cell r="L78" t="str">
            <v>N/A</v>
          </cell>
          <cell r="M78" t="str">
            <v>N/A</v>
          </cell>
          <cell r="N78" t="str">
            <v>N/A</v>
          </cell>
          <cell r="T78" t="str">
            <v>N/A</v>
          </cell>
        </row>
        <row r="79">
          <cell r="F79" t="str">
            <v>N/A</v>
          </cell>
          <cell r="G79" t="str">
            <v>N/A</v>
          </cell>
          <cell r="I79" t="str">
            <v>N/A</v>
          </cell>
          <cell r="J79" t="str">
            <v>N/A</v>
          </cell>
          <cell r="K79" t="str">
            <v>N/A</v>
          </cell>
          <cell r="L79" t="str">
            <v>N/A</v>
          </cell>
          <cell r="M79" t="str">
            <v>N/A</v>
          </cell>
          <cell r="N79" t="str">
            <v>N/A</v>
          </cell>
          <cell r="T79" t="str">
            <v>N/A</v>
          </cell>
        </row>
      </sheetData>
      <sheetData sheetId="3"/>
      <sheetData sheetId="4" refreshError="1"/>
      <sheetData sheetId="5" refreshError="1"/>
      <sheetData sheetId="6" refreshError="1"/>
      <sheetData sheetId="7" refreshError="1"/>
      <sheetData sheetId="8" refreshError="1"/>
      <sheetData sheetId="9" refreshError="1"/>
    </sheetDataSet>
  </externalBook>
</externalLink>
</file>

<file path=xl/persons/person.xml><?xml version="1.0" encoding="utf-8"?>
<personList xmlns="http://schemas.microsoft.com/office/spreadsheetml/2018/threadedcomments" xmlns:x="http://schemas.openxmlformats.org/spreadsheetml/2006/main">
  <person displayName="Andrew Kay" id="{BB0D5267-B478-4704-B6CD-97353ECF32DF}" userId="andrew.kay@seeingmachines.com" providerId="PeoplePicker"/>
  <person displayName="Tom Rogers" id="{0C08D328-EBED-4BB5-BB1B-6FC53B194316}" userId="tom.rogers@seeingmachines.com" providerId="PeoplePicker"/>
  <person displayName="Yiling Liang" id="{86EAFB47-F071-4177-8417-0FF7180D12DC}" userId="yiling.liang@seeingmachines.com" providerId="PeoplePicker"/>
  <person displayName="Roberto Pugliese" id="{5F09ED9B-BA75-48F5-9EAA-A8E436D10CBD}" userId="roberto.pugliese@seeingmachines.com" providerId="PeoplePicker"/>
  <person displayName="Andrew Kay" id="{C1992AF9-2B31-470B-A39C-972DB9457C9E}" userId="S::andrew.kay@seeingmachines.com::6e00160e-cd7c-4720-b70e-35609a50afa2" providerId="AD"/>
  <person displayName="Tom Rogers" id="{7562FCD0-EB80-4F63-B71E-6EC1EC5A2D48}" userId="S::tom.rogers@seeingmachines.com::c03968fc-ab7d-4c49-aa9f-e52a1becb7cf" providerId="AD"/>
  <person displayName="Frank Miller" id="{D4712E57-E250-4137-84E2-12B2302CAF0F}" userId="S::frank.miller@seeingmachines.com::6b2fc2f3-b7de-4786-bc62-9a16028de3e1" providerId="AD"/>
  <person displayName="Roberto Pugliese" id="{55364BA6-FDC6-4FC2-B67A-91EEE3ED0F20}" userId="S::roberto.pugliese@seeingmachines.com::b6a18a74-5b52-4d2e-96e1-48778022135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C8B86E4-61FC-478E-8942-FF52E74AF976}" name="ProductConfigurations" displayName="ProductConfigurations" ref="A1:FG220" totalsRowShown="0" headerRowDxfId="327" headerRowBorderDxfId="326">
  <autoFilter ref="A1:FG220" xr:uid="{2C8B86E4-61FC-478E-8942-FF52E74AF976}"/>
  <tableColumns count="163">
    <tableColumn id="2" xr3:uid="{5A476F21-61E6-4A4A-9E4C-2A5440E0FF03}" name="Project_x000a_" dataDxfId="325"/>
    <tableColumn id="3" xr3:uid="{834C2A09-A5D4-4005-9CBB-D9667077230C}" name="     Project Stage?" dataDxfId="324">
      <calculatedColumnFormula>IF(ISNUMBER(MATCH(A2, 'Pulldown Data'!W:W, 0))=TRUE, "Y", IF(ISNUMBER(MATCH(A2, 'Pulldown Data'!X:X, 0))=TRUE, "M", ""))</calculatedColumnFormula>
    </tableColumn>
    <tableColumn id="16390" xr3:uid="{79E7331A-B974-4AC6-B6CE-17E1EF624AB9}" name="     Last Updated" dataDxfId="323"/>
    <tableColumn id="1" xr3:uid="{AA1B46E6-8EEC-43A5-A86E-9B8392B1F716}" name="     Available Features" dataDxfId="322"/>
    <tableColumn id="4" xr3:uid="{F8FCB50A-66CC-4DF4-A9B6-B48EC836EAF6}" name="     COG-DEL-INATTENTIVE" dataDxfId="321">
      <calculatedColumnFormula>_xlfn.IFNA(IF(INDEX(RoadmapData, MATCH(TRIM(E$1), RoadmapDataFeatures, 0), MATCH($A2, RoadmapDataProjects, 0)) = "-", "-", INDEX(RoadmapData, MATCH(TRIM(E$1), RoadmapDataFeatures, 0), MATCH($A2, RoadmapDataProjects, 0))), "")</calculatedColumnFormula>
    </tableColumn>
    <tableColumn id="5" xr3:uid="{BECA0EDB-1063-416E-8FC4-6D05890F6E2A}" name="     COG-DEL-DISENGAGED" dataDxfId="320">
      <calculatedColumnFormula>_xlfn.IFNA(IF(INDEX(RoadmapData, MATCH(TRIM(F$1), RoadmapDataFeatures, 0), MATCH($A2, RoadmapDataProjects, 0)) = "NO", "NO", INDEX(RoadmapData, MATCH(TRIM(F$1), RoadmapDataFeatures, 0), MATCH($A2, RoadmapDataProjects, 0))), "")</calculatedColumnFormula>
    </tableColumn>
    <tableColumn id="6" xr3:uid="{CD55B98F-F2AB-4AD2-9924-85E9F1540D43}" name="     COG-DEL-DISTRACTED" dataDxfId="319">
      <calculatedColumnFormula>_xlfn.IFNA(IF(INDEX(RoadmapData, MATCH(TRIM(G$1), RoadmapDataFeatures, 0), MATCH($A2, RoadmapDataProjects, 0)) = "NO", "NO", INDEX(RoadmapData, MATCH(TRIM(G$1), RoadmapDataFeatures, 0), MATCH($A2, RoadmapDataProjects, 0))), "")</calculatedColumnFormula>
    </tableColumn>
    <tableColumn id="7" xr3:uid="{614063FC-46AE-474A-9DE0-7631B47117F6}" name="     COG-DIL-DROWSY" dataDxfId="318">
      <calculatedColumnFormula>_xlfn.IFNA(IF(INDEX(RoadmapData, MATCH(TRIM(H$1), RoadmapDataFeatures, 0), MATCH($A2, RoadmapDataProjects, 0)) = "NO", "NO", INDEX(RoadmapData, MATCH(TRIM(H$1), RoadmapDataFeatures, 0), MATCH($A2, RoadmapDataProjects, 0))), "")</calculatedColumnFormula>
    </tableColumn>
    <tableColumn id="8" xr3:uid="{16BDDAD6-62B0-4D39-85C1-287202D1255F}" name="     COG-DIL-MICROSLEEPING" dataDxfId="317">
      <calculatedColumnFormula>_xlfn.IFNA(IF(INDEX(RoadmapData, MATCH(TRIM(I$1), RoadmapDataFeatures, 0), MATCH($A2, RoadmapDataProjects, 0)) = "NO", "NO", INDEX(RoadmapData, MATCH(TRIM(I$1), RoadmapDataFeatures, 0), MATCH($A2, RoadmapDataProjects, 0))), "")</calculatedColumnFormula>
    </tableColumn>
    <tableColumn id="9" xr3:uid="{BFB1C17D-D74F-4F03-AB8E-E085D66AA715}" name="     COG-DIL-SLEEPING" dataDxfId="316">
      <calculatedColumnFormula>_xlfn.IFNA(IF(INDEX(RoadmapData, MATCH(TRIM(J$1), RoadmapDataFeatures, 0), MATCH($A2, RoadmapDataProjects, 0)) = "NO", "NO", INDEX(RoadmapData, MATCH(TRIM(J$1), RoadmapDataFeatures, 0), MATCH($A2, RoadmapDataProjects, 0))), "")</calculatedColumnFormula>
    </tableColumn>
    <tableColumn id="10" xr3:uid="{96C1C555-2908-42C3-B409-A88996D31BDA}" name="     VIS-GESTURE-HEAD" dataDxfId="315">
      <calculatedColumnFormula>_xlfn.IFNA(IF(INDEX(RoadmapData, MATCH(TRIM(K$1), RoadmapDataFeatures, 0), MATCH($A2, RoadmapDataProjects, 0)) = "NO", "NO", INDEX(RoadmapData, MATCH(TRIM(K$1), RoadmapDataFeatures, 0), MATCH($A2, RoadmapDataProjects, 0))), "")</calculatedColumnFormula>
    </tableColumn>
    <tableColumn id="11" xr3:uid="{5CA3C6A8-E520-42F3-A1E3-02694D55A950}" name="     VIS-ACTIVITY-AHP" dataDxfId="314">
      <calculatedColumnFormula>_xlfn.IFNA(IF(INDEX(RoadmapData, MATCH(TRIM(L$1), RoadmapDataFeatures, 0), MATCH($A2, RoadmapDataProjects, 0)) = "NO", "NO", INDEX(RoadmapData, MATCH(TRIM(L$1), RoadmapDataFeatures, 0), MATCH($A2, RoadmapDataProjects, 0))), "")</calculatedColumnFormula>
    </tableColumn>
    <tableColumn id="12" xr3:uid="{F905B4FD-0534-41BB-8F9F-86D1CA552528}" name="     VIS-ACTIVITY-HANDPOS" dataDxfId="313">
      <calculatedColumnFormula>_xlfn.IFNA(IF(INDEX(RoadmapData, MATCH(TRIM(M$1), RoadmapDataFeatures, 0), MATCH($A2, RoadmapDataProjects, 0)) = "NO", "NO", INDEX(RoadmapData, MATCH(TRIM(M$1), RoadmapDataFeatures, 0), MATCH($A2, RoadmapDataProjects, 0))), "")</calculatedColumnFormula>
    </tableColumn>
    <tableColumn id="13" xr3:uid="{C7493CE0-CAAB-4A92-ADFE-12D158F89E20}" name="     VIS-ACTIVITY-HELDITEM" dataDxfId="312">
      <calculatedColumnFormula>_xlfn.IFNA(IF(INDEX(RoadmapData, MATCH(TRIM(N$1), RoadmapDataFeatures, 0), MATCH($A2, RoadmapDataProjects, 0)) = "NO", "NO", INDEX(RoadmapData, MATCH(TRIM(N$1), RoadmapDataFeatures, 0), MATCH($A2, RoadmapDataProjects, 0))), "")</calculatedColumnFormula>
    </tableColumn>
    <tableColumn id="14" xr3:uid="{16CA8E32-87B4-47FE-9ED3-D537091F8CC6}" name="     VIS-ACTIVITY-OOP" dataDxfId="311">
      <calculatedColumnFormula>_xlfn.IFNA(IF(INDEX(RoadmapData, MATCH(TRIM(O$1), RoadmapDataFeatures, 0), MATCH($A2, RoadmapDataProjects, 0)) = "NO", "NO", INDEX(RoadmapData, MATCH(TRIM(O$1), RoadmapDataFeatures, 0), MATCH($A2, RoadmapDataProjects, 0))), "")</calculatedColumnFormula>
    </tableColumn>
    <tableColumn id="15" xr3:uid="{25D70443-68EB-41CE-93BC-0EB48B851682}" name="     VIS-MOUTH-SPEAK" dataDxfId="310">
      <calculatedColumnFormula>_xlfn.IFNA(IF(INDEX(RoadmapData, MATCH(TRIM(P$1), RoadmapDataFeatures, 0), MATCH($A2, RoadmapDataProjects, 0)) = "NO", "NO", INDEX(RoadmapData, MATCH(TRIM(P$1), RoadmapDataFeatures, 0), MATCH($A2, RoadmapDataProjects, 0))), "")</calculatedColumnFormula>
    </tableColumn>
    <tableColumn id="16" xr3:uid="{52C6FB24-7D91-45E2-96E5-1E402E4666D8}" name="     VIS-MOUTH-LAUGH" dataDxfId="309">
      <calculatedColumnFormula>_xlfn.IFNA(IF(INDEX(RoadmapData, MATCH(TRIM(Q$1), RoadmapDataFeatures, 0), MATCH($A2, RoadmapDataProjects, 0)) = "NO", "NO", INDEX(RoadmapData, MATCH(TRIM(Q$1), RoadmapDataFeatures, 0), MATCH($A2, RoadmapDataProjects, 0))), "")</calculatedColumnFormula>
    </tableColumn>
    <tableColumn id="17" xr3:uid="{F60DCB82-A3FA-4B33-B3D0-98FD8E5EC94A}" name="     VIS-MOUTH-COUGH" dataDxfId="308">
      <calculatedColumnFormula>_xlfn.IFNA(IF(INDEX(RoadmapData, MATCH(TRIM(R$1), RoadmapDataFeatures, 0), MATCH($A2, RoadmapDataProjects, 0)) = "NO", "NO", INDEX(RoadmapData, MATCH(TRIM(R$1), RoadmapDataFeatures, 0), MATCH($A2, RoadmapDataProjects, 0))), "")</calculatedColumnFormula>
    </tableColumn>
    <tableColumn id="18" xr3:uid="{3F51760F-7A56-4553-9845-F54FEA1CACFC}" name="     VIS-MOUTH-SNEEZE" dataDxfId="307">
      <calculatedColumnFormula>_xlfn.IFNA(IF(INDEX(RoadmapData, MATCH(TRIM(S$1), RoadmapDataFeatures, 0), MATCH($A2, RoadmapDataProjects, 0)) = "NO", "NO", INDEX(RoadmapData, MATCH(TRIM(S$1), RoadmapDataFeatures, 0), MATCH($A2, RoadmapDataProjects, 0))), "")</calculatedColumnFormula>
    </tableColumn>
    <tableColumn id="19" xr3:uid="{0CAEE293-40CA-4049-AE78-ABECC9A4D683}" name="     VIS-MOUTH-YAWN" dataDxfId="306">
      <calculatedColumnFormula>_xlfn.IFNA(IF(INDEX(RoadmapData, MATCH(TRIM(T$1), RoadmapDataFeatures, 0), MATCH($A2, RoadmapDataProjects, 0)) = "NO", "NO", INDEX(RoadmapData, MATCH(TRIM(T$1), RoadmapDataFeatures, 0), MATCH($A2, RoadmapDataProjects, 0))), "")</calculatedColumnFormula>
    </tableColumn>
    <tableColumn id="20" xr3:uid="{71426635-F1FC-4F9C-95BB-96FFF3DB3608}" name="     VIS-SMOKE" dataDxfId="305">
      <calculatedColumnFormula>_xlfn.IFNA(IF(INDEX(RoadmapData, MATCH(TRIM(U$1), RoadmapDataFeatures, 0), MATCH($A2, RoadmapDataProjects, 0)) = "NO", "NO", INDEX(RoadmapData, MATCH(TRIM(U$1), RoadmapDataFeatures, 0), MATCH($A2, RoadmapDataProjects, 0))), "")</calculatedColumnFormula>
    </tableColumn>
    <tableColumn id="21" xr3:uid="{C70045B1-27F7-4DBF-A921-0D710A905A6C}" name="     VIS-PHONE" dataDxfId="304">
      <calculatedColumnFormula>_xlfn.IFNA(IF(INDEX(RoadmapData, MATCH(TRIM(V$1), RoadmapDataFeatures, 0), MATCH($A2, RoadmapDataProjects, 0)) = "NO", "NO", INDEX(RoadmapData, MATCH(TRIM(V$1), RoadmapDataFeatures, 0), MATCH($A2, RoadmapDataProjects, 0))), "")</calculatedColumnFormula>
    </tableColumn>
    <tableColumn id="22" xr3:uid="{F625D5BA-7525-4DCE-8CCB-77E746393CFD}" name="     VIS-DAS-COARSE" dataDxfId="303">
      <calculatedColumnFormula>_xlfn.IFNA(IF(INDEX(RoadmapData, MATCH(TRIM(W$1), RoadmapDataFeatures, 0), MATCH($A2, RoadmapDataProjects, 0)) = "NO", "NO", INDEX(RoadmapData, MATCH(TRIM(W$1), RoadmapDataFeatures, 0), MATCH($A2, RoadmapDataProjects, 0))), "")</calculatedColumnFormula>
    </tableColumn>
    <tableColumn id="23" xr3:uid="{33BC40A9-CE81-4820-B1D9-D6E9D36AD2EF}" name="     VIS-DAS-FINE" dataDxfId="302">
      <calculatedColumnFormula>_xlfn.IFNA(IF(INDEX(RoadmapData, MATCH(TRIM(X$1), RoadmapDataFeatures, 0), MATCH($A2, RoadmapDataProjects, 0)) = "NO", "NO", INDEX(RoadmapData, MATCH(TRIM(X$1), RoadmapDataFeatures, 0), MATCH($A2, RoadmapDataProjects, 0))), "")</calculatedColumnFormula>
    </tableColumn>
    <tableColumn id="24" xr3:uid="{EA212065-4123-4B8B-B1B2-50A926716092}" name="     VIS-DAS-RAY" dataDxfId="301">
      <calculatedColumnFormula>_xlfn.IFNA(IF(INDEX(RoadmapData, MATCH(TRIM(Y$1), RoadmapDataFeatures, 0), MATCH($A2, RoadmapDataProjects, 0)) = "NO", "NO", INDEX(RoadmapData, MATCH(TRIM(Y$1), RoadmapDataFeatures, 0), MATCH($A2, RoadmapDataProjects, 0))), "")</calculatedColumnFormula>
    </tableColumn>
    <tableColumn id="25" xr3:uid="{56FB537B-DD90-4631-A4E8-1E7A0DA2463F}" name="     VIS-DAS-POSTURE" dataDxfId="300">
      <calculatedColumnFormula>_xlfn.IFNA(IF(INDEX(RoadmapData, MATCH(TRIM(Z$1), RoadmapDataFeatures, 0), MATCH($A2, RoadmapDataProjects, 0)) = "NO", "NO", INDEX(RoadmapData, MATCH(TRIM(Z$1), RoadmapDataFeatures, 0), MATCH($A2, RoadmapDataProjects, 0))), "")</calculatedColumnFormula>
    </tableColumn>
    <tableColumn id="26" xr3:uid="{F882344F-8E3D-452E-A742-7F969A9CC110}" name="     VIS-FOD-FACE" dataDxfId="299">
      <calculatedColumnFormula>_xlfn.IFNA(IF(INDEX(RoadmapData, MATCH(TRIM(AA$1), RoadmapDataFeatures, 0), MATCH($A2, RoadmapDataProjects, 0)) = "NO", "NO", INDEX(RoadmapData, MATCH(TRIM(AA$1), RoadmapDataFeatures, 0), MATCH($A2, RoadmapDataProjects, 0))), "")</calculatedColumnFormula>
    </tableColumn>
    <tableColumn id="27" xr3:uid="{7B2BA022-DB6F-41F0-86CC-043998BEA9F7}" name="     VIS-FOD-MASK" dataDxfId="298">
      <calculatedColumnFormula>_xlfn.IFNA(IF(INDEX(RoadmapData, MATCH(TRIM(AB$1), RoadmapDataFeatures, 0), MATCH($A2, RoadmapDataProjects, 0)) = "NO", "NO", INDEX(RoadmapData, MATCH(TRIM(AB$1), RoadmapDataFeatures, 0), MATCH($A2, RoadmapDataProjects, 0))), "")</calculatedColumnFormula>
    </tableColumn>
    <tableColumn id="28" xr3:uid="{E9D614C1-5A14-48D5-B04F-00A5D4D3913B}" name="     VIS-FOD-EYEWEAR" dataDxfId="297">
      <calculatedColumnFormula>_xlfn.IFNA(IF(INDEX(RoadmapData, MATCH(TRIM(AC$1), RoadmapDataFeatures, 0), MATCH($A2, RoadmapDataProjects, 0)) = "NO", "NO", INDEX(RoadmapData, MATCH(TRIM(AC$1), RoadmapDataFeatures, 0), MATCH($A2, RoadmapDataProjects, 0))), "")</calculatedColumnFormula>
    </tableColumn>
    <tableColumn id="29" xr3:uid="{71779C57-DEF0-4FA7-AB63-6189985038DC}" name="     VIS-SOD-CHILDSEAT" dataDxfId="296">
      <calculatedColumnFormula>_xlfn.IFNA(IF(INDEX(RoadmapData, MATCH(TRIM(AD$1), RoadmapDataFeatures, 0), MATCH($A2, RoadmapDataProjects, 0)) = "NO", "NO", INDEX(RoadmapData, MATCH(TRIM(AD$1), RoadmapDataFeatures, 0), MATCH($A2, RoadmapDataProjects, 0))), "")</calculatedColumnFormula>
    </tableColumn>
    <tableColumn id="30" xr3:uid="{E567F9E9-DA15-4DF2-B9A1-FA10C07759B1}" name="     VIS-SOD-SEATBELT" dataDxfId="295">
      <calculatedColumnFormula>_xlfn.IFNA(IF(INDEX(RoadmapData, MATCH(TRIM(AE$1), RoadmapDataFeatures, 0), MATCH($A2, RoadmapDataProjects, 0)) = "NO", "NO", INDEX(RoadmapData, MATCH(TRIM(AE$1), RoadmapDataFeatures, 0), MATCH($A2, RoadmapDataProjects, 0))), "")</calculatedColumnFormula>
    </tableColumn>
    <tableColumn id="31" xr3:uid="{D60CE8DA-AC45-48BD-8BDB-E47FA4268103}" name="     VIS-SOD-HEIGHT" dataDxfId="294">
      <calculatedColumnFormula>_xlfn.IFNA(IF(INDEX(RoadmapData, MATCH(TRIM(AF$1), RoadmapDataFeatures, 0), MATCH($A2, RoadmapDataProjects, 0)) = "NO", "NO", INDEX(RoadmapData, MATCH(TRIM(AF$1), RoadmapDataFeatures, 0), MATCH($A2, RoadmapDataProjects, 0))), "")</calculatedColumnFormula>
    </tableColumn>
    <tableColumn id="32" xr3:uid="{FCC3C838-01A4-4B23-A984-0A9437E63EEF}" name="     VIS-SOD-WEIGHT" dataDxfId="293">
      <calculatedColumnFormula>_xlfn.IFNA(IF(INDEX(RoadmapData, MATCH(TRIM(AG$1), RoadmapDataFeatures, 0), MATCH($A2, RoadmapDataProjects, 0)) = "NO", "NO", INDEX(RoadmapData, MATCH(TRIM(AG$1), RoadmapDataFeatures, 0), MATCH($A2, RoadmapDataProjects, 0))), "")</calculatedColumnFormula>
    </tableColumn>
    <tableColumn id="33" xr3:uid="{19E1EC64-C2D2-42DF-A1D5-C7BAE62DDF82}" name="     VIS-SOD-AGE" dataDxfId="292">
      <calculatedColumnFormula>_xlfn.IFNA(IF(INDEX(RoadmapData, MATCH(TRIM(AH$1), RoadmapDataFeatures, 0), MATCH($A2, RoadmapDataProjects, 0)) = "NO", "NO", INDEX(RoadmapData, MATCH(TRIM(AH$1), RoadmapDataFeatures, 0), MATCH($A2, RoadmapDataProjects, 0))), "")</calculatedColumnFormula>
    </tableColumn>
    <tableColumn id="34" xr3:uid="{7AB95A2C-79B8-49DA-95CD-1319289E2925}" name="     VIS-SOD-GENDER" dataDxfId="291">
      <calculatedColumnFormula>_xlfn.IFNA(IF(INDEX(RoadmapData, MATCH(TRIM(AI$1), RoadmapDataFeatures, 0), MATCH($A2, RoadmapDataProjects, 0)) = "NO", "NO", INDEX(RoadmapData, MATCH(TRIM(AI$1), RoadmapDataFeatures, 0), MATCH($A2, RoadmapDataProjects, 0))), "")</calculatedColumnFormula>
    </tableColumn>
    <tableColumn id="35" xr3:uid="{9DE8239F-7F1F-4F5C-9B3D-81C56E83B28C}" name="     VIS-SOD-PRESENCE-LOW" dataDxfId="290">
      <calculatedColumnFormula>_xlfn.IFNA(IF(INDEX(RoadmapData, MATCH(TRIM(AJ$1), RoadmapDataFeatures, 0), MATCH($A2, RoadmapDataProjects, 0)) = "NO", "NO", INDEX(RoadmapData, MATCH(TRIM(AJ$1), RoadmapDataFeatures, 0), MATCH($A2, RoadmapDataProjects, 0))), "")</calculatedColumnFormula>
    </tableColumn>
    <tableColumn id="36" xr3:uid="{1AF28C33-369E-45D1-A93D-22B53477A51C}" name="     VIS-SOD-PRESENCE-HIGH" dataDxfId="289">
      <calculatedColumnFormula>_xlfn.IFNA(IF(INDEX(RoadmapData, MATCH(TRIM(AK$1), RoadmapDataFeatures, 0), MATCH($A2, RoadmapDataProjects, 0)) = "NO", "NO", INDEX(RoadmapData, MATCH(TRIM(AK$1), RoadmapDataFeatures, 0), MATCH($A2, RoadmapDataProjects, 0))), "")</calculatedColumnFormula>
    </tableColumn>
    <tableColumn id="16413" xr3:uid="{316E14EF-9A6C-4857-B1FC-C3B892BBE038}" name="     VIS-ID-RECOGNIZE-LOW" dataDxfId="288">
      <calculatedColumnFormula>_xlfn.IFNA(IF(INDEX(RoadmapData, MATCH(TRIM(AL$1), RoadmapDataFeatures, 0), MATCH($A2, RoadmapDataProjects, 0)) = "NO", "NO", INDEX(RoadmapData, MATCH(TRIM(AL$1), RoadmapDataFeatures, 0), MATCH($A2, RoadmapDataProjects, 0))), "")</calculatedColumnFormula>
    </tableColumn>
    <tableColumn id="16414" xr3:uid="{B310A3B7-9473-4126-818F-2FCE958ED262}" name="     VIS-ID-RECOGNIZE-HIGH" dataDxfId="287">
      <calculatedColumnFormula>_xlfn.IFNA(IF(INDEX(RoadmapData, MATCH(TRIM(AM$1), RoadmapDataFeatures, 0), MATCH($A2, RoadmapDataProjects, 0)) = "NO", "NO", INDEX(RoadmapData, MATCH(TRIM(AM$1), RoadmapDataFeatures, 0), MATCH($A2, RoadmapDataProjects, 0))), "")</calculatedColumnFormula>
    </tableColumn>
    <tableColumn id="16415" xr3:uid="{F78E0A37-F4A6-4B11-AD45-8C5CED5F1435}" name="     VIS-ID-CHANGE" dataDxfId="286">
      <calculatedColumnFormula>_xlfn.IFNA(IF(INDEX(RoadmapData, MATCH(TRIM(AN$1), RoadmapDataFeatures, 0), MATCH($A2, RoadmapDataProjects, 0)) = "NO", "NO", INDEX(RoadmapData, MATCH(TRIM(AN$1), RoadmapDataFeatures, 0), MATCH($A2, RoadmapDataProjects, 0))), "")</calculatedColumnFormula>
    </tableColumn>
    <tableColumn id="16416" xr3:uid="{D1256639-1D18-4BD0-BC95-F3412ECBCD9C}" name="     VIS-SPOOF" dataDxfId="285">
      <calculatedColumnFormula>_xlfn.IFNA(IF(INDEX(RoadmapData, MATCH(TRIM(AO$1), RoadmapDataFeatures, 0), MATCH($A2, RoadmapDataProjects, 0)) = "NO", "NO", INDEX(RoadmapData, MATCH(TRIM(AO$1), RoadmapDataFeatures, 0), MATCH($A2, RoadmapDataProjects, 0))), "")</calculatedColumnFormula>
    </tableColumn>
    <tableColumn id="16417" xr3:uid="{A4D1846E-0141-4FA8-B67E-1EBB37635828}" name="     VIS-EXPR" dataDxfId="284">
      <calculatedColumnFormula>_xlfn.IFNA(IF(INDEX(RoadmapData, MATCH(TRIM(AP$1), RoadmapDataFeatures, 0), MATCH($A2, RoadmapDataProjects, 0)) = "NO", "NO", INDEX(RoadmapData, MATCH(TRIM(AP$1), RoadmapDataFeatures, 0), MATCH($A2, RoadmapDataProjects, 0))), "")</calculatedColumnFormula>
    </tableColumn>
    <tableColumn id="16418" xr3:uid="{50C25A63-121B-407D-ACAB-FAD490CEBF46}" name="     CORE-BPT-COARSE" dataDxfId="283">
      <calculatedColumnFormula>_xlfn.IFNA(IF(INDEX(RoadmapData, MATCH(TRIM(AQ$1), RoadmapDataFeatures, 0), MATCH($A2, RoadmapDataProjects, 0)) = "NO", "NO", INDEX(RoadmapData, MATCH(TRIM(AQ$1), RoadmapDataFeatures, 0), MATCH($A2, RoadmapDataProjects, 0))), "")</calculatedColumnFormula>
    </tableColumn>
    <tableColumn id="16419" xr3:uid="{AEBBA94A-BE78-4611-937F-5F5383F34E19}" name="     CORE-BPT-FINE" dataDxfId="282">
      <calculatedColumnFormula>_xlfn.IFNA(IF(INDEX(RoadmapData, MATCH(TRIM(AR$1), RoadmapDataFeatures, 0), MATCH($A2, RoadmapDataProjects, 0)) = "NO", "NO", INDEX(RoadmapData, MATCH(TRIM(AR$1), RoadmapDataFeatures, 0), MATCH($A2, RoadmapDataProjects, 0))), "")</calculatedColumnFormula>
    </tableColumn>
    <tableColumn id="73" xr3:uid="{DF81E974-07F5-492F-BC1D-DC52DA8EE7D7}" name="     CORE-DEPTH" dataDxfId="281">
      <calculatedColumnFormula>_xlfn.IFNA(IF(INDEX(RoadmapData, MATCH(TRIM(AS$1), RoadmapDataFeatures, 0), MATCH($A2, RoadmapDataProjects, 0)) = "NO", "NO", INDEX(RoadmapData, MATCH(TRIM(AS$1), RoadmapDataFeatures, 0), MATCH($A2, RoadmapDataProjects, 0))), "")</calculatedColumnFormula>
    </tableColumn>
    <tableColumn id="16420" xr3:uid="{51715521-9300-49C8-920B-9959488ABD32}" name="     CORE-GET-GAZE" dataDxfId="280">
      <calculatedColumnFormula>_xlfn.IFNA(IF(INDEX(RoadmapData, MATCH(TRIM(AT$1), RoadmapDataFeatures, 0), MATCH($A2, RoadmapDataProjects, 0)) = "NO", "NO", INDEX(RoadmapData, MATCH(TRIM(AT$1), RoadmapDataFeatures, 0), MATCH($A2, RoadmapDataProjects, 0))), "")</calculatedColumnFormula>
    </tableColumn>
    <tableColumn id="16421" xr3:uid="{30C4B2A5-8C4B-4926-B39D-5295CDC4D9D1}" name="     CORE-GET-EYELID" dataDxfId="279">
      <calculatedColumnFormula>_xlfn.IFNA(IF(INDEX(RoadmapData, MATCH(TRIM(AU$1), RoadmapDataFeatures, 0), MATCH($A2, RoadmapDataProjects, 0)) = "NO", "NO", INDEX(RoadmapData, MATCH(TRIM(AU$1), RoadmapDataFeatures, 0), MATCH($A2, RoadmapDataProjects, 0))), "")</calculatedColumnFormula>
    </tableColumn>
    <tableColumn id="16422" xr3:uid="{36B28E44-9358-4D48-A013-EE3E58BDE1F2}" name="     CORE-HT-POSE" dataDxfId="278">
      <calculatedColumnFormula>_xlfn.IFNA(IF(INDEX(RoadmapData, MATCH(TRIM(AV$1), RoadmapDataFeatures, 0), MATCH($A2, RoadmapDataProjects, 0)) = "NO", "NO", INDEX(RoadmapData, MATCH(TRIM(AV$1), RoadmapDataFeatures, 0), MATCH($A2, RoadmapDataProjects, 0))), "")</calculatedColumnFormula>
    </tableColumn>
    <tableColumn id="16423" xr3:uid="{E0209E9C-F84E-43D8-94D2-E297221C0BA6}" name="     CORE-HT-LANDMARKS" dataDxfId="277">
      <calculatedColumnFormula>_xlfn.IFNA(IF(INDEX(RoadmapData, MATCH(TRIM(AW$1), RoadmapDataFeatures, 0), MATCH($A2, RoadmapDataProjects, 0)) = "NO", "NO", INDEX(RoadmapData, MATCH(TRIM(AW$1), RoadmapDataFeatures, 0), MATCH($A2, RoadmapDataProjects, 0))), "")</calculatedColumnFormula>
    </tableColumn>
    <tableColumn id="16424" xr3:uid="{315A6704-0C87-41EC-B983-05D7EEC6B461}" name="     CORE-ED" dataDxfId="276">
      <calculatedColumnFormula>_xlfn.IFNA(IF(INDEX(RoadmapData, MATCH(TRIM(AX$1), RoadmapDataFeatures, 0), MATCH($A2, RoadmapDataProjects, 0)) = "NO", "NO", INDEX(RoadmapData, MATCH(TRIM(AX$1), RoadmapDataFeatures, 0), MATCH($A2, RoadmapDataProjects, 0))), "")</calculatedColumnFormula>
    </tableColumn>
    <tableColumn id="16425" xr3:uid="{0ECDD033-4BBE-4A47-871F-FBB37347D230}" name="     CORE-AEC" dataDxfId="275">
      <calculatedColumnFormula>_xlfn.IFNA(IF(INDEX(RoadmapData, MATCH(TRIM(AY$1), RoadmapDataFeatures, 0), MATCH($A2, RoadmapDataProjects, 0)) = "NO", "NO", INDEX(RoadmapData, MATCH(TRIM(AY$1), RoadmapDataFeatures, 0), MATCH($A2, RoadmapDataProjects, 0))), "")</calculatedColumnFormula>
    </tableColumn>
    <tableColumn id="16426" xr3:uid="{275D913F-716E-4BAF-8751-ED561FC358B2}" name="     CORE-FD" dataDxfId="274">
      <calculatedColumnFormula>_xlfn.IFNA(IF(INDEX(RoadmapData, MATCH(TRIM(AZ$1), RoadmapDataFeatures, 0), MATCH($A2, RoadmapDataProjects, 0)) = "NO", "NO", INDEX(RoadmapData, MATCH(TRIM(AZ$1), RoadmapDataFeatures, 0), MATCH($A2, RoadmapDataProjects, 0))), "")</calculatedColumnFormula>
    </tableColumn>
    <tableColumn id="16427" xr3:uid="{E152A0DC-2CB2-4BC8-90C0-BF76F65AFCCE}" name="     CORE-MS" dataDxfId="273">
      <calculatedColumnFormula>_xlfn.IFNA(IF(INDEX(RoadmapData, MATCH(TRIM(BA$1), RoadmapDataFeatures, 0), MATCH($A2, RoadmapDataProjects, 0)) = "NO", "NO", INDEX(RoadmapData, MATCH(TRIM(BA$1), RoadmapDataFeatures, 0), MATCH($A2, RoadmapDataProjects, 0))), "")</calculatedColumnFormula>
    </tableColumn>
    <tableColumn id="16428" xr3:uid="{30A4C018-84FF-4320-959A-29630535B4FF}" name="     UTIL-CPOSE-CF" dataDxfId="272">
      <calculatedColumnFormula>_xlfn.IFNA(IF(INDEX(RoadmapData, MATCH(TRIM(BB$1), RoadmapDataFeatures, 0), MATCH($A2, RoadmapDataProjects, 0)) = "NO", "NO", INDEX(RoadmapData, MATCH(TRIM(BB$1), RoadmapDataFeatures, 0), MATCH($A2, RoadmapDataProjects, 0))), "")</calculatedColumnFormula>
    </tableColumn>
    <tableColumn id="16429" xr3:uid="{9341A638-B41E-452A-9048-12E135D0D4ED}" name="     UTIL-CPOSE-IMU" dataDxfId="271">
      <calculatedColumnFormula>_xlfn.IFNA(IF(INDEX(RoadmapData, MATCH(TRIM(BC$1), RoadmapDataFeatures, 0), MATCH($A2, RoadmapDataProjects, 0)) = "NO", "NO", INDEX(RoadmapData, MATCH(TRIM(BC$1), RoadmapDataFeatures, 0), MATCH($A2, RoadmapDataProjects, 0))), "")</calculatedColumnFormula>
    </tableColumn>
    <tableColumn id="16430" xr3:uid="{2E006377-B5F1-4819-9AA2-8EC8924FA3FC}" name="     UTIL-VIDEO" dataDxfId="270">
      <calculatedColumnFormula>_xlfn.IFNA(IF(INDEX(RoadmapData, MATCH(TRIM(BD$1), RoadmapDataFeatures, 0), MATCH($A2, RoadmapDataProjects, 0)) = "NO", "NO", INDEX(RoadmapData, MATCH(TRIM(BD$1), RoadmapDataFeatures, 0), MATCH($A2, RoadmapDataProjects, 0))), "")</calculatedColumnFormula>
    </tableColumn>
    <tableColumn id="16431" xr3:uid="{D8D9059C-28BC-4787-8322-65D81A3D08D0}" name="     UTIL-DIAG-STK" dataDxfId="269">
      <calculatedColumnFormula>_xlfn.IFNA(IF(INDEX(RoadmapData, MATCH(TRIM(BE$1), RoadmapDataFeatures, 0), MATCH($A2, RoadmapDataProjects, 0)) = "NO", "NO", INDEX(RoadmapData, MATCH(TRIM(BE$1), RoadmapDataFeatures, 0), MATCH($A2, RoadmapDataProjects, 0))), "")</calculatedColumnFormula>
    </tableColumn>
    <tableColumn id="16432" xr3:uid="{F4E0DF72-E7CC-47B2-A6EE-ED4C1A66ADCA}" name="     UTIL-DIAG-LBD" dataDxfId="268">
      <calculatedColumnFormula>_xlfn.IFNA(IF(INDEX(RoadmapData, MATCH(TRIM(BF$1), RoadmapDataFeatures, 0), MATCH($A2, RoadmapDataProjects, 0)) = "NO", "NO", INDEX(RoadmapData, MATCH(TRIM(BF$1), RoadmapDataFeatures, 0), MATCH($A2, RoadmapDataProjects, 0))), "")</calculatedColumnFormula>
    </tableColumn>
    <tableColumn id="16433" xr3:uid="{FC7ED709-A937-42E8-8478-CF067608C526}" name="     UTIL-DIAG-LIQ" dataDxfId="267">
      <calculatedColumnFormula>_xlfn.IFNA(IF(INDEX(RoadmapData, MATCH(TRIM(BG$1), RoadmapDataFeatures, 0), MATCH($A2, RoadmapDataProjects, 0)) = "NO", "NO", INDEX(RoadmapData, MATCH(TRIM(BG$1), RoadmapDataFeatures, 0), MATCH($A2, RoadmapDataProjects, 0))), "")</calculatedColumnFormula>
    </tableColumn>
    <tableColumn id="16434" xr3:uid="{8B29A203-6F37-4B9B-A97D-36BEB98ECC20}" name="     UTIL-DIAG-COOA" dataDxfId="266">
      <calculatedColumnFormula>_xlfn.IFNA(IF(INDEX(RoadmapData, MATCH(TRIM(BH$1), RoadmapDataFeatures, 0), MATCH($A2, RoadmapDataProjects, 0)) = "NO", "NO", INDEX(RoadmapData, MATCH(TRIM(BH$1), RoadmapDataFeatures, 0), MATCH($A2, RoadmapDataProjects, 0))), "")</calculatedColumnFormula>
    </tableColumn>
    <tableColumn id="16435" xr3:uid="{B8A31516-CF67-44ED-9EC1-EECD3DF6CD4E}" name="     Speculative Features" dataDxfId="265"/>
    <tableColumn id="16391" xr3:uid="{59811074-827C-410B-A1BC-93EF3D25106A}" name="     COG-DIL-INTOX" dataDxfId="264">
      <calculatedColumnFormula>_xlfn.IFNA(IF(INDEX(RoadmapData, MATCH(TRIM(BJ$1), RoadmapDataFeatures, 0), MATCH($A2, RoadmapDataProjects, 0)) = "-", "-", INDEX(RoadmapData, MATCH(TRIM(BJ$1), RoadmapDataFeatures, 0), MATCH($A2, RoadmapDataProjects, 0))), "")</calculatedColumnFormula>
    </tableColumn>
    <tableColumn id="16392" xr3:uid="{2DDFB27D-9EE8-4BCB-AB9A-9A2354F56B59}" name="     COG-ES" dataDxfId="263">
      <calculatedColumnFormula>_xlfn.IFNA(IF(INDEX(RoadmapData, MATCH(TRIM(BK$1), RoadmapDataFeatures, 0), MATCH($A2, RoadmapDataProjects, 0)) = "-", "-", INDEX(RoadmapData, MATCH(TRIM(BK$1), RoadmapDataFeatures, 0), MATCH($A2, RoadmapDataProjects, 0))), "")</calculatedColumnFormula>
    </tableColumn>
    <tableColumn id="16393" xr3:uid="{39F47C7D-21D2-48C5-B3C6-A117E8E908F5}" name="     COG-OVERLOAD" dataDxfId="262">
      <calculatedColumnFormula>_xlfn.IFNA(IF(INDEX(RoadmapData, MATCH(TRIM(BL$1), RoadmapDataFeatures, 0), MATCH($A2, RoadmapDataProjects, 0)) = "-", "-", INDEX(RoadmapData, MATCH(TRIM(BL$1), RoadmapDataFeatures, 0), MATCH($A2, RoadmapDataProjects, 0))), "")</calculatedColumnFormula>
    </tableColumn>
    <tableColumn id="16394" xr3:uid="{C43C12C7-4CAD-4B66-A6CE-14D747C9DC53}" name="     VIS-MOUTH-SPEECH" dataDxfId="261">
      <calculatedColumnFormula>_xlfn.IFNA(IF(INDEX(RoadmapData, MATCH(TRIM(BM$1), RoadmapDataFeatures, 0), MATCH($A2, RoadmapDataProjects, 0)) = "-", "-", INDEX(RoadmapData, MATCH(TRIM(BM$1), RoadmapDataFeatures, 0), MATCH($A2, RoadmapDataProjects, 0))), "")</calculatedColumnFormula>
    </tableColumn>
    <tableColumn id="16395" xr3:uid="{8A42F23F-C501-4EA9-AB39-08555DFA0184}" name="     VIS-SOD-HEALTH-PREG" dataDxfId="260">
      <calculatedColumnFormula>_xlfn.IFNA(IF(INDEX(RoadmapData, MATCH(TRIM(BN$1), RoadmapDataFeatures, 0), MATCH($A2, RoadmapDataProjects, 0)) = "-", "-", INDEX(RoadmapData, MATCH(TRIM(BN$1), RoadmapDataFeatures, 0), MATCH($A2, RoadmapDataProjects, 0))), "")</calculatedColumnFormula>
    </tableColumn>
    <tableColumn id="16396" xr3:uid="{87AAA35E-521B-44B7-AA58-E377968E0995}" name="     VIS-CLOTHING" dataDxfId="259">
      <calculatedColumnFormula>_xlfn.IFNA(IF(INDEX(RoadmapData, MATCH(TRIM(BO$1), RoadmapDataFeatures, 0), MATCH($A2, RoadmapDataProjects, 0)) = "-", "-", INDEX(RoadmapData, MATCH(TRIM(BO$1), RoadmapDataFeatures, 0), MATCH($A2, RoadmapDataProjects, 0))), "")</calculatedColumnFormula>
    </tableColumn>
    <tableColumn id="16397" xr3:uid="{C6F68A70-927B-4FBE-9D75-3DAC296E3202}" name="     VIS-MOUTH-EATING-DRINKING" dataDxfId="258">
      <calculatedColumnFormula>_xlfn.IFNA(IF(INDEX(RoadmapData, MATCH(TRIM(BP$1), RoadmapDataFeatures, 0), MATCH($A2, RoadmapDataProjects, 0)) = "-", "-", INDEX(RoadmapData, MATCH(TRIM(BP$1), RoadmapDataFeatures, 0), MATCH($A2, RoadmapDataProjects, 0))), "")</calculatedColumnFormula>
    </tableColumn>
    <tableColumn id="16398" xr3:uid="{C83C8103-1BAE-4129-943A-DDD7CB79EE34}" name="     SFC109" dataDxfId="257">
      <calculatedColumnFormula>_xlfn.IFNA(IF(INDEX(RoadmapData, MATCH(TRIM(BQ$1), RoadmapDataFeatures, 0), MATCH($A2, RoadmapDataProjects, 0)) = "-", "-", INDEX(RoadmapData, MATCH(TRIM(BQ$1), RoadmapDataFeatures, 0), MATCH($A2, RoadmapDataProjects, 0))), "")</calculatedColumnFormula>
    </tableColumn>
    <tableColumn id="16399" xr3:uid="{BAD0CB2B-EE05-45D7-934C-8FB611A98937}" name="     VIS-CABIN-OBJECT" dataDxfId="256">
      <calculatedColumnFormula>_xlfn.IFNA(IF(INDEX(RoadmapData, MATCH(TRIM(BR$1), RoadmapDataFeatures, 0), MATCH($A2, RoadmapDataProjects, 0)) = "-", "-", INDEX(RoadmapData, MATCH(TRIM(BR$1), RoadmapDataFeatures, 0), MATCH($A2, RoadmapDataProjects, 0))), "")</calculatedColumnFormula>
    </tableColumn>
    <tableColumn id="16400" xr3:uid="{60A96A9E-11DC-474D-80F3-EF0151B10582}" name="     VIS-CABIN-STATE" dataDxfId="255">
      <calculatedColumnFormula>_xlfn.IFNA(IF(INDEX(RoadmapData, MATCH(TRIM(BS$1), RoadmapDataFeatures, 0), MATCH($A2, RoadmapDataProjects, 0)) = "-", "-", INDEX(RoadmapData, MATCH(TRIM(BS$1), RoadmapDataFeatures, 0), MATCH($A2, RoadmapDataProjects, 0))), "")</calculatedColumnFormula>
    </tableColumn>
    <tableColumn id="16401" xr3:uid="{3952A91F-331C-4F38-A2A5-01B029261D45}" name="     VIS-SPOOF-NOVELTY" dataDxfId="254">
      <calculatedColumnFormula>_xlfn.IFNA(IF(INDEX(RoadmapData, MATCH(TRIM(BT$1), RoadmapDataFeatures, 0), MATCH($A2, RoadmapDataProjects, 0)) = "-", "-", INDEX(RoadmapData, MATCH(TRIM(BT$1), RoadmapDataFeatures, 0), MATCH($A2, RoadmapDataProjects, 0))), "")</calculatedColumnFormula>
    </tableColumn>
    <tableColumn id="16402" xr3:uid="{77D6E2BA-BDBC-4391-AEFE-AAB1F008D52D}" name="     VIS-SOD-PETS" dataDxfId="253">
      <calculatedColumnFormula>_xlfn.IFNA(IF(INDEX(RoadmapData, MATCH(TRIM(BU$1), RoadmapDataFeatures, 0), MATCH($A2, RoadmapDataProjects, 0)) = "-", "-", INDEX(RoadmapData, MATCH(TRIM(BU$1), RoadmapDataFeatures, 0), MATCH($A2, RoadmapDataProjects, 0))), "")</calculatedColumnFormula>
    </tableColumn>
    <tableColumn id="16403" xr3:uid="{158DF158-11E9-4AF1-ACA8-6AF4693906B0}" name="     VIS-SOD-CHILDSEAT-TYPE" dataDxfId="252">
      <calculatedColumnFormula>_xlfn.IFNA(IF(INDEX(RoadmapData, MATCH(TRIM(BV$1), RoadmapDataFeatures, 0), MATCH($A2, RoadmapDataProjects, 0)) = "-", "-", INDEX(RoadmapData, MATCH(TRIM(BV$1), RoadmapDataFeatures, 0), MATCH($A2, RoadmapDataProjects, 0))), "")</calculatedColumnFormula>
    </tableColumn>
    <tableColumn id="16404" xr3:uid="{3FC1028C-A2B3-4BCC-A866-5350066F000C}" name="     SFC115" dataDxfId="251">
      <calculatedColumnFormula>_xlfn.IFNA(IF(INDEX(RoadmapData, MATCH(TRIM(BW$1), RoadmapDataFeatures, 0), MATCH($A2, RoadmapDataProjects, 0)) = "-", "-", INDEX(RoadmapData, MATCH(TRIM(BW$1), RoadmapDataFeatures, 0), MATCH($A2, RoadmapDataProjects, 0))), "")</calculatedColumnFormula>
    </tableColumn>
    <tableColumn id="16405" xr3:uid="{A875635F-4DA2-4E02-BE85-630D220536B0}" name="     SFC116" dataDxfId="250">
      <calculatedColumnFormula>_xlfn.IFNA(IF(INDEX(RoadmapData, MATCH(TRIM(BX$1), RoadmapDataFeatures, 0), MATCH($A2, RoadmapDataProjects, 0)) = "-", "-", INDEX(RoadmapData, MATCH(TRIM(BX$1), RoadmapDataFeatures, 0), MATCH($A2, RoadmapDataProjects, 0))), "")</calculatedColumnFormula>
    </tableColumn>
    <tableColumn id="16406" xr3:uid="{3DB38A70-A1B1-45B0-BD65-0F5B0D313807}" name="     SFC117" dataDxfId="249">
      <calculatedColumnFormula>_xlfn.IFNA(IF(INDEX(RoadmapData, MATCH(TRIM(BY$1), RoadmapDataFeatures, 0), MATCH($A2, RoadmapDataProjects, 0)) = "-", "-", INDEX(RoadmapData, MATCH(TRIM(BY$1), RoadmapDataFeatures, 0), MATCH($A2, RoadmapDataProjects, 0))), "")</calculatedColumnFormula>
    </tableColumn>
    <tableColumn id="16407" xr3:uid="{29848C28-BFB7-4CF2-9709-27581DF59E85}" name="     VIS-SOD-HEALTH-HR" dataDxfId="248">
      <calculatedColumnFormula>_xlfn.IFNA(IF(INDEX(RoadmapData, MATCH(TRIM(BZ$1), RoadmapDataFeatures, 0), MATCH($A2, RoadmapDataProjects, 0)) = "-", "-", INDEX(RoadmapData, MATCH(TRIM(BZ$1), RoadmapDataFeatures, 0), MATCH($A2, RoadmapDataProjects, 0))), "")</calculatedColumnFormula>
    </tableColumn>
    <tableColumn id="16408" xr3:uid="{AC5D4285-24FA-40AE-ACF8-062084A3613C}" name="     SFC120" dataDxfId="247">
      <calculatedColumnFormula>_xlfn.IFNA(IF(INDEX(RoadmapData, MATCH(TRIM(CA$1), RoadmapDataFeatures, 0), MATCH($A2, RoadmapDataProjects, 0)) = "-", "-", INDEX(RoadmapData, MATCH(TRIM(CA$1), RoadmapDataFeatures, 0), MATCH($A2, RoadmapDataProjects, 0))), "")</calculatedColumnFormula>
    </tableColumn>
    <tableColumn id="16409" xr3:uid="{9CB2ED6D-DCDB-4CCB-AFC1-22F809A51EFE}" name="     SFC121" dataDxfId="246">
      <calculatedColumnFormula>_xlfn.IFNA(IF(INDEX(RoadmapData, MATCH(TRIM(CB$1), RoadmapDataFeatures, 0), MATCH($A2, RoadmapDataProjects, 0)) = "-", "-", INDEX(RoadmapData, MATCH(TRIM(CB$1), RoadmapDataFeatures, 0), MATCH($A2, RoadmapDataProjects, 0))), "")</calculatedColumnFormula>
    </tableColumn>
    <tableColumn id="16410" xr3:uid="{6080358E-DDE0-4893-BF78-5DD7FAE34598}" name="     SFC122" dataDxfId="245">
      <calculatedColumnFormula>_xlfn.IFNA(IF(INDEX(RoadmapData, MATCH(TRIM(CC$1), RoadmapDataFeatures, 0), MATCH($A2, RoadmapDataProjects, 0)) = "-", "-", INDEX(RoadmapData, MATCH(TRIM(CC$1), RoadmapDataFeatures, 0), MATCH($A2, RoadmapDataProjects, 0))), "")</calculatedColumnFormula>
    </tableColumn>
    <tableColumn id="16411" xr3:uid="{ABD259C5-4948-497A-BEF0-7643D935E657}" name="     SFC123" dataDxfId="244">
      <calculatedColumnFormula>_xlfn.IFNA(IF(INDEX(RoadmapData, MATCH(TRIM(CD$1), RoadmapDataFeatures, 0), MATCH($A2, RoadmapDataProjects, 0)) = "-", "-", INDEX(RoadmapData, MATCH(TRIM(CD$1), RoadmapDataFeatures, 0), MATCH($A2, RoadmapDataProjects, 0))), "")</calculatedColumnFormula>
    </tableColumn>
    <tableColumn id="16412" xr3:uid="{194DA558-7BE3-401F-9A63-05247613DE2F}" name="     SFC124" dataDxfId="243">
      <calculatedColumnFormula>_xlfn.IFNA(IF(INDEX(RoadmapData, MATCH(TRIM(CE$1), RoadmapDataFeatures, 0), MATCH($A2, RoadmapDataProjects, 0)) = "-", "-", INDEX(RoadmapData, MATCH(TRIM(CE$1), RoadmapDataFeatures, 0), MATCH($A2, RoadmapDataProjects, 0))), "")</calculatedColumnFormula>
    </tableColumn>
    <tableColumn id="37" xr3:uid="{3B6DAB28-C3A8-470E-AE4C-4336CFA0E838}" name="     SFC125" dataDxfId="242">
      <calculatedColumnFormula>_xlfn.IFNA(IF(INDEX(RoadmapData, MATCH(TRIM(CF$1), RoadmapDataFeatures, 0), MATCH($A2, RoadmapDataProjects, 0)) = "-", "-", INDEX(RoadmapData, MATCH(TRIM(CF$1), RoadmapDataFeatures, 0), MATCH($A2, RoadmapDataProjects, 0))), "")</calculatedColumnFormula>
    </tableColumn>
    <tableColumn id="38" xr3:uid="{8854F8C9-08C9-4F86-8245-8E8592DE3C01}" name="     SFC126" dataDxfId="241">
      <calculatedColumnFormula>_xlfn.IFNA(IF(INDEX(RoadmapData, MATCH(TRIM(CG$1), RoadmapDataFeatures, 0), MATCH($A2, RoadmapDataProjects, 0)) = "-", "-", INDEX(RoadmapData, MATCH(TRIM(CG$1), RoadmapDataFeatures, 0), MATCH($A2, RoadmapDataProjects, 0))), "")</calculatedColumnFormula>
    </tableColumn>
    <tableColumn id="39" xr3:uid="{B2BBC6D0-D39F-4CDE-9080-5EE215EEDA0F}" name="     SFC127" dataDxfId="240">
      <calculatedColumnFormula>_xlfn.IFNA(IF(INDEX(RoadmapData, MATCH(TRIM(CH$1), RoadmapDataFeatures, 0), MATCH($A2, RoadmapDataProjects, 0)) = "-", "-", INDEX(RoadmapData, MATCH(TRIM(CH$1), RoadmapDataFeatures, 0), MATCH($A2, RoadmapDataProjects, 0))), "")</calculatedColumnFormula>
    </tableColumn>
    <tableColumn id="40" xr3:uid="{E28E182C-E023-4AD5-8840-0A05FDAF8903}" name="     SFC128" dataDxfId="239">
      <calculatedColumnFormula>_xlfn.IFNA(IF(INDEX(RoadmapData, MATCH(TRIM(CI$1), RoadmapDataFeatures, 0), MATCH($A2, RoadmapDataProjects, 0)) = "-", "-", INDEX(RoadmapData, MATCH(TRIM(CI$1), RoadmapDataFeatures, 0), MATCH($A2, RoadmapDataProjects, 0))), "")</calculatedColumnFormula>
    </tableColumn>
    <tableColumn id="41" xr3:uid="{8147F8BA-780D-4B2C-8A7C-0FCBEA84646D}" name="     SFC129" dataDxfId="238">
      <calculatedColumnFormula>_xlfn.IFNA(IF(INDEX(RoadmapData, MATCH(TRIM(CJ$1), RoadmapDataFeatures, 0), MATCH($A2, RoadmapDataProjects, 0)) = "-", "-", INDEX(RoadmapData, MATCH(TRIM(CJ$1), RoadmapDataFeatures, 0), MATCH($A2, RoadmapDataProjects, 0))), "")</calculatedColumnFormula>
    </tableColumn>
    <tableColumn id="42" xr3:uid="{F3E7C25D-6D47-441E-B666-CE04AF511BEE}" name="     SFC130" dataDxfId="237">
      <calculatedColumnFormula>_xlfn.IFNA(IF(INDEX(RoadmapData, MATCH(TRIM(CK$1), RoadmapDataFeatures, 0), MATCH($A2, RoadmapDataProjects, 0)) = "-", "-", INDEX(RoadmapData, MATCH(TRIM(CK$1), RoadmapDataFeatures, 0), MATCH($A2, RoadmapDataProjects, 0))), "")</calculatedColumnFormula>
    </tableColumn>
    <tableColumn id="43" xr3:uid="{633AFB8C-161C-4AB3-B04C-4F8AED66DB46}" name="     SFC131" dataDxfId="236">
      <calculatedColumnFormula>_xlfn.IFNA(IF(INDEX(RoadmapData, MATCH(TRIM(CL$1), RoadmapDataFeatures, 0), MATCH($A2, RoadmapDataProjects, 0)) = "-", "-", INDEX(RoadmapData, MATCH(TRIM(CL$1), RoadmapDataFeatures, 0), MATCH($A2, RoadmapDataProjects, 0))), "")</calculatedColumnFormula>
    </tableColumn>
    <tableColumn id="44" xr3:uid="{1F3BC5F4-0A8F-4CA7-980F-80288437E73B}" name="     SFC132" dataDxfId="235">
      <calculatedColumnFormula>_xlfn.IFNA(IF(INDEX(RoadmapData, MATCH(TRIM(CM$1), RoadmapDataFeatures, 0), MATCH($A2, RoadmapDataProjects, 0)) = "-", "-", INDEX(RoadmapData, MATCH(TRIM(CM$1), RoadmapDataFeatures, 0), MATCH($A2, RoadmapDataProjects, 0))), "")</calculatedColumnFormula>
    </tableColumn>
    <tableColumn id="45" xr3:uid="{6A5C288A-9E4C-4A27-9491-0B75B706E6CC}" name="     SFC133" dataDxfId="234">
      <calculatedColumnFormula>_xlfn.IFNA(IF(INDEX(RoadmapData, MATCH(TRIM(CN$1), RoadmapDataFeatures, 0), MATCH($A2, RoadmapDataProjects, 0)) = "-", "-", INDEX(RoadmapData, MATCH(TRIM(CN$1), RoadmapDataFeatures, 0), MATCH($A2, RoadmapDataProjects, 0))), "")</calculatedColumnFormula>
    </tableColumn>
    <tableColumn id="46" xr3:uid="{8B0896FC-80B7-4B17-A2D3-2FD63078DFB0}" name="     SFC134" dataDxfId="233">
      <calculatedColumnFormula>_xlfn.IFNA(IF(INDEX(RoadmapData, MATCH(TRIM(CO$1), RoadmapDataFeatures, 0), MATCH($A2, RoadmapDataProjects, 0)) = "-", "-", INDEX(RoadmapData, MATCH(TRIM(CO$1), RoadmapDataFeatures, 0), MATCH($A2, RoadmapDataProjects, 0))), "")</calculatedColumnFormula>
    </tableColumn>
    <tableColumn id="47" xr3:uid="{578FAB13-C5B9-43CD-BC29-DA8EDE5A672E}" name="     SFC135" dataDxfId="232">
      <calculatedColumnFormula>_xlfn.IFNA(IF(INDEX(RoadmapData, MATCH(TRIM(CP$1), RoadmapDataFeatures, 0), MATCH($A2, RoadmapDataProjects, 0)) = "-", "-", INDEX(RoadmapData, MATCH(TRIM(CP$1), RoadmapDataFeatures, 0), MATCH($A2, RoadmapDataProjects, 0))), "")</calculatedColumnFormula>
    </tableColumn>
    <tableColumn id="48" xr3:uid="{C5ADC274-9593-401C-9437-E1689C67BF25}" name="     SFC136" dataDxfId="231">
      <calculatedColumnFormula>_xlfn.IFNA(IF(INDEX(RoadmapData, MATCH(TRIM(CQ$1), RoadmapDataFeatures, 0), MATCH($A2, RoadmapDataProjects, 0)) = "-", "-", INDEX(RoadmapData, MATCH(TRIM(CQ$1), RoadmapDataFeatures, 0), MATCH($A2, RoadmapDataProjects, 0))), "")</calculatedColumnFormula>
    </tableColumn>
    <tableColumn id="49" xr3:uid="{13B7E566-2EDF-42B8-89C7-FCF1426CE3EE}" name="     SFC137" dataDxfId="230">
      <calculatedColumnFormula>_xlfn.IFNA(IF(INDEX(RoadmapData, MATCH(TRIM(CR$1), RoadmapDataFeatures, 0), MATCH($A2, RoadmapDataProjects, 0)) = "-", "-", INDEX(RoadmapData, MATCH(TRIM(CR$1), RoadmapDataFeatures, 0), MATCH($A2, RoadmapDataProjects, 0))), "")</calculatedColumnFormula>
    </tableColumn>
    <tableColumn id="50" xr3:uid="{C41861B6-84B6-4D34-AF5B-0DB5A15646B4}" name="     SFC138" dataDxfId="229">
      <calculatedColumnFormula>_xlfn.IFNA(IF(INDEX(RoadmapData, MATCH(TRIM(CS$1), RoadmapDataFeatures, 0), MATCH($A2, RoadmapDataProjects, 0)) = "-", "-", INDEX(RoadmapData, MATCH(TRIM(CS$1), RoadmapDataFeatures, 0), MATCH($A2, RoadmapDataProjects, 0))), "")</calculatedColumnFormula>
    </tableColumn>
    <tableColumn id="51" xr3:uid="{A338068D-3319-4784-A880-AF95C6307C2E}" name="     SFC139" dataDxfId="228">
      <calculatedColumnFormula>_xlfn.IFNA(IF(INDEX(RoadmapData, MATCH(TRIM(CT$1), RoadmapDataFeatures, 0), MATCH($A2, RoadmapDataProjects, 0)) = "-", "-", INDEX(RoadmapData, MATCH(TRIM(CT$1), RoadmapDataFeatures, 0), MATCH($A2, RoadmapDataProjects, 0))), "")</calculatedColumnFormula>
    </tableColumn>
    <tableColumn id="52" xr3:uid="{F4FCE8C9-B5FA-4944-A0F4-6D0ADE244D7B}" name="     SFC140" dataDxfId="227">
      <calculatedColumnFormula>_xlfn.IFNA(IF(INDEX(RoadmapData, MATCH(TRIM(CU$1), RoadmapDataFeatures, 0), MATCH($A2, RoadmapDataProjects, 0)) = "-", "-", INDEX(RoadmapData, MATCH(TRIM(CU$1), RoadmapDataFeatures, 0), MATCH($A2, RoadmapDataProjects, 0))), "")</calculatedColumnFormula>
    </tableColumn>
    <tableColumn id="53" xr3:uid="{70459DCD-EBC6-43FA-B322-F65D544B65A3}" name="     SFC141" dataDxfId="226">
      <calculatedColumnFormula>_xlfn.IFNA(IF(INDEX(RoadmapData, MATCH(TRIM(CV$1), RoadmapDataFeatures, 0), MATCH($A2, RoadmapDataProjects, 0)) = "-", "-", INDEX(RoadmapData, MATCH(TRIM(CV$1), RoadmapDataFeatures, 0), MATCH($A2, RoadmapDataProjects, 0))), "")</calculatedColumnFormula>
    </tableColumn>
    <tableColumn id="54" xr3:uid="{E63BCFDF-4566-4D6E-8C76-AA539536B2F5}" name="     SFC142" dataDxfId="225">
      <calculatedColumnFormula>_xlfn.IFNA(IF(INDEX(RoadmapData, MATCH(TRIM(CW$1), RoadmapDataFeatures, 0), MATCH($A2, RoadmapDataProjects, 0)) = "-", "-", INDEX(RoadmapData, MATCH(TRIM(CW$1), RoadmapDataFeatures, 0), MATCH($A2, RoadmapDataProjects, 0))), "")</calculatedColumnFormula>
    </tableColumn>
    <tableColumn id="55" xr3:uid="{A7BA9E18-522B-48DE-BA36-66340A955617}" name="     SFC143" dataDxfId="224">
      <calculatedColumnFormula>_xlfn.IFNA(IF(INDEX(RoadmapData, MATCH(TRIM(CX$1), RoadmapDataFeatures, 0), MATCH($A2, RoadmapDataProjects, 0)) = "-", "-", INDEX(RoadmapData, MATCH(TRIM(CX$1), RoadmapDataFeatures, 0), MATCH($A2, RoadmapDataProjects, 0))), "")</calculatedColumnFormula>
    </tableColumn>
    <tableColumn id="56" xr3:uid="{E7938AD3-BE11-4CC2-8B4F-4814BF35912F}" name="     SFC144" dataDxfId="223">
      <calculatedColumnFormula>_xlfn.IFNA(IF(INDEX(RoadmapData, MATCH(TRIM(CY$1), RoadmapDataFeatures, 0), MATCH($A2, RoadmapDataProjects, 0)) = "-", "-", INDEX(RoadmapData, MATCH(TRIM(CY$1), RoadmapDataFeatures, 0), MATCH($A2, RoadmapDataProjects, 0))), "")</calculatedColumnFormula>
    </tableColumn>
    <tableColumn id="57" xr3:uid="{84FC1CED-AD99-49E6-BA14-BAFA6173F4A8}" name="     SFC145" dataDxfId="222">
      <calculatedColumnFormula>_xlfn.IFNA(IF(INDEX(RoadmapData, MATCH(TRIM(CZ$1), RoadmapDataFeatures, 0), MATCH($A2, RoadmapDataProjects, 0)) = "-", "-", INDEX(RoadmapData, MATCH(TRIM(CZ$1), RoadmapDataFeatures, 0), MATCH($A2, RoadmapDataProjects, 0))), "")</calculatedColumnFormula>
    </tableColumn>
    <tableColumn id="82" xr3:uid="{2BB61C41-4318-4C96-ACA7-A761019839D6}" name="     Compliance/Regulation" dataDxfId="221"/>
    <tableColumn id="59" xr3:uid="{A425E5AD-2C55-460F-A146-CF4756AA96C5}" name="     ASPICE (Level)" dataDxfId="220"/>
    <tableColumn id="85" xr3:uid="{06FD7994-C2FA-418D-8F77-B7887E7765A1}" name="     ASPICE (Version)" dataDxfId="219"/>
    <tableColumn id="88" xr3:uid="{E9A81FEF-91F6-4B12-9C11-A7F9D02CFD7D}" name="     ISO 26262 (Level)" dataDxfId="218"/>
    <tableColumn id="84" xr3:uid="{67D02E37-23C2-45C3-BE64-1DED7B6D8D81}" name="     ISO 26262 (Version)" dataDxfId="217"/>
    <tableColumn id="89" xr3:uid="{08A6EC4E-4450-47EE-8A86-AAEB989EDAFA}" name="     ISO 21448 (SOTIF)" dataDxfId="216"/>
    <tableColumn id="83" xr3:uid="{9ED0D9A8-8786-4768-85BC-C517A44DEBD8}" name="     ISO 21434 (Cyber Sec)" dataDxfId="215"/>
    <tableColumn id="92" xr3:uid="{27D29298-5C27-473A-9484-718B51DFEBEC}" name="     NCAP '23" dataDxfId="214"/>
    <tableColumn id="77" xr3:uid="{97C975C0-E9D3-4CBE-8A06-5746EFA6DB6B}" name="     NCAP '26" dataDxfId="213"/>
    <tableColumn id="76" xr3:uid="{CE86E19C-1FA3-4F97-8230-94E2BEBB6BAB}" name="     NCAP '29" dataDxfId="212"/>
    <tableColumn id="78" xr3:uid="{7286853B-7622-4F71-B382-B5788CBF18BC}" name="     GSR" dataDxfId="211"/>
    <tableColumn id="91" xr3:uid="{C284D0A4-2CC6-4A74-9D15-E3908A3A7845}" name="     GSR2" dataDxfId="210"/>
    <tableColumn id="90" xr3:uid="{C680AC9A-4419-4EA6-9150-754B0C26DB36}" name="     GB/T" dataDxfId="209"/>
    <tableColumn id="98" xr3:uid="{F4D0D6B6-269A-4A3D-A9B1-F707EC3D1BFA}" name="     Optical/Package Location" dataDxfId="208"/>
    <tableColumn id="58" xr3:uid="{2DA86880-6F2B-409C-BD46-E04C6D4D3932}" name="     Frontal" dataDxfId="207"/>
    <tableColumn id="60" xr3:uid="{5D904D48-6C68-4F81-8333-E938DE828F73}" name="     Offset High" dataDxfId="206"/>
    <tableColumn id="16436" xr3:uid="{50F26E6B-7FF5-46DB-8DC6-204D4E54AD82}" name="     Offset Low" dataDxfId="205"/>
    <tableColumn id="61" xr3:uid="{F4133654-8802-43E9-8B40-0C62C91782BA}" name="     Overhead" dataDxfId="204"/>
    <tableColumn id="99" xr3:uid="{255CF249-23C5-4708-9EA2-7220073C9C6B}" name="     Fusion" dataDxfId="203"/>
    <tableColumn id="79" xr3:uid="{7C0527E6-3FE7-4571-A4F0-5D31D8547F45}" name="     Camera Rotation" dataDxfId="202"/>
    <tableColumn id="80" xr3:uid="{DC488EA9-A357-4989-8DE9-763F54041943}" name="     OMS/DMS/Both" dataDxfId="201"/>
    <tableColumn id="112" xr3:uid="{21BD70DE-5F1A-427F-A93A-C0BFDE58E7E6}" name="     OMSiQ-LOW" dataDxfId="200"/>
    <tableColumn id="113" xr3:uid="{B01A43AA-CA94-400C-93BD-7FADF7145965}" name="     OMSiQ-MID" dataDxfId="199"/>
    <tableColumn id="114" xr3:uid="{EE62EB90-F9EE-4DF0-98FF-2F4023219F1F}" name="     OMSiQ-HIGH" dataDxfId="198"/>
    <tableColumn id="115" xr3:uid="{C6844FB5-82E2-47AC-BBD3-2538A17E95D6}" name="     Bright Pupil" dataDxfId="197"/>
    <tableColumn id="116" xr3:uid="{46C68F19-DC6B-49C1-8E41-62279B62DFF7}" name="     Dark Pupil" dataDxfId="196"/>
    <tableColumn id="107" xr3:uid="{99734F65-DD5D-47D6-A87C-4791F63AF1DF}" name="     Smart Bright Pupil" dataDxfId="195"/>
    <tableColumn id="108" xr3:uid="{AF5C0BD1-891A-4586-83B9-D66F03438FC8}" name="     NFOV" dataDxfId="194"/>
    <tableColumn id="109" xr3:uid="{EE78DBC6-2278-4698-8F66-B43FCD6C73D1}" name="     WFOV" dataDxfId="193"/>
    <tableColumn id="87" xr3:uid="{97CF0CA2-24AB-4EF8-B35D-5E2733E07DF6}" name="     Seating Positions" dataDxfId="192"/>
    <tableColumn id="100" xr3:uid="{F3B20AD4-D6EB-4D34-9E6A-9F89E3BA4094}" name="     SoC\Accelerator" dataDxfId="191"/>
    <tableColumn id="62" xr3:uid="{ECCF1BAC-7CD6-4043-BCE6-9B6EAE4C3C07}" name="     Ti Sitara" dataDxfId="190"/>
    <tableColumn id="94" xr3:uid="{9D15B768-F735-4ECA-9CD5-E58B49E62CFD}" name="     Ti TDA4 Entry" dataDxfId="189"/>
    <tableColumn id="63" xr3:uid="{97E72BA5-2F30-446C-A703-13D989BF978E}" name="     Ti TDA4 Low" dataDxfId="188"/>
    <tableColumn id="95" xr3:uid="{D0C2F214-3CB3-434E-996B-48E56B2A1A8E}" name="     Ti TDA4 Mid" dataDxfId="187"/>
    <tableColumn id="96" xr3:uid="{CCEE380E-85C7-4FE9-B946-F0A0DFBAFF38}" name="     Ti TDA4 High" dataDxfId="186"/>
    <tableColumn id="86" xr3:uid="{3C3856D5-37FA-44FF-AFB7-4FF1450890DF}" name="     AMD Ultrascale Zync ZU1" dataDxfId="185"/>
    <tableColumn id="64" xr3:uid="{476FF3CE-5F60-4ABF-944D-4C41A6833870}" name="     QCM SA81xx" dataDxfId="184"/>
    <tableColumn id="65" xr3:uid="{91F4DE0B-CD14-4AB0-B491-51AD153646FA}" name="     QCM SA86xx" dataDxfId="183"/>
    <tableColumn id="93" xr3:uid="{B1D85249-78E3-4EA1-947D-D368C50CD03F}" name="     Renesas R-Car V4H" dataDxfId="182"/>
    <tableColumn id="66" xr3:uid="{3AE833D7-2CE4-4512-B073-24275E65CA72}" name="     FDM Occula 8.0" dataDxfId="181"/>
    <tableColumn id="67" xr3:uid="{F4742FA7-8A4C-4893-8AC8-0D3671D23A1F}" name="     FDM Occula 8.2" dataDxfId="180"/>
    <tableColumn id="68" xr3:uid="{CF67B3D2-B24D-4570-B055-125778FE33EB}" name="     FDM Occula 8.3" dataDxfId="179"/>
    <tableColumn id="69" xr3:uid="{6C987B9C-8096-411C-B74A-D8CC8F644C2F}" name="     OV OAX4600" dataDxfId="178"/>
    <tableColumn id="70" xr3:uid="{9592DCE5-C13A-411B-BD6E-8B7EB346E720}" name="     Ambarella CV25" dataDxfId="177"/>
    <tableColumn id="71" xr3:uid="{817A6134-9032-441B-A70E-BB82B317F4EF}" name="     x86/64" dataDxfId="176"/>
    <tableColumn id="72" xr3:uid="{928EF04C-B913-4D4A-A21B-17E73ACD4925}" name="     eDME" dataDxfId="175"/>
    <tableColumn id="74" xr3:uid="{4E2D32A4-8198-4D89-9250-A26A59970883}" name="     TI Sitara 2 TOPS 2 GB RAM" dataDxfId="174"/>
    <tableColumn id="16437" xr3:uid="{A980DA3E-1C82-48F2-B986-42391740FA43}" name="     TI Sitara 1 TOPS 8 GB RAM" dataDxfId="173"/>
    <tableColumn id="75" xr3:uid="{EB26BDC5-3260-42D6-8BB6-AFB4862F4D37}" name="     Renesas R-Caar V4H" dataDxfId="172"/>
    <tableColumn id="16386" xr3:uid="{1C16196F-14EC-4C78-8A0E-985E7A5ACC2C}" name="     Operating System" dataDxfId="171"/>
    <tableColumn id="16387" xr3:uid="{5D7EDC0B-95DA-4376-BEEC-D53E64C1A728}" name="     Linux" dataDxfId="170"/>
    <tableColumn id="16438" xr3:uid="{AE616D8F-CCA6-43E0-B737-685F405B0776}" name="     QNX" dataDxfId="169"/>
    <tableColumn id="16443" xr3:uid="{ADCA22A9-E00A-4D22-B51D-99C3090333C9}" name="     Pike OS" dataDxfId="168"/>
    <tableColumn id="16442" xr3:uid="{86E60300-6D2C-42B2-B7A8-B1CDA369B8E9}" name="     Android" dataDxfId="167"/>
    <tableColumn id="16441" xr3:uid="{D837B4AD-E7D1-4B54-B5DD-975B340C582A}" name="     N/A" dataDxfId="166"/>
    <tableColumn id="16440" xr3:uid="{7DF851E0-5F19-40F1-BD56-5489C0D4CDA5}" name="     GHS Integrity" dataDxfId="165"/>
    <tableColumn id="16439" xr3:uid="{8915B8CA-D944-4C71-9BEF-AC1B5A1B4822}" name="     Windows" dataDxfId="164"/>
    <tableColumn id="16388" xr3:uid="{5CC75C75-626B-451F-8AFE-CDAFC43257BC}" name="     PetaLinux" dataDxfId="163"/>
  </tableColumns>
  <tableStyleInfo name="TableStyleMedium4"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64FF435-732A-4A02-A914-6AD92B39DD0A}" name="Table4" displayName="Table4" ref="A1:CV7" totalsRowShown="0" headerRowDxfId="162" dataDxfId="161">
  <autoFilter ref="A1:CV7" xr:uid="{364FF435-732A-4A02-A914-6AD92B39DD0A}"/>
  <tableColumns count="100">
    <tableColumn id="1" xr3:uid="{E6EE9F48-A8E0-4396-9E1B-C22EC025EFD7}" name="Request" dataDxfId="160"/>
    <tableColumn id="2" xr3:uid="{81317C62-B48C-4F88-A697-D47D037D2E61}" name="     COG-DEL-INATTENTIVE" dataDxfId="159">
      <calculatedColumnFormula>COUNTIF(INDEX('Project Configurations'!$E$1:$CZ$220, 0, MATCH(B$1, 'Project Configurations'!$E$1:$CZ$1, 0)), $A2)</calculatedColumnFormula>
    </tableColumn>
    <tableColumn id="3" xr3:uid="{C7985B59-C7B9-417D-B78A-3FD05327B9FC}" name="     COG-DEL-DISENGAGED" dataDxfId="158">
      <calculatedColumnFormula>COUNTIF(INDEX('Project Configurations'!$E$1:$CZ$220, 0, MATCH(C$1, 'Project Configurations'!$E$1:$CZ$1, 0)), $A2)</calculatedColumnFormula>
    </tableColumn>
    <tableColumn id="4" xr3:uid="{FB30721F-B42B-4693-A2DF-6C069ECFD278}" name="     COG-DEL-DISTRACTED" dataDxfId="157">
      <calculatedColumnFormula>COUNTIF(INDEX('Project Configurations'!$E$1:$CZ$220, 0, MATCH(D$1, 'Project Configurations'!$E$1:$CZ$1, 0)), $A2)</calculatedColumnFormula>
    </tableColumn>
    <tableColumn id="5" xr3:uid="{C2090B5F-062D-426B-AC43-AA936C450D2B}" name="     COG-DIL-DROWSY" dataDxfId="156">
      <calculatedColumnFormula>COUNTIF(INDEX('Project Configurations'!$E$1:$CZ$220, 0, MATCH(E$1, 'Project Configurations'!$E$1:$CZ$1, 0)), $A2)</calculatedColumnFormula>
    </tableColumn>
    <tableColumn id="6" xr3:uid="{7664E63D-B252-4FCC-8C21-8ABC477BCA86}" name="     COG-DIL-MICROSLEEPING" dataDxfId="155">
      <calculatedColumnFormula>COUNTIF(INDEX('Project Configurations'!$E$1:$CZ$220, 0, MATCH(F$1, 'Project Configurations'!$E$1:$CZ$1, 0)), $A2)</calculatedColumnFormula>
    </tableColumn>
    <tableColumn id="7" xr3:uid="{0AB3E0C5-558F-43AE-A097-32D3C81CCE86}" name="     COG-DIL-SLEEPING" dataDxfId="154">
      <calculatedColumnFormula>COUNTIF(INDEX('Project Configurations'!$E$1:$CZ$220, 0, MATCH(G$1, 'Project Configurations'!$E$1:$CZ$1, 0)), $A2)</calculatedColumnFormula>
    </tableColumn>
    <tableColumn id="8" xr3:uid="{8B361AC0-74B8-4B17-A957-CCF0CDEF5B78}" name="     VIS-GESTURE-HEAD" dataDxfId="153">
      <calculatedColumnFormula>COUNTIF(INDEX('Project Configurations'!$E$1:$CZ$220, 0, MATCH(H$1, 'Project Configurations'!$E$1:$CZ$1, 0)), $A2)</calculatedColumnFormula>
    </tableColumn>
    <tableColumn id="9" xr3:uid="{005F50D5-FF4C-4997-B86E-965A0C9B6E28}" name="     VIS-ACTIVITY-AHP" dataDxfId="152">
      <calculatedColumnFormula>COUNTIF(INDEX('Project Configurations'!$E$1:$CZ$220, 0, MATCH(I$1, 'Project Configurations'!$E$1:$CZ$1, 0)), $A2)</calculatedColumnFormula>
    </tableColumn>
    <tableColumn id="10" xr3:uid="{D0A82123-163D-44AB-9CE5-397EEE726EA7}" name="     VIS-ACTIVITY-HANDPOS" dataDxfId="151">
      <calculatedColumnFormula>COUNTIF(INDEX('Project Configurations'!$E$1:$CZ$220, 0, MATCH(J$1, 'Project Configurations'!$E$1:$CZ$1, 0)), $A2)</calculatedColumnFormula>
    </tableColumn>
    <tableColumn id="11" xr3:uid="{3F7FC0C1-C195-4B36-833C-A651C21128A4}" name="     VIS-ACTIVITY-HELDITEM" dataDxfId="150">
      <calculatedColumnFormula>COUNTIF(INDEX('Project Configurations'!$E$1:$CZ$220, 0, MATCH(K$1, 'Project Configurations'!$E$1:$CZ$1, 0)), $A2)</calculatedColumnFormula>
    </tableColumn>
    <tableColumn id="12" xr3:uid="{91021F41-772F-494A-BE44-B06C73FB10EB}" name="     VIS-ACTIVITY-OOP" dataDxfId="149">
      <calculatedColumnFormula>COUNTIF(INDEX('Project Configurations'!$E$1:$CZ$220, 0, MATCH(L$1, 'Project Configurations'!$E$1:$CZ$1, 0)), $A2)</calculatedColumnFormula>
    </tableColumn>
    <tableColumn id="13" xr3:uid="{DCBDBF55-DF56-402C-9245-E23A70ED0944}" name="     VIS-MOUTH-SPEAK" dataDxfId="148">
      <calculatedColumnFormula>COUNTIF(INDEX('Project Configurations'!$E$1:$CZ$220, 0, MATCH(M$1, 'Project Configurations'!$E$1:$CZ$1, 0)), $A2)</calculatedColumnFormula>
    </tableColumn>
    <tableColumn id="14" xr3:uid="{6FC1B6F6-7779-4D5E-B3F5-84E72487A209}" name="     VIS-MOUTH-LAUGH" dataDxfId="147">
      <calculatedColumnFormula>COUNTIF(INDEX('Project Configurations'!$E$1:$CZ$220, 0, MATCH(N$1, 'Project Configurations'!$E$1:$CZ$1, 0)), $A2)</calculatedColumnFormula>
    </tableColumn>
    <tableColumn id="15" xr3:uid="{0F79E57D-70BE-4276-8E87-2F5737ED7FA0}" name="     VIS-MOUTH-COUGH" dataDxfId="146">
      <calculatedColumnFormula>COUNTIF(INDEX('Project Configurations'!$E$1:$CZ$220, 0, MATCH(O$1, 'Project Configurations'!$E$1:$CZ$1, 0)), $A2)</calculatedColumnFormula>
    </tableColumn>
    <tableColumn id="16" xr3:uid="{13DB7EC5-54BC-470A-B4A5-386FAF507144}" name="     VIS-MOUTH-SNEEZE" dataDxfId="145">
      <calculatedColumnFormula>COUNTIF(INDEX('Project Configurations'!$E$1:$CZ$220, 0, MATCH(P$1, 'Project Configurations'!$E$1:$CZ$1, 0)), $A2)</calculatedColumnFormula>
    </tableColumn>
    <tableColumn id="17" xr3:uid="{C796B2B0-DB41-4642-9497-0173B3C5574C}" name="     VIS-MOUTH-YAWN" dataDxfId="144">
      <calculatedColumnFormula>COUNTIF(INDEX('Project Configurations'!$E$1:$CZ$220, 0, MATCH(Q$1, 'Project Configurations'!$E$1:$CZ$1, 0)), $A2)</calculatedColumnFormula>
    </tableColumn>
    <tableColumn id="18" xr3:uid="{A3598512-50FB-4DCA-8887-BC8831980B14}" name="     VIS-SMOKE" dataDxfId="143">
      <calculatedColumnFormula>COUNTIF(INDEX('Project Configurations'!$E$1:$CZ$220, 0, MATCH(R$1, 'Project Configurations'!$E$1:$CZ$1, 0)), $A2)</calculatedColumnFormula>
    </tableColumn>
    <tableColumn id="19" xr3:uid="{A1BF2F9C-FC73-4DFE-84E0-CCDB86B0F78D}" name="     VIS-PHONE" dataDxfId="142">
      <calculatedColumnFormula>COUNTIF(INDEX('Project Configurations'!$E$1:$CZ$220, 0, MATCH(S$1, 'Project Configurations'!$E$1:$CZ$1, 0)), $A2)</calculatedColumnFormula>
    </tableColumn>
    <tableColumn id="20" xr3:uid="{C7AD472D-2D31-40DF-AD85-9689079BADFD}" name="     VIS-DAS-COARSE" dataDxfId="141">
      <calculatedColumnFormula>COUNTIF(INDEX('Project Configurations'!$E$1:$CZ$220, 0, MATCH(T$1, 'Project Configurations'!$E$1:$CZ$1, 0)), $A2)</calculatedColumnFormula>
    </tableColumn>
    <tableColumn id="21" xr3:uid="{4DAA2AB1-1E06-4588-803B-A57823B22706}" name="     VIS-DAS-FINE" dataDxfId="140">
      <calculatedColumnFormula>COUNTIF(INDEX('Project Configurations'!$E$1:$CZ$220, 0, MATCH(U$1, 'Project Configurations'!$E$1:$CZ$1, 0)), $A2)</calculatedColumnFormula>
    </tableColumn>
    <tableColumn id="22" xr3:uid="{6EC4332F-017C-4C47-A803-3ED2E37D4EA0}" name="     VIS-DAS-RAY" dataDxfId="139">
      <calculatedColumnFormula>COUNTIF(INDEX('Project Configurations'!$E$1:$CZ$220, 0, MATCH(V$1, 'Project Configurations'!$E$1:$CZ$1, 0)), $A2)</calculatedColumnFormula>
    </tableColumn>
    <tableColumn id="23" xr3:uid="{AD016C06-11BD-4980-A6D4-7C5166FBEAA0}" name="     VIS-DAS-POSTURE" dataDxfId="138">
      <calculatedColumnFormula>COUNTIF(INDEX('Project Configurations'!$E$1:$CZ$220, 0, MATCH(W$1, 'Project Configurations'!$E$1:$CZ$1, 0)), $A2)</calculatedColumnFormula>
    </tableColumn>
    <tableColumn id="24" xr3:uid="{D91F563D-B426-43A7-9B05-49A04F0244E7}" name="     VIS-FOD-FACE" dataDxfId="137">
      <calculatedColumnFormula>COUNTIF(INDEX('Project Configurations'!$E$1:$CZ$220, 0, MATCH(X$1, 'Project Configurations'!$E$1:$CZ$1, 0)), $A2)</calculatedColumnFormula>
    </tableColumn>
    <tableColumn id="25" xr3:uid="{858C7801-EABE-4337-A84C-9C75D911DACC}" name="     VIS-FOD-MASK" dataDxfId="136">
      <calculatedColumnFormula>COUNTIF(INDEX('Project Configurations'!$E$1:$CZ$220, 0, MATCH(Y$1, 'Project Configurations'!$E$1:$CZ$1, 0)), $A2)</calculatedColumnFormula>
    </tableColumn>
    <tableColumn id="26" xr3:uid="{4BBBC335-C55B-490C-9F78-AF5BE44A4206}" name="     VIS-FOD-EYEWEAR" dataDxfId="135">
      <calculatedColumnFormula>COUNTIF(INDEX('Project Configurations'!$E$1:$CZ$220, 0, MATCH(Z$1, 'Project Configurations'!$E$1:$CZ$1, 0)), $A2)</calculatedColumnFormula>
    </tableColumn>
    <tableColumn id="27" xr3:uid="{980E88CE-6A29-496B-8B44-213C8EB569CB}" name="     VIS-SOD-CHILDSEAT" dataDxfId="134">
      <calculatedColumnFormula>COUNTIF(INDEX('Project Configurations'!$E$1:$CZ$220, 0, MATCH(AA$1, 'Project Configurations'!$E$1:$CZ$1, 0)), $A2)</calculatedColumnFormula>
    </tableColumn>
    <tableColumn id="28" xr3:uid="{71673D09-B224-4054-A847-3342D783B1F0}" name="     VIS-SOD-SEATBELT" dataDxfId="133">
      <calculatedColumnFormula>COUNTIF(INDEX('Project Configurations'!$E$1:$CZ$220, 0, MATCH(AB$1, 'Project Configurations'!$E$1:$CZ$1, 0)), $A2)</calculatedColumnFormula>
    </tableColumn>
    <tableColumn id="29" xr3:uid="{4726BB5A-C7EB-484E-B6DD-1A95F73CFFF9}" name="     VIS-SOD-HEIGHT" dataDxfId="132">
      <calculatedColumnFormula>COUNTIF(INDEX('Project Configurations'!$E$1:$CZ$220, 0, MATCH(AC$1, 'Project Configurations'!$E$1:$CZ$1, 0)), $A2)</calculatedColumnFormula>
    </tableColumn>
    <tableColumn id="30" xr3:uid="{7B360643-400B-46B5-AE40-D1539116A45A}" name="     VIS-SOD-WEIGHT" dataDxfId="131">
      <calculatedColumnFormula>COUNTIF(INDEX('Project Configurations'!$E$1:$CZ$220, 0, MATCH(AD$1, 'Project Configurations'!$E$1:$CZ$1, 0)), $A2)</calculatedColumnFormula>
    </tableColumn>
    <tableColumn id="31" xr3:uid="{D1F4F8A7-1CB9-4811-AEB7-F81E5DE9D357}" name="     VIS-SOD-AGE" dataDxfId="130">
      <calculatedColumnFormula>COUNTIF(INDEX('Project Configurations'!$E$1:$CZ$220, 0, MATCH(AE$1, 'Project Configurations'!$E$1:$CZ$1, 0)), $A2)</calculatedColumnFormula>
    </tableColumn>
    <tableColumn id="32" xr3:uid="{CC5AA76D-137A-45E1-A7E2-BF05AF9D7E8E}" name="     VIS-SOD-GENDER" dataDxfId="129">
      <calculatedColumnFormula>COUNTIF(INDEX('Project Configurations'!$E$1:$CZ$220, 0, MATCH(AF$1, 'Project Configurations'!$E$1:$CZ$1, 0)), $A2)</calculatedColumnFormula>
    </tableColumn>
    <tableColumn id="33" xr3:uid="{D8B504E3-2D0F-4662-A2D7-0AC7B98296F0}" name="     VIS-SOD-PRESENCE-LOW" dataDxfId="128">
      <calculatedColumnFormula>COUNTIF(INDEX('Project Configurations'!$E$1:$CZ$220, 0, MATCH(AG$1, 'Project Configurations'!$E$1:$CZ$1, 0)), $A2)</calculatedColumnFormula>
    </tableColumn>
    <tableColumn id="34" xr3:uid="{628045C6-A5B6-4D95-AAB9-05F8D5FCCBFA}" name="     VIS-SOD-PRESENCE-HIGH" dataDxfId="127">
      <calculatedColumnFormula>COUNTIF(INDEX('Project Configurations'!$E$1:$CZ$220, 0, MATCH(AH$1, 'Project Configurations'!$E$1:$CZ$1, 0)), $A2)</calculatedColumnFormula>
    </tableColumn>
    <tableColumn id="35" xr3:uid="{FF3A2574-9B90-42E1-A0D7-0CEFAFD145D7}" name="     VIS-ID-RECOGNIZE-LOW" dataDxfId="126">
      <calculatedColumnFormula>COUNTIF(INDEX('Project Configurations'!$E$1:$CZ$220, 0, MATCH(AI$1, 'Project Configurations'!$E$1:$CZ$1, 0)), $A2)</calculatedColumnFormula>
    </tableColumn>
    <tableColumn id="36" xr3:uid="{5B46FB7D-A463-43F8-9F9F-1C9CEA2E41DB}" name="     VIS-ID-RECOGNIZE-HIGH" dataDxfId="125">
      <calculatedColumnFormula>COUNTIF(INDEX('Project Configurations'!$E$1:$CZ$220, 0, MATCH(AJ$1, 'Project Configurations'!$E$1:$CZ$1, 0)), $A2)</calculatedColumnFormula>
    </tableColumn>
    <tableColumn id="37" xr3:uid="{AA5A50B2-DF65-4C73-A95C-68238B325552}" name="     VIS-ID-CHANGE" dataDxfId="124">
      <calculatedColumnFormula>COUNTIF(INDEX('Project Configurations'!$E$1:$CZ$220, 0, MATCH(AK$1, 'Project Configurations'!$E$1:$CZ$1, 0)), $A2)</calculatedColumnFormula>
    </tableColumn>
    <tableColumn id="38" xr3:uid="{1A6934B5-AF0D-4DC8-A488-62DA3119D8E7}" name="     VIS-SPOOF" dataDxfId="123">
      <calculatedColumnFormula>COUNTIF(INDEX('Project Configurations'!$E$1:$CZ$220, 0, MATCH(AL$1, 'Project Configurations'!$E$1:$CZ$1, 0)), $A2)</calculatedColumnFormula>
    </tableColumn>
    <tableColumn id="39" xr3:uid="{C33A0126-717A-47F0-8EC9-133902A9D4EA}" name="     VIS-EXPR" dataDxfId="122">
      <calculatedColumnFormula>COUNTIF(INDEX('Project Configurations'!$E$1:$CZ$220, 0, MATCH(AM$1, 'Project Configurations'!$E$1:$CZ$1, 0)), $A2)</calculatedColumnFormula>
    </tableColumn>
    <tableColumn id="40" xr3:uid="{3AB20764-1E0D-4B3C-B42E-B6511D936666}" name="     CORE-BPT-COARSE" dataDxfId="121">
      <calculatedColumnFormula>COUNTIF(INDEX('Project Configurations'!$E$1:$CZ$220, 0, MATCH(AN$1, 'Project Configurations'!$E$1:$CZ$1, 0)), $A2)</calculatedColumnFormula>
    </tableColumn>
    <tableColumn id="41" xr3:uid="{840EB554-2913-42EF-A78F-FDD7DD368A55}" name="     CORE-BPT-FINE" dataDxfId="120">
      <calculatedColumnFormula>COUNTIF(INDEX('Project Configurations'!$E$1:$CZ$220, 0, MATCH(AO$1, 'Project Configurations'!$E$1:$CZ$1, 0)), $A2)</calculatedColumnFormula>
    </tableColumn>
    <tableColumn id="42" xr3:uid="{E7B42BCB-76E6-4C89-8C5D-5BB0C66A389B}" name="     CORE-DEPTH" dataDxfId="119">
      <calculatedColumnFormula>COUNTIF(INDEX('Project Configurations'!$E$1:$CZ$220, 0, MATCH(AP$1, 'Project Configurations'!$E$1:$CZ$1, 0)), $A2)</calculatedColumnFormula>
    </tableColumn>
    <tableColumn id="43" xr3:uid="{BB901810-7379-4BE5-B543-5A9CE89734DF}" name="     CORE-GET-GAZE" dataDxfId="118">
      <calculatedColumnFormula>COUNTIF(INDEX('Project Configurations'!$E$1:$CZ$220, 0, MATCH(AQ$1, 'Project Configurations'!$E$1:$CZ$1, 0)), $A2)</calculatedColumnFormula>
    </tableColumn>
    <tableColumn id="44" xr3:uid="{867E8391-EF78-461E-B49A-C2C9736303EB}" name="     CORE-GET-EYELID" dataDxfId="117">
      <calculatedColumnFormula>COUNTIF(INDEX('Project Configurations'!$E$1:$CZ$220, 0, MATCH(AR$1, 'Project Configurations'!$E$1:$CZ$1, 0)), $A2)</calculatedColumnFormula>
    </tableColumn>
    <tableColumn id="45" xr3:uid="{FB74E58B-CC3F-43A8-BAE8-90B796B2344B}" name="     CORE-HT-POSE" dataDxfId="116">
      <calculatedColumnFormula>COUNTIF(INDEX('Project Configurations'!$E$1:$CZ$220, 0, MATCH(AS$1, 'Project Configurations'!$E$1:$CZ$1, 0)), $A2)</calculatedColumnFormula>
    </tableColumn>
    <tableColumn id="46" xr3:uid="{7DF32357-05CE-42A5-AA0D-51C92CE649CB}" name="     CORE-HT-LANDMARKS" dataDxfId="115">
      <calculatedColumnFormula>COUNTIF(INDEX('Project Configurations'!$E$1:$CZ$220, 0, MATCH(AT$1, 'Project Configurations'!$E$1:$CZ$1, 0)), $A2)</calculatedColumnFormula>
    </tableColumn>
    <tableColumn id="47" xr3:uid="{6B22C276-D960-4CEC-8E47-C6E07919D671}" name="     CORE-ED" dataDxfId="114">
      <calculatedColumnFormula>COUNTIF(INDEX('Project Configurations'!$E$1:$CZ$220, 0, MATCH(AU$1, 'Project Configurations'!$E$1:$CZ$1, 0)), $A2)</calculatedColumnFormula>
    </tableColumn>
    <tableColumn id="48" xr3:uid="{9366DE7E-A876-48E5-B97E-DEA68440675F}" name="     CORE-AEC" dataDxfId="113">
      <calculatedColumnFormula>COUNTIF(INDEX('Project Configurations'!$E$1:$CZ$220, 0, MATCH(AV$1, 'Project Configurations'!$E$1:$CZ$1, 0)), $A2)</calculatedColumnFormula>
    </tableColumn>
    <tableColumn id="49" xr3:uid="{8D6C6A89-F332-441B-8C89-F64F0CCD6D5D}" name="     CORE-FD" dataDxfId="112">
      <calculatedColumnFormula>COUNTIF(INDEX('Project Configurations'!$E$1:$CZ$220, 0, MATCH(AW$1, 'Project Configurations'!$E$1:$CZ$1, 0)), $A2)</calculatedColumnFormula>
    </tableColumn>
    <tableColumn id="50" xr3:uid="{B88D2269-C881-46D0-8CDA-928D9EB9F500}" name="     CORE-MS" dataDxfId="111">
      <calculatedColumnFormula>COUNTIF(INDEX('Project Configurations'!$E$1:$CZ$220, 0, MATCH(AX$1, 'Project Configurations'!$E$1:$CZ$1, 0)), $A2)</calculatedColumnFormula>
    </tableColumn>
    <tableColumn id="51" xr3:uid="{161578BF-CE1E-4F03-84A7-B6BE4560636E}" name="     UTIL-CPOSE-CF" dataDxfId="110">
      <calculatedColumnFormula>COUNTIF(INDEX('Project Configurations'!$E$1:$CZ$220, 0, MATCH(AY$1, 'Project Configurations'!$E$1:$CZ$1, 0)), $A2)</calculatedColumnFormula>
    </tableColumn>
    <tableColumn id="52" xr3:uid="{3D6C9ABB-2D0C-466C-AEC6-AE5C08DF832C}" name="     UTIL-CPOSE-IMU" dataDxfId="109">
      <calculatedColumnFormula>COUNTIF(INDEX('Project Configurations'!$E$1:$CZ$220, 0, MATCH(AZ$1, 'Project Configurations'!$E$1:$CZ$1, 0)), $A2)</calculatedColumnFormula>
    </tableColumn>
    <tableColumn id="53" xr3:uid="{1D874B53-76B4-43FA-A717-74F5063D2CC8}" name="     UTIL-VIDEO" dataDxfId="108">
      <calculatedColumnFormula>COUNTIF(INDEX('Project Configurations'!$E$1:$CZ$220, 0, MATCH(BA$1, 'Project Configurations'!$E$1:$CZ$1, 0)), $A2)</calculatedColumnFormula>
    </tableColumn>
    <tableColumn id="54" xr3:uid="{DD97789D-DE90-42F6-90D3-0C01088A2128}" name="     UTIL-DIAG-STK" dataDxfId="107">
      <calculatedColumnFormula>COUNTIF(INDEX('Project Configurations'!$E$1:$CZ$220, 0, MATCH(BB$1, 'Project Configurations'!$E$1:$CZ$1, 0)), $A2)</calculatedColumnFormula>
    </tableColumn>
    <tableColumn id="55" xr3:uid="{FDCE4472-44D4-450F-97E7-C11EEA326587}" name="     UTIL-DIAG-LBD" dataDxfId="106">
      <calculatedColumnFormula>COUNTIF(INDEX('Project Configurations'!$E$1:$CZ$220, 0, MATCH(BC$1, 'Project Configurations'!$E$1:$CZ$1, 0)), $A2)</calculatedColumnFormula>
    </tableColumn>
    <tableColumn id="56" xr3:uid="{D6644977-96BF-4A18-B44B-C3C5E1961CFD}" name="     UTIL-DIAG-LIQ" dataDxfId="105">
      <calculatedColumnFormula>COUNTIF(INDEX('Project Configurations'!$E$1:$CZ$220, 0, MATCH(BD$1, 'Project Configurations'!$E$1:$CZ$1, 0)), $A2)</calculatedColumnFormula>
    </tableColumn>
    <tableColumn id="57" xr3:uid="{54DA2BB1-68BB-4B3C-9E47-AD9B4D5A21C3}" name="     UTIL-DIAG-COOA" dataDxfId="104">
      <calculatedColumnFormula>COUNTIF(INDEX('Project Configurations'!$E$1:$CZ$220, 0, MATCH(BE$1, 'Project Configurations'!$E$1:$CZ$1, 0)), $A2)</calculatedColumnFormula>
    </tableColumn>
    <tableColumn id="58" xr3:uid="{E59E7B3F-23F4-4584-B477-BAA187EDE3A2}" name="     COG-DIL-INTOX" dataDxfId="103">
      <calculatedColumnFormula>COUNTIF(INDEX('Project Configurations'!$E$1:$CZ$220, 0, MATCH(BF$1, 'Project Configurations'!$E$1:$CZ$1, 0)), $A2)</calculatedColumnFormula>
    </tableColumn>
    <tableColumn id="59" xr3:uid="{784CFD22-38D3-47F3-8982-AB3D5D3DFEA9}" name="     COG-ES" dataDxfId="102">
      <calculatedColumnFormula>COUNTIF(INDEX('Project Configurations'!$E$1:$CZ$220, 0, MATCH(BG$1, 'Project Configurations'!$E$1:$CZ$1, 0)), $A2)</calculatedColumnFormula>
    </tableColumn>
    <tableColumn id="60" xr3:uid="{10134A01-FBDE-4C51-90BE-918D2BBAEEBC}" name="     COG-OVERLOAD" dataDxfId="101">
      <calculatedColumnFormula>COUNTIF(INDEX('Project Configurations'!$E$1:$CZ$220, 0, MATCH(BH$1, 'Project Configurations'!$E$1:$CZ$1, 0)), $A2)</calculatedColumnFormula>
    </tableColumn>
    <tableColumn id="61" xr3:uid="{1DEF5BF7-7601-4FDE-8FFE-06AB1FEA3124}" name="     VIS-MOUTH-SPEECH" dataDxfId="100">
      <calculatedColumnFormula>COUNTIF(INDEX('Project Configurations'!$E$1:$CZ$220, 0, MATCH(BI$1, 'Project Configurations'!$E$1:$CZ$1, 0)), $A2)</calculatedColumnFormula>
    </tableColumn>
    <tableColumn id="62" xr3:uid="{F5176523-8304-47A0-A6F2-47CFFE4C1AF3}" name="     VIS-SOD-HEALTH-PREG" dataDxfId="99">
      <calculatedColumnFormula>COUNTIF(INDEX('Project Configurations'!$E$1:$CZ$220, 0, MATCH(BJ$1, 'Project Configurations'!$E$1:$CZ$1, 0)), $A2)</calculatedColumnFormula>
    </tableColumn>
    <tableColumn id="63" xr3:uid="{2A042CB8-ABD8-4366-ADBE-039766E88BE5}" name="     VIS-CLOTHING" dataDxfId="98">
      <calculatedColumnFormula>COUNTIF(INDEX('Project Configurations'!$E$1:$CZ$220, 0, MATCH(BK$1, 'Project Configurations'!$E$1:$CZ$1, 0)), $A2)</calculatedColumnFormula>
    </tableColumn>
    <tableColumn id="64" xr3:uid="{B1305326-A165-4AE1-8E5B-66D538AB27C0}" name="     VIS-MOUTH-EATING-DRINKING" dataDxfId="97">
      <calculatedColumnFormula>COUNTIF(INDEX('Project Configurations'!$E$1:$CZ$220, 0, MATCH(BL$1, 'Project Configurations'!$E$1:$CZ$1, 0)), $A2)</calculatedColumnFormula>
    </tableColumn>
    <tableColumn id="65" xr3:uid="{F06C5CAD-8BC7-4BA1-BAC3-CE39E3703DE6}" name="     SFC109" dataDxfId="96">
      <calculatedColumnFormula>COUNTIF(INDEX('Project Configurations'!$E$1:$CZ$220, 0, MATCH(BM$1, 'Project Configurations'!$E$1:$CZ$1, 0)), $A2)</calculatedColumnFormula>
    </tableColumn>
    <tableColumn id="66" xr3:uid="{A0ACEFDF-4492-4E4E-9516-6547EA0E81CF}" name="     VIS-CABIN-OBJECT" dataDxfId="95">
      <calculatedColumnFormula>COUNTIF(INDEX('Project Configurations'!$E$1:$CZ$220, 0, MATCH(BN$1, 'Project Configurations'!$E$1:$CZ$1, 0)), $A2)</calculatedColumnFormula>
    </tableColumn>
    <tableColumn id="67" xr3:uid="{9CFDFD94-45A5-4891-A255-B91F0D254938}" name="     VIS-CABIN-STATE" dataDxfId="94">
      <calculatedColumnFormula>COUNTIF(INDEX('Project Configurations'!$E$1:$CZ$220, 0, MATCH(BO$1, 'Project Configurations'!$E$1:$CZ$1, 0)), $A2)</calculatedColumnFormula>
    </tableColumn>
    <tableColumn id="68" xr3:uid="{AA344F01-44C0-4F6D-821B-7B26B34B9250}" name="     VIS-SPOOF-NOVELTY" dataDxfId="93">
      <calculatedColumnFormula>COUNTIF(INDEX('Project Configurations'!$E$1:$CZ$220, 0, MATCH(BP$1, 'Project Configurations'!$E$1:$CZ$1, 0)), $A2)</calculatedColumnFormula>
    </tableColumn>
    <tableColumn id="69" xr3:uid="{715D421B-19F0-418A-9BC1-8946B79D2301}" name="     VIS-SOD-PETS" dataDxfId="92">
      <calculatedColumnFormula>COUNTIF(INDEX('Project Configurations'!$E$1:$CZ$220, 0, MATCH(BQ$1, 'Project Configurations'!$E$1:$CZ$1, 0)), $A2)</calculatedColumnFormula>
    </tableColumn>
    <tableColumn id="70" xr3:uid="{69527C04-DBF9-4A71-A360-213816DD79C5}" name="     VIS-SOD-CHILDSEAT-TYPE" dataDxfId="91">
      <calculatedColumnFormula>COUNTIF(INDEX('Project Configurations'!$E$1:$CZ$220, 0, MATCH(BR$1, 'Project Configurations'!$E$1:$CZ$1, 0)), $A2)</calculatedColumnFormula>
    </tableColumn>
    <tableColumn id="71" xr3:uid="{AFD36D31-1B6C-439E-9129-ABE381E8335F}" name="     SFC115" dataDxfId="90">
      <calculatedColumnFormula>COUNTIF(INDEX('Project Configurations'!$E$1:$CZ$220, 0, MATCH(BS$1, 'Project Configurations'!$E$1:$CZ$1, 0)), $A2)</calculatedColumnFormula>
    </tableColumn>
    <tableColumn id="72" xr3:uid="{B6CB24EB-DBB7-4D68-B69A-B0E5E8388C40}" name="     SFC116" dataDxfId="89">
      <calculatedColumnFormula>COUNTIF(INDEX('Project Configurations'!$E$1:$CZ$220, 0, MATCH(BT$1, 'Project Configurations'!$E$1:$CZ$1, 0)), $A2)</calculatedColumnFormula>
    </tableColumn>
    <tableColumn id="73" xr3:uid="{DA1E798D-BEAE-4837-B819-A3293AD4EA21}" name="     SFC117" dataDxfId="88">
      <calculatedColumnFormula>COUNTIF(INDEX('Project Configurations'!$E$1:$CZ$220, 0, MATCH(BU$1, 'Project Configurations'!$E$1:$CZ$1, 0)), $A2)</calculatedColumnFormula>
    </tableColumn>
    <tableColumn id="74" xr3:uid="{88DFC8D6-E727-4A48-B711-736471931C6E}" name="     VIS-SOD-HEALTH-HR" dataDxfId="87">
      <calculatedColumnFormula>COUNTIF(INDEX('Project Configurations'!$E$1:$CZ$220, 0, MATCH(BV$1, 'Project Configurations'!$E$1:$CZ$1, 0)), $A2)</calculatedColumnFormula>
    </tableColumn>
    <tableColumn id="75" xr3:uid="{6261D562-C6E3-4958-A143-EA2B1DF439A7}" name="     SFC120" dataDxfId="86">
      <calculatedColumnFormula>COUNTIF(INDEX('Project Configurations'!$E$1:$CZ$220, 0, MATCH(BW$1, 'Project Configurations'!$E$1:$CZ$1, 0)), $A2)</calculatedColumnFormula>
    </tableColumn>
    <tableColumn id="76" xr3:uid="{133ABE6D-912F-4383-944D-49EBEFEF16B5}" name="     SFC121" dataDxfId="85">
      <calculatedColumnFormula>COUNTIF(INDEX('Project Configurations'!$E$1:$CZ$220, 0, MATCH(BX$1, 'Project Configurations'!$E$1:$CZ$1, 0)), $A2)</calculatedColumnFormula>
    </tableColumn>
    <tableColumn id="77" xr3:uid="{B836543C-727F-4605-9493-6324286E750F}" name="     SFC122" dataDxfId="84">
      <calculatedColumnFormula>COUNTIF(INDEX('Project Configurations'!$E$1:$CZ$220, 0, MATCH(BY$1, 'Project Configurations'!$E$1:$CZ$1, 0)), $A2)</calculatedColumnFormula>
    </tableColumn>
    <tableColumn id="78" xr3:uid="{9A42E130-7236-4112-B757-1952285E72A0}" name="     SFC123" dataDxfId="83">
      <calculatedColumnFormula>COUNTIF(INDEX('Project Configurations'!$E$1:$CZ$220, 0, MATCH(BZ$1, 'Project Configurations'!$E$1:$CZ$1, 0)), $A2)</calculatedColumnFormula>
    </tableColumn>
    <tableColumn id="79" xr3:uid="{06845110-18F2-4D90-9B45-FB3D951F11D9}" name="     SFC124" dataDxfId="82">
      <calculatedColumnFormula>COUNTIF(INDEX('Project Configurations'!$E$1:$CZ$220, 0, MATCH(CA$1, 'Project Configurations'!$E$1:$CZ$1, 0)), $A2)</calculatedColumnFormula>
    </tableColumn>
    <tableColumn id="80" xr3:uid="{D7CBC1BA-99A1-4693-874D-C822512A3063}" name="     SFC125" dataDxfId="81">
      <calculatedColumnFormula>COUNTIF(INDEX('Project Configurations'!$E$1:$CZ$220, 0, MATCH(CB$1, 'Project Configurations'!$E$1:$CZ$1, 0)), $A2)</calculatedColumnFormula>
    </tableColumn>
    <tableColumn id="81" xr3:uid="{BB54B462-C233-496B-9D89-A536BA2712D1}" name="     SFC126" dataDxfId="80">
      <calculatedColumnFormula>COUNTIF(INDEX('Project Configurations'!$E$1:$CZ$220, 0, MATCH(CC$1, 'Project Configurations'!$E$1:$CZ$1, 0)), $A2)</calculatedColumnFormula>
    </tableColumn>
    <tableColumn id="82" xr3:uid="{2D93F2AD-3A7A-4FB4-911A-B2E96F31511F}" name="     SFC127" dataDxfId="79">
      <calculatedColumnFormula>COUNTIF(INDEX('Project Configurations'!$E$1:$CZ$220, 0, MATCH(CD$1, 'Project Configurations'!$E$1:$CZ$1, 0)), $A2)</calculatedColumnFormula>
    </tableColumn>
    <tableColumn id="83" xr3:uid="{9E7344CB-0FCC-4FC3-92AE-D9F710D77C5C}" name="     SFC128" dataDxfId="78">
      <calculatedColumnFormula>COUNTIF(INDEX('Project Configurations'!$E$1:$CZ$220, 0, MATCH(CE$1, 'Project Configurations'!$E$1:$CZ$1, 0)), $A2)</calculatedColumnFormula>
    </tableColumn>
    <tableColumn id="84" xr3:uid="{8842657C-5D9F-4202-8F1F-D04F4965E811}" name="     SFC129" dataDxfId="77">
      <calculatedColumnFormula>COUNTIF(INDEX('Project Configurations'!$E$1:$CZ$220, 0, MATCH(CF$1, 'Project Configurations'!$E$1:$CZ$1, 0)), $A2)</calculatedColumnFormula>
    </tableColumn>
    <tableColumn id="85" xr3:uid="{7BC5A842-1F44-4870-B4A7-4F4E4AA3AA5A}" name="     SFC130" dataDxfId="76">
      <calculatedColumnFormula>COUNTIF(INDEX('Project Configurations'!$E$1:$CZ$220, 0, MATCH(CG$1, 'Project Configurations'!$E$1:$CZ$1, 0)), $A2)</calculatedColumnFormula>
    </tableColumn>
    <tableColumn id="86" xr3:uid="{30F4B31B-B5C7-456D-986E-508D29922077}" name="     SFC131" dataDxfId="75">
      <calculatedColumnFormula>COUNTIF(INDEX('Project Configurations'!$E$1:$CZ$220, 0, MATCH(CH$1, 'Project Configurations'!$E$1:$CZ$1, 0)), $A2)</calculatedColumnFormula>
    </tableColumn>
    <tableColumn id="87" xr3:uid="{50D64CC1-E28D-436F-95D3-C6E0581C2BF0}" name="     SFC132" dataDxfId="74">
      <calculatedColumnFormula>COUNTIF(INDEX('Project Configurations'!$E$1:$CZ$220, 0, MATCH(CI$1, 'Project Configurations'!$E$1:$CZ$1, 0)), $A2)</calculatedColumnFormula>
    </tableColumn>
    <tableColumn id="88" xr3:uid="{16364523-E102-4BC4-A9EE-19D877A07493}" name="     SFC133" dataDxfId="73">
      <calculatedColumnFormula>COUNTIF(INDEX('Project Configurations'!$E$1:$CZ$220, 0, MATCH(CJ$1, 'Project Configurations'!$E$1:$CZ$1, 0)), $A2)</calculatedColumnFormula>
    </tableColumn>
    <tableColumn id="89" xr3:uid="{994B652B-F388-4FEA-8545-93AEB9B5BC8F}" name="     SFC134" dataDxfId="72">
      <calculatedColumnFormula>COUNTIF(INDEX('Project Configurations'!$E$1:$CZ$220, 0, MATCH(CK$1, 'Project Configurations'!$E$1:$CZ$1, 0)), $A2)</calculatedColumnFormula>
    </tableColumn>
    <tableColumn id="90" xr3:uid="{956AFA19-CC68-4BFC-8196-06D29B45D73D}" name="     SFC135" dataDxfId="71">
      <calculatedColumnFormula>COUNTIF(INDEX('Project Configurations'!$E$1:$CZ$220, 0, MATCH(CL$1, 'Project Configurations'!$E$1:$CZ$1, 0)), $A2)</calculatedColumnFormula>
    </tableColumn>
    <tableColumn id="91" xr3:uid="{0AC00310-610F-4B5A-BA79-787AE4002AC4}" name="     SFC136" dataDxfId="70">
      <calculatedColumnFormula>COUNTIF(INDEX('Project Configurations'!$E$1:$CZ$220, 0, MATCH(CM$1, 'Project Configurations'!$E$1:$CZ$1, 0)), $A2)</calculatedColumnFormula>
    </tableColumn>
    <tableColumn id="92" xr3:uid="{88A94C67-FC72-4CEA-8981-8C6304A7C146}" name="     SFC137" dataDxfId="69">
      <calculatedColumnFormula>COUNTIF(INDEX('Project Configurations'!$E$1:$CZ$220, 0, MATCH(CN$1, 'Project Configurations'!$E$1:$CZ$1, 0)), $A2)</calculatedColumnFormula>
    </tableColumn>
    <tableColumn id="93" xr3:uid="{4218141F-05FA-4843-90AF-97E80D46B809}" name="     SFC138" dataDxfId="68">
      <calculatedColumnFormula>COUNTIF(INDEX('Project Configurations'!$E$1:$CZ$220, 0, MATCH(CO$1, 'Project Configurations'!$E$1:$CZ$1, 0)), $A2)</calculatedColumnFormula>
    </tableColumn>
    <tableColumn id="94" xr3:uid="{DC842948-1487-447E-A4EC-5621878F9D8B}" name="     SFC139" dataDxfId="67">
      <calculatedColumnFormula>COUNTIF(INDEX('Project Configurations'!$E$1:$CZ$220, 0, MATCH(CP$1, 'Project Configurations'!$E$1:$CZ$1, 0)), $A2)</calculatedColumnFormula>
    </tableColumn>
    <tableColumn id="95" xr3:uid="{45CB195E-C8E7-4EA1-AA36-18D0AF48D01C}" name="     SFC140" dataDxfId="66">
      <calculatedColumnFormula>COUNTIF(INDEX('Project Configurations'!$E$1:$CZ$220, 0, MATCH(CQ$1, 'Project Configurations'!$E$1:$CZ$1, 0)), $A2)</calculatedColumnFormula>
    </tableColumn>
    <tableColumn id="96" xr3:uid="{41E98CF0-1EF4-46B4-B29F-3627DCC473F2}" name="     SFC141" dataDxfId="65">
      <calculatedColumnFormula>COUNTIF(INDEX('Project Configurations'!$E$1:$CZ$220, 0, MATCH(CR$1, 'Project Configurations'!$E$1:$CZ$1, 0)), $A2)</calculatedColumnFormula>
    </tableColumn>
    <tableColumn id="97" xr3:uid="{D134281B-AB56-49B7-8A14-EE771B60031E}" name="     SFC142" dataDxfId="64">
      <calculatedColumnFormula>COUNTIF(INDEX('Project Configurations'!$E$1:$CZ$220, 0, MATCH(CS$1, 'Project Configurations'!$E$1:$CZ$1, 0)), $A2)</calculatedColumnFormula>
    </tableColumn>
    <tableColumn id="98" xr3:uid="{163DFB7A-449B-4CD0-9B2C-D582B6295803}" name="     SFC143" dataDxfId="63">
      <calculatedColumnFormula>COUNTIF(INDEX('Project Configurations'!$E$1:$CZ$220, 0, MATCH(CT$1, 'Project Configurations'!$E$1:$CZ$1, 0)), $A2)</calculatedColumnFormula>
    </tableColumn>
    <tableColumn id="99" xr3:uid="{A1A052F4-8BED-4877-8C0F-0CC90AA19798}" name="     SFC144" dataDxfId="62">
      <calculatedColumnFormula>COUNTIF(INDEX('Project Configurations'!$E$1:$CZ$220, 0, MATCH(CU$1, 'Project Configurations'!$E$1:$CZ$1, 0)), $A2)</calculatedColumnFormula>
    </tableColumn>
    <tableColumn id="100" xr3:uid="{26A05D73-FD95-4146-8497-87971A94D5BA}" name="     SFC145" dataDxfId="61">
      <calculatedColumnFormula>COUNTIF(INDEX('Project Configurations'!$E$1:$CZ$220, 0, MATCH(CV$1, 'Project Configurations'!$E$1:$CZ$1, 0)), $A2)</calculatedColumnFormula>
    </tableColumn>
  </tableColumns>
  <tableStyleInfo name="TableStyleLight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2FC901-CF30-4320-9614-884052E58684}" name="SeatingPositionTable" displayName="SeatingPositionTable" ref="AK1:AT2" totalsRowShown="0" headerRowDxfId="55">
  <autoFilter ref="AK1:AT2" xr:uid="{372FC901-CF30-4320-9614-884052E58684}"/>
  <tableColumns count="10">
    <tableColumn id="1" xr3:uid="{F1A7E49D-8D42-4624-B5BA-35C4871CA50D}" name="Feature"/>
    <tableColumn id="3" xr3:uid="{14670E0D-96FA-43D0-8082-57C2D3AFBC34}" name="FDriver">
      <calculatedColumnFormula array="1">SUMPRODUCT(--(_xlfn.BITAND(INDEX(ProductConfigurations[], 0, MATCH($AK$3, ProductConfigurations[#Headers], 0)), _xlfn.XLOOKUP(AL$2, SeatPosEncodingName, SeatPosEncoding)) &gt; 0))</calculatedColumnFormula>
    </tableColumn>
    <tableColumn id="4" xr3:uid="{72BAEEAB-90F4-4C74-88A8-B3CED28A0BAF}" name="FPassenger">
      <calculatedColumnFormula array="1">SUMPRODUCT(--(_xlfn.BITAND(INDEX(ProductConfigurations[], 0, MATCH($AK$3, ProductConfigurations[#Headers], 0)), _xlfn.XLOOKUP(AM$2, SeatPosEncodingName, SeatPosEncoding)) &gt; 0))</calculatedColumnFormula>
    </tableColumn>
    <tableColumn id="5" xr3:uid="{B43A085C-F7A4-41E4-B2CC-CC7796F941B7}" name="FMiddle">
      <calculatedColumnFormula array="1">SUMPRODUCT(--(_xlfn.BITAND(INDEX(ProductConfigurations[], 0, MATCH($AK$3, ProductConfigurations[#Headers], 0)), _xlfn.XLOOKUP(AN$2, SeatPosEncodingName, SeatPosEncoding)) &gt; 0))</calculatedColumnFormula>
    </tableColumn>
    <tableColumn id="6" xr3:uid="{31C0F6FA-323F-418B-BFDD-FF7BBCEB5E1E}" name="2Driver">
      <calculatedColumnFormula array="1">SUMPRODUCT(--(_xlfn.BITAND(INDEX(ProductConfigurations[], 0, MATCH($AK$3, ProductConfigurations[#Headers], 0)), _xlfn.XLOOKUP(AO$2, SeatPosEncodingName, SeatPosEncoding)) &gt; 0))</calculatedColumnFormula>
    </tableColumn>
    <tableColumn id="7" xr3:uid="{934CEAFA-B208-4C63-849D-928F9A0DEF8C}" name="2Passenger">
      <calculatedColumnFormula array="1">SUMPRODUCT(--(_xlfn.BITAND(INDEX(ProductConfigurations[], 0, MATCH($AK$3, ProductConfigurations[#Headers], 0)), _xlfn.XLOOKUP(AP$2, SeatPosEncodingName, SeatPosEncoding)) &gt; 0))</calculatedColumnFormula>
    </tableColumn>
    <tableColumn id="8" xr3:uid="{E0E7C949-09B2-4807-B6D4-CE50058D88C6}" name="2Middle">
      <calculatedColumnFormula array="1">SUMPRODUCT(--(_xlfn.BITAND(INDEX(ProductConfigurations[], 0, MATCH($AK$3, ProductConfigurations[#Headers], 0)), _xlfn.XLOOKUP(AQ$2, SeatPosEncodingName, SeatPosEncoding)) &gt; 0))</calculatedColumnFormula>
    </tableColumn>
    <tableColumn id="9" xr3:uid="{593AFA7B-AFB8-4910-844E-61C2D4CE74ED}" name="3Driver">
      <calculatedColumnFormula array="1">SUMPRODUCT(--(_xlfn.BITAND(INDEX(ProductConfigurations[], 0, MATCH($AK$3, ProductConfigurations[#Headers], 0)), _xlfn.XLOOKUP(AR$2, SeatPosEncodingName, SeatPosEncoding)) &gt; 0))</calculatedColumnFormula>
    </tableColumn>
    <tableColumn id="10" xr3:uid="{A35B304B-7779-48B8-8702-FEE207D2C99A}" name="3Passenger">
      <calculatedColumnFormula array="1">SUMPRODUCT(--(_xlfn.BITAND(INDEX(ProductConfigurations[], 0, MATCH($AK$3, ProductConfigurations[#Headers], 0)), _xlfn.XLOOKUP(AS$2, SeatPosEncodingName, SeatPosEncoding)) &gt; 0))</calculatedColumnFormula>
    </tableColumn>
    <tableColumn id="11" xr3:uid="{DDB09E7B-EF8C-4F9B-AE40-D65675057EF8}" name="3Middle">
      <calculatedColumnFormula array="1">SUMPRODUCT(--(_xlfn.BITAND(INDEX(ProductConfigurations[], 0, MATCH($AK$3, ProductConfigurations[#Headers], 0)), _xlfn.XLOOKUP(AT$2, SeatPosEncodingName, SeatPosEncoding)) &gt; 0))</calculatedColumnFormula>
    </tableColumn>
  </tableColumns>
  <tableStyleInfo name="TableStyleLight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14C066-FA41-40EB-AC4F-F764B36F4B69}" name="SoCTable" displayName="SoCTable" ref="AW1:BP2" totalsRowShown="0" headerRowDxfId="54" dataDxfId="53">
  <autoFilter ref="AW1:BP2" xr:uid="{A214C066-FA41-40EB-AC4F-F764B36F4B69}"/>
  <tableColumns count="20">
    <tableColumn id="1" xr3:uid="{DCBFE936-1655-4DEB-BD1C-90B34FC686C1}" name="     Feature" dataDxfId="52"/>
    <tableColumn id="2" xr3:uid="{17C25AA2-1C8F-4842-96FE-56C4B654AB03}" name="     Ti Sitara" dataDxfId="51">
      <calculatedColumnFormula>COUNTIF(INDEX('Project Configurations'!$DB$1:$FG$220, 0, MATCH(AX$1, 'Project Configurations'!$DB$1:$FG$1, 0)), $AW2)</calculatedColumnFormula>
    </tableColumn>
    <tableColumn id="3" xr3:uid="{43D99151-C332-41C6-8ADE-DF61192D91AB}" name="     Ti TDA4 Entry" dataDxfId="50">
      <calculatedColumnFormula>COUNTIF(INDEX('Project Configurations'!$DB$1:$FG$220, 0, MATCH(AY$1, 'Project Configurations'!$DB$1:$FG$1, 0)), $AW2)</calculatedColumnFormula>
    </tableColumn>
    <tableColumn id="4" xr3:uid="{46CB49A2-8E42-477D-BD73-DC749956C3F4}" name="     Ti TDA4 Low" dataDxfId="49">
      <calculatedColumnFormula>COUNTIF(INDEX('Project Configurations'!$DB$1:$FG$220, 0, MATCH(AZ$1, 'Project Configurations'!$DB$1:$FG$1, 0)), $AW2)</calculatedColumnFormula>
    </tableColumn>
    <tableColumn id="5" xr3:uid="{152A6A9F-F071-4DD1-A4A2-CC59DF33696A}" name="     Ti TDA4 Mid" dataDxfId="48">
      <calculatedColumnFormula>COUNTIF(INDEX('Project Configurations'!$DB$1:$FG$220, 0, MATCH(BA$1, 'Project Configurations'!$DB$1:$FG$1, 0)), $AW2)</calculatedColumnFormula>
    </tableColumn>
    <tableColumn id="6" xr3:uid="{F6755651-BBC0-4CD3-9F3C-AD4051C7C47B}" name="     Ti TDA4 High" dataDxfId="47">
      <calculatedColumnFormula>COUNTIF(INDEX('Project Configurations'!$DB$1:$FG$220, 0, MATCH(BB$1, 'Project Configurations'!$DB$1:$FG$1, 0)), $AW2)</calculatedColumnFormula>
    </tableColumn>
    <tableColumn id="7" xr3:uid="{C5883B0D-F047-44E7-B71B-9223300CA1B8}" name="     AMD Ultrascale Zync ZU1" dataDxfId="46">
      <calculatedColumnFormula>COUNTIF(INDEX('Project Configurations'!$DB$1:$FG$220, 0, MATCH(BC$1, 'Project Configurations'!$DB$1:$FG$1, 0)), $AW2)</calculatedColumnFormula>
    </tableColumn>
    <tableColumn id="8" xr3:uid="{D307E163-5C4D-4963-981B-A81C35EF4483}" name="     QCM SA81xx" dataDxfId="45">
      <calculatedColumnFormula>COUNTIF(INDEX('Project Configurations'!$DB$1:$FG$220, 0, MATCH(BD$1, 'Project Configurations'!$DB$1:$FG$1, 0)), $AW2)</calculatedColumnFormula>
    </tableColumn>
    <tableColumn id="9" xr3:uid="{FE82F849-3E42-4F87-AAB1-D652A3B1CF4A}" name="     QCM SA86xx" dataDxfId="44">
      <calculatedColumnFormula>COUNTIF(INDEX('Project Configurations'!$DB$1:$FG$220, 0, MATCH(BE$1, 'Project Configurations'!$DB$1:$FG$1, 0)), $AW2)</calculatedColumnFormula>
    </tableColumn>
    <tableColumn id="10" xr3:uid="{F6669165-2113-442B-A83C-213E252D190E}" name="     Renesas R-Car V4H" dataDxfId="43">
      <calculatedColumnFormula>COUNTIF(INDEX('Project Configurations'!$DB$1:$FG$220, 0, MATCH(BF$1, 'Project Configurations'!$DB$1:$FG$1, 0)), $AW2)</calculatedColumnFormula>
    </tableColumn>
    <tableColumn id="11" xr3:uid="{78AF135B-B32F-44A9-9E66-8B499A4DE2EE}" name="     FDM Occula 8.0" dataDxfId="42">
      <calculatedColumnFormula>COUNTIF(INDEX('Project Configurations'!$DB$1:$FG$220, 0, MATCH(BG$1, 'Project Configurations'!$DB$1:$FG$1, 0)), $AW2)</calculatedColumnFormula>
    </tableColumn>
    <tableColumn id="12" xr3:uid="{C21CC82C-4DB8-453C-8CF1-4C60F47D2CE2}" name="     FDM Occula 8.2" dataDxfId="41">
      <calculatedColumnFormula>COUNTIF(INDEX('Project Configurations'!$DB$1:$FG$220, 0, MATCH(BH$1, 'Project Configurations'!$DB$1:$FG$1, 0)), $AW2)</calculatedColumnFormula>
    </tableColumn>
    <tableColumn id="13" xr3:uid="{C69DBE68-DEB1-40E9-BC2C-05B3329837F0}" name="     FDM Occula 8.3" dataDxfId="40">
      <calculatedColumnFormula>COUNTIF(INDEX('Project Configurations'!$DB$1:$FG$220, 0, MATCH(BI$1, 'Project Configurations'!$DB$1:$FG$1, 0)), $AW2)</calculatedColumnFormula>
    </tableColumn>
    <tableColumn id="14" xr3:uid="{9B16CC42-1505-40E5-BE6C-ACF57235BB03}" name="     OV OAX4600" dataDxfId="39">
      <calculatedColumnFormula>COUNTIF(INDEX('Project Configurations'!$DB$1:$FG$220, 0, MATCH(BJ$1, 'Project Configurations'!$DB$1:$FG$1, 0)), $AW2)</calculatedColumnFormula>
    </tableColumn>
    <tableColumn id="15" xr3:uid="{450C69BD-F0A0-49FC-B459-0BF7E8725326}" name="     Ambarella CV25" dataDxfId="38">
      <calculatedColumnFormula>COUNTIF(INDEX('Project Configurations'!$DB$1:$FG$220, 0, MATCH(BK$1, 'Project Configurations'!$DB$1:$FG$1, 0)), $AW2)</calculatedColumnFormula>
    </tableColumn>
    <tableColumn id="16" xr3:uid="{DB6E3C6D-47B0-41A2-B750-EDD9E0145B1D}" name="     x86/64" dataDxfId="37">
      <calculatedColumnFormula>COUNTIF(INDEX('Project Configurations'!$DB$1:$FG$220, 0, MATCH(BL$1, 'Project Configurations'!$DB$1:$FG$1, 0)), $AW2)</calculatedColumnFormula>
    </tableColumn>
    <tableColumn id="17" xr3:uid="{4286F2A5-8B24-4DDF-9B78-4B1E16320ACF}" name="     eDME" dataDxfId="36">
      <calculatedColumnFormula>COUNTIF(INDEX('Project Configurations'!$DB$1:$FG$220, 0, MATCH(BM$1, 'Project Configurations'!$DB$1:$FG$1, 0)), $AW2)</calculatedColumnFormula>
    </tableColumn>
    <tableColumn id="18" xr3:uid="{4477E10F-59C8-48C4-B313-1E06D9DA58A4}" name="     TI Sitara 2 TOPS 2 GB RAM" dataDxfId="35">
      <calculatedColumnFormula>COUNTIF(INDEX('Project Configurations'!$DB$1:$FG$220, 0, MATCH(BN$1, 'Project Configurations'!$DB$1:$FG$1, 0)), $AW2)</calculatedColumnFormula>
    </tableColumn>
    <tableColumn id="19" xr3:uid="{14E26655-FB02-4049-86AF-C68C63CE47DD}" name="     TI Sitara 1 TOPS 8 GB RAM" dataDxfId="34">
      <calculatedColumnFormula>COUNTIF(INDEX('Project Configurations'!$DB$1:$FG$220, 0, MATCH(BO$1, 'Project Configurations'!$DB$1:$FG$1, 0)), $AW2)</calculatedColumnFormula>
    </tableColumn>
    <tableColumn id="20" xr3:uid="{46AA045E-FEC4-405C-A901-E4B39AC2A9F7}" name="     Renesas R-Caar V4H" dataDxfId="33">
      <calculatedColumnFormula>COUNTIF(INDEX('Project Configurations'!$DB$1:$FG$220, 0, MATCH(BP$1, 'Project Configurations'!$DB$1:$FG$1, 0)), $AW2)</calculatedColumnFormula>
    </tableColumn>
  </tableColumns>
  <tableStyleInfo name="TableStyleLight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12-03T03:15:56.46" personId="{C1992AF9-2B31-470B-A39C-972DB9457C9E}" id="{74E8638D-807E-489A-A707-A2BB671AF9D8}" done="1">
    <text>@Roberto Pugliese seems all the grouping with SMLXXXX_X gets thrown out as soon as the order is changed using the filter. Maybe just remove the grouping?</text>
    <mentions>
      <mention mentionpersonId="{5F09ED9B-BA75-48F5-9EAA-A8E436D10CBD}" mentionId="{4F4F3D69-0714-4E5A-A031-922E13B8379E}" startIndex="0" length="17"/>
    </mentions>
  </threadedComment>
  <threadedComment ref="A1" dT="2024-12-03T04:19:37.91" personId="{55364BA6-FDC6-4FC2-B67A-91EEE3ED0F20}" id="{334220FA-F5F6-4C3E-9CAE-3AAF1430120D}" parentId="{74E8638D-807E-489A-A707-A2BB671AF9D8}">
    <text>I see, yeah ok.</text>
  </threadedComment>
  <threadedComment ref="B1" dT="2024-12-03T23:45:38.53" personId="{7562FCD0-EB80-4F63-B71E-6EC1EC5A2D48}" id="{906E535E-A4A0-4E81-85E3-20D300879A87}" done="1">
    <text xml:space="preserve">Minor - can you add a dedicate filter row so the icon doesn't hide the header text please @Roberto Pugliese </text>
    <mentions>
      <mention mentionpersonId="{5F09ED9B-BA75-48F5-9EAA-A8E436D10CBD}" mentionId="{BE2AE461-6A06-42E5-9ECF-A91DF0BABAC2}" startIndex="90" length="17"/>
    </mentions>
  </threadedComment>
  <threadedComment ref="B1" dT="2024-12-04T02:10:54.37" personId="{55364BA6-FDC6-4FC2-B67A-91EEE3ED0F20}" id="{D28F256F-FBEB-44EB-82F2-0D78CEF4FE61}" parentId="{906E535E-A4A0-4E81-85E3-20D300879A87}">
    <text>Ah, of course... and here I was added a prefix SPACE character...</text>
  </threadedComment>
  <threadedComment ref="B1" dT="2024-12-04T02:16:48.16" personId="{55364BA6-FDC6-4FC2-B67A-91EEE3ED0F20}" id="{43B02D87-B7D7-4562-81AC-F4A609635D90}" parentId="{906E535E-A4A0-4E81-85E3-20D300879A87}">
    <text>So it seems it’s a little more complicated than I thought, this is an EXCEL TABLE and it seems I’m not able to move the filter location… Stay tuned.</text>
  </threadedComment>
  <threadedComment ref="DD1" dT="2024-12-03T03:05:27.41" personId="{C1992AF9-2B31-470B-A39C-972DB9457C9E}" id="{BAFFD6DF-6267-4F33-A3E5-5E644A4F6A47}">
    <text>@Roberto Pugliese currently no way to show which features are being developed to which ASIL level. We often only have 1 or 2 features at ASIL B, the rest QM. Maybe instead of “YES” in the “RoadMap” sheet, have the ASIL level?</text>
    <mentions>
      <mention mentionpersonId="{5F09ED9B-BA75-48F5-9EAA-A8E436D10CBD}" mentionId="{0F0D0100-ABC2-4430-9C1D-B71C14FA6B6D}" startIndex="0" length="17"/>
    </mentions>
  </threadedComment>
  <threadedComment ref="DD1" dT="2024-12-04T03:10:58.24" personId="{55364BA6-FDC6-4FC2-B67A-91EEE3ED0F20}" id="{B2C890BD-7216-420E-BCEC-C3B603C99747}" parentId="{BAFFD6DF-6267-4F33-A3E5-5E644A4F6A47}">
    <text xml:space="preserve">Good idea!  Are you able to make those changes @Andrew Kay </text>
    <mentions>
      <mention mentionpersonId="{BB0D5267-B478-4704-B6CD-97353ECF32DF}" mentionId="{4F606397-9053-4B93-ACB2-371DB1E9EAA9}" startIndex="47" length="11"/>
    </mentions>
  </threadedComment>
  <threadedComment ref="DD1" dT="2024-12-04T03:30:35.38" personId="{55364BA6-FDC6-4FC2-B67A-91EEE3ED0F20}" id="{150E874A-A469-4D15-8A53-7AFF60442D81}" parentId="{BAFFD6DF-6267-4F33-A3E5-5E644A4F6A47}">
    <text>Question though, if we do this, how will we show those cells where there is a DEP or CR value?</text>
  </threadedComment>
  <threadedComment ref="DH1" dT="2024-12-03T03:03:32.14" personId="{C1992AF9-2B31-470B-A39C-972DB9457C9E}" id="{C8D4C695-8044-4849-B69A-6084AC8C4C55}">
    <text>@Roberto Pugliese need to expand to NCAP23, NCAP26, GSR, GSR2, GB/T</text>
    <mentions>
      <mention mentionpersonId="{5F09ED9B-BA75-48F5-9EAA-A8E436D10CBD}" mentionId="{24336C2F-2654-4E1D-97E5-E17B9D8823D9}" startIndex="0" length="17"/>
    </mentions>
  </threadedComment>
  <threadedComment ref="DH1" dT="2024-12-04T03:09:18.81" personId="{55364BA6-FDC6-4FC2-B67A-91EEE3ED0F20}" id="{B9F3D9E7-F84C-45B0-906F-ECDBFEC4436F}" parentId="{C8D4C695-8044-4849-B69A-6084AC8C4C55}">
    <text>Done</text>
  </threadedComment>
  <threadedComment ref="DH1" dT="2024-12-04T03:09:56.53" personId="{55364BA6-FDC6-4FC2-B67A-91EEE3ED0F20}" id="{35FF6CDC-7745-4256-878C-7CFF744FAA66}" parentId="{C8D4C695-8044-4849-B69A-6084AC8C4C55}">
    <text xml:space="preserve">Check the entered data @Andrew Kay </text>
    <mentions>
      <mention mentionpersonId="{BB0D5267-B478-4704-B6CD-97353ECF32DF}" mentionId="{75DF6AC9-3BCF-4DA2-8D81-17575782845C}" startIndex="23" length="11"/>
    </mentions>
  </threadedComment>
  <threadedComment ref="DY1" dT="2024-12-03T02:59:34.99" personId="{C1992AF9-2B31-470B-A39C-972DB9457C9E}" id="{44797D2F-8421-4862-BFFF-898E0A32C853}">
    <text>@Roberto Pugliese not sure how to determine if bright or dark pupil. Currently don’t document this in the quotes. May need to update the WBS brief sheet</text>
    <mentions>
      <mention mentionpersonId="{5F09ED9B-BA75-48F5-9EAA-A8E436D10CBD}" mentionId="{28FD80B6-F468-49D3-BFEF-2014488BB7DA}" startIndex="0" length="17"/>
    </mentions>
  </threadedComment>
  <threadedComment ref="DY1" dT="2024-12-04T03:07:32.97" personId="{55364BA6-FDC6-4FC2-B67A-91EEE3ED0F20}" id="{0E0249CF-FE2B-4853-B1CF-D8E1972F4273}" parentId="{44797D2F-8421-4862-BFFF-898E0A32C853}">
    <text>I think this is defined by the image sense and LED configuration, which I guess we should be capturing at an RFI/RQF stage.  See the Optical Guidelines document to see the ‘4’ configurations we support.</text>
  </threadedComment>
  <threadedComment ref="A146" dT="2024-12-03T03:11:42.46" personId="{C1992AF9-2B31-470B-A39C-972DB9457C9E}" id="{15C6C10F-DD39-48B4-BEAE-570038F65CAB}">
    <text>@Roberto Pugliese assume this either wasn’t meant to be grouped with SML0122, or you have to the wrong number. BTW SML0122 has 3 versions up to _2</text>
    <mentions>
      <mention mentionpersonId="{5F09ED9B-BA75-48F5-9EAA-A8E436D10CBD}" mentionId="{F9B318D4-6A5B-4929-AF19-8E383B61A577}" startIndex="0" length="17"/>
    </mentions>
  </threadedComment>
  <threadedComment ref="AL220" dT="2024-12-03T04:48:29.83" personId="{55364BA6-FDC6-4FC2-B67A-91EEE3ED0F20}" id="{5B9504AD-779C-4DF2-9977-CCB88440C623}">
    <text>@Yiling Liang - Can you check this please, which VIS-ID is required (if any) for VWG002.</text>
    <mentions>
      <mention mentionpersonId="{86EAFB47-F071-4177-8417-0FF7180D12DC}" mentionId="{DF905380-A17E-4DEF-AB32-13ADD5D12F76}" startIndex="0" length="13"/>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12-03T05:52:49.17" personId="{7562FCD0-EB80-4F63-B71E-6EC1EC5A2D48}" id="{5A246E3F-9DE2-4A8F-8313-3BB190495DCD}">
    <text>@Andrew Kay - should we add in the ADP's too?</text>
    <mentions>
      <mention mentionpersonId="{BB0D5267-B478-4704-B6CD-97353ECF32DF}" mentionId="{5FA12928-948B-4BBE-839F-66D97B135D89}" startIndex="0" length="11"/>
    </mentions>
  </threadedComment>
  <threadedComment ref="B94" dT="2024-12-03T02:53:57.78" personId="{C1992AF9-2B31-470B-A39C-972DB9457C9E}" id="{12B7882F-949D-4C6B-AD96-2F606225B8CE}">
    <text>@Roberto Pugliese you have VIS-SOD-HEALTH twice</text>
    <mentions>
      <mention mentionpersonId="{5F09ED9B-BA75-48F5-9EAA-A8E436D10CBD}" mentionId="{26C1CA8D-ABF0-49A8-808B-E29E93490887}" startIndex="0" length="17"/>
    </mentions>
  </threadedComment>
  <threadedComment ref="B94" dT="2024-12-03T04:20:50.73" personId="{55364BA6-FDC6-4FC2-B67A-91EEE3ED0F20}" id="{0194AAD1-AACB-441A-8814-574967978779}" parentId="{12B7882F-949D-4C6B-AD96-2F606225B8CE}">
    <text>Yep, I need a different name from @Tom Rogers.</text>
    <mentions>
      <mention mentionpersonId="{0C08D328-EBED-4BB5-BB1B-6FC53B194316}" mentionId="{7D605C91-F635-4929-B523-C0D61053032C}" startIndex="34" length="11"/>
    </mentions>
  </threadedComment>
  <threadedComment ref="B94" dT="2024-12-03T04:21:44.69" personId="{55364BA6-FDC6-4FC2-B67A-91EEE3ED0F20}" id="{C154F36B-7BDA-4E8A-AFBE-6690D92C63C2}" parentId="{12B7882F-949D-4C6B-AD96-2F606225B8CE}">
    <text>I’ve changed it to -HR and -PREG for now</text>
  </threadedComment>
  <threadedComment ref="B94" dT="2024-12-03T05:49:51.57" personId="{7562FCD0-EB80-4F63-B71E-6EC1EC5A2D48}" id="{50BA6683-733D-4619-91FB-B6394477B522}" parentId="{12B7882F-949D-4C6B-AD96-2F606225B8CE}">
    <text xml:space="preserve">Yeah I believe we are calling it VIS-SOD-HEALTH.
- It would be ideal to distinguish between HR, HRV and Respiration somehow
</text>
  </threadedComment>
</ThreadedComments>
</file>

<file path=xl/threadedComments/threadedComment3.xml><?xml version="1.0" encoding="utf-8"?>
<ThreadedComments xmlns="http://schemas.microsoft.com/office/spreadsheetml/2018/threadedcomments" xmlns:x="http://schemas.openxmlformats.org/spreadsheetml/2006/main">
  <threadedComment ref="R3" dT="2019-10-28T10:51:18.62" personId="{00000000-0000-0000-0000-000000000000}" id="{69A57D4E-D0B8-41DD-887B-60C791EF3AE7}">
    <text>In case if the Actual FROP is not meeting the realistic value, then PM can change the same in Data sheet by providing justification on the comment section</text>
  </threadedComment>
  <threadedComment ref="R146" dT="2019-10-28T10:51:18.62" personId="{00000000-0000-0000-0000-000000000000}" id="{2A5076AF-BBD0-4ADA-B5E3-C26F5B2219F8}">
    <text>In case if the Actual FROP is not meeting the realistic value, then PM can change the same in Data sheet by providing justification on the comment section</text>
  </threadedComment>
  <threadedComment ref="R289" dT="2019-10-28T10:51:18.62" personId="{00000000-0000-0000-0000-000000000000}" id="{35E5C100-E2C1-42E2-8DF2-01DFB51169C7}">
    <text>In case if the Actual FROP is not meeting the realistic value, then PM can change the same in Data sheet by providing justification on the comment section</text>
  </threadedComment>
  <threadedComment ref="R432" dT="2019-10-28T10:51:18.62" personId="{00000000-0000-0000-0000-000000000000}" id="{76C5C278-909C-483B-9B7F-78718B9AD961}">
    <text>In case if the Actual FROP is not meeting the realistic value, then PM can change the same in Data sheet by providing justification on the comment section</text>
  </threadedComment>
  <threadedComment ref="R575" dT="2019-10-28T10:51:18.62" personId="{00000000-0000-0000-0000-000000000000}" id="{06F05941-253B-4E22-8F82-9F80061B5A66}">
    <text>In case if the Actual FROP is not meeting the realistic value, then PM can change the same in Data sheet by providing justification on the comment section</text>
  </threadedComment>
  <threadedComment ref="R718" dT="2019-10-28T10:51:18.62" personId="{00000000-0000-0000-0000-000000000000}" id="{79E37804-14DF-4EE1-959E-4088AC493FDE}">
    <text>In case if the Actual FROP is not meeting the realistic value, then PM can change the same in Data sheet by providing justification on the comment section</text>
  </threadedComment>
  <threadedComment ref="R861" dT="2019-10-28T10:51:18.62" personId="{00000000-0000-0000-0000-000000000000}" id="{FB29FDEA-BBE8-498A-8A01-7340CD53DCE1}">
    <text>In case if the Actual FROP is not meeting the realistic value, then PM can change the same in Data sheet by providing justification on the comment section</text>
  </threadedComment>
  <threadedComment ref="R1004" dT="2019-10-28T10:51:18.62" personId="{00000000-0000-0000-0000-000000000000}" id="{6FA62F13-0745-460E-B66E-44A327E57805}">
    <text>In case if the Actual FROP is not meeting the realistic value, then PM can change the same in Data sheet by providing justification on the comment section</text>
  </threadedComment>
  <threadedComment ref="R1147" dT="2019-10-28T10:51:18.62" personId="{00000000-0000-0000-0000-000000000000}" id="{82F617F9-A71D-4B2B-A384-4AB809C660FA}">
    <text>In case if the Actual FROP is not meeting the realistic value, then PM can change the same in Data sheet by providing justification on the comment section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1" dT="2022-12-13T19:27:19.45" personId="{D4712E57-E250-4137-84E2-12B2302CAF0F}" id="{3E198BCC-9F1B-480F-BCC3-461DD99425EE}">
    <text>Logic:
Customer FROP Feature "N/A", however, Variant 1,2,3,4, or 5 has an "x"</text>
  </threadedComment>
  <threadedComment ref="F1" dT="2022-12-13T19:29:56.34" personId="{D4712E57-E250-4137-84E2-12B2302CAF0F}" id="{83F0B701-D6D0-410F-8E41-201F5ABE7694}">
    <text>Logic:
Customer FROP Feature = "x", however Variant 1,2,3,4 or 5 =  "N/A"</text>
  </threadedComment>
  <threadedComment ref="G1" dT="2022-12-13T19:31:17.06" personId="{D4712E57-E250-4137-84E2-12B2302CAF0F}" id="{D2332A48-7EB0-4106-9D63-83EB2141AA6E}">
    <text>Logic:
Customer FROP Feature = "N/A", however Variant 1,2,3,4 or 5 =  "x"</text>
  </threadedComment>
  <threadedComment ref="H1" dT="2022-12-13T19:31:23.93" personId="{D4712E57-E250-4137-84E2-12B2302CAF0F}" id="{02BF86D7-E2A2-4B0B-8C3B-1077928C6001}">
    <text>Logic:
Customer FROP Feature = "x", however Variant 1,2,3,4 or 5 =  "N/A</text>
  </threadedComment>
  <threadedComment ref="I1" dT="2022-12-13T19:31:30.55" personId="{D4712E57-E250-4137-84E2-12B2302CAF0F}" id="{F2CC5CEB-3D41-44A7-96F8-C83C324F1BB1}">
    <text>Logic:
Customer FROP Feature = "x", however Variant 1,2,3,4 or 5 =  "N/A</text>
  </threadedComment>
  <threadedComment ref="J1" dT="2022-12-13T19:31:38.55" personId="{D4712E57-E250-4137-84E2-12B2302CAF0F}" id="{5A8C5CF9-E39E-4776-831F-EBBBAF499C24}">
    <text>Logic:
Customer FROP Feature = "x", however Variant 1,2,3,4 or 5 =  "N/A</text>
  </threadedComment>
  <threadedComment ref="Q1" dT="2022-12-14T14:48:05.88" personId="{D4712E57-E250-4137-84E2-12B2302CAF0F}" id="{80CAD661-6BF0-453C-B159-A3CD20F9D2E9}">
    <text>Logic:
NOK = External is "N/A" and ASIL is not "N/A"</text>
  </threadedComment>
  <threadedComment ref="L3" dT="2022-12-14T14:38:30.37" personId="{D4712E57-E250-4137-84E2-12B2302CAF0F}" id="{413ACE65-48BE-44E3-9A9A-DA8EEE47EF18}">
    <text xml:space="preserve">Logic:
NOK= Middle is "x"  and External "N/A" and "DMS"
NOK = Middle is "x" and External is "x" and "DMS"  </text>
  </threadedComment>
  <threadedComment ref="N3" dT="2022-12-14T14:38:30.37" personId="{D4712E57-E250-4137-84E2-12B2302CAF0F}" id="{E3B03B5D-B8AE-4B34-94F7-9897492F1513}">
    <text xml:space="preserve">Logic:
NOK= Left is "x"  and External "N/A" and "DMS"
NOK = Left is "x" and External is "x" and "DMS"  </text>
  </threadedComment>
  <threadedComment ref="O3" dT="2022-12-14T14:38:30.37" personId="{D4712E57-E250-4137-84E2-12B2302CAF0F}" id="{4317BCAF-46F5-40AB-A480-DD37EAB704CC}">
    <text xml:space="preserve">Logic:
NOK= Middle is "x"  and External "N/A" and "DMS"
NOK = Middle is "x" and External is "x" and "DMS"  </text>
  </threadedComment>
  <threadedComment ref="P3" dT="2022-12-14T14:38:30.37" personId="{D4712E57-E250-4137-84E2-12B2302CAF0F}" id="{B161A7AE-B63B-4C6F-9AD2-06E94F46BE02}">
    <text xml:space="preserve">Logic:
NOK= Right is "x"  and External "N/A" and "DMS"
NOK = Right is "x" and External is "x" and "DMS"  </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seeingmachines.sharepoint.com/sites/PRJ_NGF001/Forms/AllItems.aspx?viewid=c04f6f93%2D544d%2D410a%2Db6dd%2D96b2ad91827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9/04/relationships/documenttask" Target="../documenttasks/documenttask1.xml"/><Relationship Id="rId3" Type="http://schemas.openxmlformats.org/officeDocument/2006/relationships/vmlDrawing" Target="../drawings/vmlDrawing2.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jenkins.onsm.cloud/job/xplat_github/job/focal_gcc_10.common.nightly.opt/job/master/lastSuccessfulBuild/artifact/bazel-bin/tools/algo_version_vs_projects_gen_tool/"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3.vml"/><Relationship Id="rId4" Type="http://schemas.microsoft.com/office/2019/04/relationships/documenttask" Target="../documenttasks/documenttask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AE1BB-D639-4ABA-9706-2FA7CF0B050F}">
  <sheetPr codeName="Sheet1">
    <pageSetUpPr fitToPage="1"/>
  </sheetPr>
  <dimension ref="B1:C26"/>
  <sheetViews>
    <sheetView workbookViewId="0">
      <selection activeCell="AE9" sqref="AE9"/>
    </sheetView>
  </sheetViews>
  <sheetFormatPr defaultColWidth="9.140625" defaultRowHeight="15"/>
  <cols>
    <col min="1" max="1" width="2.42578125" style="1" customWidth="1"/>
    <col min="2" max="2" width="30.42578125" style="1" customWidth="1"/>
    <col min="3" max="3" width="92.42578125" style="1" customWidth="1"/>
    <col min="4" max="4" width="2" style="1" customWidth="1"/>
    <col min="5" max="16384" width="9.140625" style="1"/>
  </cols>
  <sheetData>
    <row r="1" spans="2:3" ht="12.75" customHeight="1"/>
    <row r="2" spans="2:3" ht="30" customHeight="1">
      <c r="B2" s="558" t="s">
        <v>0</v>
      </c>
      <c r="C2" s="558"/>
    </row>
    <row r="3" spans="2:3" ht="21.75" customHeight="1">
      <c r="B3" s="57"/>
      <c r="C3"/>
    </row>
    <row r="4" spans="2:3">
      <c r="B4" s="58" t="s">
        <v>1</v>
      </c>
      <c r="C4" s="59" t="s">
        <v>2</v>
      </c>
    </row>
    <row r="5" spans="2:3">
      <c r="B5" s="344" t="s">
        <v>3</v>
      </c>
      <c r="C5" s="60" t="s">
        <v>4</v>
      </c>
    </row>
    <row r="6" spans="2:3" ht="15" customHeight="1">
      <c r="B6" s="344" t="s">
        <v>5</v>
      </c>
      <c r="C6" s="60" t="s">
        <v>4</v>
      </c>
    </row>
    <row r="7" spans="2:3">
      <c r="B7" s="344" t="s">
        <v>6</v>
      </c>
      <c r="C7" s="346" t="s">
        <v>4</v>
      </c>
    </row>
    <row r="8" spans="2:3">
      <c r="B8" s="344" t="s">
        <v>7</v>
      </c>
      <c r="C8" s="347" t="s">
        <v>8</v>
      </c>
    </row>
    <row r="9" spans="2:3">
      <c r="B9" s="344" t="s">
        <v>9</v>
      </c>
      <c r="C9" s="348"/>
    </row>
    <row r="10" spans="2:3">
      <c r="B10" s="344" t="s">
        <v>10</v>
      </c>
      <c r="C10" s="349" t="str">
        <f>C8&amp;"."&amp;C9</f>
        <v>Pending Release.</v>
      </c>
    </row>
    <row r="11" spans="2:3">
      <c r="B11" s="344" t="s">
        <v>11</v>
      </c>
      <c r="C11" s="350" t="s">
        <v>12</v>
      </c>
    </row>
    <row r="13" spans="2:3">
      <c r="B13" s="553" t="s">
        <v>13</v>
      </c>
      <c r="C13" s="554"/>
    </row>
    <row r="14" spans="2:3" ht="125.25" customHeight="1">
      <c r="B14" s="555" t="s">
        <v>14</v>
      </c>
      <c r="C14" s="556"/>
    </row>
    <row r="16" spans="2:3">
      <c r="B16" s="557" t="str">
        <f t="shared" ref="B16" si="0">MFiles_PGA0629A6F581B4BE58F6A4B5969DB5666</f>
        <v>INTERNAL USE ONLY</v>
      </c>
      <c r="C16" s="557"/>
    </row>
    <row r="26" spans="3:3">
      <c r="C26" s="139"/>
    </row>
  </sheetData>
  <sheetProtection formatCells="0" formatColumns="0" formatRows="0" insertColumns="0" insertRows="0" insertHyperlinks="0" deleteColumns="0" deleteRows="0" sort="0" autoFilter="0" pivotTables="0"/>
  <mergeCells count="4">
    <mergeCell ref="B13:C13"/>
    <mergeCell ref="B14:C14"/>
    <mergeCell ref="B16:C16"/>
    <mergeCell ref="B2:C2"/>
  </mergeCells>
  <conditionalFormatting sqref="C5:C6">
    <cfRule type="cellIs" dxfId="390" priority="1" operator="equal">
      <formula>"WORKING"</formula>
    </cfRule>
    <cfRule type="cellIs" dxfId="389" priority="2" operator="equal">
      <formula>"OBSOLETE"</formula>
    </cfRule>
    <cfRule type="cellIs" dxfId="388" priority="3" operator="equal">
      <formula>"RFR"</formula>
    </cfRule>
    <cfRule type="cellIs" dxfId="387" priority="4" operator="equal">
      <formula>"RELEASE"</formula>
    </cfRule>
  </conditionalFormatting>
  <dataValidations count="1">
    <dataValidation type="list" allowBlank="1" showInputMessage="1" showErrorMessage="1" sqref="C5" xr:uid="{0AB38191-C0A0-424B-A633-2CD06E09B8D7}">
      <formula1>"WORKING,RFR,RELEASE,OBSOLETE"</formula1>
    </dataValidation>
  </dataValidations>
  <hyperlinks>
    <hyperlink ref="C11" r:id="rId1" xr:uid="{7D87A77C-D9D2-4AF4-B7C5-CC46BC8AFFEF}"/>
  </hyperlinks>
  <pageMargins left="0.70866141732283505" right="0.70866141732283505" top="0.74803149606299202" bottom="0.74803149606299202" header="0.31496062992126" footer="0.31496062992126"/>
  <pageSetup paperSize="9" scale="68" fitToHeight="0" orientation="portrait" r:id="rId2"/>
  <headerFooter>
    <oddFooter>&amp;CPrinted out on &amp;D, &amp;T, Page &amp;P of &amp;N&amp;R&amp;G</oddFooter>
  </headerFooter>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DAE23-A8E3-49A5-AEF1-A98BEA146893}">
  <sheetPr codeName="Sheet2">
    <pageSetUpPr fitToPage="1"/>
  </sheetPr>
  <dimension ref="B1:G31"/>
  <sheetViews>
    <sheetView workbookViewId="0">
      <selection activeCell="F6" sqref="F6"/>
    </sheetView>
  </sheetViews>
  <sheetFormatPr defaultColWidth="9" defaultRowHeight="15"/>
  <cols>
    <col min="1" max="1" width="2.42578125" style="1" customWidth="1"/>
    <col min="2" max="2" width="3.5703125" style="1" customWidth="1"/>
    <col min="3" max="3" width="42.5703125" style="1" customWidth="1"/>
    <col min="4" max="4" width="12.28515625" style="1" customWidth="1"/>
    <col min="5" max="6" width="25.140625" style="1" customWidth="1"/>
    <col min="7" max="7" width="3" style="1" customWidth="1"/>
    <col min="8" max="8" width="3.5703125" style="1" customWidth="1"/>
    <col min="9" max="9" width="42.5703125" style="1" customWidth="1"/>
    <col min="10" max="10" width="12.28515625" style="1" customWidth="1"/>
    <col min="11" max="12" width="25.140625" style="1" customWidth="1"/>
    <col min="13" max="13" width="3" style="1" customWidth="1"/>
    <col min="14" max="16384" width="9" style="1"/>
  </cols>
  <sheetData>
    <row r="1" spans="2:7" ht="30" customHeight="1">
      <c r="B1" s="326" t="str">
        <f>Cover!$B$2</f>
        <v>Project Configuration Database</v>
      </c>
      <c r="C1" s="326"/>
      <c r="D1" s="326"/>
      <c r="E1" s="326"/>
      <c r="F1" s="326"/>
      <c r="G1" s="327"/>
    </row>
    <row r="2" spans="2:7">
      <c r="B2" s="328"/>
      <c r="C2" s="328"/>
      <c r="D2" s="328"/>
      <c r="E2" s="328"/>
      <c r="F2" s="328"/>
      <c r="G2" s="329"/>
    </row>
    <row r="3" spans="2:7">
      <c r="B3" s="330" t="s">
        <v>15</v>
      </c>
      <c r="C3" s="331"/>
      <c r="D3" s="332" t="s">
        <v>16</v>
      </c>
      <c r="E3" s="333">
        <f>INDEX(B5:B100,COUNTA(B5:B100)*1)</f>
        <v>2</v>
      </c>
      <c r="F3" s="334"/>
      <c r="G3" s="329"/>
    </row>
    <row r="4" spans="2:7" ht="15" customHeight="1">
      <c r="B4" s="335" t="s">
        <v>17</v>
      </c>
      <c r="C4" s="335" t="s">
        <v>18</v>
      </c>
      <c r="D4" s="335" t="s">
        <v>19</v>
      </c>
      <c r="E4" s="335" t="s">
        <v>20</v>
      </c>
      <c r="F4" s="335" t="s">
        <v>21</v>
      </c>
      <c r="G4" s="329"/>
    </row>
    <row r="5" spans="2:7">
      <c r="B5" s="336">
        <v>1</v>
      </c>
      <c r="C5" s="337" t="s">
        <v>22</v>
      </c>
      <c r="D5" s="338">
        <v>45679</v>
      </c>
      <c r="E5" s="337" t="s">
        <v>23</v>
      </c>
      <c r="F5" s="339" t="s">
        <v>24</v>
      </c>
      <c r="G5" s="329"/>
    </row>
    <row r="6" spans="2:7">
      <c r="B6" s="340">
        <v>2</v>
      </c>
      <c r="C6" s="337" t="s">
        <v>25</v>
      </c>
      <c r="D6" s="338">
        <v>45700</v>
      </c>
      <c r="E6" s="341" t="s">
        <v>23</v>
      </c>
      <c r="F6" s="339"/>
      <c r="G6" s="329"/>
    </row>
    <row r="7" spans="2:7">
      <c r="B7" s="340"/>
      <c r="C7" s="337"/>
      <c r="D7" s="338"/>
      <c r="E7" s="341"/>
      <c r="F7" s="342"/>
      <c r="G7" s="329"/>
    </row>
    <row r="8" spans="2:7">
      <c r="B8" s="340"/>
      <c r="C8" s="337"/>
      <c r="D8" s="338"/>
      <c r="E8" s="341"/>
      <c r="F8" s="342"/>
      <c r="G8" s="329"/>
    </row>
    <row r="9" spans="2:7" ht="15" customHeight="1">
      <c r="B9" s="340"/>
      <c r="C9" s="337"/>
      <c r="D9" s="338"/>
      <c r="E9" s="341"/>
      <c r="F9" s="342"/>
      <c r="G9" s="329"/>
    </row>
    <row r="10" spans="2:7">
      <c r="B10" s="340"/>
      <c r="C10" s="337"/>
      <c r="D10" s="338"/>
      <c r="E10" s="341"/>
      <c r="F10" s="342"/>
    </row>
    <row r="11" spans="2:7">
      <c r="B11" s="340"/>
      <c r="C11" s="337"/>
      <c r="D11" s="343"/>
      <c r="E11" s="341"/>
      <c r="F11" s="342"/>
      <c r="G11" s="329"/>
    </row>
    <row r="12" spans="2:7" ht="15.75" customHeight="1">
      <c r="B12" s="340"/>
      <c r="C12" s="337"/>
      <c r="D12" s="338"/>
      <c r="E12" s="341"/>
      <c r="F12" s="342"/>
    </row>
    <row r="13" spans="2:7">
      <c r="B13" s="340"/>
      <c r="C13" s="337"/>
      <c r="D13" s="338"/>
      <c r="E13" s="341"/>
      <c r="F13" s="342"/>
    </row>
    <row r="14" spans="2:7">
      <c r="B14" s="340"/>
      <c r="C14" s="337"/>
      <c r="D14" s="338"/>
      <c r="E14" s="341"/>
      <c r="F14" s="342"/>
    </row>
    <row r="15" spans="2:7">
      <c r="B15" s="340"/>
      <c r="C15" s="337"/>
      <c r="D15" s="338"/>
      <c r="E15" s="341"/>
      <c r="F15" s="342"/>
    </row>
    <row r="16" spans="2:7">
      <c r="B16" s="340"/>
      <c r="C16" s="337"/>
      <c r="D16" s="338"/>
      <c r="E16" s="341"/>
      <c r="F16" s="342"/>
    </row>
    <row r="17" spans="2:6">
      <c r="B17" s="340"/>
      <c r="C17" s="337"/>
      <c r="D17" s="338"/>
      <c r="E17" s="341"/>
      <c r="F17" s="342"/>
    </row>
    <row r="18" spans="2:6">
      <c r="B18" s="340"/>
      <c r="C18" s="337"/>
      <c r="D18" s="338"/>
      <c r="E18" s="341"/>
      <c r="F18" s="342"/>
    </row>
    <row r="19" spans="2:6">
      <c r="B19" s="340"/>
      <c r="C19" s="337"/>
      <c r="D19" s="338"/>
      <c r="E19" s="341"/>
      <c r="F19" s="342"/>
    </row>
    <row r="20" spans="2:6">
      <c r="B20" s="340"/>
      <c r="C20" s="337"/>
      <c r="D20" s="338"/>
      <c r="E20" s="341"/>
      <c r="F20" s="342"/>
    </row>
    <row r="21" spans="2:6">
      <c r="B21" s="340"/>
      <c r="C21" s="337"/>
      <c r="D21" s="338"/>
      <c r="E21" s="341"/>
      <c r="F21" s="342"/>
    </row>
    <row r="22" spans="2:6">
      <c r="B22" s="340"/>
      <c r="C22" s="337"/>
      <c r="D22" s="338"/>
      <c r="E22" s="341"/>
      <c r="F22" s="342"/>
    </row>
    <row r="23" spans="2:6">
      <c r="B23" s="340"/>
      <c r="C23" s="337"/>
      <c r="D23" s="338"/>
      <c r="E23" s="341"/>
      <c r="F23" s="342"/>
    </row>
    <row r="24" spans="2:6">
      <c r="B24" s="340"/>
      <c r="C24" s="337"/>
      <c r="D24" s="338"/>
      <c r="E24" s="341"/>
      <c r="F24" s="342"/>
    </row>
    <row r="25" spans="2:6">
      <c r="B25" s="340"/>
      <c r="C25" s="337"/>
      <c r="D25" s="338"/>
      <c r="E25" s="341"/>
      <c r="F25" s="342"/>
    </row>
    <row r="26" spans="2:6">
      <c r="B26" s="340"/>
      <c r="C26" s="337"/>
      <c r="D26" s="338"/>
      <c r="E26" s="341"/>
      <c r="F26" s="342"/>
    </row>
    <row r="27" spans="2:6">
      <c r="B27" s="340"/>
      <c r="C27" s="337"/>
      <c r="D27" s="338"/>
      <c r="E27" s="341"/>
      <c r="F27" s="342"/>
    </row>
    <row r="28" spans="2:6">
      <c r="B28" s="340"/>
      <c r="C28" s="337"/>
      <c r="D28" s="338"/>
      <c r="E28" s="341"/>
      <c r="F28" s="342"/>
    </row>
    <row r="29" spans="2:6">
      <c r="B29" s="340"/>
      <c r="C29" s="337"/>
      <c r="D29" s="338"/>
      <c r="E29" s="341"/>
      <c r="F29" s="342"/>
    </row>
    <row r="30" spans="2:6">
      <c r="B30" s="340"/>
      <c r="C30" s="337"/>
      <c r="D30" s="338"/>
      <c r="E30" s="341"/>
      <c r="F30" s="342"/>
    </row>
    <row r="31" spans="2:6">
      <c r="B31" s="340"/>
      <c r="C31" s="337"/>
      <c r="D31" s="338"/>
      <c r="E31" s="341"/>
      <c r="F31" s="342"/>
    </row>
  </sheetData>
  <pageMargins left="0.7" right="0.7" top="0.75" bottom="0.75" header="0.3" footer="0.3"/>
  <pageSetup paperSize="9" scale="58" fitToHeight="0" orientation="landscape" r:id="rId1"/>
  <headerFooter>
    <oddFooter>&amp;CPrinted out on &amp;D, &amp;T, 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FB366-1379-414A-96A7-9734EE6D3EDA}">
  <sheetPr codeName="Sheet4">
    <outlinePr summaryBelow="0" summaryRight="0"/>
  </sheetPr>
  <dimension ref="A1:FG238"/>
  <sheetViews>
    <sheetView tabSelected="1" zoomScale="85" zoomScaleNormal="85" workbookViewId="0">
      <pane xSplit="1" ySplit="1" topLeftCell="B177" activePane="bottomRight" state="frozen"/>
      <selection pane="topRight" activeCell="B1" sqref="B1"/>
      <selection pane="bottomLeft" activeCell="A2" sqref="A2"/>
      <selection pane="bottomRight" activeCell="BJ220" sqref="BJ220"/>
    </sheetView>
  </sheetViews>
  <sheetFormatPr defaultColWidth="3.7109375" defaultRowHeight="15" customHeight="1" outlineLevelCol="1"/>
  <cols>
    <col min="1" max="1" width="13.5703125" style="1" bestFit="1" customWidth="1"/>
    <col min="2" max="2" width="3.7109375" style="473" bestFit="1" customWidth="1"/>
    <col min="3" max="3" width="8.140625" style="14" customWidth="1"/>
    <col min="4" max="4" width="2.42578125" customWidth="1"/>
    <col min="5" max="60" width="4.140625" customWidth="1" outlineLevel="1"/>
    <col min="61" max="61" width="2.42578125" customWidth="1"/>
    <col min="62" max="104" width="4.140625" customWidth="1" outlineLevel="1"/>
    <col min="105" max="105" width="2.42578125" customWidth="1"/>
    <col min="106" max="117" width="3.7109375" customWidth="1" outlineLevel="1"/>
    <col min="118" max="118" width="2.42578125" customWidth="1"/>
    <col min="119" max="134" width="3.7109375" customWidth="1" outlineLevel="1"/>
    <col min="135" max="135" width="2.42578125" customWidth="1"/>
    <col min="136" max="154" width="3.7109375" customWidth="1" outlineLevel="1"/>
    <col min="155" max="155" width="2.42578125" customWidth="1"/>
    <col min="156" max="163" width="3.7109375" customWidth="1" outlineLevel="1"/>
  </cols>
  <sheetData>
    <row r="1" spans="1:163" s="470" customFormat="1" ht="150.75" customHeight="1">
      <c r="A1" s="478" t="s">
        <v>26</v>
      </c>
      <c r="B1" s="540" t="s">
        <v>27</v>
      </c>
      <c r="C1" s="541" t="s">
        <v>28</v>
      </c>
      <c r="D1" s="542" t="s">
        <v>29</v>
      </c>
      <c r="E1" s="543" t="s">
        <v>30</v>
      </c>
      <c r="F1" s="543" t="s">
        <v>31</v>
      </c>
      <c r="G1" s="543" t="s">
        <v>32</v>
      </c>
      <c r="H1" s="543" t="s">
        <v>33</v>
      </c>
      <c r="I1" s="543" t="s">
        <v>34</v>
      </c>
      <c r="J1" s="543" t="s">
        <v>35</v>
      </c>
      <c r="K1" s="543" t="s">
        <v>36</v>
      </c>
      <c r="L1" s="543" t="s">
        <v>37</v>
      </c>
      <c r="M1" s="543" t="s">
        <v>38</v>
      </c>
      <c r="N1" s="543" t="s">
        <v>39</v>
      </c>
      <c r="O1" s="543" t="s">
        <v>40</v>
      </c>
      <c r="P1" s="543" t="s">
        <v>41</v>
      </c>
      <c r="Q1" s="543" t="s">
        <v>42</v>
      </c>
      <c r="R1" s="543" t="s">
        <v>43</v>
      </c>
      <c r="S1" s="543" t="s">
        <v>44</v>
      </c>
      <c r="T1" s="543" t="s">
        <v>45</v>
      </c>
      <c r="U1" s="543" t="s">
        <v>46</v>
      </c>
      <c r="V1" s="543" t="s">
        <v>47</v>
      </c>
      <c r="W1" s="543" t="s">
        <v>48</v>
      </c>
      <c r="X1" s="543" t="s">
        <v>49</v>
      </c>
      <c r="Y1" s="543" t="s">
        <v>50</v>
      </c>
      <c r="Z1" s="543" t="s">
        <v>51</v>
      </c>
      <c r="AA1" s="543" t="s">
        <v>52</v>
      </c>
      <c r="AB1" s="543" t="s">
        <v>53</v>
      </c>
      <c r="AC1" s="543" t="s">
        <v>54</v>
      </c>
      <c r="AD1" s="543" t="s">
        <v>55</v>
      </c>
      <c r="AE1" s="543" t="s">
        <v>56</v>
      </c>
      <c r="AF1" s="543" t="s">
        <v>57</v>
      </c>
      <c r="AG1" s="543" t="s">
        <v>58</v>
      </c>
      <c r="AH1" s="543" t="s">
        <v>59</v>
      </c>
      <c r="AI1" s="543" t="s">
        <v>60</v>
      </c>
      <c r="AJ1" s="543" t="s">
        <v>61</v>
      </c>
      <c r="AK1" s="543" t="s">
        <v>62</v>
      </c>
      <c r="AL1" s="543" t="s">
        <v>63</v>
      </c>
      <c r="AM1" s="543" t="s">
        <v>64</v>
      </c>
      <c r="AN1" s="543" t="s">
        <v>65</v>
      </c>
      <c r="AO1" s="543" t="s">
        <v>66</v>
      </c>
      <c r="AP1" s="543" t="s">
        <v>67</v>
      </c>
      <c r="AQ1" s="543" t="s">
        <v>68</v>
      </c>
      <c r="AR1" s="543" t="s">
        <v>69</v>
      </c>
      <c r="AS1" s="543" t="s">
        <v>70</v>
      </c>
      <c r="AT1" s="543" t="s">
        <v>71</v>
      </c>
      <c r="AU1" s="543" t="s">
        <v>72</v>
      </c>
      <c r="AV1" s="543" t="s">
        <v>73</v>
      </c>
      <c r="AW1" s="543" t="s">
        <v>74</v>
      </c>
      <c r="AX1" s="543" t="s">
        <v>75</v>
      </c>
      <c r="AY1" s="543" t="s">
        <v>76</v>
      </c>
      <c r="AZ1" s="543" t="s">
        <v>77</v>
      </c>
      <c r="BA1" s="543" t="s">
        <v>78</v>
      </c>
      <c r="BB1" s="543" t="s">
        <v>79</v>
      </c>
      <c r="BC1" s="543" t="s">
        <v>80</v>
      </c>
      <c r="BD1" s="543" t="s">
        <v>81</v>
      </c>
      <c r="BE1" s="543" t="s">
        <v>82</v>
      </c>
      <c r="BF1" s="543" t="s">
        <v>83</v>
      </c>
      <c r="BG1" s="543" t="s">
        <v>84</v>
      </c>
      <c r="BH1" s="543" t="s">
        <v>85</v>
      </c>
      <c r="BI1" s="542" t="s">
        <v>86</v>
      </c>
      <c r="BJ1" s="544" t="s">
        <v>87</v>
      </c>
      <c r="BK1" s="543" t="s">
        <v>88</v>
      </c>
      <c r="BL1" s="543" t="s">
        <v>89</v>
      </c>
      <c r="BM1" s="543" t="s">
        <v>90</v>
      </c>
      <c r="BN1" s="543" t="s">
        <v>91</v>
      </c>
      <c r="BO1" s="543" t="s">
        <v>92</v>
      </c>
      <c r="BP1" s="543" t="s">
        <v>93</v>
      </c>
      <c r="BQ1" s="543" t="s">
        <v>94</v>
      </c>
      <c r="BR1" s="543" t="s">
        <v>95</v>
      </c>
      <c r="BS1" s="543" t="s">
        <v>96</v>
      </c>
      <c r="BT1" s="543" t="s">
        <v>97</v>
      </c>
      <c r="BU1" s="543" t="s">
        <v>98</v>
      </c>
      <c r="BV1" s="543" t="s">
        <v>99</v>
      </c>
      <c r="BW1" s="543" t="s">
        <v>100</v>
      </c>
      <c r="BX1" s="543" t="s">
        <v>101</v>
      </c>
      <c r="BY1" s="543" t="s">
        <v>102</v>
      </c>
      <c r="BZ1" s="543" t="s">
        <v>103</v>
      </c>
      <c r="CA1" s="543" t="s">
        <v>104</v>
      </c>
      <c r="CB1" s="543" t="s">
        <v>105</v>
      </c>
      <c r="CC1" s="543" t="s">
        <v>106</v>
      </c>
      <c r="CD1" s="543" t="s">
        <v>107</v>
      </c>
      <c r="CE1" s="543" t="s">
        <v>108</v>
      </c>
      <c r="CF1" s="543" t="s">
        <v>109</v>
      </c>
      <c r="CG1" s="543" t="s">
        <v>110</v>
      </c>
      <c r="CH1" s="543" t="s">
        <v>111</v>
      </c>
      <c r="CI1" s="543" t="s">
        <v>112</v>
      </c>
      <c r="CJ1" s="543" t="s">
        <v>113</v>
      </c>
      <c r="CK1" s="543" t="s">
        <v>114</v>
      </c>
      <c r="CL1" s="543" t="s">
        <v>115</v>
      </c>
      <c r="CM1" s="543" t="s">
        <v>116</v>
      </c>
      <c r="CN1" s="543" t="s">
        <v>117</v>
      </c>
      <c r="CO1" s="543" t="s">
        <v>118</v>
      </c>
      <c r="CP1" s="543" t="s">
        <v>119</v>
      </c>
      <c r="CQ1" s="543" t="s">
        <v>120</v>
      </c>
      <c r="CR1" s="543" t="s">
        <v>121</v>
      </c>
      <c r="CS1" s="543" t="s">
        <v>122</v>
      </c>
      <c r="CT1" s="543" t="s">
        <v>123</v>
      </c>
      <c r="CU1" s="543" t="s">
        <v>124</v>
      </c>
      <c r="CV1" s="543" t="s">
        <v>125</v>
      </c>
      <c r="CW1" s="543" t="s">
        <v>126</v>
      </c>
      <c r="CX1" s="543" t="s">
        <v>127</v>
      </c>
      <c r="CY1" s="543" t="s">
        <v>128</v>
      </c>
      <c r="CZ1" s="543" t="s">
        <v>129</v>
      </c>
      <c r="DA1" s="545" t="s">
        <v>130</v>
      </c>
      <c r="DB1" s="546" t="s">
        <v>131</v>
      </c>
      <c r="DC1" s="547" t="s">
        <v>132</v>
      </c>
      <c r="DD1" s="548" t="s">
        <v>133</v>
      </c>
      <c r="DE1" s="547" t="s">
        <v>134</v>
      </c>
      <c r="DF1" s="549" t="s">
        <v>135</v>
      </c>
      <c r="DG1" s="549" t="s">
        <v>136</v>
      </c>
      <c r="DH1" s="550" t="s">
        <v>137</v>
      </c>
      <c r="DI1" s="549" t="s">
        <v>138</v>
      </c>
      <c r="DJ1" s="549" t="s">
        <v>139</v>
      </c>
      <c r="DK1" s="549" t="s">
        <v>140</v>
      </c>
      <c r="DL1" s="549" t="s">
        <v>141</v>
      </c>
      <c r="DM1" s="549" t="s">
        <v>142</v>
      </c>
      <c r="DN1" s="545" t="s">
        <v>143</v>
      </c>
      <c r="DO1" s="549" t="s">
        <v>144</v>
      </c>
      <c r="DP1" s="549" t="s">
        <v>145</v>
      </c>
      <c r="DQ1" s="549" t="s">
        <v>146</v>
      </c>
      <c r="DR1" s="549" t="s">
        <v>147</v>
      </c>
      <c r="DS1" s="551" t="s">
        <v>148</v>
      </c>
      <c r="DT1" s="549" t="s">
        <v>149</v>
      </c>
      <c r="DU1" s="552" t="s">
        <v>150</v>
      </c>
      <c r="DV1" s="546" t="s">
        <v>151</v>
      </c>
      <c r="DW1" s="549" t="s">
        <v>152</v>
      </c>
      <c r="DX1" s="551" t="s">
        <v>153</v>
      </c>
      <c r="DY1" s="546" t="s">
        <v>154</v>
      </c>
      <c r="DZ1" s="549" t="s">
        <v>155</v>
      </c>
      <c r="EA1" s="551" t="s">
        <v>156</v>
      </c>
      <c r="EB1" s="546" t="s">
        <v>157</v>
      </c>
      <c r="EC1" s="551" t="s">
        <v>158</v>
      </c>
      <c r="ED1" s="550" t="s">
        <v>159</v>
      </c>
      <c r="EE1" s="545" t="s">
        <v>160</v>
      </c>
      <c r="EF1" s="549" t="s">
        <v>161</v>
      </c>
      <c r="EG1" s="549" t="s">
        <v>162</v>
      </c>
      <c r="EH1" s="549" t="s">
        <v>163</v>
      </c>
      <c r="EI1" s="549" t="s">
        <v>164</v>
      </c>
      <c r="EJ1" s="549" t="s">
        <v>165</v>
      </c>
      <c r="EK1" s="549" t="s">
        <v>166</v>
      </c>
      <c r="EL1" s="549" t="s">
        <v>167</v>
      </c>
      <c r="EM1" s="549" t="s">
        <v>168</v>
      </c>
      <c r="EN1" s="549" t="s">
        <v>169</v>
      </c>
      <c r="EO1" s="549" t="s">
        <v>170</v>
      </c>
      <c r="EP1" s="549" t="s">
        <v>171</v>
      </c>
      <c r="EQ1" s="549" t="s">
        <v>172</v>
      </c>
      <c r="ER1" s="549" t="s">
        <v>173</v>
      </c>
      <c r="ES1" s="549" t="s">
        <v>174</v>
      </c>
      <c r="ET1" s="549" t="s">
        <v>175</v>
      </c>
      <c r="EU1" s="549" t="s">
        <v>176</v>
      </c>
      <c r="EV1" s="549" t="s">
        <v>177</v>
      </c>
      <c r="EW1" s="549" t="s">
        <v>178</v>
      </c>
      <c r="EX1" s="549" t="s">
        <v>179</v>
      </c>
      <c r="EY1" s="545" t="s">
        <v>180</v>
      </c>
      <c r="EZ1" s="549" t="s">
        <v>181</v>
      </c>
      <c r="FA1" s="549" t="s">
        <v>182</v>
      </c>
      <c r="FB1" s="549" t="s">
        <v>183</v>
      </c>
      <c r="FC1" s="549" t="s">
        <v>184</v>
      </c>
      <c r="FD1" s="549" t="s">
        <v>185</v>
      </c>
      <c r="FE1" s="549" t="s">
        <v>186</v>
      </c>
      <c r="FF1" s="549" t="s">
        <v>187</v>
      </c>
      <c r="FG1" s="551" t="s">
        <v>188</v>
      </c>
    </row>
    <row r="2" spans="1:163">
      <c r="A2" s="491" t="s">
        <v>189</v>
      </c>
      <c r="B2" s="492" t="str">
        <f>IF(ISNUMBER(MATCH(A2, 'Pulldown Data'!W:W, 0))=TRUE, "Y", IF(ISNUMBER(MATCH(A2, 'Pulldown Data'!X:X, 0))=TRUE, "M", ""))</f>
        <v/>
      </c>
      <c r="C2" s="493">
        <v>45630</v>
      </c>
      <c r="D2" s="510"/>
      <c r="E2" s="474" t="str">
        <f t="shared" ref="E2:N11" si="0" xml:space="preserve">
IFERROR(
_xlfn.IFNA(
   IF($B2="PLT",
      IF(INDEX(PRJGENVersions, MATCH(TRIM(E$1), PRJGENAlgosMapped, 0), MATCH($A2, PRJGENProjects, 0)), "YES", ""),
      IF(INDEX(RoadmapData, MATCH(TRIM(E$1), RoadmapDataFeatures, 0), MATCH($A2, RoadmapDataProjects, 0)) = "-", "-", INDEX(RoadmapData, MATCH(TRIM(E$1), RoadmapDataFeatures, 0), MATCH($A2, RoadmapDataProjects, 0)))),
""),
"")</f>
        <v>YES</v>
      </c>
      <c r="F2" s="475" t="str">
        <f t="shared" si="0"/>
        <v>YES</v>
      </c>
      <c r="G2" s="494" t="str">
        <f t="shared" si="0"/>
        <v>NO</v>
      </c>
      <c r="H2" s="475" t="str">
        <f t="shared" si="0"/>
        <v>NO</v>
      </c>
      <c r="I2" s="475" t="str">
        <f t="shared" si="0"/>
        <v>NO</v>
      </c>
      <c r="J2" s="475" t="str">
        <f t="shared" si="0"/>
        <v>NO</v>
      </c>
      <c r="K2" s="475" t="str">
        <f t="shared" si="0"/>
        <v>NO</v>
      </c>
      <c r="L2" s="475" t="str">
        <f t="shared" si="0"/>
        <v>NO</v>
      </c>
      <c r="M2" s="475" t="str">
        <f t="shared" si="0"/>
        <v>NO</v>
      </c>
      <c r="N2" s="475" t="str">
        <f t="shared" si="0"/>
        <v>NO</v>
      </c>
      <c r="O2" s="475" t="str">
        <f t="shared" ref="O2:X11" si="1" xml:space="preserve">
IFERROR(
_xlfn.IFNA(
   IF($B2="PLT",
      IF(INDEX(PRJGENVersions, MATCH(TRIM(O$1), PRJGENAlgosMapped, 0), MATCH($A2, PRJGENProjects, 0)), "YES", ""),
      IF(INDEX(RoadmapData, MATCH(TRIM(O$1), RoadmapDataFeatures, 0), MATCH($A2, RoadmapDataProjects, 0)) = "-", "-", INDEX(RoadmapData, MATCH(TRIM(O$1), RoadmapDataFeatures, 0), MATCH($A2, RoadmapDataProjects, 0)))),
""),
"")</f>
        <v>NO</v>
      </c>
      <c r="P2" s="475" t="str">
        <f t="shared" si="1"/>
        <v>NO</v>
      </c>
      <c r="Q2" s="475" t="str">
        <f t="shared" si="1"/>
        <v>NO</v>
      </c>
      <c r="R2" s="475" t="str">
        <f t="shared" si="1"/>
        <v>NO</v>
      </c>
      <c r="S2" s="475" t="str">
        <f t="shared" si="1"/>
        <v>NO</v>
      </c>
      <c r="T2" s="475" t="str">
        <f t="shared" si="1"/>
        <v>NO</v>
      </c>
      <c r="U2" s="475" t="str">
        <f t="shared" si="1"/>
        <v>NO</v>
      </c>
      <c r="V2" s="475" t="str">
        <f t="shared" si="1"/>
        <v>NO</v>
      </c>
      <c r="W2" s="475" t="str">
        <f t="shared" si="1"/>
        <v>NO</v>
      </c>
      <c r="X2" s="475" t="str">
        <f t="shared" si="1"/>
        <v>NO</v>
      </c>
      <c r="Y2" s="475" t="str">
        <f t="shared" ref="Y2:AH11" si="2" xml:space="preserve">
IFERROR(
_xlfn.IFNA(
   IF($B2="PLT",
      IF(INDEX(PRJGENVersions, MATCH(TRIM(Y$1), PRJGENAlgosMapped, 0), MATCH($A2, PRJGENProjects, 0)), "YES", ""),
      IF(INDEX(RoadmapData, MATCH(TRIM(Y$1), RoadmapDataFeatures, 0), MATCH($A2, RoadmapDataProjects, 0)) = "-", "-", INDEX(RoadmapData, MATCH(TRIM(Y$1), RoadmapDataFeatures, 0), MATCH($A2, RoadmapDataProjects, 0)))),
""),
"")</f>
        <v>NO</v>
      </c>
      <c r="Z2" s="475" t="str">
        <f t="shared" si="2"/>
        <v>NO</v>
      </c>
      <c r="AA2" s="475" t="str">
        <f t="shared" si="2"/>
        <v>NO</v>
      </c>
      <c r="AB2" s="475" t="str">
        <f t="shared" si="2"/>
        <v>YES</v>
      </c>
      <c r="AC2" s="475" t="str">
        <f t="shared" si="2"/>
        <v>NO</v>
      </c>
      <c r="AD2" s="475" t="str">
        <f t="shared" si="2"/>
        <v>NO</v>
      </c>
      <c r="AE2" s="475" t="str">
        <f t="shared" si="2"/>
        <v>NO</v>
      </c>
      <c r="AF2" s="475" t="str">
        <f t="shared" si="2"/>
        <v>NO</v>
      </c>
      <c r="AG2" s="475" t="str">
        <f t="shared" si="2"/>
        <v>NO</v>
      </c>
      <c r="AH2" s="475" t="str">
        <f t="shared" si="2"/>
        <v>NO</v>
      </c>
      <c r="AI2" s="475" t="str">
        <f t="shared" ref="AI2:AR11" si="3" xml:space="preserve">
IFERROR(
_xlfn.IFNA(
   IF($B2="PLT",
      IF(INDEX(PRJGENVersions, MATCH(TRIM(AI$1), PRJGENAlgosMapped, 0), MATCH($A2, PRJGENProjects, 0)), "YES", ""),
      IF(INDEX(RoadmapData, MATCH(TRIM(AI$1), RoadmapDataFeatures, 0), MATCH($A2, RoadmapDataProjects, 0)) = "-", "-", INDEX(RoadmapData, MATCH(TRIM(AI$1), RoadmapDataFeatures, 0), MATCH($A2, RoadmapDataProjects, 0)))),
""),
"")</f>
        <v>NO</v>
      </c>
      <c r="AJ2" s="475" t="str">
        <f t="shared" si="3"/>
        <v>NO</v>
      </c>
      <c r="AK2" s="475" t="str">
        <f t="shared" si="3"/>
        <v>NO</v>
      </c>
      <c r="AL2" s="475" t="str">
        <f t="shared" si="3"/>
        <v>NO</v>
      </c>
      <c r="AM2" s="475" t="str">
        <f t="shared" si="3"/>
        <v>NO</v>
      </c>
      <c r="AN2" s="475" t="str">
        <f t="shared" si="3"/>
        <v>NO</v>
      </c>
      <c r="AO2" s="475" t="str">
        <f t="shared" si="3"/>
        <v>NO</v>
      </c>
      <c r="AP2" s="475" t="str">
        <f t="shared" si="3"/>
        <v>NO</v>
      </c>
      <c r="AQ2" s="475" t="str">
        <f t="shared" si="3"/>
        <v>NO</v>
      </c>
      <c r="AR2" s="475" t="str">
        <f t="shared" si="3"/>
        <v>NO</v>
      </c>
      <c r="AS2" s="475" t="str">
        <f t="shared" ref="AS2:BB11" si="4" xml:space="preserve">
IFERROR(
_xlfn.IFNA(
   IF($B2="PLT",
      IF(INDEX(PRJGENVersions, MATCH(TRIM(AS$1), PRJGENAlgosMapped, 0), MATCH($A2, PRJGENProjects, 0)), "YES", ""),
      IF(INDEX(RoadmapData, MATCH(TRIM(AS$1), RoadmapDataFeatures, 0), MATCH($A2, RoadmapDataProjects, 0)) = "-", "-", INDEX(RoadmapData, MATCH(TRIM(AS$1), RoadmapDataFeatures, 0), MATCH($A2, RoadmapDataProjects, 0)))),
""),
"")</f>
        <v>NO</v>
      </c>
      <c r="AT2" s="475" t="str">
        <f t="shared" si="4"/>
        <v>NO</v>
      </c>
      <c r="AU2" s="475" t="str">
        <f t="shared" si="4"/>
        <v>NO</v>
      </c>
      <c r="AV2" s="475" t="str">
        <f t="shared" si="4"/>
        <v>NO</v>
      </c>
      <c r="AW2" s="475" t="str">
        <f t="shared" si="4"/>
        <v>NO</v>
      </c>
      <c r="AX2" s="475" t="str">
        <f t="shared" si="4"/>
        <v>NO</v>
      </c>
      <c r="AY2" s="475" t="str">
        <f t="shared" si="4"/>
        <v>NO</v>
      </c>
      <c r="AZ2" s="475" t="str">
        <f t="shared" si="4"/>
        <v>NO</v>
      </c>
      <c r="BA2" s="475" t="str">
        <f t="shared" si="4"/>
        <v>NO</v>
      </c>
      <c r="BB2" s="475" t="str">
        <f t="shared" si="4"/>
        <v>NO</v>
      </c>
      <c r="BC2" s="475" t="str">
        <f t="shared" ref="BC2:BH11" si="5" xml:space="preserve">
IFERROR(
_xlfn.IFNA(
   IF($B2="PLT",
      IF(INDEX(PRJGENVersions, MATCH(TRIM(BC$1), PRJGENAlgosMapped, 0), MATCH($A2, PRJGENProjects, 0)), "YES", ""),
      IF(INDEX(RoadmapData, MATCH(TRIM(BC$1), RoadmapDataFeatures, 0), MATCH($A2, RoadmapDataProjects, 0)) = "-", "-", INDEX(RoadmapData, MATCH(TRIM(BC$1), RoadmapDataFeatures, 0), MATCH($A2, RoadmapDataProjects, 0)))),
""),
"")</f>
        <v>NO</v>
      </c>
      <c r="BD2" s="475" t="str">
        <f t="shared" si="5"/>
        <v>NO</v>
      </c>
      <c r="BE2" s="475" t="str">
        <f t="shared" si="5"/>
        <v>NO</v>
      </c>
      <c r="BF2" s="475" t="str">
        <f t="shared" si="5"/>
        <v>NO</v>
      </c>
      <c r="BG2" s="475" t="str">
        <f t="shared" si="5"/>
        <v>NO</v>
      </c>
      <c r="BH2" s="495" t="str">
        <f t="shared" si="5"/>
        <v>NO</v>
      </c>
      <c r="BI2" s="510"/>
      <c r="BJ2" s="474" t="str">
        <f t="shared" ref="BJ2:BS11" si="6">_xlfn.IFNA(IF(INDEX(RoadmapData, MATCH(TRIM(BJ$1), RoadmapDataFeatures, 0), MATCH($A2, RoadmapDataProjects, 0)) = "-", "-", INDEX(RoadmapData, MATCH(TRIM(BJ$1), RoadmapDataFeatures, 0), MATCH($A2, RoadmapDataProjects, 0))), "")</f>
        <v>NO</v>
      </c>
      <c r="BK2" s="475" t="str">
        <f t="shared" si="6"/>
        <v>NO</v>
      </c>
      <c r="BL2" s="475" t="str">
        <f t="shared" si="6"/>
        <v>NO</v>
      </c>
      <c r="BM2" s="475" t="str">
        <f t="shared" si="6"/>
        <v>NO</v>
      </c>
      <c r="BN2" s="475" t="str">
        <f t="shared" si="6"/>
        <v>NO</v>
      </c>
      <c r="BO2" s="475" t="str">
        <f t="shared" si="6"/>
        <v>NO</v>
      </c>
      <c r="BP2" s="475" t="str">
        <f t="shared" si="6"/>
        <v>NO</v>
      </c>
      <c r="BQ2" s="475" t="str">
        <f t="shared" si="6"/>
        <v>NO</v>
      </c>
      <c r="BR2" s="475" t="str">
        <f t="shared" si="6"/>
        <v>NO</v>
      </c>
      <c r="BS2" s="475" t="str">
        <f t="shared" si="6"/>
        <v>NO</v>
      </c>
      <c r="BT2" s="475" t="str">
        <f t="shared" ref="BT2:CC11" si="7">_xlfn.IFNA(IF(INDEX(RoadmapData, MATCH(TRIM(BT$1), RoadmapDataFeatures, 0), MATCH($A2, RoadmapDataProjects, 0)) = "-", "-", INDEX(RoadmapData, MATCH(TRIM(BT$1), RoadmapDataFeatures, 0), MATCH($A2, RoadmapDataProjects, 0))), "")</f>
        <v>NO</v>
      </c>
      <c r="BU2" s="475" t="str">
        <f t="shared" si="7"/>
        <v>NO</v>
      </c>
      <c r="BV2" s="475" t="str">
        <f t="shared" si="7"/>
        <v>NO</v>
      </c>
      <c r="BW2" s="475" t="str">
        <f t="shared" si="7"/>
        <v>NO</v>
      </c>
      <c r="BX2" s="475" t="str">
        <f t="shared" si="7"/>
        <v>NO</v>
      </c>
      <c r="BY2" s="475" t="str">
        <f t="shared" si="7"/>
        <v>NO</v>
      </c>
      <c r="BZ2" s="475" t="str">
        <f t="shared" si="7"/>
        <v>NO</v>
      </c>
      <c r="CA2" s="475" t="str">
        <f t="shared" si="7"/>
        <v>NO</v>
      </c>
      <c r="CB2" s="475" t="str">
        <f t="shared" si="7"/>
        <v>NO</v>
      </c>
      <c r="CC2" s="475" t="str">
        <f t="shared" si="7"/>
        <v>NO</v>
      </c>
      <c r="CD2" s="475" t="str">
        <f t="shared" ref="CD2:CM11" si="8">_xlfn.IFNA(IF(INDEX(RoadmapData, MATCH(TRIM(CD$1), RoadmapDataFeatures, 0), MATCH($A2, RoadmapDataProjects, 0)) = "-", "-", INDEX(RoadmapData, MATCH(TRIM(CD$1), RoadmapDataFeatures, 0), MATCH($A2, RoadmapDataProjects, 0))), "")</f>
        <v>NO</v>
      </c>
      <c r="CE2" s="475" t="str">
        <f t="shared" si="8"/>
        <v>NO</v>
      </c>
      <c r="CF2" s="475" t="str">
        <f t="shared" si="8"/>
        <v>NO</v>
      </c>
      <c r="CG2" s="475" t="str">
        <f t="shared" si="8"/>
        <v>NO</v>
      </c>
      <c r="CH2" s="475" t="str">
        <f t="shared" si="8"/>
        <v>NO</v>
      </c>
      <c r="CI2" s="475" t="str">
        <f t="shared" si="8"/>
        <v>NO</v>
      </c>
      <c r="CJ2" s="475" t="str">
        <f t="shared" si="8"/>
        <v>NO</v>
      </c>
      <c r="CK2" s="475" t="str">
        <f t="shared" si="8"/>
        <v>NO</v>
      </c>
      <c r="CL2" s="475" t="str">
        <f t="shared" si="8"/>
        <v>NO</v>
      </c>
      <c r="CM2" s="475" t="str">
        <f t="shared" si="8"/>
        <v>NO</v>
      </c>
      <c r="CN2" s="475" t="str">
        <f t="shared" ref="CN2:CZ11" si="9">_xlfn.IFNA(IF(INDEX(RoadmapData, MATCH(TRIM(CN$1), RoadmapDataFeatures, 0), MATCH($A2, RoadmapDataProjects, 0)) = "-", "-", INDEX(RoadmapData, MATCH(TRIM(CN$1), RoadmapDataFeatures, 0), MATCH($A2, RoadmapDataProjects, 0))), "")</f>
        <v>NO</v>
      </c>
      <c r="CO2" s="475" t="str">
        <f t="shared" si="9"/>
        <v>NO</v>
      </c>
      <c r="CP2" s="475" t="str">
        <f t="shared" si="9"/>
        <v>NO</v>
      </c>
      <c r="CQ2" s="475" t="str">
        <f t="shared" si="9"/>
        <v>NO</v>
      </c>
      <c r="CR2" s="475" t="str">
        <f t="shared" si="9"/>
        <v>NO</v>
      </c>
      <c r="CS2" s="475" t="str">
        <f t="shared" si="9"/>
        <v>NO</v>
      </c>
      <c r="CT2" s="475" t="str">
        <f t="shared" si="9"/>
        <v>NO</v>
      </c>
      <c r="CU2" s="475" t="str">
        <f t="shared" si="9"/>
        <v>NO</v>
      </c>
      <c r="CV2" s="475" t="str">
        <f t="shared" si="9"/>
        <v>NO</v>
      </c>
      <c r="CW2" s="475" t="str">
        <f t="shared" si="9"/>
        <v>NO</v>
      </c>
      <c r="CX2" s="475" t="str">
        <f t="shared" si="9"/>
        <v>NO</v>
      </c>
      <c r="CY2" s="475" t="str">
        <f t="shared" si="9"/>
        <v>NO</v>
      </c>
      <c r="CZ2" s="495" t="str">
        <f t="shared" si="9"/>
        <v>NO</v>
      </c>
      <c r="DA2" s="510"/>
      <c r="DB2" s="496"/>
      <c r="DC2" s="500"/>
      <c r="DD2" s="498"/>
      <c r="DE2" s="511"/>
      <c r="DF2" s="515"/>
      <c r="DG2" s="507"/>
      <c r="DH2" s="498"/>
      <c r="DI2" s="497"/>
      <c r="DJ2" s="497"/>
      <c r="DK2" s="497"/>
      <c r="DL2" s="499"/>
      <c r="DM2" s="501"/>
      <c r="DN2" s="510"/>
      <c r="DO2" s="496"/>
      <c r="DP2" s="499"/>
      <c r="DQ2" s="499"/>
      <c r="DR2" s="499"/>
      <c r="DS2" s="507"/>
      <c r="DT2" s="524"/>
      <c r="DU2" s="524"/>
      <c r="DV2" s="498"/>
      <c r="DW2" s="499"/>
      <c r="DX2" s="500"/>
      <c r="DY2" s="498"/>
      <c r="DZ2" s="499"/>
      <c r="EA2" s="500"/>
      <c r="EB2" s="498"/>
      <c r="EC2" s="500"/>
      <c r="ED2" s="459"/>
      <c r="EE2" s="510"/>
      <c r="EF2" s="498"/>
      <c r="EG2" s="497"/>
      <c r="EH2" s="499"/>
      <c r="EI2" s="499"/>
      <c r="EJ2" s="499"/>
      <c r="EK2" s="499"/>
      <c r="EL2" s="499"/>
      <c r="EM2" s="499"/>
      <c r="EN2" s="499"/>
      <c r="EO2" s="499"/>
      <c r="EP2" s="499"/>
      <c r="EQ2" s="499"/>
      <c r="ER2" s="499"/>
      <c r="ES2" s="499"/>
      <c r="ET2" s="499"/>
      <c r="EU2" s="499"/>
      <c r="EV2" s="499"/>
      <c r="EW2" s="500"/>
      <c r="EX2" s="500"/>
      <c r="EY2" s="510"/>
      <c r="EZ2" s="496"/>
      <c r="FA2" s="499"/>
      <c r="FB2" s="499"/>
      <c r="FC2" s="499"/>
      <c r="FD2" s="499"/>
      <c r="FE2" s="499"/>
      <c r="FF2" s="499"/>
      <c r="FG2" s="501"/>
    </row>
    <row r="3" spans="1:163">
      <c r="A3" s="467" t="s">
        <v>190</v>
      </c>
      <c r="B3" s="471" t="str">
        <f>IF(ISNUMBER(MATCH(A3, 'Pulldown Data'!W:W, 0))=TRUE, "Y", IF(ISNUMBER(MATCH(A3, 'Pulldown Data'!X:X, 0))=TRUE, "M", ""))</f>
        <v/>
      </c>
      <c r="C3" s="442"/>
      <c r="D3" s="502"/>
      <c r="E3" s="474" t="str">
        <f t="shared" si="0"/>
        <v/>
      </c>
      <c r="F3" s="475" t="str">
        <f t="shared" si="0"/>
        <v/>
      </c>
      <c r="G3" s="444" t="str">
        <f t="shared" si="0"/>
        <v/>
      </c>
      <c r="H3" s="444" t="str">
        <f t="shared" si="0"/>
        <v/>
      </c>
      <c r="I3" s="444" t="str">
        <f t="shared" si="0"/>
        <v/>
      </c>
      <c r="J3" s="444" t="str">
        <f t="shared" si="0"/>
        <v/>
      </c>
      <c r="K3" s="444" t="str">
        <f t="shared" si="0"/>
        <v/>
      </c>
      <c r="L3" s="444" t="str">
        <f t="shared" si="0"/>
        <v/>
      </c>
      <c r="M3" s="444" t="str">
        <f t="shared" si="0"/>
        <v/>
      </c>
      <c r="N3" s="444" t="str">
        <f t="shared" si="0"/>
        <v/>
      </c>
      <c r="O3" s="444" t="str">
        <f t="shared" si="1"/>
        <v/>
      </c>
      <c r="P3" s="444" t="str">
        <f t="shared" si="1"/>
        <v/>
      </c>
      <c r="Q3" s="444" t="str">
        <f t="shared" si="1"/>
        <v/>
      </c>
      <c r="R3" s="444" t="str">
        <f t="shared" si="1"/>
        <v/>
      </c>
      <c r="S3" s="444" t="str">
        <f t="shared" si="1"/>
        <v/>
      </c>
      <c r="T3" s="444" t="str">
        <f t="shared" si="1"/>
        <v/>
      </c>
      <c r="U3" s="444" t="str">
        <f t="shared" si="1"/>
        <v/>
      </c>
      <c r="V3" s="444" t="str">
        <f t="shared" si="1"/>
        <v/>
      </c>
      <c r="W3" s="444" t="str">
        <f t="shared" si="1"/>
        <v/>
      </c>
      <c r="X3" s="444" t="str">
        <f t="shared" si="1"/>
        <v/>
      </c>
      <c r="Y3" s="444" t="str">
        <f t="shared" si="2"/>
        <v/>
      </c>
      <c r="Z3" s="444" t="str">
        <f t="shared" si="2"/>
        <v/>
      </c>
      <c r="AA3" s="444" t="str">
        <f t="shared" si="2"/>
        <v/>
      </c>
      <c r="AB3" s="444" t="str">
        <f t="shared" si="2"/>
        <v/>
      </c>
      <c r="AC3" s="444" t="str">
        <f t="shared" si="2"/>
        <v/>
      </c>
      <c r="AD3" s="444" t="str">
        <f t="shared" si="2"/>
        <v/>
      </c>
      <c r="AE3" s="444" t="str">
        <f t="shared" si="2"/>
        <v/>
      </c>
      <c r="AF3" s="444" t="str">
        <f t="shared" si="2"/>
        <v/>
      </c>
      <c r="AG3" s="444" t="str">
        <f t="shared" si="2"/>
        <v/>
      </c>
      <c r="AH3" s="444" t="str">
        <f t="shared" si="2"/>
        <v/>
      </c>
      <c r="AI3" s="444" t="str">
        <f t="shared" si="3"/>
        <v/>
      </c>
      <c r="AJ3" s="444" t="str">
        <f t="shared" si="3"/>
        <v/>
      </c>
      <c r="AK3" s="444" t="str">
        <f t="shared" si="3"/>
        <v/>
      </c>
      <c r="AL3" s="444" t="str">
        <f t="shared" si="3"/>
        <v/>
      </c>
      <c r="AM3" s="444" t="str">
        <f t="shared" si="3"/>
        <v/>
      </c>
      <c r="AN3" s="444" t="str">
        <f t="shared" si="3"/>
        <v/>
      </c>
      <c r="AO3" s="444" t="str">
        <f t="shared" si="3"/>
        <v/>
      </c>
      <c r="AP3" s="444" t="str">
        <f t="shared" si="3"/>
        <v/>
      </c>
      <c r="AQ3" s="444" t="str">
        <f t="shared" si="3"/>
        <v/>
      </c>
      <c r="AR3" s="444" t="str">
        <f t="shared" si="3"/>
        <v/>
      </c>
      <c r="AS3" s="444" t="str">
        <f t="shared" si="4"/>
        <v/>
      </c>
      <c r="AT3" s="444" t="str">
        <f t="shared" si="4"/>
        <v/>
      </c>
      <c r="AU3" s="444" t="str">
        <f t="shared" si="4"/>
        <v/>
      </c>
      <c r="AV3" s="444" t="str">
        <f t="shared" si="4"/>
        <v/>
      </c>
      <c r="AW3" s="444" t="str">
        <f t="shared" si="4"/>
        <v/>
      </c>
      <c r="AX3" s="444" t="str">
        <f t="shared" si="4"/>
        <v/>
      </c>
      <c r="AY3" s="444" t="str">
        <f t="shared" si="4"/>
        <v/>
      </c>
      <c r="AZ3" s="444" t="str">
        <f t="shared" si="4"/>
        <v/>
      </c>
      <c r="BA3" s="444" t="str">
        <f t="shared" si="4"/>
        <v/>
      </c>
      <c r="BB3" s="444" t="str">
        <f t="shared" si="4"/>
        <v/>
      </c>
      <c r="BC3" s="444" t="str">
        <f t="shared" si="5"/>
        <v/>
      </c>
      <c r="BD3" s="444" t="str">
        <f t="shared" si="5"/>
        <v/>
      </c>
      <c r="BE3" s="444" t="str">
        <f t="shared" si="5"/>
        <v/>
      </c>
      <c r="BF3" s="444" t="str">
        <f t="shared" si="5"/>
        <v/>
      </c>
      <c r="BG3" s="444" t="str">
        <f t="shared" si="5"/>
        <v/>
      </c>
      <c r="BH3" s="445" t="str">
        <f t="shared" si="5"/>
        <v/>
      </c>
      <c r="BI3" s="502"/>
      <c r="BJ3" s="474" t="str">
        <f t="shared" si="6"/>
        <v/>
      </c>
      <c r="BK3" s="475" t="str">
        <f t="shared" si="6"/>
        <v/>
      </c>
      <c r="BL3" s="475" t="str">
        <f t="shared" si="6"/>
        <v/>
      </c>
      <c r="BM3" s="475" t="str">
        <f t="shared" si="6"/>
        <v/>
      </c>
      <c r="BN3" s="475" t="str">
        <f t="shared" si="6"/>
        <v/>
      </c>
      <c r="BO3" s="475" t="str">
        <f t="shared" si="6"/>
        <v/>
      </c>
      <c r="BP3" s="475" t="str">
        <f t="shared" si="6"/>
        <v/>
      </c>
      <c r="BQ3" s="475" t="str">
        <f t="shared" si="6"/>
        <v/>
      </c>
      <c r="BR3" s="475" t="str">
        <f t="shared" si="6"/>
        <v/>
      </c>
      <c r="BS3" s="475" t="str">
        <f t="shared" si="6"/>
        <v/>
      </c>
      <c r="BT3" s="475" t="str">
        <f t="shared" si="7"/>
        <v/>
      </c>
      <c r="BU3" s="475" t="str">
        <f t="shared" si="7"/>
        <v/>
      </c>
      <c r="BV3" s="475" t="str">
        <f t="shared" si="7"/>
        <v/>
      </c>
      <c r="BW3" s="475" t="str">
        <f t="shared" si="7"/>
        <v/>
      </c>
      <c r="BX3" s="475" t="str">
        <f t="shared" si="7"/>
        <v/>
      </c>
      <c r="BY3" s="475" t="str">
        <f t="shared" si="7"/>
        <v/>
      </c>
      <c r="BZ3" s="475" t="str">
        <f t="shared" si="7"/>
        <v/>
      </c>
      <c r="CA3" s="475" t="str">
        <f t="shared" si="7"/>
        <v/>
      </c>
      <c r="CB3" s="475" t="str">
        <f t="shared" si="7"/>
        <v/>
      </c>
      <c r="CC3" s="475" t="str">
        <f t="shared" si="7"/>
        <v/>
      </c>
      <c r="CD3" s="475" t="str">
        <f t="shared" si="8"/>
        <v/>
      </c>
      <c r="CE3" s="475" t="str">
        <f t="shared" si="8"/>
        <v/>
      </c>
      <c r="CF3" s="475" t="str">
        <f t="shared" si="8"/>
        <v/>
      </c>
      <c r="CG3" s="475" t="str">
        <f t="shared" si="8"/>
        <v/>
      </c>
      <c r="CH3" s="475" t="str">
        <f t="shared" si="8"/>
        <v/>
      </c>
      <c r="CI3" s="475" t="str">
        <f t="shared" si="8"/>
        <v/>
      </c>
      <c r="CJ3" s="475" t="str">
        <f t="shared" si="8"/>
        <v/>
      </c>
      <c r="CK3" s="475" t="str">
        <f t="shared" si="8"/>
        <v/>
      </c>
      <c r="CL3" s="475" t="str">
        <f t="shared" si="8"/>
        <v/>
      </c>
      <c r="CM3" s="475" t="str">
        <f t="shared" si="8"/>
        <v/>
      </c>
      <c r="CN3" s="475" t="str">
        <f t="shared" si="9"/>
        <v/>
      </c>
      <c r="CO3" s="475" t="str">
        <f t="shared" si="9"/>
        <v/>
      </c>
      <c r="CP3" s="475" t="str">
        <f t="shared" si="9"/>
        <v/>
      </c>
      <c r="CQ3" s="475" t="str">
        <f t="shared" si="9"/>
        <v/>
      </c>
      <c r="CR3" s="475" t="str">
        <f t="shared" si="9"/>
        <v/>
      </c>
      <c r="CS3" s="475" t="str">
        <f t="shared" si="9"/>
        <v/>
      </c>
      <c r="CT3" s="475" t="str">
        <f t="shared" si="9"/>
        <v/>
      </c>
      <c r="CU3" s="475" t="str">
        <f t="shared" si="9"/>
        <v/>
      </c>
      <c r="CV3" s="475" t="str">
        <f t="shared" si="9"/>
        <v/>
      </c>
      <c r="CW3" s="475" t="str">
        <f t="shared" si="9"/>
        <v/>
      </c>
      <c r="CX3" s="475" t="str">
        <f t="shared" si="9"/>
        <v/>
      </c>
      <c r="CY3" s="475" t="str">
        <f t="shared" si="9"/>
        <v/>
      </c>
      <c r="CZ3" s="495" t="str">
        <f t="shared" si="9"/>
        <v/>
      </c>
      <c r="DA3" s="502"/>
      <c r="DB3" s="460"/>
      <c r="DC3" s="465"/>
      <c r="DD3" s="463"/>
      <c r="DE3" s="512"/>
      <c r="DF3" s="516"/>
      <c r="DG3" s="508"/>
      <c r="DH3" s="463"/>
      <c r="DI3" s="461"/>
      <c r="DJ3" s="461"/>
      <c r="DK3" s="461"/>
      <c r="DL3" s="464"/>
      <c r="DM3" s="466"/>
      <c r="DN3" s="502"/>
      <c r="DO3" s="460"/>
      <c r="DP3" s="464"/>
      <c r="DQ3" s="464"/>
      <c r="DR3" s="464"/>
      <c r="DS3" s="508"/>
      <c r="DT3" s="525"/>
      <c r="DU3" s="525"/>
      <c r="DV3" s="463"/>
      <c r="DW3" s="464"/>
      <c r="DX3" s="465"/>
      <c r="DY3" s="463"/>
      <c r="DZ3" s="464"/>
      <c r="EA3" s="465"/>
      <c r="EB3" s="463"/>
      <c r="EC3" s="465"/>
      <c r="ED3" s="462"/>
      <c r="EE3" s="502"/>
      <c r="EF3" s="463"/>
      <c r="EG3" s="461"/>
      <c r="EH3" s="464"/>
      <c r="EI3" s="464"/>
      <c r="EJ3" s="464"/>
      <c r="EK3" s="464"/>
      <c r="EL3" s="464"/>
      <c r="EM3" s="464"/>
      <c r="EN3" s="464"/>
      <c r="EO3" s="464"/>
      <c r="EP3" s="464"/>
      <c r="EQ3" s="464"/>
      <c r="ER3" s="464"/>
      <c r="ES3" s="464"/>
      <c r="ET3" s="464"/>
      <c r="EU3" s="464"/>
      <c r="EV3" s="464"/>
      <c r="EW3" s="465"/>
      <c r="EX3" s="465"/>
      <c r="EY3" s="502"/>
      <c r="EZ3" s="460"/>
      <c r="FA3" s="464"/>
      <c r="FB3" s="464"/>
      <c r="FC3" s="464"/>
      <c r="FD3" s="464"/>
      <c r="FE3" s="464"/>
      <c r="FF3" s="464"/>
      <c r="FG3" s="466"/>
    </row>
    <row r="4" spans="1:163">
      <c r="A4" s="467" t="s">
        <v>191</v>
      </c>
      <c r="B4" s="471" t="str">
        <f>IF(ISNUMBER(MATCH(A4, 'Pulldown Data'!W:W, 0))=TRUE, "Y", IF(ISNUMBER(MATCH(A4, 'Pulldown Data'!X:X, 0))=TRUE, "M", ""))</f>
        <v/>
      </c>
      <c r="C4" s="442"/>
      <c r="D4" s="502"/>
      <c r="E4" s="443" t="str">
        <f t="shared" si="0"/>
        <v/>
      </c>
      <c r="F4" s="444" t="str">
        <f t="shared" si="0"/>
        <v/>
      </c>
      <c r="G4" s="444" t="str">
        <f t="shared" si="0"/>
        <v/>
      </c>
      <c r="H4" s="444" t="str">
        <f t="shared" si="0"/>
        <v/>
      </c>
      <c r="I4" s="444" t="str">
        <f t="shared" si="0"/>
        <v/>
      </c>
      <c r="J4" s="444" t="str">
        <f t="shared" si="0"/>
        <v/>
      </c>
      <c r="K4" s="444" t="str">
        <f t="shared" si="0"/>
        <v/>
      </c>
      <c r="L4" s="444" t="str">
        <f t="shared" si="0"/>
        <v/>
      </c>
      <c r="M4" s="444" t="str">
        <f t="shared" si="0"/>
        <v/>
      </c>
      <c r="N4" s="444" t="str">
        <f t="shared" si="0"/>
        <v/>
      </c>
      <c r="O4" s="444" t="str">
        <f t="shared" si="1"/>
        <v/>
      </c>
      <c r="P4" s="444" t="str">
        <f t="shared" si="1"/>
        <v/>
      </c>
      <c r="Q4" s="444" t="str">
        <f t="shared" si="1"/>
        <v/>
      </c>
      <c r="R4" s="444" t="str">
        <f t="shared" si="1"/>
        <v/>
      </c>
      <c r="S4" s="444" t="str">
        <f t="shared" si="1"/>
        <v/>
      </c>
      <c r="T4" s="444" t="str">
        <f t="shared" si="1"/>
        <v/>
      </c>
      <c r="U4" s="444" t="str">
        <f t="shared" si="1"/>
        <v/>
      </c>
      <c r="V4" s="444" t="str">
        <f t="shared" si="1"/>
        <v/>
      </c>
      <c r="W4" s="444" t="str">
        <f t="shared" si="1"/>
        <v/>
      </c>
      <c r="X4" s="444" t="str">
        <f t="shared" si="1"/>
        <v/>
      </c>
      <c r="Y4" s="444" t="str">
        <f t="shared" si="2"/>
        <v/>
      </c>
      <c r="Z4" s="444" t="str">
        <f t="shared" si="2"/>
        <v/>
      </c>
      <c r="AA4" s="444" t="str">
        <f t="shared" si="2"/>
        <v/>
      </c>
      <c r="AB4" s="444" t="str">
        <f t="shared" si="2"/>
        <v/>
      </c>
      <c r="AC4" s="444" t="str">
        <f t="shared" si="2"/>
        <v/>
      </c>
      <c r="AD4" s="444" t="str">
        <f t="shared" si="2"/>
        <v/>
      </c>
      <c r="AE4" s="444" t="str">
        <f t="shared" si="2"/>
        <v/>
      </c>
      <c r="AF4" s="444" t="str">
        <f t="shared" si="2"/>
        <v/>
      </c>
      <c r="AG4" s="444" t="str">
        <f t="shared" si="2"/>
        <v/>
      </c>
      <c r="AH4" s="444" t="str">
        <f t="shared" si="2"/>
        <v/>
      </c>
      <c r="AI4" s="444" t="str">
        <f t="shared" si="3"/>
        <v/>
      </c>
      <c r="AJ4" s="444" t="str">
        <f t="shared" si="3"/>
        <v/>
      </c>
      <c r="AK4" s="444" t="str">
        <f t="shared" si="3"/>
        <v/>
      </c>
      <c r="AL4" s="444" t="str">
        <f t="shared" si="3"/>
        <v/>
      </c>
      <c r="AM4" s="444" t="str">
        <f t="shared" si="3"/>
        <v/>
      </c>
      <c r="AN4" s="444" t="str">
        <f t="shared" si="3"/>
        <v/>
      </c>
      <c r="AO4" s="444" t="str">
        <f t="shared" si="3"/>
        <v/>
      </c>
      <c r="AP4" s="444" t="str">
        <f t="shared" si="3"/>
        <v/>
      </c>
      <c r="AQ4" s="444" t="str">
        <f t="shared" si="3"/>
        <v/>
      </c>
      <c r="AR4" s="444" t="str">
        <f t="shared" si="3"/>
        <v/>
      </c>
      <c r="AS4" s="444" t="str">
        <f t="shared" si="4"/>
        <v/>
      </c>
      <c r="AT4" s="444" t="str">
        <f t="shared" si="4"/>
        <v/>
      </c>
      <c r="AU4" s="444" t="str">
        <f t="shared" si="4"/>
        <v/>
      </c>
      <c r="AV4" s="444" t="str">
        <f t="shared" si="4"/>
        <v/>
      </c>
      <c r="AW4" s="444" t="str">
        <f t="shared" si="4"/>
        <v/>
      </c>
      <c r="AX4" s="444" t="str">
        <f t="shared" si="4"/>
        <v/>
      </c>
      <c r="AY4" s="444" t="str">
        <f t="shared" si="4"/>
        <v/>
      </c>
      <c r="AZ4" s="444" t="str">
        <f t="shared" si="4"/>
        <v/>
      </c>
      <c r="BA4" s="444" t="str">
        <f t="shared" si="4"/>
        <v/>
      </c>
      <c r="BB4" s="444" t="str">
        <f t="shared" si="4"/>
        <v/>
      </c>
      <c r="BC4" s="444" t="str">
        <f t="shared" si="5"/>
        <v/>
      </c>
      <c r="BD4" s="444" t="str">
        <f t="shared" si="5"/>
        <v/>
      </c>
      <c r="BE4" s="444" t="str">
        <f t="shared" si="5"/>
        <v/>
      </c>
      <c r="BF4" s="444" t="str">
        <f t="shared" si="5"/>
        <v/>
      </c>
      <c r="BG4" s="444" t="str">
        <f t="shared" si="5"/>
        <v/>
      </c>
      <c r="BH4" s="445" t="str">
        <f t="shared" si="5"/>
        <v/>
      </c>
      <c r="BI4" s="502"/>
      <c r="BJ4" s="474" t="str">
        <f t="shared" si="6"/>
        <v/>
      </c>
      <c r="BK4" s="475" t="str">
        <f t="shared" si="6"/>
        <v/>
      </c>
      <c r="BL4" s="475" t="str">
        <f t="shared" si="6"/>
        <v/>
      </c>
      <c r="BM4" s="475" t="str">
        <f t="shared" si="6"/>
        <v/>
      </c>
      <c r="BN4" s="475" t="str">
        <f t="shared" si="6"/>
        <v/>
      </c>
      <c r="BO4" s="475" t="str">
        <f t="shared" si="6"/>
        <v/>
      </c>
      <c r="BP4" s="475" t="str">
        <f t="shared" si="6"/>
        <v/>
      </c>
      <c r="BQ4" s="475" t="str">
        <f t="shared" si="6"/>
        <v/>
      </c>
      <c r="BR4" s="475" t="str">
        <f t="shared" si="6"/>
        <v/>
      </c>
      <c r="BS4" s="475" t="str">
        <f t="shared" si="6"/>
        <v/>
      </c>
      <c r="BT4" s="475" t="str">
        <f t="shared" si="7"/>
        <v/>
      </c>
      <c r="BU4" s="475" t="str">
        <f t="shared" si="7"/>
        <v/>
      </c>
      <c r="BV4" s="475" t="str">
        <f t="shared" si="7"/>
        <v/>
      </c>
      <c r="BW4" s="475" t="str">
        <f t="shared" si="7"/>
        <v/>
      </c>
      <c r="BX4" s="475" t="str">
        <f t="shared" si="7"/>
        <v/>
      </c>
      <c r="BY4" s="475" t="str">
        <f t="shared" si="7"/>
        <v/>
      </c>
      <c r="BZ4" s="475" t="str">
        <f t="shared" si="7"/>
        <v/>
      </c>
      <c r="CA4" s="475" t="str">
        <f t="shared" si="7"/>
        <v/>
      </c>
      <c r="CB4" s="475" t="str">
        <f t="shared" si="7"/>
        <v/>
      </c>
      <c r="CC4" s="475" t="str">
        <f t="shared" si="7"/>
        <v/>
      </c>
      <c r="CD4" s="475" t="str">
        <f t="shared" si="8"/>
        <v/>
      </c>
      <c r="CE4" s="475" t="str">
        <f t="shared" si="8"/>
        <v/>
      </c>
      <c r="CF4" s="475" t="str">
        <f t="shared" si="8"/>
        <v/>
      </c>
      <c r="CG4" s="475" t="str">
        <f t="shared" si="8"/>
        <v/>
      </c>
      <c r="CH4" s="475" t="str">
        <f t="shared" si="8"/>
        <v/>
      </c>
      <c r="CI4" s="475" t="str">
        <f t="shared" si="8"/>
        <v/>
      </c>
      <c r="CJ4" s="475" t="str">
        <f t="shared" si="8"/>
        <v/>
      </c>
      <c r="CK4" s="475" t="str">
        <f t="shared" si="8"/>
        <v/>
      </c>
      <c r="CL4" s="475" t="str">
        <f t="shared" si="8"/>
        <v/>
      </c>
      <c r="CM4" s="475" t="str">
        <f t="shared" si="8"/>
        <v/>
      </c>
      <c r="CN4" s="475" t="str">
        <f t="shared" si="9"/>
        <v/>
      </c>
      <c r="CO4" s="475" t="str">
        <f t="shared" si="9"/>
        <v/>
      </c>
      <c r="CP4" s="475" t="str">
        <f t="shared" si="9"/>
        <v/>
      </c>
      <c r="CQ4" s="475" t="str">
        <f t="shared" si="9"/>
        <v/>
      </c>
      <c r="CR4" s="475" t="str">
        <f t="shared" si="9"/>
        <v/>
      </c>
      <c r="CS4" s="475" t="str">
        <f t="shared" si="9"/>
        <v/>
      </c>
      <c r="CT4" s="475" t="str">
        <f t="shared" si="9"/>
        <v/>
      </c>
      <c r="CU4" s="475" t="str">
        <f t="shared" si="9"/>
        <v/>
      </c>
      <c r="CV4" s="475" t="str">
        <f t="shared" si="9"/>
        <v/>
      </c>
      <c r="CW4" s="475" t="str">
        <f t="shared" si="9"/>
        <v/>
      </c>
      <c r="CX4" s="475" t="str">
        <f t="shared" si="9"/>
        <v/>
      </c>
      <c r="CY4" s="475" t="str">
        <f t="shared" si="9"/>
        <v/>
      </c>
      <c r="CZ4" s="495" t="str">
        <f t="shared" si="9"/>
        <v/>
      </c>
      <c r="DA4" s="502"/>
      <c r="DB4" s="460"/>
      <c r="DC4" s="465"/>
      <c r="DD4" s="463"/>
      <c r="DE4" s="512"/>
      <c r="DF4" s="516"/>
      <c r="DG4" s="508"/>
      <c r="DH4" s="463"/>
      <c r="DI4" s="461"/>
      <c r="DJ4" s="461"/>
      <c r="DK4" s="461"/>
      <c r="DL4" s="464"/>
      <c r="DM4" s="466"/>
      <c r="DN4" s="502"/>
      <c r="DO4" s="460"/>
      <c r="DP4" s="464"/>
      <c r="DQ4" s="464"/>
      <c r="DR4" s="464"/>
      <c r="DS4" s="508"/>
      <c r="DT4" s="525"/>
      <c r="DU4" s="525"/>
      <c r="DV4" s="463"/>
      <c r="DW4" s="464"/>
      <c r="DX4" s="465"/>
      <c r="DY4" s="463"/>
      <c r="DZ4" s="464"/>
      <c r="EA4" s="465"/>
      <c r="EB4" s="463"/>
      <c r="EC4" s="465"/>
      <c r="ED4" s="462"/>
      <c r="EE4" s="502"/>
      <c r="EF4" s="463"/>
      <c r="EG4" s="461"/>
      <c r="EH4" s="464"/>
      <c r="EI4" s="464"/>
      <c r="EJ4" s="464"/>
      <c r="EK4" s="464"/>
      <c r="EL4" s="464"/>
      <c r="EM4" s="464"/>
      <c r="EN4" s="464"/>
      <c r="EO4" s="464"/>
      <c r="EP4" s="464"/>
      <c r="EQ4" s="464"/>
      <c r="ER4" s="464"/>
      <c r="ES4" s="464"/>
      <c r="ET4" s="464"/>
      <c r="EU4" s="464"/>
      <c r="EV4" s="464"/>
      <c r="EW4" s="465"/>
      <c r="EX4" s="465"/>
      <c r="EY4" s="502"/>
      <c r="EZ4" s="460"/>
      <c r="FA4" s="464"/>
      <c r="FB4" s="464"/>
      <c r="FC4" s="464"/>
      <c r="FD4" s="464"/>
      <c r="FE4" s="464"/>
      <c r="FF4" s="464"/>
      <c r="FG4" s="466"/>
    </row>
    <row r="5" spans="1:163">
      <c r="A5" s="467" t="s">
        <v>192</v>
      </c>
      <c r="B5" s="471" t="str">
        <f>IF(ISNUMBER(MATCH(A5, 'Pulldown Data'!W:W, 0))=TRUE, "Y", IF(ISNUMBER(MATCH(A5, 'Pulldown Data'!X:X, 0))=TRUE, "M", ""))</f>
        <v/>
      </c>
      <c r="C5" s="442"/>
      <c r="D5" s="502"/>
      <c r="E5" s="443" t="str">
        <f t="shared" si="0"/>
        <v/>
      </c>
      <c r="F5" s="444" t="str">
        <f t="shared" si="0"/>
        <v/>
      </c>
      <c r="G5" s="444" t="str">
        <f t="shared" si="0"/>
        <v/>
      </c>
      <c r="H5" s="444" t="str">
        <f t="shared" si="0"/>
        <v/>
      </c>
      <c r="I5" s="444" t="str">
        <f t="shared" si="0"/>
        <v/>
      </c>
      <c r="J5" s="444" t="str">
        <f t="shared" si="0"/>
        <v/>
      </c>
      <c r="K5" s="444" t="str">
        <f t="shared" si="0"/>
        <v/>
      </c>
      <c r="L5" s="444" t="str">
        <f t="shared" si="0"/>
        <v/>
      </c>
      <c r="M5" s="444" t="str">
        <f t="shared" si="0"/>
        <v/>
      </c>
      <c r="N5" s="444" t="str">
        <f t="shared" si="0"/>
        <v/>
      </c>
      <c r="O5" s="444" t="str">
        <f t="shared" si="1"/>
        <v/>
      </c>
      <c r="P5" s="444" t="str">
        <f t="shared" si="1"/>
        <v/>
      </c>
      <c r="Q5" s="444" t="str">
        <f t="shared" si="1"/>
        <v/>
      </c>
      <c r="R5" s="444" t="str">
        <f t="shared" si="1"/>
        <v/>
      </c>
      <c r="S5" s="444" t="str">
        <f t="shared" si="1"/>
        <v/>
      </c>
      <c r="T5" s="444" t="str">
        <f t="shared" si="1"/>
        <v/>
      </c>
      <c r="U5" s="444" t="str">
        <f t="shared" si="1"/>
        <v/>
      </c>
      <c r="V5" s="444" t="str">
        <f t="shared" si="1"/>
        <v/>
      </c>
      <c r="W5" s="444" t="str">
        <f t="shared" si="1"/>
        <v/>
      </c>
      <c r="X5" s="444" t="str">
        <f t="shared" si="1"/>
        <v/>
      </c>
      <c r="Y5" s="444" t="str">
        <f t="shared" si="2"/>
        <v/>
      </c>
      <c r="Z5" s="444" t="str">
        <f t="shared" si="2"/>
        <v/>
      </c>
      <c r="AA5" s="444" t="str">
        <f t="shared" si="2"/>
        <v/>
      </c>
      <c r="AB5" s="444" t="str">
        <f t="shared" si="2"/>
        <v/>
      </c>
      <c r="AC5" s="444" t="str">
        <f t="shared" si="2"/>
        <v/>
      </c>
      <c r="AD5" s="444" t="str">
        <f t="shared" si="2"/>
        <v/>
      </c>
      <c r="AE5" s="444" t="str">
        <f t="shared" si="2"/>
        <v/>
      </c>
      <c r="AF5" s="444" t="str">
        <f t="shared" si="2"/>
        <v/>
      </c>
      <c r="AG5" s="444" t="str">
        <f t="shared" si="2"/>
        <v/>
      </c>
      <c r="AH5" s="444" t="str">
        <f t="shared" si="2"/>
        <v/>
      </c>
      <c r="AI5" s="444" t="str">
        <f t="shared" si="3"/>
        <v/>
      </c>
      <c r="AJ5" s="444" t="str">
        <f t="shared" si="3"/>
        <v/>
      </c>
      <c r="AK5" s="444" t="str">
        <f t="shared" si="3"/>
        <v/>
      </c>
      <c r="AL5" s="444" t="str">
        <f t="shared" si="3"/>
        <v/>
      </c>
      <c r="AM5" s="444" t="str">
        <f t="shared" si="3"/>
        <v/>
      </c>
      <c r="AN5" s="444" t="str">
        <f t="shared" si="3"/>
        <v/>
      </c>
      <c r="AO5" s="444" t="str">
        <f t="shared" si="3"/>
        <v/>
      </c>
      <c r="AP5" s="444" t="str">
        <f t="shared" si="3"/>
        <v/>
      </c>
      <c r="AQ5" s="444" t="str">
        <f t="shared" si="3"/>
        <v/>
      </c>
      <c r="AR5" s="444" t="str">
        <f t="shared" si="3"/>
        <v/>
      </c>
      <c r="AS5" s="444" t="str">
        <f t="shared" si="4"/>
        <v/>
      </c>
      <c r="AT5" s="444" t="str">
        <f t="shared" si="4"/>
        <v/>
      </c>
      <c r="AU5" s="444" t="str">
        <f t="shared" si="4"/>
        <v/>
      </c>
      <c r="AV5" s="444" t="str">
        <f t="shared" si="4"/>
        <v/>
      </c>
      <c r="AW5" s="444" t="str">
        <f t="shared" si="4"/>
        <v/>
      </c>
      <c r="AX5" s="444" t="str">
        <f t="shared" si="4"/>
        <v/>
      </c>
      <c r="AY5" s="444" t="str">
        <f t="shared" si="4"/>
        <v/>
      </c>
      <c r="AZ5" s="444" t="str">
        <f t="shared" si="4"/>
        <v/>
      </c>
      <c r="BA5" s="444" t="str">
        <f t="shared" si="4"/>
        <v/>
      </c>
      <c r="BB5" s="444" t="str">
        <f t="shared" si="4"/>
        <v/>
      </c>
      <c r="BC5" s="444" t="str">
        <f t="shared" si="5"/>
        <v/>
      </c>
      <c r="BD5" s="444" t="str">
        <f t="shared" si="5"/>
        <v/>
      </c>
      <c r="BE5" s="444" t="str">
        <f t="shared" si="5"/>
        <v/>
      </c>
      <c r="BF5" s="444" t="str">
        <f t="shared" si="5"/>
        <v/>
      </c>
      <c r="BG5" s="444" t="str">
        <f t="shared" si="5"/>
        <v/>
      </c>
      <c r="BH5" s="445" t="str">
        <f t="shared" si="5"/>
        <v/>
      </c>
      <c r="BI5" s="502"/>
      <c r="BJ5" s="474" t="str">
        <f t="shared" si="6"/>
        <v/>
      </c>
      <c r="BK5" s="475" t="str">
        <f t="shared" si="6"/>
        <v/>
      </c>
      <c r="BL5" s="475" t="str">
        <f t="shared" si="6"/>
        <v/>
      </c>
      <c r="BM5" s="475" t="str">
        <f t="shared" si="6"/>
        <v/>
      </c>
      <c r="BN5" s="475" t="str">
        <f t="shared" si="6"/>
        <v/>
      </c>
      <c r="BO5" s="475" t="str">
        <f t="shared" si="6"/>
        <v/>
      </c>
      <c r="BP5" s="475" t="str">
        <f t="shared" si="6"/>
        <v/>
      </c>
      <c r="BQ5" s="475" t="str">
        <f t="shared" si="6"/>
        <v/>
      </c>
      <c r="BR5" s="475" t="str">
        <f t="shared" si="6"/>
        <v/>
      </c>
      <c r="BS5" s="475" t="str">
        <f t="shared" si="6"/>
        <v/>
      </c>
      <c r="BT5" s="475" t="str">
        <f t="shared" si="7"/>
        <v/>
      </c>
      <c r="BU5" s="475" t="str">
        <f t="shared" si="7"/>
        <v/>
      </c>
      <c r="BV5" s="475" t="str">
        <f t="shared" si="7"/>
        <v/>
      </c>
      <c r="BW5" s="475" t="str">
        <f t="shared" si="7"/>
        <v/>
      </c>
      <c r="BX5" s="475" t="str">
        <f t="shared" si="7"/>
        <v/>
      </c>
      <c r="BY5" s="475" t="str">
        <f t="shared" si="7"/>
        <v/>
      </c>
      <c r="BZ5" s="475" t="str">
        <f t="shared" si="7"/>
        <v/>
      </c>
      <c r="CA5" s="475" t="str">
        <f t="shared" si="7"/>
        <v/>
      </c>
      <c r="CB5" s="475" t="str">
        <f t="shared" si="7"/>
        <v/>
      </c>
      <c r="CC5" s="475" t="str">
        <f t="shared" si="7"/>
        <v/>
      </c>
      <c r="CD5" s="475" t="str">
        <f t="shared" si="8"/>
        <v/>
      </c>
      <c r="CE5" s="475" t="str">
        <f t="shared" si="8"/>
        <v/>
      </c>
      <c r="CF5" s="475" t="str">
        <f t="shared" si="8"/>
        <v/>
      </c>
      <c r="CG5" s="475" t="str">
        <f t="shared" si="8"/>
        <v/>
      </c>
      <c r="CH5" s="475" t="str">
        <f t="shared" si="8"/>
        <v/>
      </c>
      <c r="CI5" s="475" t="str">
        <f t="shared" si="8"/>
        <v/>
      </c>
      <c r="CJ5" s="475" t="str">
        <f t="shared" si="8"/>
        <v/>
      </c>
      <c r="CK5" s="475" t="str">
        <f t="shared" si="8"/>
        <v/>
      </c>
      <c r="CL5" s="475" t="str">
        <f t="shared" si="8"/>
        <v/>
      </c>
      <c r="CM5" s="475" t="str">
        <f t="shared" si="8"/>
        <v/>
      </c>
      <c r="CN5" s="475" t="str">
        <f t="shared" si="9"/>
        <v/>
      </c>
      <c r="CO5" s="475" t="str">
        <f t="shared" si="9"/>
        <v/>
      </c>
      <c r="CP5" s="475" t="str">
        <f t="shared" si="9"/>
        <v/>
      </c>
      <c r="CQ5" s="475" t="str">
        <f t="shared" si="9"/>
        <v/>
      </c>
      <c r="CR5" s="475" t="str">
        <f t="shared" si="9"/>
        <v/>
      </c>
      <c r="CS5" s="475" t="str">
        <f t="shared" si="9"/>
        <v/>
      </c>
      <c r="CT5" s="475" t="str">
        <f t="shared" si="9"/>
        <v/>
      </c>
      <c r="CU5" s="475" t="str">
        <f t="shared" si="9"/>
        <v/>
      </c>
      <c r="CV5" s="475" t="str">
        <f t="shared" si="9"/>
        <v/>
      </c>
      <c r="CW5" s="475" t="str">
        <f t="shared" si="9"/>
        <v/>
      </c>
      <c r="CX5" s="475" t="str">
        <f t="shared" si="9"/>
        <v/>
      </c>
      <c r="CY5" s="475" t="str">
        <f t="shared" si="9"/>
        <v/>
      </c>
      <c r="CZ5" s="495" t="str">
        <f t="shared" si="9"/>
        <v/>
      </c>
      <c r="DA5" s="502"/>
      <c r="DB5" s="460"/>
      <c r="DC5" s="465"/>
      <c r="DD5" s="463"/>
      <c r="DE5" s="512"/>
      <c r="DF5" s="516"/>
      <c r="DG5" s="508"/>
      <c r="DH5" s="463"/>
      <c r="DI5" s="461"/>
      <c r="DJ5" s="461"/>
      <c r="DK5" s="461"/>
      <c r="DL5" s="464"/>
      <c r="DM5" s="466"/>
      <c r="DN5" s="502"/>
      <c r="DO5" s="460"/>
      <c r="DP5" s="464"/>
      <c r="DQ5" s="464"/>
      <c r="DR5" s="464"/>
      <c r="DS5" s="508"/>
      <c r="DT5" s="525"/>
      <c r="DU5" s="525"/>
      <c r="DV5" s="463"/>
      <c r="DW5" s="464"/>
      <c r="DX5" s="465"/>
      <c r="DY5" s="463"/>
      <c r="DZ5" s="464"/>
      <c r="EA5" s="465"/>
      <c r="EB5" s="463"/>
      <c r="EC5" s="465"/>
      <c r="ED5" s="462"/>
      <c r="EE5" s="502"/>
      <c r="EF5" s="463"/>
      <c r="EG5" s="461"/>
      <c r="EH5" s="464"/>
      <c r="EI5" s="464"/>
      <c r="EJ5" s="464"/>
      <c r="EK5" s="464"/>
      <c r="EL5" s="464"/>
      <c r="EM5" s="464"/>
      <c r="EN5" s="464"/>
      <c r="EO5" s="464"/>
      <c r="EP5" s="464"/>
      <c r="EQ5" s="464"/>
      <c r="ER5" s="464"/>
      <c r="ES5" s="464"/>
      <c r="ET5" s="464"/>
      <c r="EU5" s="464"/>
      <c r="EV5" s="464"/>
      <c r="EW5" s="465"/>
      <c r="EX5" s="465"/>
      <c r="EY5" s="502"/>
      <c r="EZ5" s="460"/>
      <c r="FA5" s="464"/>
      <c r="FB5" s="464"/>
      <c r="FC5" s="464"/>
      <c r="FD5" s="464"/>
      <c r="FE5" s="464"/>
      <c r="FF5" s="464"/>
      <c r="FG5" s="466"/>
    </row>
    <row r="6" spans="1:163">
      <c r="A6" s="467" t="s">
        <v>193</v>
      </c>
      <c r="B6" s="471" t="str">
        <f>IF(ISNUMBER(MATCH(A6, 'Pulldown Data'!W:W, 0))=TRUE, "Y", IF(ISNUMBER(MATCH(A6, 'Pulldown Data'!X:X, 0))=TRUE, "M", ""))</f>
        <v/>
      </c>
      <c r="C6" s="442"/>
      <c r="D6" s="502"/>
      <c r="E6" s="443" t="str">
        <f t="shared" si="0"/>
        <v/>
      </c>
      <c r="F6" s="444" t="str">
        <f t="shared" si="0"/>
        <v/>
      </c>
      <c r="G6" s="444" t="str">
        <f t="shared" si="0"/>
        <v/>
      </c>
      <c r="H6" s="444" t="str">
        <f t="shared" si="0"/>
        <v/>
      </c>
      <c r="I6" s="444" t="str">
        <f t="shared" si="0"/>
        <v/>
      </c>
      <c r="J6" s="444" t="str">
        <f t="shared" si="0"/>
        <v/>
      </c>
      <c r="K6" s="444" t="str">
        <f t="shared" si="0"/>
        <v/>
      </c>
      <c r="L6" s="444" t="str">
        <f t="shared" si="0"/>
        <v/>
      </c>
      <c r="M6" s="444" t="str">
        <f t="shared" si="0"/>
        <v/>
      </c>
      <c r="N6" s="444" t="str">
        <f t="shared" si="0"/>
        <v/>
      </c>
      <c r="O6" s="444" t="str">
        <f t="shared" si="1"/>
        <v/>
      </c>
      <c r="P6" s="444" t="str">
        <f t="shared" si="1"/>
        <v/>
      </c>
      <c r="Q6" s="444" t="str">
        <f t="shared" si="1"/>
        <v/>
      </c>
      <c r="R6" s="444" t="str">
        <f t="shared" si="1"/>
        <v/>
      </c>
      <c r="S6" s="444" t="str">
        <f t="shared" si="1"/>
        <v/>
      </c>
      <c r="T6" s="444" t="str">
        <f t="shared" si="1"/>
        <v/>
      </c>
      <c r="U6" s="444" t="str">
        <f t="shared" si="1"/>
        <v/>
      </c>
      <c r="V6" s="444" t="str">
        <f t="shared" si="1"/>
        <v/>
      </c>
      <c r="W6" s="444" t="str">
        <f t="shared" si="1"/>
        <v/>
      </c>
      <c r="X6" s="444" t="str">
        <f t="shared" si="1"/>
        <v/>
      </c>
      <c r="Y6" s="444" t="str">
        <f t="shared" si="2"/>
        <v/>
      </c>
      <c r="Z6" s="444" t="str">
        <f t="shared" si="2"/>
        <v/>
      </c>
      <c r="AA6" s="444" t="str">
        <f t="shared" si="2"/>
        <v/>
      </c>
      <c r="AB6" s="444" t="str">
        <f t="shared" si="2"/>
        <v/>
      </c>
      <c r="AC6" s="444" t="str">
        <f t="shared" si="2"/>
        <v/>
      </c>
      <c r="AD6" s="444" t="str">
        <f t="shared" si="2"/>
        <v/>
      </c>
      <c r="AE6" s="444" t="str">
        <f t="shared" si="2"/>
        <v/>
      </c>
      <c r="AF6" s="444" t="str">
        <f t="shared" si="2"/>
        <v/>
      </c>
      <c r="AG6" s="444" t="str">
        <f t="shared" si="2"/>
        <v/>
      </c>
      <c r="AH6" s="444" t="str">
        <f t="shared" si="2"/>
        <v/>
      </c>
      <c r="AI6" s="444" t="str">
        <f t="shared" si="3"/>
        <v/>
      </c>
      <c r="AJ6" s="444" t="str">
        <f t="shared" si="3"/>
        <v/>
      </c>
      <c r="AK6" s="444" t="str">
        <f t="shared" si="3"/>
        <v/>
      </c>
      <c r="AL6" s="444" t="str">
        <f t="shared" si="3"/>
        <v/>
      </c>
      <c r="AM6" s="444" t="str">
        <f t="shared" si="3"/>
        <v/>
      </c>
      <c r="AN6" s="444" t="str">
        <f t="shared" si="3"/>
        <v/>
      </c>
      <c r="AO6" s="444" t="str">
        <f t="shared" si="3"/>
        <v/>
      </c>
      <c r="AP6" s="444" t="str">
        <f t="shared" si="3"/>
        <v/>
      </c>
      <c r="AQ6" s="444" t="str">
        <f t="shared" si="3"/>
        <v/>
      </c>
      <c r="AR6" s="444" t="str">
        <f t="shared" si="3"/>
        <v/>
      </c>
      <c r="AS6" s="444" t="str">
        <f t="shared" si="4"/>
        <v/>
      </c>
      <c r="AT6" s="444" t="str">
        <f t="shared" si="4"/>
        <v/>
      </c>
      <c r="AU6" s="444" t="str">
        <f t="shared" si="4"/>
        <v/>
      </c>
      <c r="AV6" s="444" t="str">
        <f t="shared" si="4"/>
        <v/>
      </c>
      <c r="AW6" s="444" t="str">
        <f t="shared" si="4"/>
        <v/>
      </c>
      <c r="AX6" s="444" t="str">
        <f t="shared" si="4"/>
        <v/>
      </c>
      <c r="AY6" s="444" t="str">
        <f t="shared" si="4"/>
        <v/>
      </c>
      <c r="AZ6" s="444" t="str">
        <f t="shared" si="4"/>
        <v/>
      </c>
      <c r="BA6" s="444" t="str">
        <f t="shared" si="4"/>
        <v/>
      </c>
      <c r="BB6" s="444" t="str">
        <f t="shared" si="4"/>
        <v/>
      </c>
      <c r="BC6" s="444" t="str">
        <f t="shared" si="5"/>
        <v/>
      </c>
      <c r="BD6" s="444" t="str">
        <f t="shared" si="5"/>
        <v/>
      </c>
      <c r="BE6" s="444" t="str">
        <f t="shared" si="5"/>
        <v/>
      </c>
      <c r="BF6" s="444" t="str">
        <f t="shared" si="5"/>
        <v/>
      </c>
      <c r="BG6" s="444" t="str">
        <f t="shared" si="5"/>
        <v/>
      </c>
      <c r="BH6" s="445" t="str">
        <f t="shared" si="5"/>
        <v/>
      </c>
      <c r="BI6" s="502"/>
      <c r="BJ6" s="474" t="str">
        <f t="shared" si="6"/>
        <v/>
      </c>
      <c r="BK6" s="475" t="str">
        <f t="shared" si="6"/>
        <v/>
      </c>
      <c r="BL6" s="475" t="str">
        <f t="shared" si="6"/>
        <v/>
      </c>
      <c r="BM6" s="475" t="str">
        <f t="shared" si="6"/>
        <v/>
      </c>
      <c r="BN6" s="475" t="str">
        <f t="shared" si="6"/>
        <v/>
      </c>
      <c r="BO6" s="475" t="str">
        <f t="shared" si="6"/>
        <v/>
      </c>
      <c r="BP6" s="475" t="str">
        <f t="shared" si="6"/>
        <v/>
      </c>
      <c r="BQ6" s="475" t="str">
        <f t="shared" si="6"/>
        <v/>
      </c>
      <c r="BR6" s="475" t="str">
        <f t="shared" si="6"/>
        <v/>
      </c>
      <c r="BS6" s="475" t="str">
        <f t="shared" si="6"/>
        <v/>
      </c>
      <c r="BT6" s="475" t="str">
        <f t="shared" si="7"/>
        <v/>
      </c>
      <c r="BU6" s="475" t="str">
        <f t="shared" si="7"/>
        <v/>
      </c>
      <c r="BV6" s="475" t="str">
        <f t="shared" si="7"/>
        <v/>
      </c>
      <c r="BW6" s="475" t="str">
        <f t="shared" si="7"/>
        <v/>
      </c>
      <c r="BX6" s="475" t="str">
        <f t="shared" si="7"/>
        <v/>
      </c>
      <c r="BY6" s="475" t="str">
        <f t="shared" si="7"/>
        <v/>
      </c>
      <c r="BZ6" s="475" t="str">
        <f t="shared" si="7"/>
        <v/>
      </c>
      <c r="CA6" s="475" t="str">
        <f t="shared" si="7"/>
        <v/>
      </c>
      <c r="CB6" s="475" t="str">
        <f t="shared" si="7"/>
        <v/>
      </c>
      <c r="CC6" s="475" t="str">
        <f t="shared" si="7"/>
        <v/>
      </c>
      <c r="CD6" s="475" t="str">
        <f t="shared" si="8"/>
        <v/>
      </c>
      <c r="CE6" s="475" t="str">
        <f t="shared" si="8"/>
        <v/>
      </c>
      <c r="CF6" s="475" t="str">
        <f t="shared" si="8"/>
        <v/>
      </c>
      <c r="CG6" s="475" t="str">
        <f t="shared" si="8"/>
        <v/>
      </c>
      <c r="CH6" s="475" t="str">
        <f t="shared" si="8"/>
        <v/>
      </c>
      <c r="CI6" s="475" t="str">
        <f t="shared" si="8"/>
        <v/>
      </c>
      <c r="CJ6" s="475" t="str">
        <f t="shared" si="8"/>
        <v/>
      </c>
      <c r="CK6" s="475" t="str">
        <f t="shared" si="8"/>
        <v/>
      </c>
      <c r="CL6" s="475" t="str">
        <f t="shared" si="8"/>
        <v/>
      </c>
      <c r="CM6" s="475" t="str">
        <f t="shared" si="8"/>
        <v/>
      </c>
      <c r="CN6" s="475" t="str">
        <f t="shared" si="9"/>
        <v/>
      </c>
      <c r="CO6" s="475" t="str">
        <f t="shared" si="9"/>
        <v/>
      </c>
      <c r="CP6" s="475" t="str">
        <f t="shared" si="9"/>
        <v/>
      </c>
      <c r="CQ6" s="475" t="str">
        <f t="shared" si="9"/>
        <v/>
      </c>
      <c r="CR6" s="475" t="str">
        <f t="shared" si="9"/>
        <v/>
      </c>
      <c r="CS6" s="475" t="str">
        <f t="shared" si="9"/>
        <v/>
      </c>
      <c r="CT6" s="475" t="str">
        <f t="shared" si="9"/>
        <v/>
      </c>
      <c r="CU6" s="475" t="str">
        <f t="shared" si="9"/>
        <v/>
      </c>
      <c r="CV6" s="475" t="str">
        <f t="shared" si="9"/>
        <v/>
      </c>
      <c r="CW6" s="475" t="str">
        <f t="shared" si="9"/>
        <v/>
      </c>
      <c r="CX6" s="475" t="str">
        <f t="shared" si="9"/>
        <v/>
      </c>
      <c r="CY6" s="475" t="str">
        <f t="shared" si="9"/>
        <v/>
      </c>
      <c r="CZ6" s="495" t="str">
        <f t="shared" si="9"/>
        <v/>
      </c>
      <c r="DA6" s="502"/>
      <c r="DB6" s="460"/>
      <c r="DC6" s="465"/>
      <c r="DD6" s="463"/>
      <c r="DE6" s="512"/>
      <c r="DF6" s="516"/>
      <c r="DG6" s="508"/>
      <c r="DH6" s="463"/>
      <c r="DI6" s="461"/>
      <c r="DJ6" s="461"/>
      <c r="DK6" s="461"/>
      <c r="DL6" s="464"/>
      <c r="DM6" s="466"/>
      <c r="DN6" s="502"/>
      <c r="DO6" s="460"/>
      <c r="DP6" s="464"/>
      <c r="DQ6" s="464"/>
      <c r="DR6" s="464"/>
      <c r="DS6" s="508"/>
      <c r="DT6" s="525"/>
      <c r="DU6" s="525"/>
      <c r="DV6" s="463"/>
      <c r="DW6" s="464"/>
      <c r="DX6" s="465"/>
      <c r="DY6" s="463"/>
      <c r="DZ6" s="464"/>
      <c r="EA6" s="465"/>
      <c r="EB6" s="463"/>
      <c r="EC6" s="465"/>
      <c r="ED6" s="462"/>
      <c r="EE6" s="502"/>
      <c r="EF6" s="463"/>
      <c r="EG6" s="461"/>
      <c r="EH6" s="464"/>
      <c r="EI6" s="464"/>
      <c r="EJ6" s="464"/>
      <c r="EK6" s="464"/>
      <c r="EL6" s="464"/>
      <c r="EM6" s="464"/>
      <c r="EN6" s="464"/>
      <c r="EO6" s="464"/>
      <c r="EP6" s="464"/>
      <c r="EQ6" s="464"/>
      <c r="ER6" s="464"/>
      <c r="ES6" s="464"/>
      <c r="ET6" s="464"/>
      <c r="EU6" s="464"/>
      <c r="EV6" s="464"/>
      <c r="EW6" s="465"/>
      <c r="EX6" s="465"/>
      <c r="EY6" s="502"/>
      <c r="EZ6" s="460"/>
      <c r="FA6" s="464"/>
      <c r="FB6" s="464"/>
      <c r="FC6" s="464"/>
      <c r="FD6" s="464"/>
      <c r="FE6" s="464"/>
      <c r="FF6" s="464"/>
      <c r="FG6" s="466"/>
    </row>
    <row r="7" spans="1:163">
      <c r="A7" s="467" t="s">
        <v>194</v>
      </c>
      <c r="B7" s="471" t="str">
        <f>IF(ISNUMBER(MATCH(A7, 'Pulldown Data'!W:W, 0))=TRUE, "Y", IF(ISNUMBER(MATCH(A7, 'Pulldown Data'!X:X, 0))=TRUE, "M", ""))</f>
        <v/>
      </c>
      <c r="C7" s="442"/>
      <c r="D7" s="502"/>
      <c r="E7" s="443" t="str">
        <f t="shared" si="0"/>
        <v/>
      </c>
      <c r="F7" s="444" t="str">
        <f t="shared" si="0"/>
        <v/>
      </c>
      <c r="G7" s="444" t="str">
        <f t="shared" si="0"/>
        <v/>
      </c>
      <c r="H7" s="444" t="str">
        <f t="shared" si="0"/>
        <v/>
      </c>
      <c r="I7" s="444" t="str">
        <f t="shared" si="0"/>
        <v/>
      </c>
      <c r="J7" s="444" t="str">
        <f t="shared" si="0"/>
        <v/>
      </c>
      <c r="K7" s="444" t="str">
        <f t="shared" si="0"/>
        <v/>
      </c>
      <c r="L7" s="444" t="str">
        <f t="shared" si="0"/>
        <v/>
      </c>
      <c r="M7" s="444" t="str">
        <f t="shared" si="0"/>
        <v/>
      </c>
      <c r="N7" s="444" t="str">
        <f t="shared" si="0"/>
        <v/>
      </c>
      <c r="O7" s="444" t="str">
        <f t="shared" si="1"/>
        <v/>
      </c>
      <c r="P7" s="444" t="str">
        <f t="shared" si="1"/>
        <v/>
      </c>
      <c r="Q7" s="444" t="str">
        <f t="shared" si="1"/>
        <v/>
      </c>
      <c r="R7" s="444" t="str">
        <f t="shared" si="1"/>
        <v/>
      </c>
      <c r="S7" s="444" t="str">
        <f t="shared" si="1"/>
        <v/>
      </c>
      <c r="T7" s="444" t="str">
        <f t="shared" si="1"/>
        <v/>
      </c>
      <c r="U7" s="444" t="str">
        <f t="shared" si="1"/>
        <v/>
      </c>
      <c r="V7" s="444" t="str">
        <f t="shared" si="1"/>
        <v/>
      </c>
      <c r="W7" s="444" t="str">
        <f t="shared" si="1"/>
        <v/>
      </c>
      <c r="X7" s="444" t="str">
        <f t="shared" si="1"/>
        <v/>
      </c>
      <c r="Y7" s="444" t="str">
        <f t="shared" si="2"/>
        <v/>
      </c>
      <c r="Z7" s="444" t="str">
        <f t="shared" si="2"/>
        <v/>
      </c>
      <c r="AA7" s="444" t="str">
        <f t="shared" si="2"/>
        <v/>
      </c>
      <c r="AB7" s="444" t="str">
        <f t="shared" si="2"/>
        <v/>
      </c>
      <c r="AC7" s="444" t="str">
        <f t="shared" si="2"/>
        <v/>
      </c>
      <c r="AD7" s="444" t="str">
        <f t="shared" si="2"/>
        <v/>
      </c>
      <c r="AE7" s="444" t="str">
        <f t="shared" si="2"/>
        <v/>
      </c>
      <c r="AF7" s="444" t="str">
        <f t="shared" si="2"/>
        <v/>
      </c>
      <c r="AG7" s="444" t="str">
        <f t="shared" si="2"/>
        <v/>
      </c>
      <c r="AH7" s="444" t="str">
        <f t="shared" si="2"/>
        <v/>
      </c>
      <c r="AI7" s="444" t="str">
        <f t="shared" si="3"/>
        <v/>
      </c>
      <c r="AJ7" s="444" t="str">
        <f t="shared" si="3"/>
        <v/>
      </c>
      <c r="AK7" s="444" t="str">
        <f t="shared" si="3"/>
        <v/>
      </c>
      <c r="AL7" s="444" t="str">
        <f t="shared" si="3"/>
        <v/>
      </c>
      <c r="AM7" s="444" t="str">
        <f t="shared" si="3"/>
        <v/>
      </c>
      <c r="AN7" s="444" t="str">
        <f t="shared" si="3"/>
        <v/>
      </c>
      <c r="AO7" s="444" t="str">
        <f t="shared" si="3"/>
        <v/>
      </c>
      <c r="AP7" s="444" t="str">
        <f t="shared" si="3"/>
        <v/>
      </c>
      <c r="AQ7" s="444" t="str">
        <f t="shared" si="3"/>
        <v/>
      </c>
      <c r="AR7" s="444" t="str">
        <f t="shared" si="3"/>
        <v/>
      </c>
      <c r="AS7" s="444" t="str">
        <f t="shared" si="4"/>
        <v/>
      </c>
      <c r="AT7" s="444" t="str">
        <f t="shared" si="4"/>
        <v/>
      </c>
      <c r="AU7" s="444" t="str">
        <f t="shared" si="4"/>
        <v/>
      </c>
      <c r="AV7" s="444" t="str">
        <f t="shared" si="4"/>
        <v/>
      </c>
      <c r="AW7" s="444" t="str">
        <f t="shared" si="4"/>
        <v/>
      </c>
      <c r="AX7" s="444" t="str">
        <f t="shared" si="4"/>
        <v/>
      </c>
      <c r="AY7" s="444" t="str">
        <f t="shared" si="4"/>
        <v/>
      </c>
      <c r="AZ7" s="444" t="str">
        <f t="shared" si="4"/>
        <v/>
      </c>
      <c r="BA7" s="444" t="str">
        <f t="shared" si="4"/>
        <v/>
      </c>
      <c r="BB7" s="444" t="str">
        <f t="shared" si="4"/>
        <v/>
      </c>
      <c r="BC7" s="444" t="str">
        <f t="shared" si="5"/>
        <v/>
      </c>
      <c r="BD7" s="444" t="str">
        <f t="shared" si="5"/>
        <v/>
      </c>
      <c r="BE7" s="444" t="str">
        <f t="shared" si="5"/>
        <v/>
      </c>
      <c r="BF7" s="444" t="str">
        <f t="shared" si="5"/>
        <v/>
      </c>
      <c r="BG7" s="444" t="str">
        <f t="shared" si="5"/>
        <v/>
      </c>
      <c r="BH7" s="445" t="str">
        <f t="shared" si="5"/>
        <v/>
      </c>
      <c r="BI7" s="502"/>
      <c r="BJ7" s="474" t="str">
        <f t="shared" si="6"/>
        <v/>
      </c>
      <c r="BK7" s="475" t="str">
        <f t="shared" si="6"/>
        <v/>
      </c>
      <c r="BL7" s="475" t="str">
        <f t="shared" si="6"/>
        <v/>
      </c>
      <c r="BM7" s="475" t="str">
        <f t="shared" si="6"/>
        <v/>
      </c>
      <c r="BN7" s="475" t="str">
        <f t="shared" si="6"/>
        <v/>
      </c>
      <c r="BO7" s="475" t="str">
        <f t="shared" si="6"/>
        <v/>
      </c>
      <c r="BP7" s="475" t="str">
        <f t="shared" si="6"/>
        <v/>
      </c>
      <c r="BQ7" s="475" t="str">
        <f t="shared" si="6"/>
        <v/>
      </c>
      <c r="BR7" s="475" t="str">
        <f t="shared" si="6"/>
        <v/>
      </c>
      <c r="BS7" s="475" t="str">
        <f t="shared" si="6"/>
        <v/>
      </c>
      <c r="BT7" s="475" t="str">
        <f t="shared" si="7"/>
        <v/>
      </c>
      <c r="BU7" s="475" t="str">
        <f t="shared" si="7"/>
        <v/>
      </c>
      <c r="BV7" s="475" t="str">
        <f t="shared" si="7"/>
        <v/>
      </c>
      <c r="BW7" s="475" t="str">
        <f t="shared" si="7"/>
        <v/>
      </c>
      <c r="BX7" s="475" t="str">
        <f t="shared" si="7"/>
        <v/>
      </c>
      <c r="BY7" s="475" t="str">
        <f t="shared" si="7"/>
        <v/>
      </c>
      <c r="BZ7" s="475" t="str">
        <f t="shared" si="7"/>
        <v/>
      </c>
      <c r="CA7" s="475" t="str">
        <f t="shared" si="7"/>
        <v/>
      </c>
      <c r="CB7" s="475" t="str">
        <f t="shared" si="7"/>
        <v/>
      </c>
      <c r="CC7" s="475" t="str">
        <f t="shared" si="7"/>
        <v/>
      </c>
      <c r="CD7" s="475" t="str">
        <f t="shared" si="8"/>
        <v/>
      </c>
      <c r="CE7" s="475" t="str">
        <f t="shared" si="8"/>
        <v/>
      </c>
      <c r="CF7" s="475" t="str">
        <f t="shared" si="8"/>
        <v/>
      </c>
      <c r="CG7" s="475" t="str">
        <f t="shared" si="8"/>
        <v/>
      </c>
      <c r="CH7" s="475" t="str">
        <f t="shared" si="8"/>
        <v/>
      </c>
      <c r="CI7" s="475" t="str">
        <f t="shared" si="8"/>
        <v/>
      </c>
      <c r="CJ7" s="475" t="str">
        <f t="shared" si="8"/>
        <v/>
      </c>
      <c r="CK7" s="475" t="str">
        <f t="shared" si="8"/>
        <v/>
      </c>
      <c r="CL7" s="475" t="str">
        <f t="shared" si="8"/>
        <v/>
      </c>
      <c r="CM7" s="475" t="str">
        <f t="shared" si="8"/>
        <v/>
      </c>
      <c r="CN7" s="475" t="str">
        <f t="shared" si="9"/>
        <v/>
      </c>
      <c r="CO7" s="475" t="str">
        <f t="shared" si="9"/>
        <v/>
      </c>
      <c r="CP7" s="475" t="str">
        <f t="shared" si="9"/>
        <v/>
      </c>
      <c r="CQ7" s="475" t="str">
        <f t="shared" si="9"/>
        <v/>
      </c>
      <c r="CR7" s="475" t="str">
        <f t="shared" si="9"/>
        <v/>
      </c>
      <c r="CS7" s="475" t="str">
        <f t="shared" si="9"/>
        <v/>
      </c>
      <c r="CT7" s="475" t="str">
        <f t="shared" si="9"/>
        <v/>
      </c>
      <c r="CU7" s="475" t="str">
        <f t="shared" si="9"/>
        <v/>
      </c>
      <c r="CV7" s="475" t="str">
        <f t="shared" si="9"/>
        <v/>
      </c>
      <c r="CW7" s="475" t="str">
        <f t="shared" si="9"/>
        <v/>
      </c>
      <c r="CX7" s="475" t="str">
        <f t="shared" si="9"/>
        <v/>
      </c>
      <c r="CY7" s="475" t="str">
        <f t="shared" si="9"/>
        <v/>
      </c>
      <c r="CZ7" s="495" t="str">
        <f t="shared" si="9"/>
        <v/>
      </c>
      <c r="DA7" s="502"/>
      <c r="DB7" s="460"/>
      <c r="DC7" s="465"/>
      <c r="DD7" s="463"/>
      <c r="DE7" s="512"/>
      <c r="DF7" s="516"/>
      <c r="DG7" s="508"/>
      <c r="DH7" s="463"/>
      <c r="DI7" s="461"/>
      <c r="DJ7" s="461"/>
      <c r="DK7" s="461"/>
      <c r="DL7" s="464"/>
      <c r="DM7" s="466"/>
      <c r="DN7" s="502"/>
      <c r="DO7" s="460"/>
      <c r="DP7" s="464"/>
      <c r="DQ7" s="464"/>
      <c r="DR7" s="464"/>
      <c r="DS7" s="508"/>
      <c r="DT7" s="525"/>
      <c r="DU7" s="525"/>
      <c r="DV7" s="463"/>
      <c r="DW7" s="464"/>
      <c r="DX7" s="465"/>
      <c r="DY7" s="463"/>
      <c r="DZ7" s="464"/>
      <c r="EA7" s="465"/>
      <c r="EB7" s="463"/>
      <c r="EC7" s="465"/>
      <c r="ED7" s="462"/>
      <c r="EE7" s="502"/>
      <c r="EF7" s="463"/>
      <c r="EG7" s="461"/>
      <c r="EH7" s="464"/>
      <c r="EI7" s="464"/>
      <c r="EJ7" s="464"/>
      <c r="EK7" s="464"/>
      <c r="EL7" s="464"/>
      <c r="EM7" s="464"/>
      <c r="EN7" s="464"/>
      <c r="EO7" s="464"/>
      <c r="EP7" s="464"/>
      <c r="EQ7" s="464"/>
      <c r="ER7" s="464"/>
      <c r="ES7" s="464"/>
      <c r="ET7" s="464"/>
      <c r="EU7" s="464"/>
      <c r="EV7" s="464"/>
      <c r="EW7" s="465"/>
      <c r="EX7" s="465"/>
      <c r="EY7" s="502"/>
      <c r="EZ7" s="460"/>
      <c r="FA7" s="464"/>
      <c r="FB7" s="464"/>
      <c r="FC7" s="464"/>
      <c r="FD7" s="464"/>
      <c r="FE7" s="464"/>
      <c r="FF7" s="464"/>
      <c r="FG7" s="466"/>
    </row>
    <row r="8" spans="1:163">
      <c r="A8" s="467" t="s">
        <v>195</v>
      </c>
      <c r="B8" s="471" t="str">
        <f>IF(ISNUMBER(MATCH(A8, 'Pulldown Data'!W:W, 0))=TRUE, "Y", IF(ISNUMBER(MATCH(A8, 'Pulldown Data'!X:X, 0))=TRUE, "M", ""))</f>
        <v/>
      </c>
      <c r="C8" s="442"/>
      <c r="D8" s="502"/>
      <c r="E8" s="443" t="str">
        <f t="shared" si="0"/>
        <v/>
      </c>
      <c r="F8" s="444" t="str">
        <f t="shared" si="0"/>
        <v/>
      </c>
      <c r="G8" s="444" t="str">
        <f t="shared" si="0"/>
        <v/>
      </c>
      <c r="H8" s="444" t="str">
        <f t="shared" si="0"/>
        <v/>
      </c>
      <c r="I8" s="444" t="str">
        <f t="shared" si="0"/>
        <v/>
      </c>
      <c r="J8" s="444" t="str">
        <f t="shared" si="0"/>
        <v/>
      </c>
      <c r="K8" s="444" t="str">
        <f t="shared" si="0"/>
        <v/>
      </c>
      <c r="L8" s="444" t="str">
        <f t="shared" si="0"/>
        <v/>
      </c>
      <c r="M8" s="444" t="str">
        <f t="shared" si="0"/>
        <v/>
      </c>
      <c r="N8" s="444" t="str">
        <f t="shared" si="0"/>
        <v/>
      </c>
      <c r="O8" s="444" t="str">
        <f t="shared" si="1"/>
        <v/>
      </c>
      <c r="P8" s="444" t="str">
        <f t="shared" si="1"/>
        <v/>
      </c>
      <c r="Q8" s="444" t="str">
        <f t="shared" si="1"/>
        <v/>
      </c>
      <c r="R8" s="444" t="str">
        <f t="shared" si="1"/>
        <v/>
      </c>
      <c r="S8" s="444" t="str">
        <f t="shared" si="1"/>
        <v/>
      </c>
      <c r="T8" s="444" t="str">
        <f t="shared" si="1"/>
        <v/>
      </c>
      <c r="U8" s="444" t="str">
        <f t="shared" si="1"/>
        <v/>
      </c>
      <c r="V8" s="444" t="str">
        <f t="shared" si="1"/>
        <v/>
      </c>
      <c r="W8" s="444" t="str">
        <f t="shared" si="1"/>
        <v/>
      </c>
      <c r="X8" s="444" t="str">
        <f t="shared" si="1"/>
        <v/>
      </c>
      <c r="Y8" s="444" t="str">
        <f t="shared" si="2"/>
        <v/>
      </c>
      <c r="Z8" s="444" t="str">
        <f t="shared" si="2"/>
        <v/>
      </c>
      <c r="AA8" s="444" t="str">
        <f t="shared" si="2"/>
        <v/>
      </c>
      <c r="AB8" s="444" t="str">
        <f t="shared" si="2"/>
        <v/>
      </c>
      <c r="AC8" s="444" t="str">
        <f t="shared" si="2"/>
        <v/>
      </c>
      <c r="AD8" s="444" t="str">
        <f t="shared" si="2"/>
        <v/>
      </c>
      <c r="AE8" s="444" t="str">
        <f t="shared" si="2"/>
        <v/>
      </c>
      <c r="AF8" s="444" t="str">
        <f t="shared" si="2"/>
        <v/>
      </c>
      <c r="AG8" s="444" t="str">
        <f t="shared" si="2"/>
        <v/>
      </c>
      <c r="AH8" s="444" t="str">
        <f t="shared" si="2"/>
        <v/>
      </c>
      <c r="AI8" s="444" t="str">
        <f t="shared" si="3"/>
        <v/>
      </c>
      <c r="AJ8" s="444" t="str">
        <f t="shared" si="3"/>
        <v/>
      </c>
      <c r="AK8" s="444" t="str">
        <f t="shared" si="3"/>
        <v/>
      </c>
      <c r="AL8" s="444" t="str">
        <f t="shared" si="3"/>
        <v/>
      </c>
      <c r="AM8" s="444" t="str">
        <f t="shared" si="3"/>
        <v/>
      </c>
      <c r="AN8" s="444" t="str">
        <f t="shared" si="3"/>
        <v/>
      </c>
      <c r="AO8" s="444" t="str">
        <f t="shared" si="3"/>
        <v/>
      </c>
      <c r="AP8" s="444" t="str">
        <f t="shared" si="3"/>
        <v/>
      </c>
      <c r="AQ8" s="444" t="str">
        <f t="shared" si="3"/>
        <v/>
      </c>
      <c r="AR8" s="444" t="str">
        <f t="shared" si="3"/>
        <v/>
      </c>
      <c r="AS8" s="444" t="str">
        <f t="shared" si="4"/>
        <v/>
      </c>
      <c r="AT8" s="444" t="str">
        <f t="shared" si="4"/>
        <v/>
      </c>
      <c r="AU8" s="444" t="str">
        <f t="shared" si="4"/>
        <v/>
      </c>
      <c r="AV8" s="444" t="str">
        <f t="shared" si="4"/>
        <v/>
      </c>
      <c r="AW8" s="444" t="str">
        <f t="shared" si="4"/>
        <v/>
      </c>
      <c r="AX8" s="444" t="str">
        <f t="shared" si="4"/>
        <v/>
      </c>
      <c r="AY8" s="444" t="str">
        <f t="shared" si="4"/>
        <v/>
      </c>
      <c r="AZ8" s="444" t="str">
        <f t="shared" si="4"/>
        <v/>
      </c>
      <c r="BA8" s="444" t="str">
        <f t="shared" si="4"/>
        <v/>
      </c>
      <c r="BB8" s="444" t="str">
        <f t="shared" si="4"/>
        <v/>
      </c>
      <c r="BC8" s="444" t="str">
        <f t="shared" si="5"/>
        <v/>
      </c>
      <c r="BD8" s="444" t="str">
        <f t="shared" si="5"/>
        <v/>
      </c>
      <c r="BE8" s="444" t="str">
        <f t="shared" si="5"/>
        <v/>
      </c>
      <c r="BF8" s="444" t="str">
        <f t="shared" si="5"/>
        <v/>
      </c>
      <c r="BG8" s="444" t="str">
        <f t="shared" si="5"/>
        <v/>
      </c>
      <c r="BH8" s="445" t="str">
        <f t="shared" si="5"/>
        <v/>
      </c>
      <c r="BI8" s="502"/>
      <c r="BJ8" s="474" t="str">
        <f t="shared" si="6"/>
        <v/>
      </c>
      <c r="BK8" s="475" t="str">
        <f t="shared" si="6"/>
        <v/>
      </c>
      <c r="BL8" s="475" t="str">
        <f t="shared" si="6"/>
        <v/>
      </c>
      <c r="BM8" s="475" t="str">
        <f t="shared" si="6"/>
        <v/>
      </c>
      <c r="BN8" s="475" t="str">
        <f t="shared" si="6"/>
        <v/>
      </c>
      <c r="BO8" s="475" t="str">
        <f t="shared" si="6"/>
        <v/>
      </c>
      <c r="BP8" s="475" t="str">
        <f t="shared" si="6"/>
        <v/>
      </c>
      <c r="BQ8" s="475" t="str">
        <f t="shared" si="6"/>
        <v/>
      </c>
      <c r="BR8" s="475" t="str">
        <f t="shared" si="6"/>
        <v/>
      </c>
      <c r="BS8" s="475" t="str">
        <f t="shared" si="6"/>
        <v/>
      </c>
      <c r="BT8" s="475" t="str">
        <f t="shared" si="7"/>
        <v/>
      </c>
      <c r="BU8" s="475" t="str">
        <f t="shared" si="7"/>
        <v/>
      </c>
      <c r="BV8" s="475" t="str">
        <f t="shared" si="7"/>
        <v/>
      </c>
      <c r="BW8" s="475" t="str">
        <f t="shared" si="7"/>
        <v/>
      </c>
      <c r="BX8" s="475" t="str">
        <f t="shared" si="7"/>
        <v/>
      </c>
      <c r="BY8" s="475" t="str">
        <f t="shared" si="7"/>
        <v/>
      </c>
      <c r="BZ8" s="475" t="str">
        <f t="shared" si="7"/>
        <v/>
      </c>
      <c r="CA8" s="475" t="str">
        <f t="shared" si="7"/>
        <v/>
      </c>
      <c r="CB8" s="475" t="str">
        <f t="shared" si="7"/>
        <v/>
      </c>
      <c r="CC8" s="475" t="str">
        <f t="shared" si="7"/>
        <v/>
      </c>
      <c r="CD8" s="475" t="str">
        <f t="shared" si="8"/>
        <v/>
      </c>
      <c r="CE8" s="475" t="str">
        <f t="shared" si="8"/>
        <v/>
      </c>
      <c r="CF8" s="475" t="str">
        <f t="shared" si="8"/>
        <v/>
      </c>
      <c r="CG8" s="475" t="str">
        <f t="shared" si="8"/>
        <v/>
      </c>
      <c r="CH8" s="475" t="str">
        <f t="shared" si="8"/>
        <v/>
      </c>
      <c r="CI8" s="475" t="str">
        <f t="shared" si="8"/>
        <v/>
      </c>
      <c r="CJ8" s="475" t="str">
        <f t="shared" si="8"/>
        <v/>
      </c>
      <c r="CK8" s="475" t="str">
        <f t="shared" si="8"/>
        <v/>
      </c>
      <c r="CL8" s="475" t="str">
        <f t="shared" si="8"/>
        <v/>
      </c>
      <c r="CM8" s="475" t="str">
        <f t="shared" si="8"/>
        <v/>
      </c>
      <c r="CN8" s="475" t="str">
        <f t="shared" si="9"/>
        <v/>
      </c>
      <c r="CO8" s="475" t="str">
        <f t="shared" si="9"/>
        <v/>
      </c>
      <c r="CP8" s="475" t="str">
        <f t="shared" si="9"/>
        <v/>
      </c>
      <c r="CQ8" s="475" t="str">
        <f t="shared" si="9"/>
        <v/>
      </c>
      <c r="CR8" s="475" t="str">
        <f t="shared" si="9"/>
        <v/>
      </c>
      <c r="CS8" s="475" t="str">
        <f t="shared" si="9"/>
        <v/>
      </c>
      <c r="CT8" s="475" t="str">
        <f t="shared" si="9"/>
        <v/>
      </c>
      <c r="CU8" s="475" t="str">
        <f t="shared" si="9"/>
        <v/>
      </c>
      <c r="CV8" s="475" t="str">
        <f t="shared" si="9"/>
        <v/>
      </c>
      <c r="CW8" s="475" t="str">
        <f t="shared" si="9"/>
        <v/>
      </c>
      <c r="CX8" s="475" t="str">
        <f t="shared" si="9"/>
        <v/>
      </c>
      <c r="CY8" s="475" t="str">
        <f t="shared" si="9"/>
        <v/>
      </c>
      <c r="CZ8" s="495" t="str">
        <f t="shared" si="9"/>
        <v/>
      </c>
      <c r="DA8" s="502"/>
      <c r="DB8" s="460"/>
      <c r="DC8" s="465"/>
      <c r="DD8" s="463"/>
      <c r="DE8" s="512"/>
      <c r="DF8" s="516"/>
      <c r="DG8" s="508"/>
      <c r="DH8" s="463"/>
      <c r="DI8" s="461"/>
      <c r="DJ8" s="461"/>
      <c r="DK8" s="461"/>
      <c r="DL8" s="464"/>
      <c r="DM8" s="466"/>
      <c r="DN8" s="502"/>
      <c r="DO8" s="460"/>
      <c r="DP8" s="464"/>
      <c r="DQ8" s="464"/>
      <c r="DR8" s="464"/>
      <c r="DS8" s="508"/>
      <c r="DT8" s="525"/>
      <c r="DU8" s="525"/>
      <c r="DV8" s="463"/>
      <c r="DW8" s="464"/>
      <c r="DX8" s="465"/>
      <c r="DY8" s="463"/>
      <c r="DZ8" s="464"/>
      <c r="EA8" s="465"/>
      <c r="EB8" s="463"/>
      <c r="EC8" s="465"/>
      <c r="ED8" s="462"/>
      <c r="EE8" s="502"/>
      <c r="EF8" s="463"/>
      <c r="EG8" s="461"/>
      <c r="EH8" s="464"/>
      <c r="EI8" s="464"/>
      <c r="EJ8" s="464"/>
      <c r="EK8" s="464"/>
      <c r="EL8" s="464"/>
      <c r="EM8" s="464"/>
      <c r="EN8" s="464"/>
      <c r="EO8" s="464"/>
      <c r="EP8" s="464"/>
      <c r="EQ8" s="464"/>
      <c r="ER8" s="464"/>
      <c r="ES8" s="464"/>
      <c r="ET8" s="464"/>
      <c r="EU8" s="464"/>
      <c r="EV8" s="464"/>
      <c r="EW8" s="465"/>
      <c r="EX8" s="465"/>
      <c r="EY8" s="502"/>
      <c r="EZ8" s="460"/>
      <c r="FA8" s="464"/>
      <c r="FB8" s="464"/>
      <c r="FC8" s="464"/>
      <c r="FD8" s="464"/>
      <c r="FE8" s="464"/>
      <c r="FF8" s="464"/>
      <c r="FG8" s="466"/>
    </row>
    <row r="9" spans="1:163">
      <c r="A9" s="467" t="s">
        <v>196</v>
      </c>
      <c r="B9" s="471" t="str">
        <f>IF(ISNUMBER(MATCH(A9, 'Pulldown Data'!W:W, 0))=TRUE, "Y", IF(ISNUMBER(MATCH(A9, 'Pulldown Data'!X:X, 0))=TRUE, "M", ""))</f>
        <v/>
      </c>
      <c r="C9" s="442"/>
      <c r="D9" s="502"/>
      <c r="E9" s="443" t="str">
        <f t="shared" si="0"/>
        <v/>
      </c>
      <c r="F9" s="444" t="str">
        <f t="shared" si="0"/>
        <v/>
      </c>
      <c r="G9" s="444" t="str">
        <f t="shared" si="0"/>
        <v/>
      </c>
      <c r="H9" s="444" t="str">
        <f t="shared" si="0"/>
        <v/>
      </c>
      <c r="I9" s="444" t="str">
        <f t="shared" si="0"/>
        <v/>
      </c>
      <c r="J9" s="444" t="str">
        <f t="shared" si="0"/>
        <v/>
      </c>
      <c r="K9" s="444" t="str">
        <f t="shared" si="0"/>
        <v/>
      </c>
      <c r="L9" s="444" t="str">
        <f t="shared" si="0"/>
        <v/>
      </c>
      <c r="M9" s="444" t="str">
        <f t="shared" si="0"/>
        <v/>
      </c>
      <c r="N9" s="444" t="str">
        <f t="shared" si="0"/>
        <v/>
      </c>
      <c r="O9" s="444" t="str">
        <f t="shared" si="1"/>
        <v/>
      </c>
      <c r="P9" s="444" t="str">
        <f t="shared" si="1"/>
        <v/>
      </c>
      <c r="Q9" s="444" t="str">
        <f t="shared" si="1"/>
        <v/>
      </c>
      <c r="R9" s="444" t="str">
        <f t="shared" si="1"/>
        <v/>
      </c>
      <c r="S9" s="444" t="str">
        <f t="shared" si="1"/>
        <v/>
      </c>
      <c r="T9" s="444" t="str">
        <f t="shared" si="1"/>
        <v/>
      </c>
      <c r="U9" s="444" t="str">
        <f t="shared" si="1"/>
        <v/>
      </c>
      <c r="V9" s="444" t="str">
        <f t="shared" si="1"/>
        <v/>
      </c>
      <c r="W9" s="444" t="str">
        <f t="shared" si="1"/>
        <v/>
      </c>
      <c r="X9" s="444" t="str">
        <f t="shared" si="1"/>
        <v/>
      </c>
      <c r="Y9" s="444" t="str">
        <f t="shared" si="2"/>
        <v/>
      </c>
      <c r="Z9" s="444" t="str">
        <f t="shared" si="2"/>
        <v/>
      </c>
      <c r="AA9" s="444" t="str">
        <f t="shared" si="2"/>
        <v/>
      </c>
      <c r="AB9" s="444" t="str">
        <f t="shared" si="2"/>
        <v/>
      </c>
      <c r="AC9" s="444" t="str">
        <f t="shared" si="2"/>
        <v/>
      </c>
      <c r="AD9" s="444" t="str">
        <f t="shared" si="2"/>
        <v/>
      </c>
      <c r="AE9" s="444" t="str">
        <f t="shared" si="2"/>
        <v/>
      </c>
      <c r="AF9" s="444" t="str">
        <f t="shared" si="2"/>
        <v/>
      </c>
      <c r="AG9" s="444" t="str">
        <f t="shared" si="2"/>
        <v/>
      </c>
      <c r="AH9" s="444" t="str">
        <f t="shared" si="2"/>
        <v/>
      </c>
      <c r="AI9" s="444" t="str">
        <f t="shared" si="3"/>
        <v/>
      </c>
      <c r="AJ9" s="444" t="str">
        <f t="shared" si="3"/>
        <v/>
      </c>
      <c r="AK9" s="444" t="str">
        <f t="shared" si="3"/>
        <v/>
      </c>
      <c r="AL9" s="444" t="str">
        <f t="shared" si="3"/>
        <v/>
      </c>
      <c r="AM9" s="444" t="str">
        <f t="shared" si="3"/>
        <v/>
      </c>
      <c r="AN9" s="444" t="str">
        <f t="shared" si="3"/>
        <v/>
      </c>
      <c r="AO9" s="444" t="str">
        <f t="shared" si="3"/>
        <v/>
      </c>
      <c r="AP9" s="444" t="str">
        <f t="shared" si="3"/>
        <v/>
      </c>
      <c r="AQ9" s="444" t="str">
        <f t="shared" si="3"/>
        <v/>
      </c>
      <c r="AR9" s="444" t="str">
        <f t="shared" si="3"/>
        <v/>
      </c>
      <c r="AS9" s="444" t="str">
        <f t="shared" si="4"/>
        <v/>
      </c>
      <c r="AT9" s="444" t="str">
        <f t="shared" si="4"/>
        <v/>
      </c>
      <c r="AU9" s="444" t="str">
        <f t="shared" si="4"/>
        <v/>
      </c>
      <c r="AV9" s="444" t="str">
        <f t="shared" si="4"/>
        <v/>
      </c>
      <c r="AW9" s="444" t="str">
        <f t="shared" si="4"/>
        <v/>
      </c>
      <c r="AX9" s="444" t="str">
        <f t="shared" si="4"/>
        <v/>
      </c>
      <c r="AY9" s="444" t="str">
        <f t="shared" si="4"/>
        <v/>
      </c>
      <c r="AZ9" s="444" t="str">
        <f t="shared" si="4"/>
        <v/>
      </c>
      <c r="BA9" s="444" t="str">
        <f t="shared" si="4"/>
        <v/>
      </c>
      <c r="BB9" s="444" t="str">
        <f t="shared" si="4"/>
        <v/>
      </c>
      <c r="BC9" s="444" t="str">
        <f t="shared" si="5"/>
        <v/>
      </c>
      <c r="BD9" s="444" t="str">
        <f t="shared" si="5"/>
        <v/>
      </c>
      <c r="BE9" s="444" t="str">
        <f t="shared" si="5"/>
        <v/>
      </c>
      <c r="BF9" s="444" t="str">
        <f t="shared" si="5"/>
        <v/>
      </c>
      <c r="BG9" s="444" t="str">
        <f t="shared" si="5"/>
        <v/>
      </c>
      <c r="BH9" s="445" t="str">
        <f t="shared" si="5"/>
        <v/>
      </c>
      <c r="BI9" s="502"/>
      <c r="BJ9" s="474" t="str">
        <f t="shared" si="6"/>
        <v/>
      </c>
      <c r="BK9" s="475" t="str">
        <f t="shared" si="6"/>
        <v/>
      </c>
      <c r="BL9" s="475" t="str">
        <f t="shared" si="6"/>
        <v/>
      </c>
      <c r="BM9" s="475" t="str">
        <f t="shared" si="6"/>
        <v/>
      </c>
      <c r="BN9" s="475" t="str">
        <f t="shared" si="6"/>
        <v/>
      </c>
      <c r="BO9" s="475" t="str">
        <f t="shared" si="6"/>
        <v/>
      </c>
      <c r="BP9" s="475" t="str">
        <f t="shared" si="6"/>
        <v/>
      </c>
      <c r="BQ9" s="475" t="str">
        <f t="shared" si="6"/>
        <v/>
      </c>
      <c r="BR9" s="475" t="str">
        <f t="shared" si="6"/>
        <v/>
      </c>
      <c r="BS9" s="475" t="str">
        <f t="shared" si="6"/>
        <v/>
      </c>
      <c r="BT9" s="475" t="str">
        <f t="shared" si="7"/>
        <v/>
      </c>
      <c r="BU9" s="475" t="str">
        <f t="shared" si="7"/>
        <v/>
      </c>
      <c r="BV9" s="475" t="str">
        <f t="shared" si="7"/>
        <v/>
      </c>
      <c r="BW9" s="475" t="str">
        <f t="shared" si="7"/>
        <v/>
      </c>
      <c r="BX9" s="475" t="str">
        <f t="shared" si="7"/>
        <v/>
      </c>
      <c r="BY9" s="475" t="str">
        <f t="shared" si="7"/>
        <v/>
      </c>
      <c r="BZ9" s="475" t="str">
        <f t="shared" si="7"/>
        <v/>
      </c>
      <c r="CA9" s="475" t="str">
        <f t="shared" si="7"/>
        <v/>
      </c>
      <c r="CB9" s="475" t="str">
        <f t="shared" si="7"/>
        <v/>
      </c>
      <c r="CC9" s="475" t="str">
        <f t="shared" si="7"/>
        <v/>
      </c>
      <c r="CD9" s="475" t="str">
        <f t="shared" si="8"/>
        <v/>
      </c>
      <c r="CE9" s="475" t="str">
        <f t="shared" si="8"/>
        <v/>
      </c>
      <c r="CF9" s="475" t="str">
        <f t="shared" si="8"/>
        <v/>
      </c>
      <c r="CG9" s="475" t="str">
        <f t="shared" si="8"/>
        <v/>
      </c>
      <c r="CH9" s="475" t="str">
        <f t="shared" si="8"/>
        <v/>
      </c>
      <c r="CI9" s="475" t="str">
        <f t="shared" si="8"/>
        <v/>
      </c>
      <c r="CJ9" s="475" t="str">
        <f t="shared" si="8"/>
        <v/>
      </c>
      <c r="CK9" s="475" t="str">
        <f t="shared" si="8"/>
        <v/>
      </c>
      <c r="CL9" s="475" t="str">
        <f t="shared" si="8"/>
        <v/>
      </c>
      <c r="CM9" s="475" t="str">
        <f t="shared" si="8"/>
        <v/>
      </c>
      <c r="CN9" s="475" t="str">
        <f t="shared" si="9"/>
        <v/>
      </c>
      <c r="CO9" s="475" t="str">
        <f t="shared" si="9"/>
        <v/>
      </c>
      <c r="CP9" s="475" t="str">
        <f t="shared" si="9"/>
        <v/>
      </c>
      <c r="CQ9" s="475" t="str">
        <f t="shared" si="9"/>
        <v/>
      </c>
      <c r="CR9" s="475" t="str">
        <f t="shared" si="9"/>
        <v/>
      </c>
      <c r="CS9" s="475" t="str">
        <f t="shared" si="9"/>
        <v/>
      </c>
      <c r="CT9" s="475" t="str">
        <f t="shared" si="9"/>
        <v/>
      </c>
      <c r="CU9" s="475" t="str">
        <f t="shared" si="9"/>
        <v/>
      </c>
      <c r="CV9" s="475" t="str">
        <f t="shared" si="9"/>
        <v/>
      </c>
      <c r="CW9" s="475" t="str">
        <f t="shared" si="9"/>
        <v/>
      </c>
      <c r="CX9" s="475" t="str">
        <f t="shared" si="9"/>
        <v/>
      </c>
      <c r="CY9" s="475" t="str">
        <f t="shared" si="9"/>
        <v/>
      </c>
      <c r="CZ9" s="495" t="str">
        <f t="shared" si="9"/>
        <v/>
      </c>
      <c r="DA9" s="502"/>
      <c r="DB9" s="460"/>
      <c r="DC9" s="465"/>
      <c r="DD9" s="463"/>
      <c r="DE9" s="512"/>
      <c r="DF9" s="516"/>
      <c r="DG9" s="508"/>
      <c r="DH9" s="463"/>
      <c r="DI9" s="461"/>
      <c r="DJ9" s="461"/>
      <c r="DK9" s="461"/>
      <c r="DL9" s="464"/>
      <c r="DM9" s="466"/>
      <c r="DN9" s="502"/>
      <c r="DO9" s="460"/>
      <c r="DP9" s="464"/>
      <c r="DQ9" s="464"/>
      <c r="DR9" s="464"/>
      <c r="DS9" s="508"/>
      <c r="DT9" s="525"/>
      <c r="DU9" s="525"/>
      <c r="DV9" s="463"/>
      <c r="DW9" s="464"/>
      <c r="DX9" s="465"/>
      <c r="DY9" s="463"/>
      <c r="DZ9" s="464"/>
      <c r="EA9" s="465"/>
      <c r="EB9" s="463"/>
      <c r="EC9" s="465"/>
      <c r="ED9" s="462"/>
      <c r="EE9" s="502"/>
      <c r="EF9" s="463"/>
      <c r="EG9" s="461"/>
      <c r="EH9" s="464"/>
      <c r="EI9" s="464"/>
      <c r="EJ9" s="464"/>
      <c r="EK9" s="464"/>
      <c r="EL9" s="464"/>
      <c r="EM9" s="464"/>
      <c r="EN9" s="464"/>
      <c r="EO9" s="464"/>
      <c r="EP9" s="464"/>
      <c r="EQ9" s="464"/>
      <c r="ER9" s="464"/>
      <c r="ES9" s="464"/>
      <c r="ET9" s="464"/>
      <c r="EU9" s="464"/>
      <c r="EV9" s="464"/>
      <c r="EW9" s="465"/>
      <c r="EX9" s="465"/>
      <c r="EY9" s="502"/>
      <c r="EZ9" s="460"/>
      <c r="FA9" s="464"/>
      <c r="FB9" s="464"/>
      <c r="FC9" s="464"/>
      <c r="FD9" s="464"/>
      <c r="FE9" s="464"/>
      <c r="FF9" s="464"/>
      <c r="FG9" s="466"/>
    </row>
    <row r="10" spans="1:163">
      <c r="A10" s="467" t="s">
        <v>197</v>
      </c>
      <c r="B10" s="471" t="str">
        <f>IF(ISNUMBER(MATCH(A10, 'Pulldown Data'!W:W, 0))=TRUE, "Y", IF(ISNUMBER(MATCH(A10, 'Pulldown Data'!X:X, 0))=TRUE, "M", ""))</f>
        <v/>
      </c>
      <c r="C10" s="442"/>
      <c r="D10" s="502"/>
      <c r="E10" s="443" t="str">
        <f t="shared" si="0"/>
        <v/>
      </c>
      <c r="F10" s="444" t="str">
        <f t="shared" si="0"/>
        <v/>
      </c>
      <c r="G10" s="444" t="str">
        <f t="shared" si="0"/>
        <v/>
      </c>
      <c r="H10" s="444" t="str">
        <f t="shared" si="0"/>
        <v/>
      </c>
      <c r="I10" s="444" t="str">
        <f t="shared" si="0"/>
        <v/>
      </c>
      <c r="J10" s="444" t="str">
        <f t="shared" si="0"/>
        <v/>
      </c>
      <c r="K10" s="444" t="str">
        <f t="shared" si="0"/>
        <v/>
      </c>
      <c r="L10" s="444" t="str">
        <f t="shared" si="0"/>
        <v/>
      </c>
      <c r="M10" s="444" t="str">
        <f t="shared" si="0"/>
        <v/>
      </c>
      <c r="N10" s="444" t="str">
        <f t="shared" si="0"/>
        <v/>
      </c>
      <c r="O10" s="444" t="str">
        <f t="shared" si="1"/>
        <v/>
      </c>
      <c r="P10" s="444" t="str">
        <f t="shared" si="1"/>
        <v/>
      </c>
      <c r="Q10" s="444" t="str">
        <f t="shared" si="1"/>
        <v/>
      </c>
      <c r="R10" s="444" t="str">
        <f t="shared" si="1"/>
        <v/>
      </c>
      <c r="S10" s="444" t="str">
        <f t="shared" si="1"/>
        <v/>
      </c>
      <c r="T10" s="444" t="str">
        <f t="shared" si="1"/>
        <v/>
      </c>
      <c r="U10" s="444" t="str">
        <f t="shared" si="1"/>
        <v/>
      </c>
      <c r="V10" s="444" t="str">
        <f t="shared" si="1"/>
        <v/>
      </c>
      <c r="W10" s="444" t="str">
        <f t="shared" si="1"/>
        <v/>
      </c>
      <c r="X10" s="444" t="str">
        <f t="shared" si="1"/>
        <v/>
      </c>
      <c r="Y10" s="444" t="str">
        <f t="shared" si="2"/>
        <v/>
      </c>
      <c r="Z10" s="444" t="str">
        <f t="shared" si="2"/>
        <v/>
      </c>
      <c r="AA10" s="444" t="str">
        <f t="shared" si="2"/>
        <v/>
      </c>
      <c r="AB10" s="444" t="str">
        <f t="shared" si="2"/>
        <v/>
      </c>
      <c r="AC10" s="444" t="str">
        <f t="shared" si="2"/>
        <v/>
      </c>
      <c r="AD10" s="444" t="str">
        <f t="shared" si="2"/>
        <v/>
      </c>
      <c r="AE10" s="444" t="str">
        <f t="shared" si="2"/>
        <v/>
      </c>
      <c r="AF10" s="444" t="str">
        <f t="shared" si="2"/>
        <v/>
      </c>
      <c r="AG10" s="444" t="str">
        <f t="shared" si="2"/>
        <v/>
      </c>
      <c r="AH10" s="444" t="str">
        <f t="shared" si="2"/>
        <v/>
      </c>
      <c r="AI10" s="444" t="str">
        <f t="shared" si="3"/>
        <v/>
      </c>
      <c r="AJ10" s="444" t="str">
        <f t="shared" si="3"/>
        <v/>
      </c>
      <c r="AK10" s="444" t="str">
        <f t="shared" si="3"/>
        <v/>
      </c>
      <c r="AL10" s="444" t="str">
        <f t="shared" si="3"/>
        <v/>
      </c>
      <c r="AM10" s="444" t="str">
        <f t="shared" si="3"/>
        <v/>
      </c>
      <c r="AN10" s="444" t="str">
        <f t="shared" si="3"/>
        <v/>
      </c>
      <c r="AO10" s="444" t="str">
        <f t="shared" si="3"/>
        <v/>
      </c>
      <c r="AP10" s="444" t="str">
        <f t="shared" si="3"/>
        <v/>
      </c>
      <c r="AQ10" s="444" t="str">
        <f t="shared" si="3"/>
        <v/>
      </c>
      <c r="AR10" s="444" t="str">
        <f t="shared" si="3"/>
        <v/>
      </c>
      <c r="AS10" s="444" t="str">
        <f t="shared" si="4"/>
        <v/>
      </c>
      <c r="AT10" s="444" t="str">
        <f t="shared" si="4"/>
        <v/>
      </c>
      <c r="AU10" s="444" t="str">
        <f t="shared" si="4"/>
        <v/>
      </c>
      <c r="AV10" s="444" t="str">
        <f t="shared" si="4"/>
        <v/>
      </c>
      <c r="AW10" s="444" t="str">
        <f t="shared" si="4"/>
        <v/>
      </c>
      <c r="AX10" s="444" t="str">
        <f t="shared" si="4"/>
        <v/>
      </c>
      <c r="AY10" s="444" t="str">
        <f t="shared" si="4"/>
        <v/>
      </c>
      <c r="AZ10" s="444" t="str">
        <f t="shared" si="4"/>
        <v/>
      </c>
      <c r="BA10" s="444" t="str">
        <f t="shared" si="4"/>
        <v/>
      </c>
      <c r="BB10" s="444" t="str">
        <f t="shared" si="4"/>
        <v/>
      </c>
      <c r="BC10" s="444" t="str">
        <f t="shared" si="5"/>
        <v/>
      </c>
      <c r="BD10" s="444" t="str">
        <f t="shared" si="5"/>
        <v/>
      </c>
      <c r="BE10" s="444" t="str">
        <f t="shared" si="5"/>
        <v/>
      </c>
      <c r="BF10" s="444" t="str">
        <f t="shared" si="5"/>
        <v/>
      </c>
      <c r="BG10" s="444" t="str">
        <f t="shared" si="5"/>
        <v/>
      </c>
      <c r="BH10" s="445" t="str">
        <f t="shared" si="5"/>
        <v/>
      </c>
      <c r="BI10" s="502"/>
      <c r="BJ10" s="474" t="str">
        <f t="shared" si="6"/>
        <v/>
      </c>
      <c r="BK10" s="475" t="str">
        <f t="shared" si="6"/>
        <v/>
      </c>
      <c r="BL10" s="475" t="str">
        <f t="shared" si="6"/>
        <v/>
      </c>
      <c r="BM10" s="475" t="str">
        <f t="shared" si="6"/>
        <v/>
      </c>
      <c r="BN10" s="475" t="str">
        <f t="shared" si="6"/>
        <v/>
      </c>
      <c r="BO10" s="475" t="str">
        <f t="shared" si="6"/>
        <v/>
      </c>
      <c r="BP10" s="475" t="str">
        <f t="shared" si="6"/>
        <v/>
      </c>
      <c r="BQ10" s="475" t="str">
        <f t="shared" si="6"/>
        <v/>
      </c>
      <c r="BR10" s="475" t="str">
        <f t="shared" si="6"/>
        <v/>
      </c>
      <c r="BS10" s="475" t="str">
        <f t="shared" si="6"/>
        <v/>
      </c>
      <c r="BT10" s="475" t="str">
        <f t="shared" si="7"/>
        <v/>
      </c>
      <c r="BU10" s="475" t="str">
        <f t="shared" si="7"/>
        <v/>
      </c>
      <c r="BV10" s="475" t="str">
        <f t="shared" si="7"/>
        <v/>
      </c>
      <c r="BW10" s="475" t="str">
        <f t="shared" si="7"/>
        <v/>
      </c>
      <c r="BX10" s="475" t="str">
        <f t="shared" si="7"/>
        <v/>
      </c>
      <c r="BY10" s="475" t="str">
        <f t="shared" si="7"/>
        <v/>
      </c>
      <c r="BZ10" s="475" t="str">
        <f t="shared" si="7"/>
        <v/>
      </c>
      <c r="CA10" s="475" t="str">
        <f t="shared" si="7"/>
        <v/>
      </c>
      <c r="CB10" s="475" t="str">
        <f t="shared" si="7"/>
        <v/>
      </c>
      <c r="CC10" s="475" t="str">
        <f t="shared" si="7"/>
        <v/>
      </c>
      <c r="CD10" s="475" t="str">
        <f t="shared" si="8"/>
        <v/>
      </c>
      <c r="CE10" s="475" t="str">
        <f t="shared" si="8"/>
        <v/>
      </c>
      <c r="CF10" s="475" t="str">
        <f t="shared" si="8"/>
        <v/>
      </c>
      <c r="CG10" s="475" t="str">
        <f t="shared" si="8"/>
        <v/>
      </c>
      <c r="CH10" s="475" t="str">
        <f t="shared" si="8"/>
        <v/>
      </c>
      <c r="CI10" s="475" t="str">
        <f t="shared" si="8"/>
        <v/>
      </c>
      <c r="CJ10" s="475" t="str">
        <f t="shared" si="8"/>
        <v/>
      </c>
      <c r="CK10" s="475" t="str">
        <f t="shared" si="8"/>
        <v/>
      </c>
      <c r="CL10" s="475" t="str">
        <f t="shared" si="8"/>
        <v/>
      </c>
      <c r="CM10" s="475" t="str">
        <f t="shared" si="8"/>
        <v/>
      </c>
      <c r="CN10" s="475" t="str">
        <f t="shared" si="9"/>
        <v/>
      </c>
      <c r="CO10" s="475" t="str">
        <f t="shared" si="9"/>
        <v/>
      </c>
      <c r="CP10" s="475" t="str">
        <f t="shared" si="9"/>
        <v/>
      </c>
      <c r="CQ10" s="475" t="str">
        <f t="shared" si="9"/>
        <v/>
      </c>
      <c r="CR10" s="475" t="str">
        <f t="shared" si="9"/>
        <v/>
      </c>
      <c r="CS10" s="475" t="str">
        <f t="shared" si="9"/>
        <v/>
      </c>
      <c r="CT10" s="475" t="str">
        <f t="shared" si="9"/>
        <v/>
      </c>
      <c r="CU10" s="475" t="str">
        <f t="shared" si="9"/>
        <v/>
      </c>
      <c r="CV10" s="475" t="str">
        <f t="shared" si="9"/>
        <v/>
      </c>
      <c r="CW10" s="475" t="str">
        <f t="shared" si="9"/>
        <v/>
      </c>
      <c r="CX10" s="475" t="str">
        <f t="shared" si="9"/>
        <v/>
      </c>
      <c r="CY10" s="475" t="str">
        <f t="shared" si="9"/>
        <v/>
      </c>
      <c r="CZ10" s="495" t="str">
        <f t="shared" si="9"/>
        <v/>
      </c>
      <c r="DA10" s="502"/>
      <c r="DB10" s="460"/>
      <c r="DC10" s="465"/>
      <c r="DD10" s="463"/>
      <c r="DE10" s="512"/>
      <c r="DF10" s="516"/>
      <c r="DG10" s="508"/>
      <c r="DH10" s="463"/>
      <c r="DI10" s="461"/>
      <c r="DJ10" s="461"/>
      <c r="DK10" s="461"/>
      <c r="DL10" s="464"/>
      <c r="DM10" s="466"/>
      <c r="DN10" s="502"/>
      <c r="DO10" s="460"/>
      <c r="DP10" s="464"/>
      <c r="DQ10" s="464"/>
      <c r="DR10" s="464"/>
      <c r="DS10" s="508"/>
      <c r="DT10" s="525"/>
      <c r="DU10" s="525"/>
      <c r="DV10" s="463"/>
      <c r="DW10" s="464"/>
      <c r="DX10" s="465"/>
      <c r="DY10" s="463"/>
      <c r="DZ10" s="464"/>
      <c r="EA10" s="465"/>
      <c r="EB10" s="463"/>
      <c r="EC10" s="465"/>
      <c r="ED10" s="462"/>
      <c r="EE10" s="502"/>
      <c r="EF10" s="463"/>
      <c r="EG10" s="461"/>
      <c r="EH10" s="464"/>
      <c r="EI10" s="464"/>
      <c r="EJ10" s="464"/>
      <c r="EK10" s="464"/>
      <c r="EL10" s="464"/>
      <c r="EM10" s="464"/>
      <c r="EN10" s="464"/>
      <c r="EO10" s="464"/>
      <c r="EP10" s="464"/>
      <c r="EQ10" s="464"/>
      <c r="ER10" s="464"/>
      <c r="ES10" s="464"/>
      <c r="ET10" s="464"/>
      <c r="EU10" s="464"/>
      <c r="EV10" s="464"/>
      <c r="EW10" s="465"/>
      <c r="EX10" s="465"/>
      <c r="EY10" s="502"/>
      <c r="EZ10" s="460"/>
      <c r="FA10" s="464"/>
      <c r="FB10" s="464"/>
      <c r="FC10" s="464"/>
      <c r="FD10" s="464"/>
      <c r="FE10" s="464"/>
      <c r="FF10" s="464"/>
      <c r="FG10" s="466"/>
    </row>
    <row r="11" spans="1:163">
      <c r="A11" s="467" t="s">
        <v>198</v>
      </c>
      <c r="B11" s="471" t="str">
        <f>IF(ISNUMBER(MATCH(A11, 'Pulldown Data'!W:W, 0))=TRUE, "Y", IF(ISNUMBER(MATCH(A11, 'Pulldown Data'!X:X, 0))=TRUE, "M", ""))</f>
        <v/>
      </c>
      <c r="C11" s="442"/>
      <c r="D11" s="502"/>
      <c r="E11" s="443" t="str">
        <f t="shared" si="0"/>
        <v/>
      </c>
      <c r="F11" s="444" t="str">
        <f t="shared" si="0"/>
        <v/>
      </c>
      <c r="G11" s="444" t="str">
        <f t="shared" si="0"/>
        <v/>
      </c>
      <c r="H11" s="444" t="str">
        <f t="shared" si="0"/>
        <v/>
      </c>
      <c r="I11" s="444" t="str">
        <f t="shared" si="0"/>
        <v/>
      </c>
      <c r="J11" s="444" t="str">
        <f t="shared" si="0"/>
        <v/>
      </c>
      <c r="K11" s="444" t="str">
        <f t="shared" si="0"/>
        <v/>
      </c>
      <c r="L11" s="444" t="str">
        <f t="shared" si="0"/>
        <v/>
      </c>
      <c r="M11" s="444" t="str">
        <f t="shared" si="0"/>
        <v/>
      </c>
      <c r="N11" s="444" t="str">
        <f t="shared" si="0"/>
        <v/>
      </c>
      <c r="O11" s="444" t="str">
        <f t="shared" si="1"/>
        <v/>
      </c>
      <c r="P11" s="444" t="str">
        <f t="shared" si="1"/>
        <v/>
      </c>
      <c r="Q11" s="444" t="str">
        <f t="shared" si="1"/>
        <v/>
      </c>
      <c r="R11" s="444" t="str">
        <f t="shared" si="1"/>
        <v/>
      </c>
      <c r="S11" s="444" t="str">
        <f t="shared" si="1"/>
        <v/>
      </c>
      <c r="T11" s="444" t="str">
        <f t="shared" si="1"/>
        <v/>
      </c>
      <c r="U11" s="444" t="str">
        <f t="shared" si="1"/>
        <v/>
      </c>
      <c r="V11" s="444" t="str">
        <f t="shared" si="1"/>
        <v/>
      </c>
      <c r="W11" s="444" t="str">
        <f t="shared" si="1"/>
        <v/>
      </c>
      <c r="X11" s="444" t="str">
        <f t="shared" si="1"/>
        <v/>
      </c>
      <c r="Y11" s="444" t="str">
        <f t="shared" si="2"/>
        <v/>
      </c>
      <c r="Z11" s="444" t="str">
        <f t="shared" si="2"/>
        <v/>
      </c>
      <c r="AA11" s="444" t="str">
        <f t="shared" si="2"/>
        <v/>
      </c>
      <c r="AB11" s="444" t="str">
        <f t="shared" si="2"/>
        <v/>
      </c>
      <c r="AC11" s="444" t="str">
        <f t="shared" si="2"/>
        <v/>
      </c>
      <c r="AD11" s="444" t="str">
        <f t="shared" si="2"/>
        <v/>
      </c>
      <c r="AE11" s="444" t="str">
        <f t="shared" si="2"/>
        <v/>
      </c>
      <c r="AF11" s="444" t="str">
        <f t="shared" si="2"/>
        <v/>
      </c>
      <c r="AG11" s="444" t="str">
        <f t="shared" si="2"/>
        <v/>
      </c>
      <c r="AH11" s="444" t="str">
        <f t="shared" si="2"/>
        <v/>
      </c>
      <c r="AI11" s="444" t="str">
        <f t="shared" si="3"/>
        <v/>
      </c>
      <c r="AJ11" s="444" t="str">
        <f t="shared" si="3"/>
        <v/>
      </c>
      <c r="AK11" s="444" t="str">
        <f t="shared" si="3"/>
        <v/>
      </c>
      <c r="AL11" s="444" t="str">
        <f t="shared" si="3"/>
        <v/>
      </c>
      <c r="AM11" s="444" t="str">
        <f t="shared" si="3"/>
        <v/>
      </c>
      <c r="AN11" s="444" t="str">
        <f t="shared" si="3"/>
        <v/>
      </c>
      <c r="AO11" s="444" t="str">
        <f t="shared" si="3"/>
        <v/>
      </c>
      <c r="AP11" s="444" t="str">
        <f t="shared" si="3"/>
        <v/>
      </c>
      <c r="AQ11" s="444" t="str">
        <f t="shared" si="3"/>
        <v/>
      </c>
      <c r="AR11" s="444" t="str">
        <f t="shared" si="3"/>
        <v/>
      </c>
      <c r="AS11" s="444" t="str">
        <f t="shared" si="4"/>
        <v/>
      </c>
      <c r="AT11" s="444" t="str">
        <f t="shared" si="4"/>
        <v/>
      </c>
      <c r="AU11" s="444" t="str">
        <f t="shared" si="4"/>
        <v/>
      </c>
      <c r="AV11" s="444" t="str">
        <f t="shared" si="4"/>
        <v/>
      </c>
      <c r="AW11" s="444" t="str">
        <f t="shared" si="4"/>
        <v/>
      </c>
      <c r="AX11" s="444" t="str">
        <f t="shared" si="4"/>
        <v/>
      </c>
      <c r="AY11" s="444" t="str">
        <f t="shared" si="4"/>
        <v/>
      </c>
      <c r="AZ11" s="444" t="str">
        <f t="shared" si="4"/>
        <v/>
      </c>
      <c r="BA11" s="444" t="str">
        <f t="shared" si="4"/>
        <v/>
      </c>
      <c r="BB11" s="444" t="str">
        <f t="shared" si="4"/>
        <v/>
      </c>
      <c r="BC11" s="444" t="str">
        <f t="shared" si="5"/>
        <v/>
      </c>
      <c r="BD11" s="444" t="str">
        <f t="shared" si="5"/>
        <v/>
      </c>
      <c r="BE11" s="444" t="str">
        <f t="shared" si="5"/>
        <v/>
      </c>
      <c r="BF11" s="444" t="str">
        <f t="shared" si="5"/>
        <v/>
      </c>
      <c r="BG11" s="444" t="str">
        <f t="shared" si="5"/>
        <v/>
      </c>
      <c r="BH11" s="445" t="str">
        <f t="shared" si="5"/>
        <v/>
      </c>
      <c r="BI11" s="502"/>
      <c r="BJ11" s="474" t="str">
        <f t="shared" si="6"/>
        <v/>
      </c>
      <c r="BK11" s="475" t="str">
        <f t="shared" si="6"/>
        <v/>
      </c>
      <c r="BL11" s="475" t="str">
        <f t="shared" si="6"/>
        <v/>
      </c>
      <c r="BM11" s="475" t="str">
        <f t="shared" si="6"/>
        <v/>
      </c>
      <c r="BN11" s="475" t="str">
        <f t="shared" si="6"/>
        <v/>
      </c>
      <c r="BO11" s="475" t="str">
        <f t="shared" si="6"/>
        <v/>
      </c>
      <c r="BP11" s="475" t="str">
        <f t="shared" si="6"/>
        <v/>
      </c>
      <c r="BQ11" s="475" t="str">
        <f t="shared" si="6"/>
        <v/>
      </c>
      <c r="BR11" s="475" t="str">
        <f t="shared" si="6"/>
        <v/>
      </c>
      <c r="BS11" s="475" t="str">
        <f t="shared" si="6"/>
        <v/>
      </c>
      <c r="BT11" s="475" t="str">
        <f t="shared" si="7"/>
        <v/>
      </c>
      <c r="BU11" s="475" t="str">
        <f t="shared" si="7"/>
        <v/>
      </c>
      <c r="BV11" s="475" t="str">
        <f t="shared" si="7"/>
        <v/>
      </c>
      <c r="BW11" s="475" t="str">
        <f t="shared" si="7"/>
        <v/>
      </c>
      <c r="BX11" s="475" t="str">
        <f t="shared" si="7"/>
        <v/>
      </c>
      <c r="BY11" s="475" t="str">
        <f t="shared" si="7"/>
        <v/>
      </c>
      <c r="BZ11" s="475" t="str">
        <f t="shared" si="7"/>
        <v/>
      </c>
      <c r="CA11" s="475" t="str">
        <f t="shared" si="7"/>
        <v/>
      </c>
      <c r="CB11" s="475" t="str">
        <f t="shared" si="7"/>
        <v/>
      </c>
      <c r="CC11" s="475" t="str">
        <f t="shared" si="7"/>
        <v/>
      </c>
      <c r="CD11" s="475" t="str">
        <f t="shared" si="8"/>
        <v/>
      </c>
      <c r="CE11" s="475" t="str">
        <f t="shared" si="8"/>
        <v/>
      </c>
      <c r="CF11" s="475" t="str">
        <f t="shared" si="8"/>
        <v/>
      </c>
      <c r="CG11" s="475" t="str">
        <f t="shared" si="8"/>
        <v/>
      </c>
      <c r="CH11" s="475" t="str">
        <f t="shared" si="8"/>
        <v/>
      </c>
      <c r="CI11" s="475" t="str">
        <f t="shared" si="8"/>
        <v/>
      </c>
      <c r="CJ11" s="475" t="str">
        <f t="shared" si="8"/>
        <v/>
      </c>
      <c r="CK11" s="475" t="str">
        <f t="shared" si="8"/>
        <v/>
      </c>
      <c r="CL11" s="475" t="str">
        <f t="shared" si="8"/>
        <v/>
      </c>
      <c r="CM11" s="475" t="str">
        <f t="shared" si="8"/>
        <v/>
      </c>
      <c r="CN11" s="475" t="str">
        <f t="shared" si="9"/>
        <v/>
      </c>
      <c r="CO11" s="475" t="str">
        <f t="shared" si="9"/>
        <v/>
      </c>
      <c r="CP11" s="475" t="str">
        <f t="shared" si="9"/>
        <v/>
      </c>
      <c r="CQ11" s="475" t="str">
        <f t="shared" si="9"/>
        <v/>
      </c>
      <c r="CR11" s="475" t="str">
        <f t="shared" si="9"/>
        <v/>
      </c>
      <c r="CS11" s="475" t="str">
        <f t="shared" si="9"/>
        <v/>
      </c>
      <c r="CT11" s="475" t="str">
        <f t="shared" si="9"/>
        <v/>
      </c>
      <c r="CU11" s="475" t="str">
        <f t="shared" si="9"/>
        <v/>
      </c>
      <c r="CV11" s="475" t="str">
        <f t="shared" si="9"/>
        <v/>
      </c>
      <c r="CW11" s="475" t="str">
        <f t="shared" si="9"/>
        <v/>
      </c>
      <c r="CX11" s="475" t="str">
        <f t="shared" si="9"/>
        <v/>
      </c>
      <c r="CY11" s="475" t="str">
        <f t="shared" si="9"/>
        <v/>
      </c>
      <c r="CZ11" s="495" t="str">
        <f t="shared" si="9"/>
        <v/>
      </c>
      <c r="DA11" s="502"/>
      <c r="DB11" s="460"/>
      <c r="DC11" s="465"/>
      <c r="DD11" s="463"/>
      <c r="DE11" s="512"/>
      <c r="DF11" s="516"/>
      <c r="DG11" s="508"/>
      <c r="DH11" s="463"/>
      <c r="DI11" s="461"/>
      <c r="DJ11" s="461"/>
      <c r="DK11" s="461"/>
      <c r="DL11" s="464"/>
      <c r="DM11" s="466"/>
      <c r="DN11" s="502"/>
      <c r="DO11" s="460"/>
      <c r="DP11" s="464"/>
      <c r="DQ11" s="464"/>
      <c r="DR11" s="464"/>
      <c r="DS11" s="508"/>
      <c r="DT11" s="525"/>
      <c r="DU11" s="525"/>
      <c r="DV11" s="463"/>
      <c r="DW11" s="464"/>
      <c r="DX11" s="465"/>
      <c r="DY11" s="463"/>
      <c r="DZ11" s="464"/>
      <c r="EA11" s="465"/>
      <c r="EB11" s="463"/>
      <c r="EC11" s="465"/>
      <c r="ED11" s="462"/>
      <c r="EE11" s="502"/>
      <c r="EF11" s="463"/>
      <c r="EG11" s="461"/>
      <c r="EH11" s="464"/>
      <c r="EI11" s="464"/>
      <c r="EJ11" s="464"/>
      <c r="EK11" s="464"/>
      <c r="EL11" s="464"/>
      <c r="EM11" s="464"/>
      <c r="EN11" s="464"/>
      <c r="EO11" s="464"/>
      <c r="EP11" s="464"/>
      <c r="EQ11" s="464"/>
      <c r="ER11" s="464"/>
      <c r="ES11" s="464"/>
      <c r="ET11" s="464"/>
      <c r="EU11" s="464"/>
      <c r="EV11" s="464"/>
      <c r="EW11" s="465"/>
      <c r="EX11" s="465"/>
      <c r="EY11" s="502"/>
      <c r="EZ11" s="460"/>
      <c r="FA11" s="464"/>
      <c r="FB11" s="464"/>
      <c r="FC11" s="464"/>
      <c r="FD11" s="464"/>
      <c r="FE11" s="464"/>
      <c r="FF11" s="464"/>
      <c r="FG11" s="466"/>
    </row>
    <row r="12" spans="1:163">
      <c r="A12" s="467" t="s">
        <v>199</v>
      </c>
      <c r="B12" s="471" t="str">
        <f>IF(ISNUMBER(MATCH(A12, 'Pulldown Data'!W:W, 0))=TRUE, "Y", IF(ISNUMBER(MATCH(A12, 'Pulldown Data'!X:X, 0))=TRUE, "M", ""))</f>
        <v/>
      </c>
      <c r="C12" s="442"/>
      <c r="D12" s="502"/>
      <c r="E12" s="443" t="str">
        <f t="shared" ref="E12:N21" si="10" xml:space="preserve">
IFERROR(
_xlfn.IFNA(
   IF($B12="PLT",
      IF(INDEX(PRJGENVersions, MATCH(TRIM(E$1), PRJGENAlgosMapped, 0), MATCH($A12, PRJGENProjects, 0)), "YES", ""),
      IF(INDEX(RoadmapData, MATCH(TRIM(E$1), RoadmapDataFeatures, 0), MATCH($A12, RoadmapDataProjects, 0)) = "-", "-", INDEX(RoadmapData, MATCH(TRIM(E$1), RoadmapDataFeatures, 0), MATCH($A12, RoadmapDataProjects, 0)))),
""),
"")</f>
        <v/>
      </c>
      <c r="F12" s="444" t="str">
        <f t="shared" si="10"/>
        <v/>
      </c>
      <c r="G12" s="444" t="str">
        <f t="shared" si="10"/>
        <v/>
      </c>
      <c r="H12" s="444" t="str">
        <f t="shared" si="10"/>
        <v/>
      </c>
      <c r="I12" s="444" t="str">
        <f t="shared" si="10"/>
        <v/>
      </c>
      <c r="J12" s="444" t="str">
        <f t="shared" si="10"/>
        <v/>
      </c>
      <c r="K12" s="444" t="str">
        <f t="shared" si="10"/>
        <v/>
      </c>
      <c r="L12" s="444" t="str">
        <f t="shared" si="10"/>
        <v/>
      </c>
      <c r="M12" s="444" t="str">
        <f t="shared" si="10"/>
        <v/>
      </c>
      <c r="N12" s="444" t="str">
        <f t="shared" si="10"/>
        <v/>
      </c>
      <c r="O12" s="444" t="str">
        <f t="shared" ref="O12:X21" si="11" xml:space="preserve">
IFERROR(
_xlfn.IFNA(
   IF($B12="PLT",
      IF(INDEX(PRJGENVersions, MATCH(TRIM(O$1), PRJGENAlgosMapped, 0), MATCH($A12, PRJGENProjects, 0)), "YES", ""),
      IF(INDEX(RoadmapData, MATCH(TRIM(O$1), RoadmapDataFeatures, 0), MATCH($A12, RoadmapDataProjects, 0)) = "-", "-", INDEX(RoadmapData, MATCH(TRIM(O$1), RoadmapDataFeatures, 0), MATCH($A12, RoadmapDataProjects, 0)))),
""),
"")</f>
        <v/>
      </c>
      <c r="P12" s="444" t="str">
        <f t="shared" si="11"/>
        <v/>
      </c>
      <c r="Q12" s="444" t="str">
        <f t="shared" si="11"/>
        <v/>
      </c>
      <c r="R12" s="444" t="str">
        <f t="shared" si="11"/>
        <v/>
      </c>
      <c r="S12" s="444" t="str">
        <f t="shared" si="11"/>
        <v/>
      </c>
      <c r="T12" s="444" t="str">
        <f t="shared" si="11"/>
        <v/>
      </c>
      <c r="U12" s="444" t="str">
        <f t="shared" si="11"/>
        <v/>
      </c>
      <c r="V12" s="444" t="str">
        <f t="shared" si="11"/>
        <v/>
      </c>
      <c r="W12" s="444" t="str">
        <f t="shared" si="11"/>
        <v/>
      </c>
      <c r="X12" s="444" t="str">
        <f t="shared" si="11"/>
        <v/>
      </c>
      <c r="Y12" s="444" t="str">
        <f t="shared" ref="Y12:AH21" si="12" xml:space="preserve">
IFERROR(
_xlfn.IFNA(
   IF($B12="PLT",
      IF(INDEX(PRJGENVersions, MATCH(TRIM(Y$1), PRJGENAlgosMapped, 0), MATCH($A12, PRJGENProjects, 0)), "YES", ""),
      IF(INDEX(RoadmapData, MATCH(TRIM(Y$1), RoadmapDataFeatures, 0), MATCH($A12, RoadmapDataProjects, 0)) = "-", "-", INDEX(RoadmapData, MATCH(TRIM(Y$1), RoadmapDataFeatures, 0), MATCH($A12, RoadmapDataProjects, 0)))),
""),
"")</f>
        <v/>
      </c>
      <c r="Z12" s="444" t="str">
        <f t="shared" si="12"/>
        <v/>
      </c>
      <c r="AA12" s="444" t="str">
        <f t="shared" si="12"/>
        <v/>
      </c>
      <c r="AB12" s="444" t="str">
        <f t="shared" si="12"/>
        <v/>
      </c>
      <c r="AC12" s="444" t="str">
        <f t="shared" si="12"/>
        <v/>
      </c>
      <c r="AD12" s="444" t="str">
        <f t="shared" si="12"/>
        <v/>
      </c>
      <c r="AE12" s="444" t="str">
        <f t="shared" si="12"/>
        <v/>
      </c>
      <c r="AF12" s="444" t="str">
        <f t="shared" si="12"/>
        <v/>
      </c>
      <c r="AG12" s="444" t="str">
        <f t="shared" si="12"/>
        <v/>
      </c>
      <c r="AH12" s="444" t="str">
        <f t="shared" si="12"/>
        <v/>
      </c>
      <c r="AI12" s="444" t="str">
        <f t="shared" ref="AI12:AR21" si="13" xml:space="preserve">
IFERROR(
_xlfn.IFNA(
   IF($B12="PLT",
      IF(INDEX(PRJGENVersions, MATCH(TRIM(AI$1), PRJGENAlgosMapped, 0), MATCH($A12, PRJGENProjects, 0)), "YES", ""),
      IF(INDEX(RoadmapData, MATCH(TRIM(AI$1), RoadmapDataFeatures, 0), MATCH($A12, RoadmapDataProjects, 0)) = "-", "-", INDEX(RoadmapData, MATCH(TRIM(AI$1), RoadmapDataFeatures, 0), MATCH($A12, RoadmapDataProjects, 0)))),
""),
"")</f>
        <v/>
      </c>
      <c r="AJ12" s="444" t="str">
        <f t="shared" si="13"/>
        <v/>
      </c>
      <c r="AK12" s="444" t="str">
        <f t="shared" si="13"/>
        <v/>
      </c>
      <c r="AL12" s="444" t="str">
        <f t="shared" si="13"/>
        <v/>
      </c>
      <c r="AM12" s="444" t="str">
        <f t="shared" si="13"/>
        <v/>
      </c>
      <c r="AN12" s="444" t="str">
        <f t="shared" si="13"/>
        <v/>
      </c>
      <c r="AO12" s="444" t="str">
        <f t="shared" si="13"/>
        <v/>
      </c>
      <c r="AP12" s="444" t="str">
        <f t="shared" si="13"/>
        <v/>
      </c>
      <c r="AQ12" s="444" t="str">
        <f t="shared" si="13"/>
        <v/>
      </c>
      <c r="AR12" s="444" t="str">
        <f t="shared" si="13"/>
        <v/>
      </c>
      <c r="AS12" s="444" t="str">
        <f t="shared" ref="AS12:BB21" si="14" xml:space="preserve">
IFERROR(
_xlfn.IFNA(
   IF($B12="PLT",
      IF(INDEX(PRJGENVersions, MATCH(TRIM(AS$1), PRJGENAlgosMapped, 0), MATCH($A12, PRJGENProjects, 0)), "YES", ""),
      IF(INDEX(RoadmapData, MATCH(TRIM(AS$1), RoadmapDataFeatures, 0), MATCH($A12, RoadmapDataProjects, 0)) = "-", "-", INDEX(RoadmapData, MATCH(TRIM(AS$1), RoadmapDataFeatures, 0), MATCH($A12, RoadmapDataProjects, 0)))),
""),
"")</f>
        <v/>
      </c>
      <c r="AT12" s="444" t="str">
        <f t="shared" si="14"/>
        <v/>
      </c>
      <c r="AU12" s="444" t="str">
        <f t="shared" si="14"/>
        <v/>
      </c>
      <c r="AV12" s="444" t="str">
        <f t="shared" si="14"/>
        <v/>
      </c>
      <c r="AW12" s="444" t="str">
        <f t="shared" si="14"/>
        <v/>
      </c>
      <c r="AX12" s="444" t="str">
        <f t="shared" si="14"/>
        <v/>
      </c>
      <c r="AY12" s="444" t="str">
        <f t="shared" si="14"/>
        <v/>
      </c>
      <c r="AZ12" s="444" t="str">
        <f t="shared" si="14"/>
        <v/>
      </c>
      <c r="BA12" s="444" t="str">
        <f t="shared" si="14"/>
        <v/>
      </c>
      <c r="BB12" s="444" t="str">
        <f t="shared" si="14"/>
        <v/>
      </c>
      <c r="BC12" s="444" t="str">
        <f t="shared" ref="BC12:BH21" si="15" xml:space="preserve">
IFERROR(
_xlfn.IFNA(
   IF($B12="PLT",
      IF(INDEX(PRJGENVersions, MATCH(TRIM(BC$1), PRJGENAlgosMapped, 0), MATCH($A12, PRJGENProjects, 0)), "YES", ""),
      IF(INDEX(RoadmapData, MATCH(TRIM(BC$1), RoadmapDataFeatures, 0), MATCH($A12, RoadmapDataProjects, 0)) = "-", "-", INDEX(RoadmapData, MATCH(TRIM(BC$1), RoadmapDataFeatures, 0), MATCH($A12, RoadmapDataProjects, 0)))),
""),
"")</f>
        <v/>
      </c>
      <c r="BD12" s="444" t="str">
        <f t="shared" si="15"/>
        <v/>
      </c>
      <c r="BE12" s="444" t="str">
        <f t="shared" si="15"/>
        <v/>
      </c>
      <c r="BF12" s="444" t="str">
        <f t="shared" si="15"/>
        <v/>
      </c>
      <c r="BG12" s="444" t="str">
        <f t="shared" si="15"/>
        <v/>
      </c>
      <c r="BH12" s="445" t="str">
        <f t="shared" si="15"/>
        <v/>
      </c>
      <c r="BI12" s="502"/>
      <c r="BJ12" s="474" t="str">
        <f t="shared" ref="BJ12:BS21" si="16">_xlfn.IFNA(IF(INDEX(RoadmapData, MATCH(TRIM(BJ$1), RoadmapDataFeatures, 0), MATCH($A12, RoadmapDataProjects, 0)) = "-", "-", INDEX(RoadmapData, MATCH(TRIM(BJ$1), RoadmapDataFeatures, 0), MATCH($A12, RoadmapDataProjects, 0))), "")</f>
        <v/>
      </c>
      <c r="BK12" s="475" t="str">
        <f t="shared" si="16"/>
        <v/>
      </c>
      <c r="BL12" s="475" t="str">
        <f t="shared" si="16"/>
        <v/>
      </c>
      <c r="BM12" s="475" t="str">
        <f t="shared" si="16"/>
        <v/>
      </c>
      <c r="BN12" s="475" t="str">
        <f t="shared" si="16"/>
        <v/>
      </c>
      <c r="BO12" s="475" t="str">
        <f t="shared" si="16"/>
        <v/>
      </c>
      <c r="BP12" s="475" t="str">
        <f t="shared" si="16"/>
        <v/>
      </c>
      <c r="BQ12" s="475" t="str">
        <f t="shared" si="16"/>
        <v/>
      </c>
      <c r="BR12" s="475" t="str">
        <f t="shared" si="16"/>
        <v/>
      </c>
      <c r="BS12" s="475" t="str">
        <f t="shared" si="16"/>
        <v/>
      </c>
      <c r="BT12" s="475" t="str">
        <f t="shared" ref="BT12:CC21" si="17">_xlfn.IFNA(IF(INDEX(RoadmapData, MATCH(TRIM(BT$1), RoadmapDataFeatures, 0), MATCH($A12, RoadmapDataProjects, 0)) = "-", "-", INDEX(RoadmapData, MATCH(TRIM(BT$1), RoadmapDataFeatures, 0), MATCH($A12, RoadmapDataProjects, 0))), "")</f>
        <v/>
      </c>
      <c r="BU12" s="475" t="str">
        <f t="shared" si="17"/>
        <v/>
      </c>
      <c r="BV12" s="475" t="str">
        <f t="shared" si="17"/>
        <v/>
      </c>
      <c r="BW12" s="475" t="str">
        <f t="shared" si="17"/>
        <v/>
      </c>
      <c r="BX12" s="475" t="str">
        <f t="shared" si="17"/>
        <v/>
      </c>
      <c r="BY12" s="475" t="str">
        <f t="shared" si="17"/>
        <v/>
      </c>
      <c r="BZ12" s="475" t="str">
        <f t="shared" si="17"/>
        <v/>
      </c>
      <c r="CA12" s="475" t="str">
        <f t="shared" si="17"/>
        <v/>
      </c>
      <c r="CB12" s="475" t="str">
        <f t="shared" si="17"/>
        <v/>
      </c>
      <c r="CC12" s="475" t="str">
        <f t="shared" si="17"/>
        <v/>
      </c>
      <c r="CD12" s="475" t="str">
        <f t="shared" ref="CD12:CM21" si="18">_xlfn.IFNA(IF(INDEX(RoadmapData, MATCH(TRIM(CD$1), RoadmapDataFeatures, 0), MATCH($A12, RoadmapDataProjects, 0)) = "-", "-", INDEX(RoadmapData, MATCH(TRIM(CD$1), RoadmapDataFeatures, 0), MATCH($A12, RoadmapDataProjects, 0))), "")</f>
        <v/>
      </c>
      <c r="CE12" s="475" t="str">
        <f t="shared" si="18"/>
        <v/>
      </c>
      <c r="CF12" s="475" t="str">
        <f t="shared" si="18"/>
        <v/>
      </c>
      <c r="CG12" s="475" t="str">
        <f t="shared" si="18"/>
        <v/>
      </c>
      <c r="CH12" s="475" t="str">
        <f t="shared" si="18"/>
        <v/>
      </c>
      <c r="CI12" s="475" t="str">
        <f t="shared" si="18"/>
        <v/>
      </c>
      <c r="CJ12" s="475" t="str">
        <f t="shared" si="18"/>
        <v/>
      </c>
      <c r="CK12" s="475" t="str">
        <f t="shared" si="18"/>
        <v/>
      </c>
      <c r="CL12" s="475" t="str">
        <f t="shared" si="18"/>
        <v/>
      </c>
      <c r="CM12" s="475" t="str">
        <f t="shared" si="18"/>
        <v/>
      </c>
      <c r="CN12" s="475" t="str">
        <f t="shared" ref="CN12:CZ21" si="19">_xlfn.IFNA(IF(INDEX(RoadmapData, MATCH(TRIM(CN$1), RoadmapDataFeatures, 0), MATCH($A12, RoadmapDataProjects, 0)) = "-", "-", INDEX(RoadmapData, MATCH(TRIM(CN$1), RoadmapDataFeatures, 0), MATCH($A12, RoadmapDataProjects, 0))), "")</f>
        <v/>
      </c>
      <c r="CO12" s="475" t="str">
        <f t="shared" si="19"/>
        <v/>
      </c>
      <c r="CP12" s="475" t="str">
        <f t="shared" si="19"/>
        <v/>
      </c>
      <c r="CQ12" s="475" t="str">
        <f t="shared" si="19"/>
        <v/>
      </c>
      <c r="CR12" s="475" t="str">
        <f t="shared" si="19"/>
        <v/>
      </c>
      <c r="CS12" s="475" t="str">
        <f t="shared" si="19"/>
        <v/>
      </c>
      <c r="CT12" s="475" t="str">
        <f t="shared" si="19"/>
        <v/>
      </c>
      <c r="CU12" s="475" t="str">
        <f t="shared" si="19"/>
        <v/>
      </c>
      <c r="CV12" s="475" t="str">
        <f t="shared" si="19"/>
        <v/>
      </c>
      <c r="CW12" s="475" t="str">
        <f t="shared" si="19"/>
        <v/>
      </c>
      <c r="CX12" s="475" t="str">
        <f t="shared" si="19"/>
        <v/>
      </c>
      <c r="CY12" s="475" t="str">
        <f t="shared" si="19"/>
        <v/>
      </c>
      <c r="CZ12" s="495" t="str">
        <f t="shared" si="19"/>
        <v/>
      </c>
      <c r="DA12" s="502"/>
      <c r="DB12" s="460"/>
      <c r="DC12" s="465"/>
      <c r="DD12" s="463"/>
      <c r="DE12" s="512"/>
      <c r="DF12" s="516"/>
      <c r="DG12" s="508"/>
      <c r="DH12" s="463"/>
      <c r="DI12" s="461"/>
      <c r="DJ12" s="461"/>
      <c r="DK12" s="461"/>
      <c r="DL12" s="464"/>
      <c r="DM12" s="466"/>
      <c r="DN12" s="502"/>
      <c r="DO12" s="460"/>
      <c r="DP12" s="464"/>
      <c r="DQ12" s="464"/>
      <c r="DR12" s="464"/>
      <c r="DS12" s="508"/>
      <c r="DT12" s="525"/>
      <c r="DU12" s="525"/>
      <c r="DV12" s="463"/>
      <c r="DW12" s="464"/>
      <c r="DX12" s="465"/>
      <c r="DY12" s="463"/>
      <c r="DZ12" s="464"/>
      <c r="EA12" s="465"/>
      <c r="EB12" s="463"/>
      <c r="EC12" s="465"/>
      <c r="ED12" s="462"/>
      <c r="EE12" s="502"/>
      <c r="EF12" s="463"/>
      <c r="EG12" s="461"/>
      <c r="EH12" s="464"/>
      <c r="EI12" s="464"/>
      <c r="EJ12" s="464"/>
      <c r="EK12" s="464"/>
      <c r="EL12" s="464"/>
      <c r="EM12" s="464"/>
      <c r="EN12" s="464"/>
      <c r="EO12" s="464"/>
      <c r="EP12" s="464"/>
      <c r="EQ12" s="464"/>
      <c r="ER12" s="464"/>
      <c r="ES12" s="464"/>
      <c r="ET12" s="464"/>
      <c r="EU12" s="464"/>
      <c r="EV12" s="464"/>
      <c r="EW12" s="465"/>
      <c r="EX12" s="465"/>
      <c r="EY12" s="502"/>
      <c r="EZ12" s="460"/>
      <c r="FA12" s="464"/>
      <c r="FB12" s="464"/>
      <c r="FC12" s="464"/>
      <c r="FD12" s="464"/>
      <c r="FE12" s="464"/>
      <c r="FF12" s="464"/>
      <c r="FG12" s="466"/>
    </row>
    <row r="13" spans="1:163">
      <c r="A13" s="467" t="s">
        <v>200</v>
      </c>
      <c r="B13" s="471" t="str">
        <f>IF(ISNUMBER(MATCH(A13, 'Pulldown Data'!W:W, 0))=TRUE, "Y", IF(ISNUMBER(MATCH(A13, 'Pulldown Data'!X:X, 0))=TRUE, "M", ""))</f>
        <v/>
      </c>
      <c r="C13" s="442"/>
      <c r="D13" s="502"/>
      <c r="E13" s="443" t="str">
        <f t="shared" si="10"/>
        <v/>
      </c>
      <c r="F13" s="444" t="str">
        <f t="shared" si="10"/>
        <v/>
      </c>
      <c r="G13" s="444" t="str">
        <f t="shared" si="10"/>
        <v/>
      </c>
      <c r="H13" s="444" t="str">
        <f t="shared" si="10"/>
        <v/>
      </c>
      <c r="I13" s="444" t="str">
        <f t="shared" si="10"/>
        <v/>
      </c>
      <c r="J13" s="444" t="str">
        <f t="shared" si="10"/>
        <v/>
      </c>
      <c r="K13" s="444" t="str">
        <f t="shared" si="10"/>
        <v/>
      </c>
      <c r="L13" s="444" t="str">
        <f t="shared" si="10"/>
        <v/>
      </c>
      <c r="M13" s="444" t="str">
        <f t="shared" si="10"/>
        <v/>
      </c>
      <c r="N13" s="444" t="str">
        <f t="shared" si="10"/>
        <v/>
      </c>
      <c r="O13" s="444" t="str">
        <f t="shared" si="11"/>
        <v/>
      </c>
      <c r="P13" s="444" t="str">
        <f t="shared" si="11"/>
        <v/>
      </c>
      <c r="Q13" s="444" t="str">
        <f t="shared" si="11"/>
        <v/>
      </c>
      <c r="R13" s="444" t="str">
        <f t="shared" si="11"/>
        <v/>
      </c>
      <c r="S13" s="444" t="str">
        <f t="shared" si="11"/>
        <v/>
      </c>
      <c r="T13" s="444" t="str">
        <f t="shared" si="11"/>
        <v/>
      </c>
      <c r="U13" s="444" t="str">
        <f t="shared" si="11"/>
        <v/>
      </c>
      <c r="V13" s="444" t="str">
        <f t="shared" si="11"/>
        <v/>
      </c>
      <c r="W13" s="444" t="str">
        <f t="shared" si="11"/>
        <v/>
      </c>
      <c r="X13" s="444" t="str">
        <f t="shared" si="11"/>
        <v/>
      </c>
      <c r="Y13" s="444" t="str">
        <f t="shared" si="12"/>
        <v/>
      </c>
      <c r="Z13" s="444" t="str">
        <f t="shared" si="12"/>
        <v/>
      </c>
      <c r="AA13" s="444" t="str">
        <f t="shared" si="12"/>
        <v/>
      </c>
      <c r="AB13" s="444" t="str">
        <f t="shared" si="12"/>
        <v/>
      </c>
      <c r="AC13" s="444" t="str">
        <f t="shared" si="12"/>
        <v/>
      </c>
      <c r="AD13" s="444" t="str">
        <f t="shared" si="12"/>
        <v/>
      </c>
      <c r="AE13" s="444" t="str">
        <f t="shared" si="12"/>
        <v/>
      </c>
      <c r="AF13" s="444" t="str">
        <f t="shared" si="12"/>
        <v/>
      </c>
      <c r="AG13" s="444" t="str">
        <f t="shared" si="12"/>
        <v/>
      </c>
      <c r="AH13" s="444" t="str">
        <f t="shared" si="12"/>
        <v/>
      </c>
      <c r="AI13" s="444" t="str">
        <f t="shared" si="13"/>
        <v/>
      </c>
      <c r="AJ13" s="444" t="str">
        <f t="shared" si="13"/>
        <v/>
      </c>
      <c r="AK13" s="444" t="str">
        <f t="shared" si="13"/>
        <v/>
      </c>
      <c r="AL13" s="444" t="str">
        <f t="shared" si="13"/>
        <v/>
      </c>
      <c r="AM13" s="444" t="str">
        <f t="shared" si="13"/>
        <v/>
      </c>
      <c r="AN13" s="444" t="str">
        <f t="shared" si="13"/>
        <v/>
      </c>
      <c r="AO13" s="444" t="str">
        <f t="shared" si="13"/>
        <v/>
      </c>
      <c r="AP13" s="444" t="str">
        <f t="shared" si="13"/>
        <v/>
      </c>
      <c r="AQ13" s="444" t="str">
        <f t="shared" si="13"/>
        <v/>
      </c>
      <c r="AR13" s="444" t="str">
        <f t="shared" si="13"/>
        <v/>
      </c>
      <c r="AS13" s="444" t="str">
        <f t="shared" si="14"/>
        <v/>
      </c>
      <c r="AT13" s="444" t="str">
        <f t="shared" si="14"/>
        <v/>
      </c>
      <c r="AU13" s="444" t="str">
        <f t="shared" si="14"/>
        <v/>
      </c>
      <c r="AV13" s="444" t="str">
        <f t="shared" si="14"/>
        <v/>
      </c>
      <c r="AW13" s="444" t="str">
        <f t="shared" si="14"/>
        <v/>
      </c>
      <c r="AX13" s="444" t="str">
        <f t="shared" si="14"/>
        <v/>
      </c>
      <c r="AY13" s="444" t="str">
        <f t="shared" si="14"/>
        <v/>
      </c>
      <c r="AZ13" s="444" t="str">
        <f t="shared" si="14"/>
        <v/>
      </c>
      <c r="BA13" s="444" t="str">
        <f t="shared" si="14"/>
        <v/>
      </c>
      <c r="BB13" s="444" t="str">
        <f t="shared" si="14"/>
        <v/>
      </c>
      <c r="BC13" s="444" t="str">
        <f t="shared" si="15"/>
        <v/>
      </c>
      <c r="BD13" s="444" t="str">
        <f t="shared" si="15"/>
        <v/>
      </c>
      <c r="BE13" s="444" t="str">
        <f t="shared" si="15"/>
        <v/>
      </c>
      <c r="BF13" s="444" t="str">
        <f t="shared" si="15"/>
        <v/>
      </c>
      <c r="BG13" s="444" t="str">
        <f t="shared" si="15"/>
        <v/>
      </c>
      <c r="BH13" s="445" t="str">
        <f t="shared" si="15"/>
        <v/>
      </c>
      <c r="BI13" s="502"/>
      <c r="BJ13" s="474" t="str">
        <f t="shared" si="16"/>
        <v/>
      </c>
      <c r="BK13" s="475" t="str">
        <f t="shared" si="16"/>
        <v/>
      </c>
      <c r="BL13" s="475" t="str">
        <f t="shared" si="16"/>
        <v/>
      </c>
      <c r="BM13" s="475" t="str">
        <f t="shared" si="16"/>
        <v/>
      </c>
      <c r="BN13" s="475" t="str">
        <f t="shared" si="16"/>
        <v/>
      </c>
      <c r="BO13" s="475" t="str">
        <f t="shared" si="16"/>
        <v/>
      </c>
      <c r="BP13" s="475" t="str">
        <f t="shared" si="16"/>
        <v/>
      </c>
      <c r="BQ13" s="475" t="str">
        <f t="shared" si="16"/>
        <v/>
      </c>
      <c r="BR13" s="475" t="str">
        <f t="shared" si="16"/>
        <v/>
      </c>
      <c r="BS13" s="475" t="str">
        <f t="shared" si="16"/>
        <v/>
      </c>
      <c r="BT13" s="475" t="str">
        <f t="shared" si="17"/>
        <v/>
      </c>
      <c r="BU13" s="475" t="str">
        <f t="shared" si="17"/>
        <v/>
      </c>
      <c r="BV13" s="475" t="str">
        <f t="shared" si="17"/>
        <v/>
      </c>
      <c r="BW13" s="475" t="str">
        <f t="shared" si="17"/>
        <v/>
      </c>
      <c r="BX13" s="475" t="str">
        <f t="shared" si="17"/>
        <v/>
      </c>
      <c r="BY13" s="475" t="str">
        <f t="shared" si="17"/>
        <v/>
      </c>
      <c r="BZ13" s="475" t="str">
        <f t="shared" si="17"/>
        <v/>
      </c>
      <c r="CA13" s="475" t="str">
        <f t="shared" si="17"/>
        <v/>
      </c>
      <c r="CB13" s="475" t="str">
        <f t="shared" si="17"/>
        <v/>
      </c>
      <c r="CC13" s="475" t="str">
        <f t="shared" si="17"/>
        <v/>
      </c>
      <c r="CD13" s="475" t="str">
        <f t="shared" si="18"/>
        <v/>
      </c>
      <c r="CE13" s="475" t="str">
        <f t="shared" si="18"/>
        <v/>
      </c>
      <c r="CF13" s="475" t="str">
        <f t="shared" si="18"/>
        <v/>
      </c>
      <c r="CG13" s="475" t="str">
        <f t="shared" si="18"/>
        <v/>
      </c>
      <c r="CH13" s="475" t="str">
        <f t="shared" si="18"/>
        <v/>
      </c>
      <c r="CI13" s="475" t="str">
        <f t="shared" si="18"/>
        <v/>
      </c>
      <c r="CJ13" s="475" t="str">
        <f t="shared" si="18"/>
        <v/>
      </c>
      <c r="CK13" s="475" t="str">
        <f t="shared" si="18"/>
        <v/>
      </c>
      <c r="CL13" s="475" t="str">
        <f t="shared" si="18"/>
        <v/>
      </c>
      <c r="CM13" s="475" t="str">
        <f t="shared" si="18"/>
        <v/>
      </c>
      <c r="CN13" s="475" t="str">
        <f t="shared" si="19"/>
        <v/>
      </c>
      <c r="CO13" s="475" t="str">
        <f t="shared" si="19"/>
        <v/>
      </c>
      <c r="CP13" s="475" t="str">
        <f t="shared" si="19"/>
        <v/>
      </c>
      <c r="CQ13" s="475" t="str">
        <f t="shared" si="19"/>
        <v/>
      </c>
      <c r="CR13" s="475" t="str">
        <f t="shared" si="19"/>
        <v/>
      </c>
      <c r="CS13" s="475" t="str">
        <f t="shared" si="19"/>
        <v/>
      </c>
      <c r="CT13" s="475" t="str">
        <f t="shared" si="19"/>
        <v/>
      </c>
      <c r="CU13" s="475" t="str">
        <f t="shared" si="19"/>
        <v/>
      </c>
      <c r="CV13" s="475" t="str">
        <f t="shared" si="19"/>
        <v/>
      </c>
      <c r="CW13" s="475" t="str">
        <f t="shared" si="19"/>
        <v/>
      </c>
      <c r="CX13" s="475" t="str">
        <f t="shared" si="19"/>
        <v/>
      </c>
      <c r="CY13" s="475" t="str">
        <f t="shared" si="19"/>
        <v/>
      </c>
      <c r="CZ13" s="495" t="str">
        <f t="shared" si="19"/>
        <v/>
      </c>
      <c r="DA13" s="502"/>
      <c r="DB13" s="460"/>
      <c r="DC13" s="465"/>
      <c r="DD13" s="463"/>
      <c r="DE13" s="512"/>
      <c r="DF13" s="516"/>
      <c r="DG13" s="508"/>
      <c r="DH13" s="463"/>
      <c r="DI13" s="461"/>
      <c r="DJ13" s="461"/>
      <c r="DK13" s="461"/>
      <c r="DL13" s="464"/>
      <c r="DM13" s="466"/>
      <c r="DN13" s="502"/>
      <c r="DO13" s="460"/>
      <c r="DP13" s="464"/>
      <c r="DQ13" s="464"/>
      <c r="DR13" s="464"/>
      <c r="DS13" s="508"/>
      <c r="DT13" s="525"/>
      <c r="DU13" s="525"/>
      <c r="DV13" s="463"/>
      <c r="DW13" s="464"/>
      <c r="DX13" s="465"/>
      <c r="DY13" s="463"/>
      <c r="DZ13" s="464"/>
      <c r="EA13" s="465"/>
      <c r="EB13" s="463"/>
      <c r="EC13" s="465"/>
      <c r="ED13" s="462"/>
      <c r="EE13" s="502"/>
      <c r="EF13" s="463"/>
      <c r="EG13" s="461"/>
      <c r="EH13" s="464"/>
      <c r="EI13" s="464"/>
      <c r="EJ13" s="464"/>
      <c r="EK13" s="464"/>
      <c r="EL13" s="464"/>
      <c r="EM13" s="464"/>
      <c r="EN13" s="464"/>
      <c r="EO13" s="464"/>
      <c r="EP13" s="464"/>
      <c r="EQ13" s="464"/>
      <c r="ER13" s="464"/>
      <c r="ES13" s="464"/>
      <c r="ET13" s="464"/>
      <c r="EU13" s="464"/>
      <c r="EV13" s="464"/>
      <c r="EW13" s="465"/>
      <c r="EX13" s="465"/>
      <c r="EY13" s="502"/>
      <c r="EZ13" s="460"/>
      <c r="FA13" s="464"/>
      <c r="FB13" s="464"/>
      <c r="FC13" s="464"/>
      <c r="FD13" s="464"/>
      <c r="FE13" s="464"/>
      <c r="FF13" s="464"/>
      <c r="FG13" s="466"/>
    </row>
    <row r="14" spans="1:163">
      <c r="A14" s="467" t="s">
        <v>201</v>
      </c>
      <c r="B14" s="471" t="str">
        <f>IF(ISNUMBER(MATCH(A14, 'Pulldown Data'!W:W, 0))=TRUE, "Y", IF(ISNUMBER(MATCH(A14, 'Pulldown Data'!X:X, 0))=TRUE, "M", ""))</f>
        <v/>
      </c>
      <c r="C14" s="442"/>
      <c r="D14" s="502"/>
      <c r="E14" s="443" t="str">
        <f t="shared" si="10"/>
        <v/>
      </c>
      <c r="F14" s="444" t="str">
        <f t="shared" si="10"/>
        <v/>
      </c>
      <c r="G14" s="444" t="str">
        <f t="shared" si="10"/>
        <v/>
      </c>
      <c r="H14" s="444" t="str">
        <f t="shared" si="10"/>
        <v/>
      </c>
      <c r="I14" s="444" t="str">
        <f t="shared" si="10"/>
        <v/>
      </c>
      <c r="J14" s="444" t="str">
        <f t="shared" si="10"/>
        <v/>
      </c>
      <c r="K14" s="444" t="str">
        <f t="shared" si="10"/>
        <v/>
      </c>
      <c r="L14" s="444" t="str">
        <f t="shared" si="10"/>
        <v/>
      </c>
      <c r="M14" s="444" t="str">
        <f t="shared" si="10"/>
        <v/>
      </c>
      <c r="N14" s="444" t="str">
        <f t="shared" si="10"/>
        <v/>
      </c>
      <c r="O14" s="444" t="str">
        <f t="shared" si="11"/>
        <v/>
      </c>
      <c r="P14" s="444" t="str">
        <f t="shared" si="11"/>
        <v/>
      </c>
      <c r="Q14" s="444" t="str">
        <f t="shared" si="11"/>
        <v/>
      </c>
      <c r="R14" s="444" t="str">
        <f t="shared" si="11"/>
        <v/>
      </c>
      <c r="S14" s="444" t="str">
        <f t="shared" si="11"/>
        <v/>
      </c>
      <c r="T14" s="444" t="str">
        <f t="shared" si="11"/>
        <v/>
      </c>
      <c r="U14" s="444" t="str">
        <f t="shared" si="11"/>
        <v/>
      </c>
      <c r="V14" s="444" t="str">
        <f t="shared" si="11"/>
        <v/>
      </c>
      <c r="W14" s="444" t="str">
        <f t="shared" si="11"/>
        <v/>
      </c>
      <c r="X14" s="444" t="str">
        <f t="shared" si="11"/>
        <v/>
      </c>
      <c r="Y14" s="444" t="str">
        <f t="shared" si="12"/>
        <v/>
      </c>
      <c r="Z14" s="444" t="str">
        <f t="shared" si="12"/>
        <v/>
      </c>
      <c r="AA14" s="444" t="str">
        <f t="shared" si="12"/>
        <v/>
      </c>
      <c r="AB14" s="444" t="str">
        <f t="shared" si="12"/>
        <v/>
      </c>
      <c r="AC14" s="444" t="str">
        <f t="shared" si="12"/>
        <v/>
      </c>
      <c r="AD14" s="444" t="str">
        <f t="shared" si="12"/>
        <v/>
      </c>
      <c r="AE14" s="444" t="str">
        <f t="shared" si="12"/>
        <v/>
      </c>
      <c r="AF14" s="444" t="str">
        <f t="shared" si="12"/>
        <v/>
      </c>
      <c r="AG14" s="444" t="str">
        <f t="shared" si="12"/>
        <v/>
      </c>
      <c r="AH14" s="444" t="str">
        <f t="shared" si="12"/>
        <v/>
      </c>
      <c r="AI14" s="444" t="str">
        <f t="shared" si="13"/>
        <v/>
      </c>
      <c r="AJ14" s="444" t="str">
        <f t="shared" si="13"/>
        <v/>
      </c>
      <c r="AK14" s="444" t="str">
        <f t="shared" si="13"/>
        <v/>
      </c>
      <c r="AL14" s="444" t="str">
        <f t="shared" si="13"/>
        <v/>
      </c>
      <c r="AM14" s="444" t="str">
        <f t="shared" si="13"/>
        <v/>
      </c>
      <c r="AN14" s="444" t="str">
        <f t="shared" si="13"/>
        <v/>
      </c>
      <c r="AO14" s="444" t="str">
        <f t="shared" si="13"/>
        <v/>
      </c>
      <c r="AP14" s="444" t="str">
        <f t="shared" si="13"/>
        <v/>
      </c>
      <c r="AQ14" s="444" t="str">
        <f t="shared" si="13"/>
        <v/>
      </c>
      <c r="AR14" s="444" t="str">
        <f t="shared" si="13"/>
        <v/>
      </c>
      <c r="AS14" s="444" t="str">
        <f t="shared" si="14"/>
        <v/>
      </c>
      <c r="AT14" s="444" t="str">
        <f t="shared" si="14"/>
        <v/>
      </c>
      <c r="AU14" s="444" t="str">
        <f t="shared" si="14"/>
        <v/>
      </c>
      <c r="AV14" s="444" t="str">
        <f t="shared" si="14"/>
        <v/>
      </c>
      <c r="AW14" s="444" t="str">
        <f t="shared" si="14"/>
        <v/>
      </c>
      <c r="AX14" s="444" t="str">
        <f t="shared" si="14"/>
        <v/>
      </c>
      <c r="AY14" s="444" t="str">
        <f t="shared" si="14"/>
        <v/>
      </c>
      <c r="AZ14" s="444" t="str">
        <f t="shared" si="14"/>
        <v/>
      </c>
      <c r="BA14" s="444" t="str">
        <f t="shared" si="14"/>
        <v/>
      </c>
      <c r="BB14" s="444" t="str">
        <f t="shared" si="14"/>
        <v/>
      </c>
      <c r="BC14" s="444" t="str">
        <f t="shared" si="15"/>
        <v/>
      </c>
      <c r="BD14" s="444" t="str">
        <f t="shared" si="15"/>
        <v/>
      </c>
      <c r="BE14" s="444" t="str">
        <f t="shared" si="15"/>
        <v/>
      </c>
      <c r="BF14" s="444" t="str">
        <f t="shared" si="15"/>
        <v/>
      </c>
      <c r="BG14" s="444" t="str">
        <f t="shared" si="15"/>
        <v/>
      </c>
      <c r="BH14" s="445" t="str">
        <f t="shared" si="15"/>
        <v/>
      </c>
      <c r="BI14" s="502"/>
      <c r="BJ14" s="474" t="str">
        <f t="shared" si="16"/>
        <v/>
      </c>
      <c r="BK14" s="475" t="str">
        <f t="shared" si="16"/>
        <v/>
      </c>
      <c r="BL14" s="475" t="str">
        <f t="shared" si="16"/>
        <v/>
      </c>
      <c r="BM14" s="475" t="str">
        <f t="shared" si="16"/>
        <v/>
      </c>
      <c r="BN14" s="475" t="str">
        <f t="shared" si="16"/>
        <v/>
      </c>
      <c r="BO14" s="475" t="str">
        <f t="shared" si="16"/>
        <v/>
      </c>
      <c r="BP14" s="475" t="str">
        <f t="shared" si="16"/>
        <v/>
      </c>
      <c r="BQ14" s="475" t="str">
        <f t="shared" si="16"/>
        <v/>
      </c>
      <c r="BR14" s="475" t="str">
        <f t="shared" si="16"/>
        <v/>
      </c>
      <c r="BS14" s="475" t="str">
        <f t="shared" si="16"/>
        <v/>
      </c>
      <c r="BT14" s="475" t="str">
        <f t="shared" si="17"/>
        <v/>
      </c>
      <c r="BU14" s="475" t="str">
        <f t="shared" si="17"/>
        <v/>
      </c>
      <c r="BV14" s="475" t="str">
        <f t="shared" si="17"/>
        <v/>
      </c>
      <c r="BW14" s="475" t="str">
        <f t="shared" si="17"/>
        <v/>
      </c>
      <c r="BX14" s="475" t="str">
        <f t="shared" si="17"/>
        <v/>
      </c>
      <c r="BY14" s="475" t="str">
        <f t="shared" si="17"/>
        <v/>
      </c>
      <c r="BZ14" s="475" t="str">
        <f t="shared" si="17"/>
        <v/>
      </c>
      <c r="CA14" s="475" t="str">
        <f t="shared" si="17"/>
        <v/>
      </c>
      <c r="CB14" s="475" t="str">
        <f t="shared" si="17"/>
        <v/>
      </c>
      <c r="CC14" s="475" t="str">
        <f t="shared" si="17"/>
        <v/>
      </c>
      <c r="CD14" s="475" t="str">
        <f t="shared" si="18"/>
        <v/>
      </c>
      <c r="CE14" s="475" t="str">
        <f t="shared" si="18"/>
        <v/>
      </c>
      <c r="CF14" s="475" t="str">
        <f t="shared" si="18"/>
        <v/>
      </c>
      <c r="CG14" s="475" t="str">
        <f t="shared" si="18"/>
        <v/>
      </c>
      <c r="CH14" s="475" t="str">
        <f t="shared" si="18"/>
        <v/>
      </c>
      <c r="CI14" s="475" t="str">
        <f t="shared" si="18"/>
        <v/>
      </c>
      <c r="CJ14" s="475" t="str">
        <f t="shared" si="18"/>
        <v/>
      </c>
      <c r="CK14" s="475" t="str">
        <f t="shared" si="18"/>
        <v/>
      </c>
      <c r="CL14" s="475" t="str">
        <f t="shared" si="18"/>
        <v/>
      </c>
      <c r="CM14" s="475" t="str">
        <f t="shared" si="18"/>
        <v/>
      </c>
      <c r="CN14" s="475" t="str">
        <f t="shared" si="19"/>
        <v/>
      </c>
      <c r="CO14" s="475" t="str">
        <f t="shared" si="19"/>
        <v/>
      </c>
      <c r="CP14" s="475" t="str">
        <f t="shared" si="19"/>
        <v/>
      </c>
      <c r="CQ14" s="475" t="str">
        <f t="shared" si="19"/>
        <v/>
      </c>
      <c r="CR14" s="475" t="str">
        <f t="shared" si="19"/>
        <v/>
      </c>
      <c r="CS14" s="475" t="str">
        <f t="shared" si="19"/>
        <v/>
      </c>
      <c r="CT14" s="475" t="str">
        <f t="shared" si="19"/>
        <v/>
      </c>
      <c r="CU14" s="475" t="str">
        <f t="shared" si="19"/>
        <v/>
      </c>
      <c r="CV14" s="475" t="str">
        <f t="shared" si="19"/>
        <v/>
      </c>
      <c r="CW14" s="475" t="str">
        <f t="shared" si="19"/>
        <v/>
      </c>
      <c r="CX14" s="475" t="str">
        <f t="shared" si="19"/>
        <v/>
      </c>
      <c r="CY14" s="475" t="str">
        <f t="shared" si="19"/>
        <v/>
      </c>
      <c r="CZ14" s="495" t="str">
        <f t="shared" si="19"/>
        <v/>
      </c>
      <c r="DA14" s="502"/>
      <c r="DB14" s="460"/>
      <c r="DC14" s="465"/>
      <c r="DD14" s="463"/>
      <c r="DE14" s="512"/>
      <c r="DF14" s="516"/>
      <c r="DG14" s="508"/>
      <c r="DH14" s="463"/>
      <c r="DI14" s="461"/>
      <c r="DJ14" s="461"/>
      <c r="DK14" s="461"/>
      <c r="DL14" s="464"/>
      <c r="DM14" s="466"/>
      <c r="DN14" s="502"/>
      <c r="DO14" s="460"/>
      <c r="DP14" s="464"/>
      <c r="DQ14" s="464"/>
      <c r="DR14" s="464"/>
      <c r="DS14" s="508"/>
      <c r="DT14" s="525"/>
      <c r="DU14" s="525"/>
      <c r="DV14" s="463"/>
      <c r="DW14" s="464"/>
      <c r="DX14" s="465"/>
      <c r="DY14" s="463"/>
      <c r="DZ14" s="464"/>
      <c r="EA14" s="465"/>
      <c r="EB14" s="463"/>
      <c r="EC14" s="465"/>
      <c r="ED14" s="462"/>
      <c r="EE14" s="502"/>
      <c r="EF14" s="463"/>
      <c r="EG14" s="461"/>
      <c r="EH14" s="464"/>
      <c r="EI14" s="464"/>
      <c r="EJ14" s="464"/>
      <c r="EK14" s="464"/>
      <c r="EL14" s="464"/>
      <c r="EM14" s="464"/>
      <c r="EN14" s="464"/>
      <c r="EO14" s="464"/>
      <c r="EP14" s="464"/>
      <c r="EQ14" s="464"/>
      <c r="ER14" s="464"/>
      <c r="ES14" s="464"/>
      <c r="ET14" s="464"/>
      <c r="EU14" s="464"/>
      <c r="EV14" s="464"/>
      <c r="EW14" s="465"/>
      <c r="EX14" s="465"/>
      <c r="EY14" s="502"/>
      <c r="EZ14" s="460"/>
      <c r="FA14" s="464"/>
      <c r="FB14" s="464"/>
      <c r="FC14" s="464"/>
      <c r="FD14" s="464"/>
      <c r="FE14" s="464"/>
      <c r="FF14" s="464"/>
      <c r="FG14" s="466"/>
    </row>
    <row r="15" spans="1:163">
      <c r="A15" s="467" t="s">
        <v>202</v>
      </c>
      <c r="B15" s="471" t="str">
        <f>IF(ISNUMBER(MATCH(A15, 'Pulldown Data'!W:W, 0))=TRUE, "Y", IF(ISNUMBER(MATCH(A15, 'Pulldown Data'!X:X, 0))=TRUE, "M", ""))</f>
        <v/>
      </c>
      <c r="C15" s="442"/>
      <c r="D15" s="502"/>
      <c r="E15" s="443" t="str">
        <f t="shared" si="10"/>
        <v/>
      </c>
      <c r="F15" s="444" t="str">
        <f t="shared" si="10"/>
        <v/>
      </c>
      <c r="G15" s="444" t="str">
        <f t="shared" si="10"/>
        <v/>
      </c>
      <c r="H15" s="444" t="str">
        <f t="shared" si="10"/>
        <v/>
      </c>
      <c r="I15" s="444" t="str">
        <f t="shared" si="10"/>
        <v/>
      </c>
      <c r="J15" s="444" t="str">
        <f t="shared" si="10"/>
        <v/>
      </c>
      <c r="K15" s="444" t="str">
        <f t="shared" si="10"/>
        <v/>
      </c>
      <c r="L15" s="444" t="str">
        <f t="shared" si="10"/>
        <v/>
      </c>
      <c r="M15" s="444" t="str">
        <f t="shared" si="10"/>
        <v/>
      </c>
      <c r="N15" s="444" t="str">
        <f t="shared" si="10"/>
        <v/>
      </c>
      <c r="O15" s="444" t="str">
        <f t="shared" si="11"/>
        <v/>
      </c>
      <c r="P15" s="444" t="str">
        <f t="shared" si="11"/>
        <v/>
      </c>
      <c r="Q15" s="444" t="str">
        <f t="shared" si="11"/>
        <v/>
      </c>
      <c r="R15" s="444" t="str">
        <f t="shared" si="11"/>
        <v/>
      </c>
      <c r="S15" s="444" t="str">
        <f t="shared" si="11"/>
        <v/>
      </c>
      <c r="T15" s="444" t="str">
        <f t="shared" si="11"/>
        <v/>
      </c>
      <c r="U15" s="444" t="str">
        <f t="shared" si="11"/>
        <v/>
      </c>
      <c r="V15" s="444" t="str">
        <f t="shared" si="11"/>
        <v/>
      </c>
      <c r="W15" s="444" t="str">
        <f t="shared" si="11"/>
        <v/>
      </c>
      <c r="X15" s="444" t="str">
        <f t="shared" si="11"/>
        <v/>
      </c>
      <c r="Y15" s="444" t="str">
        <f t="shared" si="12"/>
        <v/>
      </c>
      <c r="Z15" s="444" t="str">
        <f t="shared" si="12"/>
        <v/>
      </c>
      <c r="AA15" s="444" t="str">
        <f t="shared" si="12"/>
        <v/>
      </c>
      <c r="AB15" s="444" t="str">
        <f t="shared" si="12"/>
        <v/>
      </c>
      <c r="AC15" s="444" t="str">
        <f t="shared" si="12"/>
        <v/>
      </c>
      <c r="AD15" s="444" t="str">
        <f t="shared" si="12"/>
        <v/>
      </c>
      <c r="AE15" s="444" t="str">
        <f t="shared" si="12"/>
        <v/>
      </c>
      <c r="AF15" s="444" t="str">
        <f t="shared" si="12"/>
        <v/>
      </c>
      <c r="AG15" s="444" t="str">
        <f t="shared" si="12"/>
        <v/>
      </c>
      <c r="AH15" s="444" t="str">
        <f t="shared" si="12"/>
        <v/>
      </c>
      <c r="AI15" s="444" t="str">
        <f t="shared" si="13"/>
        <v/>
      </c>
      <c r="AJ15" s="444" t="str">
        <f t="shared" si="13"/>
        <v/>
      </c>
      <c r="AK15" s="444" t="str">
        <f t="shared" si="13"/>
        <v/>
      </c>
      <c r="AL15" s="444" t="str">
        <f t="shared" si="13"/>
        <v/>
      </c>
      <c r="AM15" s="444" t="str">
        <f t="shared" si="13"/>
        <v/>
      </c>
      <c r="AN15" s="444" t="str">
        <f t="shared" si="13"/>
        <v/>
      </c>
      <c r="AO15" s="444" t="str">
        <f t="shared" si="13"/>
        <v/>
      </c>
      <c r="AP15" s="444" t="str">
        <f t="shared" si="13"/>
        <v/>
      </c>
      <c r="AQ15" s="444" t="str">
        <f t="shared" si="13"/>
        <v/>
      </c>
      <c r="AR15" s="444" t="str">
        <f t="shared" si="13"/>
        <v/>
      </c>
      <c r="AS15" s="444" t="str">
        <f t="shared" si="14"/>
        <v/>
      </c>
      <c r="AT15" s="444" t="str">
        <f t="shared" si="14"/>
        <v/>
      </c>
      <c r="AU15" s="444" t="str">
        <f t="shared" si="14"/>
        <v/>
      </c>
      <c r="AV15" s="444" t="str">
        <f t="shared" si="14"/>
        <v/>
      </c>
      <c r="AW15" s="444" t="str">
        <f t="shared" si="14"/>
        <v/>
      </c>
      <c r="AX15" s="444" t="str">
        <f t="shared" si="14"/>
        <v/>
      </c>
      <c r="AY15" s="444" t="str">
        <f t="shared" si="14"/>
        <v/>
      </c>
      <c r="AZ15" s="444" t="str">
        <f t="shared" si="14"/>
        <v/>
      </c>
      <c r="BA15" s="444" t="str">
        <f t="shared" si="14"/>
        <v/>
      </c>
      <c r="BB15" s="444" t="str">
        <f t="shared" si="14"/>
        <v/>
      </c>
      <c r="BC15" s="444" t="str">
        <f t="shared" si="15"/>
        <v/>
      </c>
      <c r="BD15" s="444" t="str">
        <f t="shared" si="15"/>
        <v/>
      </c>
      <c r="BE15" s="444" t="str">
        <f t="shared" si="15"/>
        <v/>
      </c>
      <c r="BF15" s="444" t="str">
        <f t="shared" si="15"/>
        <v/>
      </c>
      <c r="BG15" s="444" t="str">
        <f t="shared" si="15"/>
        <v/>
      </c>
      <c r="BH15" s="445" t="str">
        <f t="shared" si="15"/>
        <v/>
      </c>
      <c r="BI15" s="502"/>
      <c r="BJ15" s="474" t="str">
        <f t="shared" si="16"/>
        <v/>
      </c>
      <c r="BK15" s="475" t="str">
        <f t="shared" si="16"/>
        <v/>
      </c>
      <c r="BL15" s="475" t="str">
        <f t="shared" si="16"/>
        <v/>
      </c>
      <c r="BM15" s="475" t="str">
        <f t="shared" si="16"/>
        <v/>
      </c>
      <c r="BN15" s="475" t="str">
        <f t="shared" si="16"/>
        <v/>
      </c>
      <c r="BO15" s="475" t="str">
        <f t="shared" si="16"/>
        <v/>
      </c>
      <c r="BP15" s="475" t="str">
        <f t="shared" si="16"/>
        <v/>
      </c>
      <c r="BQ15" s="475" t="str">
        <f t="shared" si="16"/>
        <v/>
      </c>
      <c r="BR15" s="475" t="str">
        <f t="shared" si="16"/>
        <v/>
      </c>
      <c r="BS15" s="475" t="str">
        <f t="shared" si="16"/>
        <v/>
      </c>
      <c r="BT15" s="475" t="str">
        <f t="shared" si="17"/>
        <v/>
      </c>
      <c r="BU15" s="475" t="str">
        <f t="shared" si="17"/>
        <v/>
      </c>
      <c r="BV15" s="475" t="str">
        <f t="shared" si="17"/>
        <v/>
      </c>
      <c r="BW15" s="475" t="str">
        <f t="shared" si="17"/>
        <v/>
      </c>
      <c r="BX15" s="475" t="str">
        <f t="shared" si="17"/>
        <v/>
      </c>
      <c r="BY15" s="475" t="str">
        <f t="shared" si="17"/>
        <v/>
      </c>
      <c r="BZ15" s="475" t="str">
        <f t="shared" si="17"/>
        <v/>
      </c>
      <c r="CA15" s="475" t="str">
        <f t="shared" si="17"/>
        <v/>
      </c>
      <c r="CB15" s="475" t="str">
        <f t="shared" si="17"/>
        <v/>
      </c>
      <c r="CC15" s="475" t="str">
        <f t="shared" si="17"/>
        <v/>
      </c>
      <c r="CD15" s="475" t="str">
        <f t="shared" si="18"/>
        <v/>
      </c>
      <c r="CE15" s="475" t="str">
        <f t="shared" si="18"/>
        <v/>
      </c>
      <c r="CF15" s="475" t="str">
        <f t="shared" si="18"/>
        <v/>
      </c>
      <c r="CG15" s="475" t="str">
        <f t="shared" si="18"/>
        <v/>
      </c>
      <c r="CH15" s="475" t="str">
        <f t="shared" si="18"/>
        <v/>
      </c>
      <c r="CI15" s="475" t="str">
        <f t="shared" si="18"/>
        <v/>
      </c>
      <c r="CJ15" s="475" t="str">
        <f t="shared" si="18"/>
        <v/>
      </c>
      <c r="CK15" s="475" t="str">
        <f t="shared" si="18"/>
        <v/>
      </c>
      <c r="CL15" s="475" t="str">
        <f t="shared" si="18"/>
        <v/>
      </c>
      <c r="CM15" s="475" t="str">
        <f t="shared" si="18"/>
        <v/>
      </c>
      <c r="CN15" s="475" t="str">
        <f t="shared" si="19"/>
        <v/>
      </c>
      <c r="CO15" s="475" t="str">
        <f t="shared" si="19"/>
        <v/>
      </c>
      <c r="CP15" s="475" t="str">
        <f t="shared" si="19"/>
        <v/>
      </c>
      <c r="CQ15" s="475" t="str">
        <f t="shared" si="19"/>
        <v/>
      </c>
      <c r="CR15" s="475" t="str">
        <f t="shared" si="19"/>
        <v/>
      </c>
      <c r="CS15" s="475" t="str">
        <f t="shared" si="19"/>
        <v/>
      </c>
      <c r="CT15" s="475" t="str">
        <f t="shared" si="19"/>
        <v/>
      </c>
      <c r="CU15" s="475" t="str">
        <f t="shared" si="19"/>
        <v/>
      </c>
      <c r="CV15" s="475" t="str">
        <f t="shared" si="19"/>
        <v/>
      </c>
      <c r="CW15" s="475" t="str">
        <f t="shared" si="19"/>
        <v/>
      </c>
      <c r="CX15" s="475" t="str">
        <f t="shared" si="19"/>
        <v/>
      </c>
      <c r="CY15" s="475" t="str">
        <f t="shared" si="19"/>
        <v/>
      </c>
      <c r="CZ15" s="495" t="str">
        <f t="shared" si="19"/>
        <v/>
      </c>
      <c r="DA15" s="502"/>
      <c r="DB15" s="460"/>
      <c r="DC15" s="465"/>
      <c r="DD15" s="463"/>
      <c r="DE15" s="512"/>
      <c r="DF15" s="516"/>
      <c r="DG15" s="508"/>
      <c r="DH15" s="463"/>
      <c r="DI15" s="461"/>
      <c r="DJ15" s="461"/>
      <c r="DK15" s="461"/>
      <c r="DL15" s="464"/>
      <c r="DM15" s="466"/>
      <c r="DN15" s="502"/>
      <c r="DO15" s="460"/>
      <c r="DP15" s="464"/>
      <c r="DQ15" s="464"/>
      <c r="DR15" s="464"/>
      <c r="DS15" s="508"/>
      <c r="DT15" s="525"/>
      <c r="DU15" s="525"/>
      <c r="DV15" s="463"/>
      <c r="DW15" s="464"/>
      <c r="DX15" s="465"/>
      <c r="DY15" s="463"/>
      <c r="DZ15" s="464"/>
      <c r="EA15" s="465"/>
      <c r="EB15" s="463"/>
      <c r="EC15" s="465"/>
      <c r="ED15" s="462"/>
      <c r="EE15" s="502"/>
      <c r="EF15" s="463"/>
      <c r="EG15" s="461"/>
      <c r="EH15" s="464"/>
      <c r="EI15" s="464"/>
      <c r="EJ15" s="464"/>
      <c r="EK15" s="464"/>
      <c r="EL15" s="464"/>
      <c r="EM15" s="464"/>
      <c r="EN15" s="464"/>
      <c r="EO15" s="464"/>
      <c r="EP15" s="464"/>
      <c r="EQ15" s="464"/>
      <c r="ER15" s="464"/>
      <c r="ES15" s="464"/>
      <c r="ET15" s="464"/>
      <c r="EU15" s="464"/>
      <c r="EV15" s="464"/>
      <c r="EW15" s="465"/>
      <c r="EX15" s="465"/>
      <c r="EY15" s="502"/>
      <c r="EZ15" s="460"/>
      <c r="FA15" s="464"/>
      <c r="FB15" s="464"/>
      <c r="FC15" s="464"/>
      <c r="FD15" s="464"/>
      <c r="FE15" s="464"/>
      <c r="FF15" s="464"/>
      <c r="FG15" s="466"/>
    </row>
    <row r="16" spans="1:163">
      <c r="A16" s="467" t="s">
        <v>203</v>
      </c>
      <c r="B16" s="471" t="str">
        <f>IF(ISNUMBER(MATCH(A16, 'Pulldown Data'!W:W, 0))=TRUE, "Y", IF(ISNUMBER(MATCH(A16, 'Pulldown Data'!X:X, 0))=TRUE, "M", ""))</f>
        <v/>
      </c>
      <c r="C16" s="442"/>
      <c r="D16" s="502"/>
      <c r="E16" s="443" t="str">
        <f t="shared" si="10"/>
        <v/>
      </c>
      <c r="F16" s="444" t="str">
        <f t="shared" si="10"/>
        <v/>
      </c>
      <c r="G16" s="444" t="str">
        <f t="shared" si="10"/>
        <v/>
      </c>
      <c r="H16" s="444" t="str">
        <f t="shared" si="10"/>
        <v/>
      </c>
      <c r="I16" s="444" t="str">
        <f t="shared" si="10"/>
        <v/>
      </c>
      <c r="J16" s="444" t="str">
        <f t="shared" si="10"/>
        <v/>
      </c>
      <c r="K16" s="444" t="str">
        <f t="shared" si="10"/>
        <v/>
      </c>
      <c r="L16" s="444" t="str">
        <f t="shared" si="10"/>
        <v/>
      </c>
      <c r="M16" s="444" t="str">
        <f t="shared" si="10"/>
        <v/>
      </c>
      <c r="N16" s="444" t="str">
        <f t="shared" si="10"/>
        <v/>
      </c>
      <c r="O16" s="444" t="str">
        <f t="shared" si="11"/>
        <v/>
      </c>
      <c r="P16" s="444" t="str">
        <f t="shared" si="11"/>
        <v/>
      </c>
      <c r="Q16" s="444" t="str">
        <f t="shared" si="11"/>
        <v/>
      </c>
      <c r="R16" s="444" t="str">
        <f t="shared" si="11"/>
        <v/>
      </c>
      <c r="S16" s="444" t="str">
        <f t="shared" si="11"/>
        <v/>
      </c>
      <c r="T16" s="444" t="str">
        <f t="shared" si="11"/>
        <v/>
      </c>
      <c r="U16" s="444" t="str">
        <f t="shared" si="11"/>
        <v/>
      </c>
      <c r="V16" s="444" t="str">
        <f t="shared" si="11"/>
        <v/>
      </c>
      <c r="W16" s="444" t="str">
        <f t="shared" si="11"/>
        <v/>
      </c>
      <c r="X16" s="444" t="str">
        <f t="shared" si="11"/>
        <v/>
      </c>
      <c r="Y16" s="444" t="str">
        <f t="shared" si="12"/>
        <v/>
      </c>
      <c r="Z16" s="444" t="str">
        <f t="shared" si="12"/>
        <v/>
      </c>
      <c r="AA16" s="444" t="str">
        <f t="shared" si="12"/>
        <v/>
      </c>
      <c r="AB16" s="444" t="str">
        <f t="shared" si="12"/>
        <v/>
      </c>
      <c r="AC16" s="444" t="str">
        <f t="shared" si="12"/>
        <v/>
      </c>
      <c r="AD16" s="444" t="str">
        <f t="shared" si="12"/>
        <v/>
      </c>
      <c r="AE16" s="444" t="str">
        <f t="shared" si="12"/>
        <v/>
      </c>
      <c r="AF16" s="444" t="str">
        <f t="shared" si="12"/>
        <v/>
      </c>
      <c r="AG16" s="444" t="str">
        <f t="shared" si="12"/>
        <v/>
      </c>
      <c r="AH16" s="444" t="str">
        <f t="shared" si="12"/>
        <v/>
      </c>
      <c r="AI16" s="444" t="str">
        <f t="shared" si="13"/>
        <v/>
      </c>
      <c r="AJ16" s="444" t="str">
        <f t="shared" si="13"/>
        <v/>
      </c>
      <c r="AK16" s="444" t="str">
        <f t="shared" si="13"/>
        <v/>
      </c>
      <c r="AL16" s="444" t="str">
        <f t="shared" si="13"/>
        <v/>
      </c>
      <c r="AM16" s="444" t="str">
        <f t="shared" si="13"/>
        <v/>
      </c>
      <c r="AN16" s="444" t="str">
        <f t="shared" si="13"/>
        <v/>
      </c>
      <c r="AO16" s="444" t="str">
        <f t="shared" si="13"/>
        <v/>
      </c>
      <c r="AP16" s="444" t="str">
        <f t="shared" si="13"/>
        <v/>
      </c>
      <c r="AQ16" s="444" t="str">
        <f t="shared" si="13"/>
        <v/>
      </c>
      <c r="AR16" s="444" t="str">
        <f t="shared" si="13"/>
        <v/>
      </c>
      <c r="AS16" s="444" t="str">
        <f t="shared" si="14"/>
        <v/>
      </c>
      <c r="AT16" s="444" t="str">
        <f t="shared" si="14"/>
        <v/>
      </c>
      <c r="AU16" s="444" t="str">
        <f t="shared" si="14"/>
        <v/>
      </c>
      <c r="AV16" s="444" t="str">
        <f t="shared" si="14"/>
        <v/>
      </c>
      <c r="AW16" s="444" t="str">
        <f t="shared" si="14"/>
        <v/>
      </c>
      <c r="AX16" s="444" t="str">
        <f t="shared" si="14"/>
        <v/>
      </c>
      <c r="AY16" s="444" t="str">
        <f t="shared" si="14"/>
        <v/>
      </c>
      <c r="AZ16" s="444" t="str">
        <f t="shared" si="14"/>
        <v/>
      </c>
      <c r="BA16" s="444" t="str">
        <f t="shared" si="14"/>
        <v/>
      </c>
      <c r="BB16" s="444" t="str">
        <f t="shared" si="14"/>
        <v/>
      </c>
      <c r="BC16" s="444" t="str">
        <f t="shared" si="15"/>
        <v/>
      </c>
      <c r="BD16" s="444" t="str">
        <f t="shared" si="15"/>
        <v/>
      </c>
      <c r="BE16" s="444" t="str">
        <f t="shared" si="15"/>
        <v/>
      </c>
      <c r="BF16" s="444" t="str">
        <f t="shared" si="15"/>
        <v/>
      </c>
      <c r="BG16" s="444" t="str">
        <f t="shared" si="15"/>
        <v/>
      </c>
      <c r="BH16" s="445" t="str">
        <f t="shared" si="15"/>
        <v/>
      </c>
      <c r="BI16" s="502"/>
      <c r="BJ16" s="474" t="str">
        <f t="shared" si="16"/>
        <v/>
      </c>
      <c r="BK16" s="475" t="str">
        <f t="shared" si="16"/>
        <v/>
      </c>
      <c r="BL16" s="475" t="str">
        <f t="shared" si="16"/>
        <v/>
      </c>
      <c r="BM16" s="475" t="str">
        <f t="shared" si="16"/>
        <v/>
      </c>
      <c r="BN16" s="475" t="str">
        <f t="shared" si="16"/>
        <v/>
      </c>
      <c r="BO16" s="475" t="str">
        <f t="shared" si="16"/>
        <v/>
      </c>
      <c r="BP16" s="475" t="str">
        <f t="shared" si="16"/>
        <v/>
      </c>
      <c r="BQ16" s="475" t="str">
        <f t="shared" si="16"/>
        <v/>
      </c>
      <c r="BR16" s="475" t="str">
        <f t="shared" si="16"/>
        <v/>
      </c>
      <c r="BS16" s="475" t="str">
        <f t="shared" si="16"/>
        <v/>
      </c>
      <c r="BT16" s="475" t="str">
        <f t="shared" si="17"/>
        <v/>
      </c>
      <c r="BU16" s="475" t="str">
        <f t="shared" si="17"/>
        <v/>
      </c>
      <c r="BV16" s="475" t="str">
        <f t="shared" si="17"/>
        <v/>
      </c>
      <c r="BW16" s="475" t="str">
        <f t="shared" si="17"/>
        <v/>
      </c>
      <c r="BX16" s="475" t="str">
        <f t="shared" si="17"/>
        <v/>
      </c>
      <c r="BY16" s="475" t="str">
        <f t="shared" si="17"/>
        <v/>
      </c>
      <c r="BZ16" s="475" t="str">
        <f t="shared" si="17"/>
        <v/>
      </c>
      <c r="CA16" s="475" t="str">
        <f t="shared" si="17"/>
        <v/>
      </c>
      <c r="CB16" s="475" t="str">
        <f t="shared" si="17"/>
        <v/>
      </c>
      <c r="CC16" s="475" t="str">
        <f t="shared" si="17"/>
        <v/>
      </c>
      <c r="CD16" s="475" t="str">
        <f t="shared" si="18"/>
        <v/>
      </c>
      <c r="CE16" s="475" t="str">
        <f t="shared" si="18"/>
        <v/>
      </c>
      <c r="CF16" s="475" t="str">
        <f t="shared" si="18"/>
        <v/>
      </c>
      <c r="CG16" s="475" t="str">
        <f t="shared" si="18"/>
        <v/>
      </c>
      <c r="CH16" s="475" t="str">
        <f t="shared" si="18"/>
        <v/>
      </c>
      <c r="CI16" s="475" t="str">
        <f t="shared" si="18"/>
        <v/>
      </c>
      <c r="CJ16" s="475" t="str">
        <f t="shared" si="18"/>
        <v/>
      </c>
      <c r="CK16" s="475" t="str">
        <f t="shared" si="18"/>
        <v/>
      </c>
      <c r="CL16" s="475" t="str">
        <f t="shared" si="18"/>
        <v/>
      </c>
      <c r="CM16" s="475" t="str">
        <f t="shared" si="18"/>
        <v/>
      </c>
      <c r="CN16" s="475" t="str">
        <f t="shared" si="19"/>
        <v/>
      </c>
      <c r="CO16" s="475" t="str">
        <f t="shared" si="19"/>
        <v/>
      </c>
      <c r="CP16" s="475" t="str">
        <f t="shared" si="19"/>
        <v/>
      </c>
      <c r="CQ16" s="475" t="str">
        <f t="shared" si="19"/>
        <v/>
      </c>
      <c r="CR16" s="475" t="str">
        <f t="shared" si="19"/>
        <v/>
      </c>
      <c r="CS16" s="475" t="str">
        <f t="shared" si="19"/>
        <v/>
      </c>
      <c r="CT16" s="475" t="str">
        <f t="shared" si="19"/>
        <v/>
      </c>
      <c r="CU16" s="475" t="str">
        <f t="shared" si="19"/>
        <v/>
      </c>
      <c r="CV16" s="475" t="str">
        <f t="shared" si="19"/>
        <v/>
      </c>
      <c r="CW16" s="475" t="str">
        <f t="shared" si="19"/>
        <v/>
      </c>
      <c r="CX16" s="475" t="str">
        <f t="shared" si="19"/>
        <v/>
      </c>
      <c r="CY16" s="475" t="str">
        <f t="shared" si="19"/>
        <v/>
      </c>
      <c r="CZ16" s="495" t="str">
        <f t="shared" si="19"/>
        <v/>
      </c>
      <c r="DA16" s="502"/>
      <c r="DB16" s="460"/>
      <c r="DC16" s="465"/>
      <c r="DD16" s="463"/>
      <c r="DE16" s="512"/>
      <c r="DF16" s="516"/>
      <c r="DG16" s="508"/>
      <c r="DH16" s="463"/>
      <c r="DI16" s="461"/>
      <c r="DJ16" s="461"/>
      <c r="DK16" s="461"/>
      <c r="DL16" s="464"/>
      <c r="DM16" s="466"/>
      <c r="DN16" s="502"/>
      <c r="DO16" s="460"/>
      <c r="DP16" s="464"/>
      <c r="DQ16" s="464"/>
      <c r="DR16" s="464"/>
      <c r="DS16" s="508"/>
      <c r="DT16" s="525"/>
      <c r="DU16" s="525"/>
      <c r="DV16" s="463"/>
      <c r="DW16" s="464"/>
      <c r="DX16" s="465"/>
      <c r="DY16" s="463"/>
      <c r="DZ16" s="464"/>
      <c r="EA16" s="465"/>
      <c r="EB16" s="463"/>
      <c r="EC16" s="465"/>
      <c r="ED16" s="462"/>
      <c r="EE16" s="502"/>
      <c r="EF16" s="463"/>
      <c r="EG16" s="461"/>
      <c r="EH16" s="464"/>
      <c r="EI16" s="464"/>
      <c r="EJ16" s="464"/>
      <c r="EK16" s="464"/>
      <c r="EL16" s="464"/>
      <c r="EM16" s="464"/>
      <c r="EN16" s="464"/>
      <c r="EO16" s="464"/>
      <c r="EP16" s="464"/>
      <c r="EQ16" s="464"/>
      <c r="ER16" s="464"/>
      <c r="ES16" s="464"/>
      <c r="ET16" s="464"/>
      <c r="EU16" s="464"/>
      <c r="EV16" s="464"/>
      <c r="EW16" s="465"/>
      <c r="EX16" s="465"/>
      <c r="EY16" s="502"/>
      <c r="EZ16" s="460"/>
      <c r="FA16" s="464"/>
      <c r="FB16" s="464"/>
      <c r="FC16" s="464"/>
      <c r="FD16" s="464"/>
      <c r="FE16" s="464"/>
      <c r="FF16" s="464"/>
      <c r="FG16" s="466"/>
    </row>
    <row r="17" spans="1:163">
      <c r="A17" s="467" t="s">
        <v>204</v>
      </c>
      <c r="B17" s="471" t="str">
        <f>IF(ISNUMBER(MATCH(A17, 'Pulldown Data'!W:W, 0))=TRUE, "Y", IF(ISNUMBER(MATCH(A17, 'Pulldown Data'!X:X, 0))=TRUE, "M", ""))</f>
        <v/>
      </c>
      <c r="C17" s="442"/>
      <c r="D17" s="502"/>
      <c r="E17" s="443" t="str">
        <f t="shared" si="10"/>
        <v/>
      </c>
      <c r="F17" s="444" t="str">
        <f t="shared" si="10"/>
        <v/>
      </c>
      <c r="G17" s="444" t="str">
        <f t="shared" si="10"/>
        <v/>
      </c>
      <c r="H17" s="444" t="str">
        <f t="shared" si="10"/>
        <v/>
      </c>
      <c r="I17" s="444" t="str">
        <f t="shared" si="10"/>
        <v/>
      </c>
      <c r="J17" s="444" t="str">
        <f t="shared" si="10"/>
        <v/>
      </c>
      <c r="K17" s="444" t="str">
        <f t="shared" si="10"/>
        <v/>
      </c>
      <c r="L17" s="444" t="str">
        <f t="shared" si="10"/>
        <v/>
      </c>
      <c r="M17" s="444" t="str">
        <f t="shared" si="10"/>
        <v/>
      </c>
      <c r="N17" s="444" t="str">
        <f t="shared" si="10"/>
        <v/>
      </c>
      <c r="O17" s="444" t="str">
        <f t="shared" si="11"/>
        <v/>
      </c>
      <c r="P17" s="444" t="str">
        <f t="shared" si="11"/>
        <v/>
      </c>
      <c r="Q17" s="444" t="str">
        <f t="shared" si="11"/>
        <v/>
      </c>
      <c r="R17" s="444" t="str">
        <f t="shared" si="11"/>
        <v/>
      </c>
      <c r="S17" s="444" t="str">
        <f t="shared" si="11"/>
        <v/>
      </c>
      <c r="T17" s="444" t="str">
        <f t="shared" si="11"/>
        <v/>
      </c>
      <c r="U17" s="444" t="str">
        <f t="shared" si="11"/>
        <v/>
      </c>
      <c r="V17" s="444" t="str">
        <f t="shared" si="11"/>
        <v/>
      </c>
      <c r="W17" s="444" t="str">
        <f t="shared" si="11"/>
        <v/>
      </c>
      <c r="X17" s="444" t="str">
        <f t="shared" si="11"/>
        <v/>
      </c>
      <c r="Y17" s="444" t="str">
        <f t="shared" si="12"/>
        <v/>
      </c>
      <c r="Z17" s="444" t="str">
        <f t="shared" si="12"/>
        <v/>
      </c>
      <c r="AA17" s="444" t="str">
        <f t="shared" si="12"/>
        <v/>
      </c>
      <c r="AB17" s="444" t="str">
        <f t="shared" si="12"/>
        <v/>
      </c>
      <c r="AC17" s="444" t="str">
        <f t="shared" si="12"/>
        <v/>
      </c>
      <c r="AD17" s="444" t="str">
        <f t="shared" si="12"/>
        <v/>
      </c>
      <c r="AE17" s="444" t="str">
        <f t="shared" si="12"/>
        <v/>
      </c>
      <c r="AF17" s="444" t="str">
        <f t="shared" si="12"/>
        <v/>
      </c>
      <c r="AG17" s="444" t="str">
        <f t="shared" si="12"/>
        <v/>
      </c>
      <c r="AH17" s="444" t="str">
        <f t="shared" si="12"/>
        <v/>
      </c>
      <c r="AI17" s="444" t="str">
        <f t="shared" si="13"/>
        <v/>
      </c>
      <c r="AJ17" s="444" t="str">
        <f t="shared" si="13"/>
        <v/>
      </c>
      <c r="AK17" s="444" t="str">
        <f t="shared" si="13"/>
        <v/>
      </c>
      <c r="AL17" s="444" t="str">
        <f t="shared" si="13"/>
        <v/>
      </c>
      <c r="AM17" s="444" t="str">
        <f t="shared" si="13"/>
        <v/>
      </c>
      <c r="AN17" s="444" t="str">
        <f t="shared" si="13"/>
        <v/>
      </c>
      <c r="AO17" s="444" t="str">
        <f t="shared" si="13"/>
        <v/>
      </c>
      <c r="AP17" s="444" t="str">
        <f t="shared" si="13"/>
        <v/>
      </c>
      <c r="AQ17" s="444" t="str">
        <f t="shared" si="13"/>
        <v/>
      </c>
      <c r="AR17" s="444" t="str">
        <f t="shared" si="13"/>
        <v/>
      </c>
      <c r="AS17" s="444" t="str">
        <f t="shared" si="14"/>
        <v/>
      </c>
      <c r="AT17" s="444" t="str">
        <f t="shared" si="14"/>
        <v/>
      </c>
      <c r="AU17" s="444" t="str">
        <f t="shared" si="14"/>
        <v/>
      </c>
      <c r="AV17" s="444" t="str">
        <f t="shared" si="14"/>
        <v/>
      </c>
      <c r="AW17" s="444" t="str">
        <f t="shared" si="14"/>
        <v/>
      </c>
      <c r="AX17" s="444" t="str">
        <f t="shared" si="14"/>
        <v/>
      </c>
      <c r="AY17" s="444" t="str">
        <f t="shared" si="14"/>
        <v/>
      </c>
      <c r="AZ17" s="444" t="str">
        <f t="shared" si="14"/>
        <v/>
      </c>
      <c r="BA17" s="444" t="str">
        <f t="shared" si="14"/>
        <v/>
      </c>
      <c r="BB17" s="444" t="str">
        <f t="shared" si="14"/>
        <v/>
      </c>
      <c r="BC17" s="444" t="str">
        <f t="shared" si="15"/>
        <v/>
      </c>
      <c r="BD17" s="444" t="str">
        <f t="shared" si="15"/>
        <v/>
      </c>
      <c r="BE17" s="444" t="str">
        <f t="shared" si="15"/>
        <v/>
      </c>
      <c r="BF17" s="444" t="str">
        <f t="shared" si="15"/>
        <v/>
      </c>
      <c r="BG17" s="444" t="str">
        <f t="shared" si="15"/>
        <v/>
      </c>
      <c r="BH17" s="445" t="str">
        <f t="shared" si="15"/>
        <v/>
      </c>
      <c r="BI17" s="502"/>
      <c r="BJ17" s="474" t="str">
        <f t="shared" si="16"/>
        <v/>
      </c>
      <c r="BK17" s="475" t="str">
        <f t="shared" si="16"/>
        <v/>
      </c>
      <c r="BL17" s="475" t="str">
        <f t="shared" si="16"/>
        <v/>
      </c>
      <c r="BM17" s="475" t="str">
        <f t="shared" si="16"/>
        <v/>
      </c>
      <c r="BN17" s="475" t="str">
        <f t="shared" si="16"/>
        <v/>
      </c>
      <c r="BO17" s="475" t="str">
        <f t="shared" si="16"/>
        <v/>
      </c>
      <c r="BP17" s="475" t="str">
        <f t="shared" si="16"/>
        <v/>
      </c>
      <c r="BQ17" s="475" t="str">
        <f t="shared" si="16"/>
        <v/>
      </c>
      <c r="BR17" s="475" t="str">
        <f t="shared" si="16"/>
        <v/>
      </c>
      <c r="BS17" s="475" t="str">
        <f t="shared" si="16"/>
        <v/>
      </c>
      <c r="BT17" s="475" t="str">
        <f t="shared" si="17"/>
        <v/>
      </c>
      <c r="BU17" s="475" t="str">
        <f t="shared" si="17"/>
        <v/>
      </c>
      <c r="BV17" s="475" t="str">
        <f t="shared" si="17"/>
        <v/>
      </c>
      <c r="BW17" s="475" t="str">
        <f t="shared" si="17"/>
        <v/>
      </c>
      <c r="BX17" s="475" t="str">
        <f t="shared" si="17"/>
        <v/>
      </c>
      <c r="BY17" s="475" t="str">
        <f t="shared" si="17"/>
        <v/>
      </c>
      <c r="BZ17" s="475" t="str">
        <f t="shared" si="17"/>
        <v/>
      </c>
      <c r="CA17" s="475" t="str">
        <f t="shared" si="17"/>
        <v/>
      </c>
      <c r="CB17" s="475" t="str">
        <f t="shared" si="17"/>
        <v/>
      </c>
      <c r="CC17" s="475" t="str">
        <f t="shared" si="17"/>
        <v/>
      </c>
      <c r="CD17" s="475" t="str">
        <f t="shared" si="18"/>
        <v/>
      </c>
      <c r="CE17" s="475" t="str">
        <f t="shared" si="18"/>
        <v/>
      </c>
      <c r="CF17" s="475" t="str">
        <f t="shared" si="18"/>
        <v/>
      </c>
      <c r="CG17" s="475" t="str">
        <f t="shared" si="18"/>
        <v/>
      </c>
      <c r="CH17" s="475" t="str">
        <f t="shared" si="18"/>
        <v/>
      </c>
      <c r="CI17" s="475" t="str">
        <f t="shared" si="18"/>
        <v/>
      </c>
      <c r="CJ17" s="475" t="str">
        <f t="shared" si="18"/>
        <v/>
      </c>
      <c r="CK17" s="475" t="str">
        <f t="shared" si="18"/>
        <v/>
      </c>
      <c r="CL17" s="475" t="str">
        <f t="shared" si="18"/>
        <v/>
      </c>
      <c r="CM17" s="475" t="str">
        <f t="shared" si="18"/>
        <v/>
      </c>
      <c r="CN17" s="475" t="str">
        <f t="shared" si="19"/>
        <v/>
      </c>
      <c r="CO17" s="475" t="str">
        <f t="shared" si="19"/>
        <v/>
      </c>
      <c r="CP17" s="475" t="str">
        <f t="shared" si="19"/>
        <v/>
      </c>
      <c r="CQ17" s="475" t="str">
        <f t="shared" si="19"/>
        <v/>
      </c>
      <c r="CR17" s="475" t="str">
        <f t="shared" si="19"/>
        <v/>
      </c>
      <c r="CS17" s="475" t="str">
        <f t="shared" si="19"/>
        <v/>
      </c>
      <c r="CT17" s="475" t="str">
        <f t="shared" si="19"/>
        <v/>
      </c>
      <c r="CU17" s="475" t="str">
        <f t="shared" si="19"/>
        <v/>
      </c>
      <c r="CV17" s="475" t="str">
        <f t="shared" si="19"/>
        <v/>
      </c>
      <c r="CW17" s="475" t="str">
        <f t="shared" si="19"/>
        <v/>
      </c>
      <c r="CX17" s="475" t="str">
        <f t="shared" si="19"/>
        <v/>
      </c>
      <c r="CY17" s="475" t="str">
        <f t="shared" si="19"/>
        <v/>
      </c>
      <c r="CZ17" s="495" t="str">
        <f t="shared" si="19"/>
        <v/>
      </c>
      <c r="DA17" s="502"/>
      <c r="DB17" s="460"/>
      <c r="DC17" s="465"/>
      <c r="DD17" s="463"/>
      <c r="DE17" s="512"/>
      <c r="DF17" s="516"/>
      <c r="DG17" s="508"/>
      <c r="DH17" s="463"/>
      <c r="DI17" s="461"/>
      <c r="DJ17" s="461"/>
      <c r="DK17" s="461"/>
      <c r="DL17" s="464"/>
      <c r="DM17" s="466"/>
      <c r="DN17" s="502"/>
      <c r="DO17" s="460"/>
      <c r="DP17" s="464"/>
      <c r="DQ17" s="464"/>
      <c r="DR17" s="464"/>
      <c r="DS17" s="508"/>
      <c r="DT17" s="525"/>
      <c r="DU17" s="525"/>
      <c r="DV17" s="463"/>
      <c r="DW17" s="464"/>
      <c r="DX17" s="465"/>
      <c r="DY17" s="463"/>
      <c r="DZ17" s="464"/>
      <c r="EA17" s="465"/>
      <c r="EB17" s="463"/>
      <c r="EC17" s="465"/>
      <c r="ED17" s="462"/>
      <c r="EE17" s="502"/>
      <c r="EF17" s="463"/>
      <c r="EG17" s="461"/>
      <c r="EH17" s="464"/>
      <c r="EI17" s="464"/>
      <c r="EJ17" s="464"/>
      <c r="EK17" s="464"/>
      <c r="EL17" s="464"/>
      <c r="EM17" s="464"/>
      <c r="EN17" s="464"/>
      <c r="EO17" s="464"/>
      <c r="EP17" s="464"/>
      <c r="EQ17" s="464"/>
      <c r="ER17" s="464"/>
      <c r="ES17" s="464"/>
      <c r="ET17" s="464"/>
      <c r="EU17" s="464"/>
      <c r="EV17" s="464"/>
      <c r="EW17" s="465"/>
      <c r="EX17" s="465"/>
      <c r="EY17" s="502"/>
      <c r="EZ17" s="460"/>
      <c r="FA17" s="464"/>
      <c r="FB17" s="464"/>
      <c r="FC17" s="464"/>
      <c r="FD17" s="464"/>
      <c r="FE17" s="464"/>
      <c r="FF17" s="464"/>
      <c r="FG17" s="466"/>
    </row>
    <row r="18" spans="1:163">
      <c r="A18" s="467" t="s">
        <v>205</v>
      </c>
      <c r="B18" s="471" t="str">
        <f>IF(ISNUMBER(MATCH(A18, 'Pulldown Data'!W:W, 0))=TRUE, "Y", IF(ISNUMBER(MATCH(A18, 'Pulldown Data'!X:X, 0))=TRUE, "M", ""))</f>
        <v/>
      </c>
      <c r="C18" s="442"/>
      <c r="D18" s="502"/>
      <c r="E18" s="443" t="str">
        <f t="shared" si="10"/>
        <v/>
      </c>
      <c r="F18" s="444" t="str">
        <f t="shared" si="10"/>
        <v/>
      </c>
      <c r="G18" s="444" t="str">
        <f t="shared" si="10"/>
        <v/>
      </c>
      <c r="H18" s="444" t="str">
        <f t="shared" si="10"/>
        <v/>
      </c>
      <c r="I18" s="444" t="str">
        <f t="shared" si="10"/>
        <v/>
      </c>
      <c r="J18" s="444" t="str">
        <f t="shared" si="10"/>
        <v/>
      </c>
      <c r="K18" s="444" t="str">
        <f t="shared" si="10"/>
        <v/>
      </c>
      <c r="L18" s="444" t="str">
        <f t="shared" si="10"/>
        <v/>
      </c>
      <c r="M18" s="444" t="str">
        <f t="shared" si="10"/>
        <v/>
      </c>
      <c r="N18" s="444" t="str">
        <f t="shared" si="10"/>
        <v/>
      </c>
      <c r="O18" s="444" t="str">
        <f t="shared" si="11"/>
        <v/>
      </c>
      <c r="P18" s="444" t="str">
        <f t="shared" si="11"/>
        <v/>
      </c>
      <c r="Q18" s="444" t="str">
        <f t="shared" si="11"/>
        <v/>
      </c>
      <c r="R18" s="444" t="str">
        <f t="shared" si="11"/>
        <v/>
      </c>
      <c r="S18" s="444" t="str">
        <f t="shared" si="11"/>
        <v/>
      </c>
      <c r="T18" s="444" t="str">
        <f t="shared" si="11"/>
        <v/>
      </c>
      <c r="U18" s="444" t="str">
        <f t="shared" si="11"/>
        <v/>
      </c>
      <c r="V18" s="444" t="str">
        <f t="shared" si="11"/>
        <v/>
      </c>
      <c r="W18" s="444" t="str">
        <f t="shared" si="11"/>
        <v/>
      </c>
      <c r="X18" s="444" t="str">
        <f t="shared" si="11"/>
        <v/>
      </c>
      <c r="Y18" s="444" t="str">
        <f t="shared" si="12"/>
        <v/>
      </c>
      <c r="Z18" s="444" t="str">
        <f t="shared" si="12"/>
        <v/>
      </c>
      <c r="AA18" s="444" t="str">
        <f t="shared" si="12"/>
        <v/>
      </c>
      <c r="AB18" s="444" t="str">
        <f t="shared" si="12"/>
        <v/>
      </c>
      <c r="AC18" s="444" t="str">
        <f t="shared" si="12"/>
        <v/>
      </c>
      <c r="AD18" s="444" t="str">
        <f t="shared" si="12"/>
        <v/>
      </c>
      <c r="AE18" s="444" t="str">
        <f t="shared" si="12"/>
        <v/>
      </c>
      <c r="AF18" s="444" t="str">
        <f t="shared" si="12"/>
        <v/>
      </c>
      <c r="AG18" s="444" t="str">
        <f t="shared" si="12"/>
        <v/>
      </c>
      <c r="AH18" s="444" t="str">
        <f t="shared" si="12"/>
        <v/>
      </c>
      <c r="AI18" s="444" t="str">
        <f t="shared" si="13"/>
        <v/>
      </c>
      <c r="AJ18" s="444" t="str">
        <f t="shared" si="13"/>
        <v/>
      </c>
      <c r="AK18" s="444" t="str">
        <f t="shared" si="13"/>
        <v/>
      </c>
      <c r="AL18" s="444" t="str">
        <f t="shared" si="13"/>
        <v/>
      </c>
      <c r="AM18" s="444" t="str">
        <f t="shared" si="13"/>
        <v/>
      </c>
      <c r="AN18" s="444" t="str">
        <f t="shared" si="13"/>
        <v/>
      </c>
      <c r="AO18" s="444" t="str">
        <f t="shared" si="13"/>
        <v/>
      </c>
      <c r="AP18" s="444" t="str">
        <f t="shared" si="13"/>
        <v/>
      </c>
      <c r="AQ18" s="444" t="str">
        <f t="shared" si="13"/>
        <v/>
      </c>
      <c r="AR18" s="444" t="str">
        <f t="shared" si="13"/>
        <v/>
      </c>
      <c r="AS18" s="444" t="str">
        <f t="shared" si="14"/>
        <v/>
      </c>
      <c r="AT18" s="444" t="str">
        <f t="shared" si="14"/>
        <v/>
      </c>
      <c r="AU18" s="444" t="str">
        <f t="shared" si="14"/>
        <v/>
      </c>
      <c r="AV18" s="444" t="str">
        <f t="shared" si="14"/>
        <v/>
      </c>
      <c r="AW18" s="444" t="str">
        <f t="shared" si="14"/>
        <v/>
      </c>
      <c r="AX18" s="444" t="str">
        <f t="shared" si="14"/>
        <v/>
      </c>
      <c r="AY18" s="444" t="str">
        <f t="shared" si="14"/>
        <v/>
      </c>
      <c r="AZ18" s="444" t="str">
        <f t="shared" si="14"/>
        <v/>
      </c>
      <c r="BA18" s="444" t="str">
        <f t="shared" si="14"/>
        <v/>
      </c>
      <c r="BB18" s="444" t="str">
        <f t="shared" si="14"/>
        <v/>
      </c>
      <c r="BC18" s="444" t="str">
        <f t="shared" si="15"/>
        <v/>
      </c>
      <c r="BD18" s="444" t="str">
        <f t="shared" si="15"/>
        <v/>
      </c>
      <c r="BE18" s="444" t="str">
        <f t="shared" si="15"/>
        <v/>
      </c>
      <c r="BF18" s="444" t="str">
        <f t="shared" si="15"/>
        <v/>
      </c>
      <c r="BG18" s="444" t="str">
        <f t="shared" si="15"/>
        <v/>
      </c>
      <c r="BH18" s="445" t="str">
        <f t="shared" si="15"/>
        <v/>
      </c>
      <c r="BI18" s="502"/>
      <c r="BJ18" s="474" t="str">
        <f t="shared" si="16"/>
        <v/>
      </c>
      <c r="BK18" s="475" t="str">
        <f t="shared" si="16"/>
        <v/>
      </c>
      <c r="BL18" s="475" t="str">
        <f t="shared" si="16"/>
        <v/>
      </c>
      <c r="BM18" s="475" t="str">
        <f t="shared" si="16"/>
        <v/>
      </c>
      <c r="BN18" s="475" t="str">
        <f t="shared" si="16"/>
        <v/>
      </c>
      <c r="BO18" s="475" t="str">
        <f t="shared" si="16"/>
        <v/>
      </c>
      <c r="BP18" s="475" t="str">
        <f t="shared" si="16"/>
        <v/>
      </c>
      <c r="BQ18" s="475" t="str">
        <f t="shared" si="16"/>
        <v/>
      </c>
      <c r="BR18" s="475" t="str">
        <f t="shared" si="16"/>
        <v/>
      </c>
      <c r="BS18" s="475" t="str">
        <f t="shared" si="16"/>
        <v/>
      </c>
      <c r="BT18" s="475" t="str">
        <f t="shared" si="17"/>
        <v/>
      </c>
      <c r="BU18" s="475" t="str">
        <f t="shared" si="17"/>
        <v/>
      </c>
      <c r="BV18" s="475" t="str">
        <f t="shared" si="17"/>
        <v/>
      </c>
      <c r="BW18" s="475" t="str">
        <f t="shared" si="17"/>
        <v/>
      </c>
      <c r="BX18" s="475" t="str">
        <f t="shared" si="17"/>
        <v/>
      </c>
      <c r="BY18" s="475" t="str">
        <f t="shared" si="17"/>
        <v/>
      </c>
      <c r="BZ18" s="475" t="str">
        <f t="shared" si="17"/>
        <v/>
      </c>
      <c r="CA18" s="475" t="str">
        <f t="shared" si="17"/>
        <v/>
      </c>
      <c r="CB18" s="475" t="str">
        <f t="shared" si="17"/>
        <v/>
      </c>
      <c r="CC18" s="475" t="str">
        <f t="shared" si="17"/>
        <v/>
      </c>
      <c r="CD18" s="475" t="str">
        <f t="shared" si="18"/>
        <v/>
      </c>
      <c r="CE18" s="475" t="str">
        <f t="shared" si="18"/>
        <v/>
      </c>
      <c r="CF18" s="475" t="str">
        <f t="shared" si="18"/>
        <v/>
      </c>
      <c r="CG18" s="475" t="str">
        <f t="shared" si="18"/>
        <v/>
      </c>
      <c r="CH18" s="475" t="str">
        <f t="shared" si="18"/>
        <v/>
      </c>
      <c r="CI18" s="475" t="str">
        <f t="shared" si="18"/>
        <v/>
      </c>
      <c r="CJ18" s="475" t="str">
        <f t="shared" si="18"/>
        <v/>
      </c>
      <c r="CK18" s="475" t="str">
        <f t="shared" si="18"/>
        <v/>
      </c>
      <c r="CL18" s="475" t="str">
        <f t="shared" si="18"/>
        <v/>
      </c>
      <c r="CM18" s="475" t="str">
        <f t="shared" si="18"/>
        <v/>
      </c>
      <c r="CN18" s="475" t="str">
        <f t="shared" si="19"/>
        <v/>
      </c>
      <c r="CO18" s="475" t="str">
        <f t="shared" si="19"/>
        <v/>
      </c>
      <c r="CP18" s="475" t="str">
        <f t="shared" si="19"/>
        <v/>
      </c>
      <c r="CQ18" s="475" t="str">
        <f t="shared" si="19"/>
        <v/>
      </c>
      <c r="CR18" s="475" t="str">
        <f t="shared" si="19"/>
        <v/>
      </c>
      <c r="CS18" s="475" t="str">
        <f t="shared" si="19"/>
        <v/>
      </c>
      <c r="CT18" s="475" t="str">
        <f t="shared" si="19"/>
        <v/>
      </c>
      <c r="CU18" s="475" t="str">
        <f t="shared" si="19"/>
        <v/>
      </c>
      <c r="CV18" s="475" t="str">
        <f t="shared" si="19"/>
        <v/>
      </c>
      <c r="CW18" s="475" t="str">
        <f t="shared" si="19"/>
        <v/>
      </c>
      <c r="CX18" s="475" t="str">
        <f t="shared" si="19"/>
        <v/>
      </c>
      <c r="CY18" s="475" t="str">
        <f t="shared" si="19"/>
        <v/>
      </c>
      <c r="CZ18" s="495" t="str">
        <f t="shared" si="19"/>
        <v/>
      </c>
      <c r="DA18" s="502"/>
      <c r="DB18" s="460"/>
      <c r="DC18" s="465"/>
      <c r="DD18" s="463"/>
      <c r="DE18" s="512"/>
      <c r="DF18" s="516"/>
      <c r="DG18" s="508"/>
      <c r="DH18" s="463"/>
      <c r="DI18" s="461"/>
      <c r="DJ18" s="461"/>
      <c r="DK18" s="461"/>
      <c r="DL18" s="464"/>
      <c r="DM18" s="466"/>
      <c r="DN18" s="502"/>
      <c r="DO18" s="460"/>
      <c r="DP18" s="464"/>
      <c r="DQ18" s="464"/>
      <c r="DR18" s="464"/>
      <c r="DS18" s="508"/>
      <c r="DT18" s="525"/>
      <c r="DU18" s="525"/>
      <c r="DV18" s="463"/>
      <c r="DW18" s="464"/>
      <c r="DX18" s="465"/>
      <c r="DY18" s="463"/>
      <c r="DZ18" s="464"/>
      <c r="EA18" s="465"/>
      <c r="EB18" s="463"/>
      <c r="EC18" s="465"/>
      <c r="ED18" s="462"/>
      <c r="EE18" s="502"/>
      <c r="EF18" s="463"/>
      <c r="EG18" s="461"/>
      <c r="EH18" s="464"/>
      <c r="EI18" s="464"/>
      <c r="EJ18" s="464"/>
      <c r="EK18" s="464"/>
      <c r="EL18" s="464"/>
      <c r="EM18" s="464"/>
      <c r="EN18" s="464"/>
      <c r="EO18" s="464"/>
      <c r="EP18" s="464"/>
      <c r="EQ18" s="464"/>
      <c r="ER18" s="464"/>
      <c r="ES18" s="464"/>
      <c r="ET18" s="464"/>
      <c r="EU18" s="464"/>
      <c r="EV18" s="464"/>
      <c r="EW18" s="465"/>
      <c r="EX18" s="465"/>
      <c r="EY18" s="502"/>
      <c r="EZ18" s="460"/>
      <c r="FA18" s="464"/>
      <c r="FB18" s="464"/>
      <c r="FC18" s="464"/>
      <c r="FD18" s="464"/>
      <c r="FE18" s="464"/>
      <c r="FF18" s="464"/>
      <c r="FG18" s="466"/>
    </row>
    <row r="19" spans="1:163">
      <c r="A19" s="467" t="s">
        <v>206</v>
      </c>
      <c r="B19" s="471" t="str">
        <f>IF(ISNUMBER(MATCH(A19, 'Pulldown Data'!W:W, 0))=TRUE, "Y", IF(ISNUMBER(MATCH(A19, 'Pulldown Data'!X:X, 0))=TRUE, "M", ""))</f>
        <v/>
      </c>
      <c r="C19" s="442"/>
      <c r="D19" s="502"/>
      <c r="E19" s="443" t="str">
        <f t="shared" si="10"/>
        <v/>
      </c>
      <c r="F19" s="444" t="str">
        <f t="shared" si="10"/>
        <v/>
      </c>
      <c r="G19" s="444" t="str">
        <f t="shared" si="10"/>
        <v/>
      </c>
      <c r="H19" s="444" t="str">
        <f t="shared" si="10"/>
        <v/>
      </c>
      <c r="I19" s="444" t="str">
        <f t="shared" si="10"/>
        <v/>
      </c>
      <c r="J19" s="444" t="str">
        <f t="shared" si="10"/>
        <v/>
      </c>
      <c r="K19" s="444" t="str">
        <f t="shared" si="10"/>
        <v/>
      </c>
      <c r="L19" s="444" t="str">
        <f t="shared" si="10"/>
        <v/>
      </c>
      <c r="M19" s="444" t="str">
        <f t="shared" si="10"/>
        <v/>
      </c>
      <c r="N19" s="444" t="str">
        <f t="shared" si="10"/>
        <v/>
      </c>
      <c r="O19" s="444" t="str">
        <f t="shared" si="11"/>
        <v/>
      </c>
      <c r="P19" s="444" t="str">
        <f t="shared" si="11"/>
        <v/>
      </c>
      <c r="Q19" s="444" t="str">
        <f t="shared" si="11"/>
        <v/>
      </c>
      <c r="R19" s="444" t="str">
        <f t="shared" si="11"/>
        <v/>
      </c>
      <c r="S19" s="444" t="str">
        <f t="shared" si="11"/>
        <v/>
      </c>
      <c r="T19" s="444" t="str">
        <f t="shared" si="11"/>
        <v/>
      </c>
      <c r="U19" s="444" t="str">
        <f t="shared" si="11"/>
        <v/>
      </c>
      <c r="V19" s="444" t="str">
        <f t="shared" si="11"/>
        <v/>
      </c>
      <c r="W19" s="444" t="str">
        <f t="shared" si="11"/>
        <v/>
      </c>
      <c r="X19" s="444" t="str">
        <f t="shared" si="11"/>
        <v/>
      </c>
      <c r="Y19" s="444" t="str">
        <f t="shared" si="12"/>
        <v/>
      </c>
      <c r="Z19" s="444" t="str">
        <f t="shared" si="12"/>
        <v/>
      </c>
      <c r="AA19" s="444" t="str">
        <f t="shared" si="12"/>
        <v/>
      </c>
      <c r="AB19" s="444" t="str">
        <f t="shared" si="12"/>
        <v/>
      </c>
      <c r="AC19" s="444" t="str">
        <f t="shared" si="12"/>
        <v/>
      </c>
      <c r="AD19" s="444" t="str">
        <f t="shared" si="12"/>
        <v/>
      </c>
      <c r="AE19" s="444" t="str">
        <f t="shared" si="12"/>
        <v/>
      </c>
      <c r="AF19" s="444" t="str">
        <f t="shared" si="12"/>
        <v/>
      </c>
      <c r="AG19" s="444" t="str">
        <f t="shared" si="12"/>
        <v/>
      </c>
      <c r="AH19" s="444" t="str">
        <f t="shared" si="12"/>
        <v/>
      </c>
      <c r="AI19" s="444" t="str">
        <f t="shared" si="13"/>
        <v/>
      </c>
      <c r="AJ19" s="444" t="str">
        <f t="shared" si="13"/>
        <v/>
      </c>
      <c r="AK19" s="444" t="str">
        <f t="shared" si="13"/>
        <v/>
      </c>
      <c r="AL19" s="444" t="str">
        <f t="shared" si="13"/>
        <v/>
      </c>
      <c r="AM19" s="444" t="str">
        <f t="shared" si="13"/>
        <v/>
      </c>
      <c r="AN19" s="444" t="str">
        <f t="shared" si="13"/>
        <v/>
      </c>
      <c r="AO19" s="444" t="str">
        <f t="shared" si="13"/>
        <v/>
      </c>
      <c r="AP19" s="444" t="str">
        <f t="shared" si="13"/>
        <v/>
      </c>
      <c r="AQ19" s="444" t="str">
        <f t="shared" si="13"/>
        <v/>
      </c>
      <c r="AR19" s="444" t="str">
        <f t="shared" si="13"/>
        <v/>
      </c>
      <c r="AS19" s="444" t="str">
        <f t="shared" si="14"/>
        <v/>
      </c>
      <c r="AT19" s="444" t="str">
        <f t="shared" si="14"/>
        <v/>
      </c>
      <c r="AU19" s="444" t="str">
        <f t="shared" si="14"/>
        <v/>
      </c>
      <c r="AV19" s="444" t="str">
        <f t="shared" si="14"/>
        <v/>
      </c>
      <c r="AW19" s="444" t="str">
        <f t="shared" si="14"/>
        <v/>
      </c>
      <c r="AX19" s="444" t="str">
        <f t="shared" si="14"/>
        <v/>
      </c>
      <c r="AY19" s="444" t="str">
        <f t="shared" si="14"/>
        <v/>
      </c>
      <c r="AZ19" s="444" t="str">
        <f t="shared" si="14"/>
        <v/>
      </c>
      <c r="BA19" s="444" t="str">
        <f t="shared" si="14"/>
        <v/>
      </c>
      <c r="BB19" s="444" t="str">
        <f t="shared" si="14"/>
        <v/>
      </c>
      <c r="BC19" s="444" t="str">
        <f t="shared" si="15"/>
        <v/>
      </c>
      <c r="BD19" s="444" t="str">
        <f t="shared" si="15"/>
        <v/>
      </c>
      <c r="BE19" s="444" t="str">
        <f t="shared" si="15"/>
        <v/>
      </c>
      <c r="BF19" s="444" t="str">
        <f t="shared" si="15"/>
        <v/>
      </c>
      <c r="BG19" s="444" t="str">
        <f t="shared" si="15"/>
        <v/>
      </c>
      <c r="BH19" s="445" t="str">
        <f t="shared" si="15"/>
        <v/>
      </c>
      <c r="BI19" s="502"/>
      <c r="BJ19" s="474" t="str">
        <f t="shared" si="16"/>
        <v/>
      </c>
      <c r="BK19" s="475" t="str">
        <f t="shared" si="16"/>
        <v/>
      </c>
      <c r="BL19" s="475" t="str">
        <f t="shared" si="16"/>
        <v/>
      </c>
      <c r="BM19" s="475" t="str">
        <f t="shared" si="16"/>
        <v/>
      </c>
      <c r="BN19" s="475" t="str">
        <f t="shared" si="16"/>
        <v/>
      </c>
      <c r="BO19" s="475" t="str">
        <f t="shared" si="16"/>
        <v/>
      </c>
      <c r="BP19" s="475" t="str">
        <f t="shared" si="16"/>
        <v/>
      </c>
      <c r="BQ19" s="475" t="str">
        <f t="shared" si="16"/>
        <v/>
      </c>
      <c r="BR19" s="475" t="str">
        <f t="shared" si="16"/>
        <v/>
      </c>
      <c r="BS19" s="475" t="str">
        <f t="shared" si="16"/>
        <v/>
      </c>
      <c r="BT19" s="475" t="str">
        <f t="shared" si="17"/>
        <v/>
      </c>
      <c r="BU19" s="475" t="str">
        <f t="shared" si="17"/>
        <v/>
      </c>
      <c r="BV19" s="475" t="str">
        <f t="shared" si="17"/>
        <v/>
      </c>
      <c r="BW19" s="475" t="str">
        <f t="shared" si="17"/>
        <v/>
      </c>
      <c r="BX19" s="475" t="str">
        <f t="shared" si="17"/>
        <v/>
      </c>
      <c r="BY19" s="475" t="str">
        <f t="shared" si="17"/>
        <v/>
      </c>
      <c r="BZ19" s="475" t="str">
        <f t="shared" si="17"/>
        <v/>
      </c>
      <c r="CA19" s="475" t="str">
        <f t="shared" si="17"/>
        <v/>
      </c>
      <c r="CB19" s="475" t="str">
        <f t="shared" si="17"/>
        <v/>
      </c>
      <c r="CC19" s="475" t="str">
        <f t="shared" si="17"/>
        <v/>
      </c>
      <c r="CD19" s="475" t="str">
        <f t="shared" si="18"/>
        <v/>
      </c>
      <c r="CE19" s="475" t="str">
        <f t="shared" si="18"/>
        <v/>
      </c>
      <c r="CF19" s="475" t="str">
        <f t="shared" si="18"/>
        <v/>
      </c>
      <c r="CG19" s="475" t="str">
        <f t="shared" si="18"/>
        <v/>
      </c>
      <c r="CH19" s="475" t="str">
        <f t="shared" si="18"/>
        <v/>
      </c>
      <c r="CI19" s="475" t="str">
        <f t="shared" si="18"/>
        <v/>
      </c>
      <c r="CJ19" s="475" t="str">
        <f t="shared" si="18"/>
        <v/>
      </c>
      <c r="CK19" s="475" t="str">
        <f t="shared" si="18"/>
        <v/>
      </c>
      <c r="CL19" s="475" t="str">
        <f t="shared" si="18"/>
        <v/>
      </c>
      <c r="CM19" s="475" t="str">
        <f t="shared" si="18"/>
        <v/>
      </c>
      <c r="CN19" s="475" t="str">
        <f t="shared" si="19"/>
        <v/>
      </c>
      <c r="CO19" s="475" t="str">
        <f t="shared" si="19"/>
        <v/>
      </c>
      <c r="CP19" s="475" t="str">
        <f t="shared" si="19"/>
        <v/>
      </c>
      <c r="CQ19" s="475" t="str">
        <f t="shared" si="19"/>
        <v/>
      </c>
      <c r="CR19" s="475" t="str">
        <f t="shared" si="19"/>
        <v/>
      </c>
      <c r="CS19" s="475" t="str">
        <f t="shared" si="19"/>
        <v/>
      </c>
      <c r="CT19" s="475" t="str">
        <f t="shared" si="19"/>
        <v/>
      </c>
      <c r="CU19" s="475" t="str">
        <f t="shared" si="19"/>
        <v/>
      </c>
      <c r="CV19" s="475" t="str">
        <f t="shared" si="19"/>
        <v/>
      </c>
      <c r="CW19" s="475" t="str">
        <f t="shared" si="19"/>
        <v/>
      </c>
      <c r="CX19" s="475" t="str">
        <f t="shared" si="19"/>
        <v/>
      </c>
      <c r="CY19" s="475" t="str">
        <f t="shared" si="19"/>
        <v/>
      </c>
      <c r="CZ19" s="495" t="str">
        <f t="shared" si="19"/>
        <v/>
      </c>
      <c r="DA19" s="502"/>
      <c r="DB19" s="460"/>
      <c r="DC19" s="465"/>
      <c r="DD19" s="463"/>
      <c r="DE19" s="512"/>
      <c r="DF19" s="516"/>
      <c r="DG19" s="508"/>
      <c r="DH19" s="463"/>
      <c r="DI19" s="461"/>
      <c r="DJ19" s="461"/>
      <c r="DK19" s="461"/>
      <c r="DL19" s="464"/>
      <c r="DM19" s="466"/>
      <c r="DN19" s="502"/>
      <c r="DO19" s="460"/>
      <c r="DP19" s="464"/>
      <c r="DQ19" s="464"/>
      <c r="DR19" s="464"/>
      <c r="DS19" s="508"/>
      <c r="DT19" s="525"/>
      <c r="DU19" s="525"/>
      <c r="DV19" s="463"/>
      <c r="DW19" s="464"/>
      <c r="DX19" s="465"/>
      <c r="DY19" s="463"/>
      <c r="DZ19" s="464"/>
      <c r="EA19" s="465"/>
      <c r="EB19" s="463"/>
      <c r="EC19" s="465"/>
      <c r="ED19" s="462"/>
      <c r="EE19" s="502"/>
      <c r="EF19" s="463"/>
      <c r="EG19" s="461"/>
      <c r="EH19" s="464"/>
      <c r="EI19" s="464"/>
      <c r="EJ19" s="464"/>
      <c r="EK19" s="464"/>
      <c r="EL19" s="464"/>
      <c r="EM19" s="464"/>
      <c r="EN19" s="464"/>
      <c r="EO19" s="464"/>
      <c r="EP19" s="464"/>
      <c r="EQ19" s="464"/>
      <c r="ER19" s="464"/>
      <c r="ES19" s="464"/>
      <c r="ET19" s="464"/>
      <c r="EU19" s="464"/>
      <c r="EV19" s="464"/>
      <c r="EW19" s="465"/>
      <c r="EX19" s="465"/>
      <c r="EY19" s="502"/>
      <c r="EZ19" s="460"/>
      <c r="FA19" s="464"/>
      <c r="FB19" s="464"/>
      <c r="FC19" s="464"/>
      <c r="FD19" s="464"/>
      <c r="FE19" s="464"/>
      <c r="FF19" s="464"/>
      <c r="FG19" s="466"/>
    </row>
    <row r="20" spans="1:163">
      <c r="A20" s="467" t="s">
        <v>207</v>
      </c>
      <c r="B20" s="471" t="str">
        <f>IF(ISNUMBER(MATCH(A20, 'Pulldown Data'!W:W, 0))=TRUE, "Y", IF(ISNUMBER(MATCH(A20, 'Pulldown Data'!X:X, 0))=TRUE, "M", ""))</f>
        <v/>
      </c>
      <c r="C20" s="442"/>
      <c r="D20" s="502"/>
      <c r="E20" s="443" t="str">
        <f t="shared" si="10"/>
        <v/>
      </c>
      <c r="F20" s="444" t="str">
        <f t="shared" si="10"/>
        <v/>
      </c>
      <c r="G20" s="444" t="str">
        <f t="shared" si="10"/>
        <v/>
      </c>
      <c r="H20" s="444" t="str">
        <f t="shared" si="10"/>
        <v/>
      </c>
      <c r="I20" s="444" t="str">
        <f t="shared" si="10"/>
        <v/>
      </c>
      <c r="J20" s="444" t="str">
        <f t="shared" si="10"/>
        <v/>
      </c>
      <c r="K20" s="444" t="str">
        <f t="shared" si="10"/>
        <v/>
      </c>
      <c r="L20" s="444" t="str">
        <f t="shared" si="10"/>
        <v/>
      </c>
      <c r="M20" s="444" t="str">
        <f t="shared" si="10"/>
        <v/>
      </c>
      <c r="N20" s="444" t="str">
        <f t="shared" si="10"/>
        <v/>
      </c>
      <c r="O20" s="444" t="str">
        <f t="shared" si="11"/>
        <v/>
      </c>
      <c r="P20" s="444" t="str">
        <f t="shared" si="11"/>
        <v/>
      </c>
      <c r="Q20" s="444" t="str">
        <f t="shared" si="11"/>
        <v/>
      </c>
      <c r="R20" s="444" t="str">
        <f t="shared" si="11"/>
        <v/>
      </c>
      <c r="S20" s="444" t="str">
        <f t="shared" si="11"/>
        <v/>
      </c>
      <c r="T20" s="444" t="str">
        <f t="shared" si="11"/>
        <v/>
      </c>
      <c r="U20" s="444" t="str">
        <f t="shared" si="11"/>
        <v/>
      </c>
      <c r="V20" s="444" t="str">
        <f t="shared" si="11"/>
        <v/>
      </c>
      <c r="W20" s="444" t="str">
        <f t="shared" si="11"/>
        <v/>
      </c>
      <c r="X20" s="444" t="str">
        <f t="shared" si="11"/>
        <v/>
      </c>
      <c r="Y20" s="444" t="str">
        <f t="shared" si="12"/>
        <v/>
      </c>
      <c r="Z20" s="444" t="str">
        <f t="shared" si="12"/>
        <v/>
      </c>
      <c r="AA20" s="444" t="str">
        <f t="shared" si="12"/>
        <v/>
      </c>
      <c r="AB20" s="444" t="str">
        <f t="shared" si="12"/>
        <v/>
      </c>
      <c r="AC20" s="444" t="str">
        <f t="shared" si="12"/>
        <v/>
      </c>
      <c r="AD20" s="444" t="str">
        <f t="shared" si="12"/>
        <v/>
      </c>
      <c r="AE20" s="444" t="str">
        <f t="shared" si="12"/>
        <v/>
      </c>
      <c r="AF20" s="444" t="str">
        <f t="shared" si="12"/>
        <v/>
      </c>
      <c r="AG20" s="444" t="str">
        <f t="shared" si="12"/>
        <v/>
      </c>
      <c r="AH20" s="444" t="str">
        <f t="shared" si="12"/>
        <v/>
      </c>
      <c r="AI20" s="444" t="str">
        <f t="shared" si="13"/>
        <v/>
      </c>
      <c r="AJ20" s="444" t="str">
        <f t="shared" si="13"/>
        <v/>
      </c>
      <c r="AK20" s="444" t="str">
        <f t="shared" si="13"/>
        <v/>
      </c>
      <c r="AL20" s="444" t="str">
        <f t="shared" si="13"/>
        <v/>
      </c>
      <c r="AM20" s="444" t="str">
        <f t="shared" si="13"/>
        <v/>
      </c>
      <c r="AN20" s="444" t="str">
        <f t="shared" si="13"/>
        <v/>
      </c>
      <c r="AO20" s="444" t="str">
        <f t="shared" si="13"/>
        <v/>
      </c>
      <c r="AP20" s="444" t="str">
        <f t="shared" si="13"/>
        <v/>
      </c>
      <c r="AQ20" s="444" t="str">
        <f t="shared" si="13"/>
        <v/>
      </c>
      <c r="AR20" s="444" t="str">
        <f t="shared" si="13"/>
        <v/>
      </c>
      <c r="AS20" s="444" t="str">
        <f t="shared" si="14"/>
        <v/>
      </c>
      <c r="AT20" s="444" t="str">
        <f t="shared" si="14"/>
        <v/>
      </c>
      <c r="AU20" s="444" t="str">
        <f t="shared" si="14"/>
        <v/>
      </c>
      <c r="AV20" s="444" t="str">
        <f t="shared" si="14"/>
        <v/>
      </c>
      <c r="AW20" s="444" t="str">
        <f t="shared" si="14"/>
        <v/>
      </c>
      <c r="AX20" s="444" t="str">
        <f t="shared" si="14"/>
        <v/>
      </c>
      <c r="AY20" s="444" t="str">
        <f t="shared" si="14"/>
        <v/>
      </c>
      <c r="AZ20" s="444" t="str">
        <f t="shared" si="14"/>
        <v/>
      </c>
      <c r="BA20" s="444" t="str">
        <f t="shared" si="14"/>
        <v/>
      </c>
      <c r="BB20" s="444" t="str">
        <f t="shared" si="14"/>
        <v/>
      </c>
      <c r="BC20" s="444" t="str">
        <f t="shared" si="15"/>
        <v/>
      </c>
      <c r="BD20" s="444" t="str">
        <f t="shared" si="15"/>
        <v/>
      </c>
      <c r="BE20" s="444" t="str">
        <f t="shared" si="15"/>
        <v/>
      </c>
      <c r="BF20" s="444" t="str">
        <f t="shared" si="15"/>
        <v/>
      </c>
      <c r="BG20" s="444" t="str">
        <f t="shared" si="15"/>
        <v/>
      </c>
      <c r="BH20" s="445" t="str">
        <f t="shared" si="15"/>
        <v/>
      </c>
      <c r="BI20" s="502"/>
      <c r="BJ20" s="474" t="str">
        <f t="shared" si="16"/>
        <v/>
      </c>
      <c r="BK20" s="475" t="str">
        <f t="shared" si="16"/>
        <v/>
      </c>
      <c r="BL20" s="475" t="str">
        <f t="shared" si="16"/>
        <v/>
      </c>
      <c r="BM20" s="475" t="str">
        <f t="shared" si="16"/>
        <v/>
      </c>
      <c r="BN20" s="475" t="str">
        <f t="shared" si="16"/>
        <v/>
      </c>
      <c r="BO20" s="475" t="str">
        <f t="shared" si="16"/>
        <v/>
      </c>
      <c r="BP20" s="475" t="str">
        <f t="shared" si="16"/>
        <v/>
      </c>
      <c r="BQ20" s="475" t="str">
        <f t="shared" si="16"/>
        <v/>
      </c>
      <c r="BR20" s="475" t="str">
        <f t="shared" si="16"/>
        <v/>
      </c>
      <c r="BS20" s="475" t="str">
        <f t="shared" si="16"/>
        <v/>
      </c>
      <c r="BT20" s="475" t="str">
        <f t="shared" si="17"/>
        <v/>
      </c>
      <c r="BU20" s="475" t="str">
        <f t="shared" si="17"/>
        <v/>
      </c>
      <c r="BV20" s="475" t="str">
        <f t="shared" si="17"/>
        <v/>
      </c>
      <c r="BW20" s="475" t="str">
        <f t="shared" si="17"/>
        <v/>
      </c>
      <c r="BX20" s="475" t="str">
        <f t="shared" si="17"/>
        <v/>
      </c>
      <c r="BY20" s="475" t="str">
        <f t="shared" si="17"/>
        <v/>
      </c>
      <c r="BZ20" s="475" t="str">
        <f t="shared" si="17"/>
        <v/>
      </c>
      <c r="CA20" s="475" t="str">
        <f t="shared" si="17"/>
        <v/>
      </c>
      <c r="CB20" s="475" t="str">
        <f t="shared" si="17"/>
        <v/>
      </c>
      <c r="CC20" s="475" t="str">
        <f t="shared" si="17"/>
        <v/>
      </c>
      <c r="CD20" s="475" t="str">
        <f t="shared" si="18"/>
        <v/>
      </c>
      <c r="CE20" s="475" t="str">
        <f t="shared" si="18"/>
        <v/>
      </c>
      <c r="CF20" s="475" t="str">
        <f t="shared" si="18"/>
        <v/>
      </c>
      <c r="CG20" s="475" t="str">
        <f t="shared" si="18"/>
        <v/>
      </c>
      <c r="CH20" s="475" t="str">
        <f t="shared" si="18"/>
        <v/>
      </c>
      <c r="CI20" s="475" t="str">
        <f t="shared" si="18"/>
        <v/>
      </c>
      <c r="CJ20" s="475" t="str">
        <f t="shared" si="18"/>
        <v/>
      </c>
      <c r="CK20" s="475" t="str">
        <f t="shared" si="18"/>
        <v/>
      </c>
      <c r="CL20" s="475" t="str">
        <f t="shared" si="18"/>
        <v/>
      </c>
      <c r="CM20" s="475" t="str">
        <f t="shared" si="18"/>
        <v/>
      </c>
      <c r="CN20" s="475" t="str">
        <f t="shared" si="19"/>
        <v/>
      </c>
      <c r="CO20" s="475" t="str">
        <f t="shared" si="19"/>
        <v/>
      </c>
      <c r="CP20" s="475" t="str">
        <f t="shared" si="19"/>
        <v/>
      </c>
      <c r="CQ20" s="475" t="str">
        <f t="shared" si="19"/>
        <v/>
      </c>
      <c r="CR20" s="475" t="str">
        <f t="shared" si="19"/>
        <v/>
      </c>
      <c r="CS20" s="475" t="str">
        <f t="shared" si="19"/>
        <v/>
      </c>
      <c r="CT20" s="475" t="str">
        <f t="shared" si="19"/>
        <v/>
      </c>
      <c r="CU20" s="475" t="str">
        <f t="shared" si="19"/>
        <v/>
      </c>
      <c r="CV20" s="475" t="str">
        <f t="shared" si="19"/>
        <v/>
      </c>
      <c r="CW20" s="475" t="str">
        <f t="shared" si="19"/>
        <v/>
      </c>
      <c r="CX20" s="475" t="str">
        <f t="shared" si="19"/>
        <v/>
      </c>
      <c r="CY20" s="475" t="str">
        <f t="shared" si="19"/>
        <v/>
      </c>
      <c r="CZ20" s="495" t="str">
        <f t="shared" si="19"/>
        <v/>
      </c>
      <c r="DA20" s="502"/>
      <c r="DB20" s="460"/>
      <c r="DC20" s="465"/>
      <c r="DD20" s="463"/>
      <c r="DE20" s="512"/>
      <c r="DF20" s="516"/>
      <c r="DG20" s="508"/>
      <c r="DH20" s="463"/>
      <c r="DI20" s="461"/>
      <c r="DJ20" s="461"/>
      <c r="DK20" s="461"/>
      <c r="DL20" s="464"/>
      <c r="DM20" s="466"/>
      <c r="DN20" s="502"/>
      <c r="DO20" s="460"/>
      <c r="DP20" s="464"/>
      <c r="DQ20" s="464"/>
      <c r="DR20" s="464"/>
      <c r="DS20" s="508"/>
      <c r="DT20" s="525"/>
      <c r="DU20" s="525"/>
      <c r="DV20" s="463"/>
      <c r="DW20" s="464"/>
      <c r="DX20" s="465"/>
      <c r="DY20" s="463"/>
      <c r="DZ20" s="464"/>
      <c r="EA20" s="465"/>
      <c r="EB20" s="463"/>
      <c r="EC20" s="465"/>
      <c r="ED20" s="462"/>
      <c r="EE20" s="502"/>
      <c r="EF20" s="463"/>
      <c r="EG20" s="461"/>
      <c r="EH20" s="464"/>
      <c r="EI20" s="464"/>
      <c r="EJ20" s="464"/>
      <c r="EK20" s="464"/>
      <c r="EL20" s="464"/>
      <c r="EM20" s="464"/>
      <c r="EN20" s="464"/>
      <c r="EO20" s="464"/>
      <c r="EP20" s="464"/>
      <c r="EQ20" s="464"/>
      <c r="ER20" s="464"/>
      <c r="ES20" s="464"/>
      <c r="ET20" s="464"/>
      <c r="EU20" s="464"/>
      <c r="EV20" s="464"/>
      <c r="EW20" s="465"/>
      <c r="EX20" s="465"/>
      <c r="EY20" s="502"/>
      <c r="EZ20" s="460"/>
      <c r="FA20" s="464"/>
      <c r="FB20" s="464"/>
      <c r="FC20" s="464"/>
      <c r="FD20" s="464"/>
      <c r="FE20" s="464"/>
      <c r="FF20" s="464"/>
      <c r="FG20" s="466"/>
    </row>
    <row r="21" spans="1:163">
      <c r="A21" s="467" t="s">
        <v>208</v>
      </c>
      <c r="B21" s="471" t="str">
        <f>IF(ISNUMBER(MATCH(A21, 'Pulldown Data'!W:W, 0))=TRUE, "Y", IF(ISNUMBER(MATCH(A21, 'Pulldown Data'!X:X, 0))=TRUE, "M", ""))</f>
        <v/>
      </c>
      <c r="C21" s="442"/>
      <c r="D21" s="502"/>
      <c r="E21" s="443" t="str">
        <f t="shared" si="10"/>
        <v/>
      </c>
      <c r="F21" s="444" t="str">
        <f t="shared" si="10"/>
        <v/>
      </c>
      <c r="G21" s="444" t="str">
        <f t="shared" si="10"/>
        <v/>
      </c>
      <c r="H21" s="444" t="str">
        <f t="shared" si="10"/>
        <v/>
      </c>
      <c r="I21" s="444" t="str">
        <f t="shared" si="10"/>
        <v/>
      </c>
      <c r="J21" s="444" t="str">
        <f t="shared" si="10"/>
        <v/>
      </c>
      <c r="K21" s="444" t="str">
        <f t="shared" si="10"/>
        <v/>
      </c>
      <c r="L21" s="444" t="str">
        <f t="shared" si="10"/>
        <v/>
      </c>
      <c r="M21" s="444" t="str">
        <f t="shared" si="10"/>
        <v/>
      </c>
      <c r="N21" s="444" t="str">
        <f t="shared" si="10"/>
        <v/>
      </c>
      <c r="O21" s="444" t="str">
        <f t="shared" si="11"/>
        <v/>
      </c>
      <c r="P21" s="444" t="str">
        <f t="shared" si="11"/>
        <v/>
      </c>
      <c r="Q21" s="444" t="str">
        <f t="shared" si="11"/>
        <v/>
      </c>
      <c r="R21" s="444" t="str">
        <f t="shared" si="11"/>
        <v/>
      </c>
      <c r="S21" s="444" t="str">
        <f t="shared" si="11"/>
        <v/>
      </c>
      <c r="T21" s="444" t="str">
        <f t="shared" si="11"/>
        <v/>
      </c>
      <c r="U21" s="444" t="str">
        <f t="shared" si="11"/>
        <v/>
      </c>
      <c r="V21" s="444" t="str">
        <f t="shared" si="11"/>
        <v/>
      </c>
      <c r="W21" s="444" t="str">
        <f t="shared" si="11"/>
        <v/>
      </c>
      <c r="X21" s="444" t="str">
        <f t="shared" si="11"/>
        <v/>
      </c>
      <c r="Y21" s="444" t="str">
        <f t="shared" si="12"/>
        <v/>
      </c>
      <c r="Z21" s="444" t="str">
        <f t="shared" si="12"/>
        <v/>
      </c>
      <c r="AA21" s="444" t="str">
        <f t="shared" si="12"/>
        <v/>
      </c>
      <c r="AB21" s="444" t="str">
        <f t="shared" si="12"/>
        <v/>
      </c>
      <c r="AC21" s="444" t="str">
        <f t="shared" si="12"/>
        <v/>
      </c>
      <c r="AD21" s="444" t="str">
        <f t="shared" si="12"/>
        <v/>
      </c>
      <c r="AE21" s="444" t="str">
        <f t="shared" si="12"/>
        <v/>
      </c>
      <c r="AF21" s="444" t="str">
        <f t="shared" si="12"/>
        <v/>
      </c>
      <c r="AG21" s="444" t="str">
        <f t="shared" si="12"/>
        <v/>
      </c>
      <c r="AH21" s="444" t="str">
        <f t="shared" si="12"/>
        <v/>
      </c>
      <c r="AI21" s="444" t="str">
        <f t="shared" si="13"/>
        <v/>
      </c>
      <c r="AJ21" s="444" t="str">
        <f t="shared" si="13"/>
        <v/>
      </c>
      <c r="AK21" s="444" t="str">
        <f t="shared" si="13"/>
        <v/>
      </c>
      <c r="AL21" s="444" t="str">
        <f t="shared" si="13"/>
        <v/>
      </c>
      <c r="AM21" s="444" t="str">
        <f t="shared" si="13"/>
        <v/>
      </c>
      <c r="AN21" s="444" t="str">
        <f t="shared" si="13"/>
        <v/>
      </c>
      <c r="AO21" s="444" t="str">
        <f t="shared" si="13"/>
        <v/>
      </c>
      <c r="AP21" s="444" t="str">
        <f t="shared" si="13"/>
        <v/>
      </c>
      <c r="AQ21" s="444" t="str">
        <f t="shared" si="13"/>
        <v/>
      </c>
      <c r="AR21" s="444" t="str">
        <f t="shared" si="13"/>
        <v/>
      </c>
      <c r="AS21" s="444" t="str">
        <f t="shared" si="14"/>
        <v/>
      </c>
      <c r="AT21" s="444" t="str">
        <f t="shared" si="14"/>
        <v/>
      </c>
      <c r="AU21" s="444" t="str">
        <f t="shared" si="14"/>
        <v/>
      </c>
      <c r="AV21" s="444" t="str">
        <f t="shared" si="14"/>
        <v/>
      </c>
      <c r="AW21" s="444" t="str">
        <f t="shared" si="14"/>
        <v/>
      </c>
      <c r="AX21" s="444" t="str">
        <f t="shared" si="14"/>
        <v/>
      </c>
      <c r="AY21" s="444" t="str">
        <f t="shared" si="14"/>
        <v/>
      </c>
      <c r="AZ21" s="444" t="str">
        <f t="shared" si="14"/>
        <v/>
      </c>
      <c r="BA21" s="444" t="str">
        <f t="shared" si="14"/>
        <v/>
      </c>
      <c r="BB21" s="444" t="str">
        <f t="shared" si="14"/>
        <v/>
      </c>
      <c r="BC21" s="444" t="str">
        <f t="shared" si="15"/>
        <v/>
      </c>
      <c r="BD21" s="444" t="str">
        <f t="shared" si="15"/>
        <v/>
      </c>
      <c r="BE21" s="444" t="str">
        <f t="shared" si="15"/>
        <v/>
      </c>
      <c r="BF21" s="444" t="str">
        <f t="shared" si="15"/>
        <v/>
      </c>
      <c r="BG21" s="444" t="str">
        <f t="shared" si="15"/>
        <v/>
      </c>
      <c r="BH21" s="445" t="str">
        <f t="shared" si="15"/>
        <v/>
      </c>
      <c r="BI21" s="502"/>
      <c r="BJ21" s="474" t="str">
        <f t="shared" si="16"/>
        <v/>
      </c>
      <c r="BK21" s="475" t="str">
        <f t="shared" si="16"/>
        <v/>
      </c>
      <c r="BL21" s="475" t="str">
        <f t="shared" si="16"/>
        <v/>
      </c>
      <c r="BM21" s="475" t="str">
        <f t="shared" si="16"/>
        <v/>
      </c>
      <c r="BN21" s="475" t="str">
        <f t="shared" si="16"/>
        <v/>
      </c>
      <c r="BO21" s="475" t="str">
        <f t="shared" si="16"/>
        <v/>
      </c>
      <c r="BP21" s="475" t="str">
        <f t="shared" si="16"/>
        <v/>
      </c>
      <c r="BQ21" s="475" t="str">
        <f t="shared" si="16"/>
        <v/>
      </c>
      <c r="BR21" s="475" t="str">
        <f t="shared" si="16"/>
        <v/>
      </c>
      <c r="BS21" s="475" t="str">
        <f t="shared" si="16"/>
        <v/>
      </c>
      <c r="BT21" s="475" t="str">
        <f t="shared" si="17"/>
        <v/>
      </c>
      <c r="BU21" s="475" t="str">
        <f t="shared" si="17"/>
        <v/>
      </c>
      <c r="BV21" s="475" t="str">
        <f t="shared" si="17"/>
        <v/>
      </c>
      <c r="BW21" s="475" t="str">
        <f t="shared" si="17"/>
        <v/>
      </c>
      <c r="BX21" s="475" t="str">
        <f t="shared" si="17"/>
        <v/>
      </c>
      <c r="BY21" s="475" t="str">
        <f t="shared" si="17"/>
        <v/>
      </c>
      <c r="BZ21" s="475" t="str">
        <f t="shared" si="17"/>
        <v/>
      </c>
      <c r="CA21" s="475" t="str">
        <f t="shared" si="17"/>
        <v/>
      </c>
      <c r="CB21" s="475" t="str">
        <f t="shared" si="17"/>
        <v/>
      </c>
      <c r="CC21" s="475" t="str">
        <f t="shared" si="17"/>
        <v/>
      </c>
      <c r="CD21" s="475" t="str">
        <f t="shared" si="18"/>
        <v/>
      </c>
      <c r="CE21" s="475" t="str">
        <f t="shared" si="18"/>
        <v/>
      </c>
      <c r="CF21" s="475" t="str">
        <f t="shared" si="18"/>
        <v/>
      </c>
      <c r="CG21" s="475" t="str">
        <f t="shared" si="18"/>
        <v/>
      </c>
      <c r="CH21" s="475" t="str">
        <f t="shared" si="18"/>
        <v/>
      </c>
      <c r="CI21" s="475" t="str">
        <f t="shared" si="18"/>
        <v/>
      </c>
      <c r="CJ21" s="475" t="str">
        <f t="shared" si="18"/>
        <v/>
      </c>
      <c r="CK21" s="475" t="str">
        <f t="shared" si="18"/>
        <v/>
      </c>
      <c r="CL21" s="475" t="str">
        <f t="shared" si="18"/>
        <v/>
      </c>
      <c r="CM21" s="475" t="str">
        <f t="shared" si="18"/>
        <v/>
      </c>
      <c r="CN21" s="475" t="str">
        <f t="shared" si="19"/>
        <v/>
      </c>
      <c r="CO21" s="475" t="str">
        <f t="shared" si="19"/>
        <v/>
      </c>
      <c r="CP21" s="475" t="str">
        <f t="shared" si="19"/>
        <v/>
      </c>
      <c r="CQ21" s="475" t="str">
        <f t="shared" si="19"/>
        <v/>
      </c>
      <c r="CR21" s="475" t="str">
        <f t="shared" si="19"/>
        <v/>
      </c>
      <c r="CS21" s="475" t="str">
        <f t="shared" si="19"/>
        <v/>
      </c>
      <c r="CT21" s="475" t="str">
        <f t="shared" si="19"/>
        <v/>
      </c>
      <c r="CU21" s="475" t="str">
        <f t="shared" si="19"/>
        <v/>
      </c>
      <c r="CV21" s="475" t="str">
        <f t="shared" si="19"/>
        <v/>
      </c>
      <c r="CW21" s="475" t="str">
        <f t="shared" si="19"/>
        <v/>
      </c>
      <c r="CX21" s="475" t="str">
        <f t="shared" si="19"/>
        <v/>
      </c>
      <c r="CY21" s="475" t="str">
        <f t="shared" si="19"/>
        <v/>
      </c>
      <c r="CZ21" s="495" t="str">
        <f t="shared" si="19"/>
        <v/>
      </c>
      <c r="DA21" s="502"/>
      <c r="DB21" s="460"/>
      <c r="DC21" s="465"/>
      <c r="DD21" s="463"/>
      <c r="DE21" s="512"/>
      <c r="DF21" s="516"/>
      <c r="DG21" s="508"/>
      <c r="DH21" s="463"/>
      <c r="DI21" s="461"/>
      <c r="DJ21" s="461"/>
      <c r="DK21" s="461"/>
      <c r="DL21" s="464"/>
      <c r="DM21" s="466"/>
      <c r="DN21" s="502"/>
      <c r="DO21" s="460"/>
      <c r="DP21" s="464"/>
      <c r="DQ21" s="464"/>
      <c r="DR21" s="464"/>
      <c r="DS21" s="508"/>
      <c r="DT21" s="525"/>
      <c r="DU21" s="525"/>
      <c r="DV21" s="463"/>
      <c r="DW21" s="464"/>
      <c r="DX21" s="465"/>
      <c r="DY21" s="463"/>
      <c r="DZ21" s="464"/>
      <c r="EA21" s="465"/>
      <c r="EB21" s="463"/>
      <c r="EC21" s="465"/>
      <c r="ED21" s="462"/>
      <c r="EE21" s="502"/>
      <c r="EF21" s="463"/>
      <c r="EG21" s="461"/>
      <c r="EH21" s="464"/>
      <c r="EI21" s="464"/>
      <c r="EJ21" s="464"/>
      <c r="EK21" s="464"/>
      <c r="EL21" s="464"/>
      <c r="EM21" s="464"/>
      <c r="EN21" s="464"/>
      <c r="EO21" s="464"/>
      <c r="EP21" s="464"/>
      <c r="EQ21" s="464"/>
      <c r="ER21" s="464"/>
      <c r="ES21" s="464"/>
      <c r="ET21" s="464"/>
      <c r="EU21" s="464"/>
      <c r="EV21" s="464"/>
      <c r="EW21" s="465"/>
      <c r="EX21" s="465"/>
      <c r="EY21" s="502"/>
      <c r="EZ21" s="460"/>
      <c r="FA21" s="464"/>
      <c r="FB21" s="464"/>
      <c r="FC21" s="464"/>
      <c r="FD21" s="464"/>
      <c r="FE21" s="464"/>
      <c r="FF21" s="464"/>
      <c r="FG21" s="466"/>
    </row>
    <row r="22" spans="1:163">
      <c r="A22" s="468" t="s">
        <v>209</v>
      </c>
      <c r="B22" s="471" t="str">
        <f>IF(ISNUMBER(MATCH(A22, 'Pulldown Data'!W:W, 0))=TRUE, "Y", IF(ISNUMBER(MATCH(A22, 'Pulldown Data'!X:X, 0))=TRUE, "M", ""))</f>
        <v/>
      </c>
      <c r="C22" s="442"/>
      <c r="D22" s="502"/>
      <c r="E22" s="443" t="str">
        <f t="shared" ref="E22:N31" si="20" xml:space="preserve">
IFERROR(
_xlfn.IFNA(
   IF($B22="PLT",
      IF(INDEX(PRJGENVersions, MATCH(TRIM(E$1), PRJGENAlgosMapped, 0), MATCH($A22, PRJGENProjects, 0)), "YES", ""),
      IF(INDEX(RoadmapData, MATCH(TRIM(E$1), RoadmapDataFeatures, 0), MATCH($A22, RoadmapDataProjects, 0)) = "-", "-", INDEX(RoadmapData, MATCH(TRIM(E$1), RoadmapDataFeatures, 0), MATCH($A22, RoadmapDataProjects, 0)))),
""),
"")</f>
        <v/>
      </c>
      <c r="F22" s="444" t="str">
        <f t="shared" si="20"/>
        <v/>
      </c>
      <c r="G22" s="444" t="str">
        <f t="shared" si="20"/>
        <v/>
      </c>
      <c r="H22" s="444" t="str">
        <f t="shared" si="20"/>
        <v/>
      </c>
      <c r="I22" s="444" t="str">
        <f t="shared" si="20"/>
        <v/>
      </c>
      <c r="J22" s="444" t="str">
        <f t="shared" si="20"/>
        <v/>
      </c>
      <c r="K22" s="444" t="str">
        <f t="shared" si="20"/>
        <v/>
      </c>
      <c r="L22" s="444" t="str">
        <f t="shared" si="20"/>
        <v/>
      </c>
      <c r="M22" s="444" t="str">
        <f t="shared" si="20"/>
        <v/>
      </c>
      <c r="N22" s="444" t="str">
        <f t="shared" si="20"/>
        <v/>
      </c>
      <c r="O22" s="444" t="str">
        <f t="shared" ref="O22:X31" si="21" xml:space="preserve">
IFERROR(
_xlfn.IFNA(
   IF($B22="PLT",
      IF(INDEX(PRJGENVersions, MATCH(TRIM(O$1), PRJGENAlgosMapped, 0), MATCH($A22, PRJGENProjects, 0)), "YES", ""),
      IF(INDEX(RoadmapData, MATCH(TRIM(O$1), RoadmapDataFeatures, 0), MATCH($A22, RoadmapDataProjects, 0)) = "-", "-", INDEX(RoadmapData, MATCH(TRIM(O$1), RoadmapDataFeatures, 0), MATCH($A22, RoadmapDataProjects, 0)))),
""),
"")</f>
        <v/>
      </c>
      <c r="P22" s="444" t="str">
        <f t="shared" si="21"/>
        <v/>
      </c>
      <c r="Q22" s="444" t="str">
        <f t="shared" si="21"/>
        <v/>
      </c>
      <c r="R22" s="444" t="str">
        <f t="shared" si="21"/>
        <v/>
      </c>
      <c r="S22" s="444" t="str">
        <f t="shared" si="21"/>
        <v/>
      </c>
      <c r="T22" s="444" t="str">
        <f t="shared" si="21"/>
        <v/>
      </c>
      <c r="U22" s="444" t="str">
        <f t="shared" si="21"/>
        <v/>
      </c>
      <c r="V22" s="444" t="str">
        <f t="shared" si="21"/>
        <v/>
      </c>
      <c r="W22" s="444" t="str">
        <f t="shared" si="21"/>
        <v/>
      </c>
      <c r="X22" s="444" t="str">
        <f t="shared" si="21"/>
        <v/>
      </c>
      <c r="Y22" s="444" t="str">
        <f t="shared" ref="Y22:AH31" si="22" xml:space="preserve">
IFERROR(
_xlfn.IFNA(
   IF($B22="PLT",
      IF(INDEX(PRJGENVersions, MATCH(TRIM(Y$1), PRJGENAlgosMapped, 0), MATCH($A22, PRJGENProjects, 0)), "YES", ""),
      IF(INDEX(RoadmapData, MATCH(TRIM(Y$1), RoadmapDataFeatures, 0), MATCH($A22, RoadmapDataProjects, 0)) = "-", "-", INDEX(RoadmapData, MATCH(TRIM(Y$1), RoadmapDataFeatures, 0), MATCH($A22, RoadmapDataProjects, 0)))),
""),
"")</f>
        <v/>
      </c>
      <c r="Z22" s="444" t="str">
        <f t="shared" si="22"/>
        <v/>
      </c>
      <c r="AA22" s="444" t="str">
        <f t="shared" si="22"/>
        <v/>
      </c>
      <c r="AB22" s="444" t="str">
        <f t="shared" si="22"/>
        <v/>
      </c>
      <c r="AC22" s="444" t="str">
        <f t="shared" si="22"/>
        <v/>
      </c>
      <c r="AD22" s="444" t="str">
        <f t="shared" si="22"/>
        <v/>
      </c>
      <c r="AE22" s="444" t="str">
        <f t="shared" si="22"/>
        <v/>
      </c>
      <c r="AF22" s="444" t="str">
        <f t="shared" si="22"/>
        <v/>
      </c>
      <c r="AG22" s="444" t="str">
        <f t="shared" si="22"/>
        <v/>
      </c>
      <c r="AH22" s="444" t="str">
        <f t="shared" si="22"/>
        <v/>
      </c>
      <c r="AI22" s="444" t="str">
        <f t="shared" ref="AI22:AR31" si="23" xml:space="preserve">
IFERROR(
_xlfn.IFNA(
   IF($B22="PLT",
      IF(INDEX(PRJGENVersions, MATCH(TRIM(AI$1), PRJGENAlgosMapped, 0), MATCH($A22, PRJGENProjects, 0)), "YES", ""),
      IF(INDEX(RoadmapData, MATCH(TRIM(AI$1), RoadmapDataFeatures, 0), MATCH($A22, RoadmapDataProjects, 0)) = "-", "-", INDEX(RoadmapData, MATCH(TRIM(AI$1), RoadmapDataFeatures, 0), MATCH($A22, RoadmapDataProjects, 0)))),
""),
"")</f>
        <v/>
      </c>
      <c r="AJ22" s="444" t="str">
        <f t="shared" si="23"/>
        <v/>
      </c>
      <c r="AK22" s="444" t="str">
        <f t="shared" si="23"/>
        <v/>
      </c>
      <c r="AL22" s="444" t="str">
        <f t="shared" si="23"/>
        <v/>
      </c>
      <c r="AM22" s="444" t="str">
        <f t="shared" si="23"/>
        <v/>
      </c>
      <c r="AN22" s="444" t="str">
        <f t="shared" si="23"/>
        <v/>
      </c>
      <c r="AO22" s="444" t="str">
        <f t="shared" si="23"/>
        <v/>
      </c>
      <c r="AP22" s="444" t="str">
        <f t="shared" si="23"/>
        <v/>
      </c>
      <c r="AQ22" s="444" t="str">
        <f t="shared" si="23"/>
        <v/>
      </c>
      <c r="AR22" s="444" t="str">
        <f t="shared" si="23"/>
        <v/>
      </c>
      <c r="AS22" s="444" t="str">
        <f t="shared" ref="AS22:BB31" si="24" xml:space="preserve">
IFERROR(
_xlfn.IFNA(
   IF($B22="PLT",
      IF(INDEX(PRJGENVersions, MATCH(TRIM(AS$1), PRJGENAlgosMapped, 0), MATCH($A22, PRJGENProjects, 0)), "YES", ""),
      IF(INDEX(RoadmapData, MATCH(TRIM(AS$1), RoadmapDataFeatures, 0), MATCH($A22, RoadmapDataProjects, 0)) = "-", "-", INDEX(RoadmapData, MATCH(TRIM(AS$1), RoadmapDataFeatures, 0), MATCH($A22, RoadmapDataProjects, 0)))),
""),
"")</f>
        <v/>
      </c>
      <c r="AT22" s="444" t="str">
        <f t="shared" si="24"/>
        <v/>
      </c>
      <c r="AU22" s="444" t="str">
        <f t="shared" si="24"/>
        <v/>
      </c>
      <c r="AV22" s="444" t="str">
        <f t="shared" si="24"/>
        <v/>
      </c>
      <c r="AW22" s="444" t="str">
        <f t="shared" si="24"/>
        <v/>
      </c>
      <c r="AX22" s="444" t="str">
        <f t="shared" si="24"/>
        <v/>
      </c>
      <c r="AY22" s="444" t="str">
        <f t="shared" si="24"/>
        <v/>
      </c>
      <c r="AZ22" s="444" t="str">
        <f t="shared" si="24"/>
        <v/>
      </c>
      <c r="BA22" s="444" t="str">
        <f t="shared" si="24"/>
        <v/>
      </c>
      <c r="BB22" s="444" t="str">
        <f t="shared" si="24"/>
        <v/>
      </c>
      <c r="BC22" s="444" t="str">
        <f t="shared" ref="BC22:BH31" si="25" xml:space="preserve">
IFERROR(
_xlfn.IFNA(
   IF($B22="PLT",
      IF(INDEX(PRJGENVersions, MATCH(TRIM(BC$1), PRJGENAlgosMapped, 0), MATCH($A22, PRJGENProjects, 0)), "YES", ""),
      IF(INDEX(RoadmapData, MATCH(TRIM(BC$1), RoadmapDataFeatures, 0), MATCH($A22, RoadmapDataProjects, 0)) = "-", "-", INDEX(RoadmapData, MATCH(TRIM(BC$1), RoadmapDataFeatures, 0), MATCH($A22, RoadmapDataProjects, 0)))),
""),
"")</f>
        <v/>
      </c>
      <c r="BD22" s="444" t="str">
        <f t="shared" si="25"/>
        <v/>
      </c>
      <c r="BE22" s="444" t="str">
        <f t="shared" si="25"/>
        <v/>
      </c>
      <c r="BF22" s="444" t="str">
        <f t="shared" si="25"/>
        <v/>
      </c>
      <c r="BG22" s="444" t="str">
        <f t="shared" si="25"/>
        <v/>
      </c>
      <c r="BH22" s="445" t="str">
        <f t="shared" si="25"/>
        <v/>
      </c>
      <c r="BI22" s="502"/>
      <c r="BJ22" s="474" t="str">
        <f t="shared" ref="BJ22:BS31" si="26">_xlfn.IFNA(IF(INDEX(RoadmapData, MATCH(TRIM(BJ$1), RoadmapDataFeatures, 0), MATCH($A22, RoadmapDataProjects, 0)) = "-", "-", INDEX(RoadmapData, MATCH(TRIM(BJ$1), RoadmapDataFeatures, 0), MATCH($A22, RoadmapDataProjects, 0))), "")</f>
        <v/>
      </c>
      <c r="BK22" s="475" t="str">
        <f t="shared" si="26"/>
        <v/>
      </c>
      <c r="BL22" s="475" t="str">
        <f t="shared" si="26"/>
        <v/>
      </c>
      <c r="BM22" s="475" t="str">
        <f t="shared" si="26"/>
        <v/>
      </c>
      <c r="BN22" s="475" t="str">
        <f t="shared" si="26"/>
        <v/>
      </c>
      <c r="BO22" s="475" t="str">
        <f t="shared" si="26"/>
        <v/>
      </c>
      <c r="BP22" s="475" t="str">
        <f t="shared" si="26"/>
        <v/>
      </c>
      <c r="BQ22" s="475" t="str">
        <f t="shared" si="26"/>
        <v/>
      </c>
      <c r="BR22" s="475" t="str">
        <f t="shared" si="26"/>
        <v/>
      </c>
      <c r="BS22" s="475" t="str">
        <f t="shared" si="26"/>
        <v/>
      </c>
      <c r="BT22" s="475" t="str">
        <f t="shared" ref="BT22:CC31" si="27">_xlfn.IFNA(IF(INDEX(RoadmapData, MATCH(TRIM(BT$1), RoadmapDataFeatures, 0), MATCH($A22, RoadmapDataProjects, 0)) = "-", "-", INDEX(RoadmapData, MATCH(TRIM(BT$1), RoadmapDataFeatures, 0), MATCH($A22, RoadmapDataProjects, 0))), "")</f>
        <v/>
      </c>
      <c r="BU22" s="475" t="str">
        <f t="shared" si="27"/>
        <v/>
      </c>
      <c r="BV22" s="475" t="str">
        <f t="shared" si="27"/>
        <v/>
      </c>
      <c r="BW22" s="475" t="str">
        <f t="shared" si="27"/>
        <v/>
      </c>
      <c r="BX22" s="475" t="str">
        <f t="shared" si="27"/>
        <v/>
      </c>
      <c r="BY22" s="475" t="str">
        <f t="shared" si="27"/>
        <v/>
      </c>
      <c r="BZ22" s="475" t="str">
        <f t="shared" si="27"/>
        <v/>
      </c>
      <c r="CA22" s="475" t="str">
        <f t="shared" si="27"/>
        <v/>
      </c>
      <c r="CB22" s="475" t="str">
        <f t="shared" si="27"/>
        <v/>
      </c>
      <c r="CC22" s="475" t="str">
        <f t="shared" si="27"/>
        <v/>
      </c>
      <c r="CD22" s="475" t="str">
        <f t="shared" ref="CD22:CM31" si="28">_xlfn.IFNA(IF(INDEX(RoadmapData, MATCH(TRIM(CD$1), RoadmapDataFeatures, 0), MATCH($A22, RoadmapDataProjects, 0)) = "-", "-", INDEX(RoadmapData, MATCH(TRIM(CD$1), RoadmapDataFeatures, 0), MATCH($A22, RoadmapDataProjects, 0))), "")</f>
        <v/>
      </c>
      <c r="CE22" s="475" t="str">
        <f t="shared" si="28"/>
        <v/>
      </c>
      <c r="CF22" s="475" t="str">
        <f t="shared" si="28"/>
        <v/>
      </c>
      <c r="CG22" s="475" t="str">
        <f t="shared" si="28"/>
        <v/>
      </c>
      <c r="CH22" s="475" t="str">
        <f t="shared" si="28"/>
        <v/>
      </c>
      <c r="CI22" s="475" t="str">
        <f t="shared" si="28"/>
        <v/>
      </c>
      <c r="CJ22" s="475" t="str">
        <f t="shared" si="28"/>
        <v/>
      </c>
      <c r="CK22" s="475" t="str">
        <f t="shared" si="28"/>
        <v/>
      </c>
      <c r="CL22" s="475" t="str">
        <f t="shared" si="28"/>
        <v/>
      </c>
      <c r="CM22" s="475" t="str">
        <f t="shared" si="28"/>
        <v/>
      </c>
      <c r="CN22" s="475" t="str">
        <f t="shared" ref="CN22:CZ31" si="29">_xlfn.IFNA(IF(INDEX(RoadmapData, MATCH(TRIM(CN$1), RoadmapDataFeatures, 0), MATCH($A22, RoadmapDataProjects, 0)) = "-", "-", INDEX(RoadmapData, MATCH(TRIM(CN$1), RoadmapDataFeatures, 0), MATCH($A22, RoadmapDataProjects, 0))), "")</f>
        <v/>
      </c>
      <c r="CO22" s="475" t="str">
        <f t="shared" si="29"/>
        <v/>
      </c>
      <c r="CP22" s="475" t="str">
        <f t="shared" si="29"/>
        <v/>
      </c>
      <c r="CQ22" s="475" t="str">
        <f t="shared" si="29"/>
        <v/>
      </c>
      <c r="CR22" s="475" t="str">
        <f t="shared" si="29"/>
        <v/>
      </c>
      <c r="CS22" s="475" t="str">
        <f t="shared" si="29"/>
        <v/>
      </c>
      <c r="CT22" s="475" t="str">
        <f t="shared" si="29"/>
        <v/>
      </c>
      <c r="CU22" s="475" t="str">
        <f t="shared" si="29"/>
        <v/>
      </c>
      <c r="CV22" s="475" t="str">
        <f t="shared" si="29"/>
        <v/>
      </c>
      <c r="CW22" s="475" t="str">
        <f t="shared" si="29"/>
        <v/>
      </c>
      <c r="CX22" s="475" t="str">
        <f t="shared" si="29"/>
        <v/>
      </c>
      <c r="CY22" s="475" t="str">
        <f t="shared" si="29"/>
        <v/>
      </c>
      <c r="CZ22" s="495" t="str">
        <f t="shared" si="29"/>
        <v/>
      </c>
      <c r="DA22" s="502"/>
      <c r="DB22" s="460"/>
      <c r="DC22" s="465"/>
      <c r="DD22" s="463"/>
      <c r="DE22" s="512"/>
      <c r="DF22" s="516"/>
      <c r="DG22" s="508"/>
      <c r="DH22" s="463"/>
      <c r="DI22" s="461"/>
      <c r="DJ22" s="461"/>
      <c r="DK22" s="461"/>
      <c r="DL22" s="464"/>
      <c r="DM22" s="466"/>
      <c r="DN22" s="502"/>
      <c r="DO22" s="460"/>
      <c r="DP22" s="464"/>
      <c r="DQ22" s="464"/>
      <c r="DR22" s="464"/>
      <c r="DS22" s="508"/>
      <c r="DT22" s="525"/>
      <c r="DU22" s="525"/>
      <c r="DV22" s="463"/>
      <c r="DW22" s="464"/>
      <c r="DX22" s="465"/>
      <c r="DY22" s="463"/>
      <c r="DZ22" s="464"/>
      <c r="EA22" s="465"/>
      <c r="EB22" s="463"/>
      <c r="EC22" s="465"/>
      <c r="ED22" s="462"/>
      <c r="EE22" s="502"/>
      <c r="EF22" s="463"/>
      <c r="EG22" s="461"/>
      <c r="EH22" s="464"/>
      <c r="EI22" s="464"/>
      <c r="EJ22" s="464"/>
      <c r="EK22" s="464"/>
      <c r="EL22" s="464"/>
      <c r="EM22" s="464"/>
      <c r="EN22" s="464"/>
      <c r="EO22" s="464"/>
      <c r="EP22" s="464"/>
      <c r="EQ22" s="464"/>
      <c r="ER22" s="464"/>
      <c r="ES22" s="464"/>
      <c r="ET22" s="464"/>
      <c r="EU22" s="464"/>
      <c r="EV22" s="464"/>
      <c r="EW22" s="465"/>
      <c r="EX22" s="465"/>
      <c r="EY22" s="502"/>
      <c r="EZ22" s="460"/>
      <c r="FA22" s="464"/>
      <c r="FB22" s="464"/>
      <c r="FC22" s="464"/>
      <c r="FD22" s="464"/>
      <c r="FE22" s="464"/>
      <c r="FF22" s="464"/>
      <c r="FG22" s="466"/>
    </row>
    <row r="23" spans="1:163">
      <c r="A23" s="468" t="s">
        <v>210</v>
      </c>
      <c r="B23" s="471" t="str">
        <f>IF(ISNUMBER(MATCH(A23, 'Pulldown Data'!W:W, 0))=TRUE, "Y", IF(ISNUMBER(MATCH(A23, 'Pulldown Data'!X:X, 0))=TRUE, "M", ""))</f>
        <v/>
      </c>
      <c r="C23" s="442"/>
      <c r="D23" s="502"/>
      <c r="E23" s="443" t="str">
        <f t="shared" si="20"/>
        <v/>
      </c>
      <c r="F23" s="444" t="str">
        <f t="shared" si="20"/>
        <v/>
      </c>
      <c r="G23" s="444" t="str">
        <f t="shared" si="20"/>
        <v/>
      </c>
      <c r="H23" s="444" t="str">
        <f t="shared" si="20"/>
        <v/>
      </c>
      <c r="I23" s="444" t="str">
        <f t="shared" si="20"/>
        <v/>
      </c>
      <c r="J23" s="444" t="str">
        <f t="shared" si="20"/>
        <v/>
      </c>
      <c r="K23" s="444" t="str">
        <f t="shared" si="20"/>
        <v/>
      </c>
      <c r="L23" s="444" t="str">
        <f t="shared" si="20"/>
        <v/>
      </c>
      <c r="M23" s="444" t="str">
        <f t="shared" si="20"/>
        <v/>
      </c>
      <c r="N23" s="444" t="str">
        <f t="shared" si="20"/>
        <v/>
      </c>
      <c r="O23" s="444" t="str">
        <f t="shared" si="21"/>
        <v/>
      </c>
      <c r="P23" s="444" t="str">
        <f t="shared" si="21"/>
        <v/>
      </c>
      <c r="Q23" s="444" t="str">
        <f t="shared" si="21"/>
        <v/>
      </c>
      <c r="R23" s="444" t="str">
        <f t="shared" si="21"/>
        <v/>
      </c>
      <c r="S23" s="444" t="str">
        <f t="shared" si="21"/>
        <v/>
      </c>
      <c r="T23" s="444" t="str">
        <f t="shared" si="21"/>
        <v/>
      </c>
      <c r="U23" s="444" t="str">
        <f t="shared" si="21"/>
        <v/>
      </c>
      <c r="V23" s="444" t="str">
        <f t="shared" si="21"/>
        <v/>
      </c>
      <c r="W23" s="444" t="str">
        <f t="shared" si="21"/>
        <v/>
      </c>
      <c r="X23" s="444" t="str">
        <f t="shared" si="21"/>
        <v/>
      </c>
      <c r="Y23" s="444" t="str">
        <f t="shared" si="22"/>
        <v/>
      </c>
      <c r="Z23" s="444" t="str">
        <f t="shared" si="22"/>
        <v/>
      </c>
      <c r="AA23" s="444" t="str">
        <f t="shared" si="22"/>
        <v/>
      </c>
      <c r="AB23" s="444" t="str">
        <f t="shared" si="22"/>
        <v/>
      </c>
      <c r="AC23" s="444" t="str">
        <f t="shared" si="22"/>
        <v/>
      </c>
      <c r="AD23" s="444" t="str">
        <f t="shared" si="22"/>
        <v/>
      </c>
      <c r="AE23" s="444" t="str">
        <f t="shared" si="22"/>
        <v/>
      </c>
      <c r="AF23" s="444" t="str">
        <f t="shared" si="22"/>
        <v/>
      </c>
      <c r="AG23" s="444" t="str">
        <f t="shared" si="22"/>
        <v/>
      </c>
      <c r="AH23" s="444" t="str">
        <f t="shared" si="22"/>
        <v/>
      </c>
      <c r="AI23" s="444" t="str">
        <f t="shared" si="23"/>
        <v/>
      </c>
      <c r="AJ23" s="444" t="str">
        <f t="shared" si="23"/>
        <v/>
      </c>
      <c r="AK23" s="444" t="str">
        <f t="shared" si="23"/>
        <v/>
      </c>
      <c r="AL23" s="444" t="str">
        <f t="shared" si="23"/>
        <v/>
      </c>
      <c r="AM23" s="444" t="str">
        <f t="shared" si="23"/>
        <v/>
      </c>
      <c r="AN23" s="444" t="str">
        <f t="shared" si="23"/>
        <v/>
      </c>
      <c r="AO23" s="444" t="str">
        <f t="shared" si="23"/>
        <v/>
      </c>
      <c r="AP23" s="444" t="str">
        <f t="shared" si="23"/>
        <v/>
      </c>
      <c r="AQ23" s="444" t="str">
        <f t="shared" si="23"/>
        <v/>
      </c>
      <c r="AR23" s="444" t="str">
        <f t="shared" si="23"/>
        <v/>
      </c>
      <c r="AS23" s="444" t="str">
        <f t="shared" si="24"/>
        <v/>
      </c>
      <c r="AT23" s="444" t="str">
        <f t="shared" si="24"/>
        <v/>
      </c>
      <c r="AU23" s="444" t="str">
        <f t="shared" si="24"/>
        <v/>
      </c>
      <c r="AV23" s="444" t="str">
        <f t="shared" si="24"/>
        <v/>
      </c>
      <c r="AW23" s="444" t="str">
        <f t="shared" si="24"/>
        <v/>
      </c>
      <c r="AX23" s="444" t="str">
        <f t="shared" si="24"/>
        <v/>
      </c>
      <c r="AY23" s="444" t="str">
        <f t="shared" si="24"/>
        <v/>
      </c>
      <c r="AZ23" s="444" t="str">
        <f t="shared" si="24"/>
        <v/>
      </c>
      <c r="BA23" s="444" t="str">
        <f t="shared" si="24"/>
        <v/>
      </c>
      <c r="BB23" s="444" t="str">
        <f t="shared" si="24"/>
        <v/>
      </c>
      <c r="BC23" s="444" t="str">
        <f t="shared" si="25"/>
        <v/>
      </c>
      <c r="BD23" s="444" t="str">
        <f t="shared" si="25"/>
        <v/>
      </c>
      <c r="BE23" s="444" t="str">
        <f t="shared" si="25"/>
        <v/>
      </c>
      <c r="BF23" s="444" t="str">
        <f t="shared" si="25"/>
        <v/>
      </c>
      <c r="BG23" s="444" t="str">
        <f t="shared" si="25"/>
        <v/>
      </c>
      <c r="BH23" s="445" t="str">
        <f t="shared" si="25"/>
        <v/>
      </c>
      <c r="BI23" s="502"/>
      <c r="BJ23" s="474" t="str">
        <f t="shared" si="26"/>
        <v/>
      </c>
      <c r="BK23" s="475" t="str">
        <f t="shared" si="26"/>
        <v/>
      </c>
      <c r="BL23" s="475" t="str">
        <f t="shared" si="26"/>
        <v/>
      </c>
      <c r="BM23" s="475" t="str">
        <f t="shared" si="26"/>
        <v/>
      </c>
      <c r="BN23" s="475" t="str">
        <f t="shared" si="26"/>
        <v/>
      </c>
      <c r="BO23" s="475" t="str">
        <f t="shared" si="26"/>
        <v/>
      </c>
      <c r="BP23" s="475" t="str">
        <f t="shared" si="26"/>
        <v/>
      </c>
      <c r="BQ23" s="475" t="str">
        <f t="shared" si="26"/>
        <v/>
      </c>
      <c r="BR23" s="475" t="str">
        <f t="shared" si="26"/>
        <v/>
      </c>
      <c r="BS23" s="475" t="str">
        <f t="shared" si="26"/>
        <v/>
      </c>
      <c r="BT23" s="475" t="str">
        <f t="shared" si="27"/>
        <v/>
      </c>
      <c r="BU23" s="475" t="str">
        <f t="shared" si="27"/>
        <v/>
      </c>
      <c r="BV23" s="475" t="str">
        <f t="shared" si="27"/>
        <v/>
      </c>
      <c r="BW23" s="475" t="str">
        <f t="shared" si="27"/>
        <v/>
      </c>
      <c r="BX23" s="475" t="str">
        <f t="shared" si="27"/>
        <v/>
      </c>
      <c r="BY23" s="475" t="str">
        <f t="shared" si="27"/>
        <v/>
      </c>
      <c r="BZ23" s="475" t="str">
        <f t="shared" si="27"/>
        <v/>
      </c>
      <c r="CA23" s="475" t="str">
        <f t="shared" si="27"/>
        <v/>
      </c>
      <c r="CB23" s="475" t="str">
        <f t="shared" si="27"/>
        <v/>
      </c>
      <c r="CC23" s="475" t="str">
        <f t="shared" si="27"/>
        <v/>
      </c>
      <c r="CD23" s="475" t="str">
        <f t="shared" si="28"/>
        <v/>
      </c>
      <c r="CE23" s="475" t="str">
        <f t="shared" si="28"/>
        <v/>
      </c>
      <c r="CF23" s="475" t="str">
        <f t="shared" si="28"/>
        <v/>
      </c>
      <c r="CG23" s="475" t="str">
        <f t="shared" si="28"/>
        <v/>
      </c>
      <c r="CH23" s="475" t="str">
        <f t="shared" si="28"/>
        <v/>
      </c>
      <c r="CI23" s="475" t="str">
        <f t="shared" si="28"/>
        <v/>
      </c>
      <c r="CJ23" s="475" t="str">
        <f t="shared" si="28"/>
        <v/>
      </c>
      <c r="CK23" s="475" t="str">
        <f t="shared" si="28"/>
        <v/>
      </c>
      <c r="CL23" s="475" t="str">
        <f t="shared" si="28"/>
        <v/>
      </c>
      <c r="CM23" s="475" t="str">
        <f t="shared" si="28"/>
        <v/>
      </c>
      <c r="CN23" s="475" t="str">
        <f t="shared" si="29"/>
        <v/>
      </c>
      <c r="CO23" s="475" t="str">
        <f t="shared" si="29"/>
        <v/>
      </c>
      <c r="CP23" s="475" t="str">
        <f t="shared" si="29"/>
        <v/>
      </c>
      <c r="CQ23" s="475" t="str">
        <f t="shared" si="29"/>
        <v/>
      </c>
      <c r="CR23" s="475" t="str">
        <f t="shared" si="29"/>
        <v/>
      </c>
      <c r="CS23" s="475" t="str">
        <f t="shared" si="29"/>
        <v/>
      </c>
      <c r="CT23" s="475" t="str">
        <f t="shared" si="29"/>
        <v/>
      </c>
      <c r="CU23" s="475" t="str">
        <f t="shared" si="29"/>
        <v/>
      </c>
      <c r="CV23" s="475" t="str">
        <f t="shared" si="29"/>
        <v/>
      </c>
      <c r="CW23" s="475" t="str">
        <f t="shared" si="29"/>
        <v/>
      </c>
      <c r="CX23" s="475" t="str">
        <f t="shared" si="29"/>
        <v/>
      </c>
      <c r="CY23" s="475" t="str">
        <f t="shared" si="29"/>
        <v/>
      </c>
      <c r="CZ23" s="495" t="str">
        <f t="shared" si="29"/>
        <v/>
      </c>
      <c r="DA23" s="502"/>
      <c r="DB23" s="460"/>
      <c r="DC23" s="465"/>
      <c r="DD23" s="463"/>
      <c r="DE23" s="512"/>
      <c r="DF23" s="516"/>
      <c r="DG23" s="508"/>
      <c r="DH23" s="463"/>
      <c r="DI23" s="461"/>
      <c r="DJ23" s="461"/>
      <c r="DK23" s="461"/>
      <c r="DL23" s="464"/>
      <c r="DM23" s="466"/>
      <c r="DN23" s="502"/>
      <c r="DO23" s="460"/>
      <c r="DP23" s="464"/>
      <c r="DQ23" s="464"/>
      <c r="DR23" s="464"/>
      <c r="DS23" s="508"/>
      <c r="DT23" s="525"/>
      <c r="DU23" s="525"/>
      <c r="DV23" s="463"/>
      <c r="DW23" s="464"/>
      <c r="DX23" s="465"/>
      <c r="DY23" s="463"/>
      <c r="DZ23" s="464"/>
      <c r="EA23" s="465"/>
      <c r="EB23" s="463"/>
      <c r="EC23" s="465"/>
      <c r="ED23" s="462"/>
      <c r="EE23" s="502"/>
      <c r="EF23" s="463"/>
      <c r="EG23" s="461"/>
      <c r="EH23" s="464"/>
      <c r="EI23" s="464"/>
      <c r="EJ23" s="464"/>
      <c r="EK23" s="464"/>
      <c r="EL23" s="464"/>
      <c r="EM23" s="464"/>
      <c r="EN23" s="464"/>
      <c r="EO23" s="464"/>
      <c r="EP23" s="464"/>
      <c r="EQ23" s="464"/>
      <c r="ER23" s="464"/>
      <c r="ES23" s="464"/>
      <c r="ET23" s="464"/>
      <c r="EU23" s="464"/>
      <c r="EV23" s="464"/>
      <c r="EW23" s="465"/>
      <c r="EX23" s="465"/>
      <c r="EY23" s="502"/>
      <c r="EZ23" s="460"/>
      <c r="FA23" s="464"/>
      <c r="FB23" s="464"/>
      <c r="FC23" s="464"/>
      <c r="FD23" s="464"/>
      <c r="FE23" s="464"/>
      <c r="FF23" s="464"/>
      <c r="FG23" s="466"/>
    </row>
    <row r="24" spans="1:163">
      <c r="A24" s="468" t="s">
        <v>211</v>
      </c>
      <c r="B24" s="471" t="str">
        <f>IF(ISNUMBER(MATCH(A24, 'Pulldown Data'!W:W, 0))=TRUE, "Y", IF(ISNUMBER(MATCH(A24, 'Pulldown Data'!X:X, 0))=TRUE, "M", ""))</f>
        <v/>
      </c>
      <c r="C24" s="442"/>
      <c r="D24" s="502"/>
      <c r="E24" s="443" t="str">
        <f t="shared" si="20"/>
        <v/>
      </c>
      <c r="F24" s="444" t="str">
        <f t="shared" si="20"/>
        <v/>
      </c>
      <c r="G24" s="444" t="str">
        <f t="shared" si="20"/>
        <v/>
      </c>
      <c r="H24" s="444" t="str">
        <f t="shared" si="20"/>
        <v/>
      </c>
      <c r="I24" s="444" t="str">
        <f t="shared" si="20"/>
        <v/>
      </c>
      <c r="J24" s="444" t="str">
        <f t="shared" si="20"/>
        <v/>
      </c>
      <c r="K24" s="444" t="str">
        <f t="shared" si="20"/>
        <v/>
      </c>
      <c r="L24" s="444" t="str">
        <f t="shared" si="20"/>
        <v/>
      </c>
      <c r="M24" s="444" t="str">
        <f t="shared" si="20"/>
        <v/>
      </c>
      <c r="N24" s="444" t="str">
        <f t="shared" si="20"/>
        <v/>
      </c>
      <c r="O24" s="444" t="str">
        <f t="shared" si="21"/>
        <v/>
      </c>
      <c r="P24" s="444" t="str">
        <f t="shared" si="21"/>
        <v/>
      </c>
      <c r="Q24" s="444" t="str">
        <f t="shared" si="21"/>
        <v/>
      </c>
      <c r="R24" s="444" t="str">
        <f t="shared" si="21"/>
        <v/>
      </c>
      <c r="S24" s="444" t="str">
        <f t="shared" si="21"/>
        <v/>
      </c>
      <c r="T24" s="444" t="str">
        <f t="shared" si="21"/>
        <v/>
      </c>
      <c r="U24" s="444" t="str">
        <f t="shared" si="21"/>
        <v/>
      </c>
      <c r="V24" s="444" t="str">
        <f t="shared" si="21"/>
        <v/>
      </c>
      <c r="W24" s="444" t="str">
        <f t="shared" si="21"/>
        <v/>
      </c>
      <c r="X24" s="444" t="str">
        <f t="shared" si="21"/>
        <v/>
      </c>
      <c r="Y24" s="444" t="str">
        <f t="shared" si="22"/>
        <v/>
      </c>
      <c r="Z24" s="444" t="str">
        <f t="shared" si="22"/>
        <v/>
      </c>
      <c r="AA24" s="444" t="str">
        <f t="shared" si="22"/>
        <v/>
      </c>
      <c r="AB24" s="444" t="str">
        <f t="shared" si="22"/>
        <v/>
      </c>
      <c r="AC24" s="444" t="str">
        <f t="shared" si="22"/>
        <v/>
      </c>
      <c r="AD24" s="444" t="str">
        <f t="shared" si="22"/>
        <v/>
      </c>
      <c r="AE24" s="444" t="str">
        <f t="shared" si="22"/>
        <v/>
      </c>
      <c r="AF24" s="444" t="str">
        <f t="shared" si="22"/>
        <v/>
      </c>
      <c r="AG24" s="444" t="str">
        <f t="shared" si="22"/>
        <v/>
      </c>
      <c r="AH24" s="444" t="str">
        <f t="shared" si="22"/>
        <v/>
      </c>
      <c r="AI24" s="444" t="str">
        <f t="shared" si="23"/>
        <v/>
      </c>
      <c r="AJ24" s="444" t="str">
        <f t="shared" si="23"/>
        <v/>
      </c>
      <c r="AK24" s="444" t="str">
        <f t="shared" si="23"/>
        <v/>
      </c>
      <c r="AL24" s="444" t="str">
        <f t="shared" si="23"/>
        <v/>
      </c>
      <c r="AM24" s="444" t="str">
        <f t="shared" si="23"/>
        <v/>
      </c>
      <c r="AN24" s="444" t="str">
        <f t="shared" si="23"/>
        <v/>
      </c>
      <c r="AO24" s="444" t="str">
        <f t="shared" si="23"/>
        <v/>
      </c>
      <c r="AP24" s="444" t="str">
        <f t="shared" si="23"/>
        <v/>
      </c>
      <c r="AQ24" s="444" t="str">
        <f t="shared" si="23"/>
        <v/>
      </c>
      <c r="AR24" s="444" t="str">
        <f t="shared" si="23"/>
        <v/>
      </c>
      <c r="AS24" s="444" t="str">
        <f t="shared" si="24"/>
        <v/>
      </c>
      <c r="AT24" s="444" t="str">
        <f t="shared" si="24"/>
        <v/>
      </c>
      <c r="AU24" s="444" t="str">
        <f t="shared" si="24"/>
        <v/>
      </c>
      <c r="AV24" s="444" t="str">
        <f t="shared" si="24"/>
        <v/>
      </c>
      <c r="AW24" s="444" t="str">
        <f t="shared" si="24"/>
        <v/>
      </c>
      <c r="AX24" s="444" t="str">
        <f t="shared" si="24"/>
        <v/>
      </c>
      <c r="AY24" s="444" t="str">
        <f t="shared" si="24"/>
        <v/>
      </c>
      <c r="AZ24" s="444" t="str">
        <f t="shared" si="24"/>
        <v/>
      </c>
      <c r="BA24" s="444" t="str">
        <f t="shared" si="24"/>
        <v/>
      </c>
      <c r="BB24" s="444" t="str">
        <f t="shared" si="24"/>
        <v/>
      </c>
      <c r="BC24" s="444" t="str">
        <f t="shared" si="25"/>
        <v/>
      </c>
      <c r="BD24" s="444" t="str">
        <f t="shared" si="25"/>
        <v/>
      </c>
      <c r="BE24" s="444" t="str">
        <f t="shared" si="25"/>
        <v/>
      </c>
      <c r="BF24" s="444" t="str">
        <f t="shared" si="25"/>
        <v/>
      </c>
      <c r="BG24" s="444" t="str">
        <f t="shared" si="25"/>
        <v/>
      </c>
      <c r="BH24" s="445" t="str">
        <f t="shared" si="25"/>
        <v/>
      </c>
      <c r="BI24" s="502"/>
      <c r="BJ24" s="474" t="str">
        <f t="shared" si="26"/>
        <v/>
      </c>
      <c r="BK24" s="475" t="str">
        <f t="shared" si="26"/>
        <v/>
      </c>
      <c r="BL24" s="475" t="str">
        <f t="shared" si="26"/>
        <v/>
      </c>
      <c r="BM24" s="475" t="str">
        <f t="shared" si="26"/>
        <v/>
      </c>
      <c r="BN24" s="475" t="str">
        <f t="shared" si="26"/>
        <v/>
      </c>
      <c r="BO24" s="475" t="str">
        <f t="shared" si="26"/>
        <v/>
      </c>
      <c r="BP24" s="475" t="str">
        <f t="shared" si="26"/>
        <v/>
      </c>
      <c r="BQ24" s="475" t="str">
        <f t="shared" si="26"/>
        <v/>
      </c>
      <c r="BR24" s="475" t="str">
        <f t="shared" si="26"/>
        <v/>
      </c>
      <c r="BS24" s="475" t="str">
        <f t="shared" si="26"/>
        <v/>
      </c>
      <c r="BT24" s="475" t="str">
        <f t="shared" si="27"/>
        <v/>
      </c>
      <c r="BU24" s="475" t="str">
        <f t="shared" si="27"/>
        <v/>
      </c>
      <c r="BV24" s="475" t="str">
        <f t="shared" si="27"/>
        <v/>
      </c>
      <c r="BW24" s="475" t="str">
        <f t="shared" si="27"/>
        <v/>
      </c>
      <c r="BX24" s="475" t="str">
        <f t="shared" si="27"/>
        <v/>
      </c>
      <c r="BY24" s="475" t="str">
        <f t="shared" si="27"/>
        <v/>
      </c>
      <c r="BZ24" s="475" t="str">
        <f t="shared" si="27"/>
        <v/>
      </c>
      <c r="CA24" s="475" t="str">
        <f t="shared" si="27"/>
        <v/>
      </c>
      <c r="CB24" s="475" t="str">
        <f t="shared" si="27"/>
        <v/>
      </c>
      <c r="CC24" s="475" t="str">
        <f t="shared" si="27"/>
        <v/>
      </c>
      <c r="CD24" s="475" t="str">
        <f t="shared" si="28"/>
        <v/>
      </c>
      <c r="CE24" s="475" t="str">
        <f t="shared" si="28"/>
        <v/>
      </c>
      <c r="CF24" s="475" t="str">
        <f t="shared" si="28"/>
        <v/>
      </c>
      <c r="CG24" s="475" t="str">
        <f t="shared" si="28"/>
        <v/>
      </c>
      <c r="CH24" s="475" t="str">
        <f t="shared" si="28"/>
        <v/>
      </c>
      <c r="CI24" s="475" t="str">
        <f t="shared" si="28"/>
        <v/>
      </c>
      <c r="CJ24" s="475" t="str">
        <f t="shared" si="28"/>
        <v/>
      </c>
      <c r="CK24" s="475" t="str">
        <f t="shared" si="28"/>
        <v/>
      </c>
      <c r="CL24" s="475" t="str">
        <f t="shared" si="28"/>
        <v/>
      </c>
      <c r="CM24" s="475" t="str">
        <f t="shared" si="28"/>
        <v/>
      </c>
      <c r="CN24" s="475" t="str">
        <f t="shared" si="29"/>
        <v/>
      </c>
      <c r="CO24" s="475" t="str">
        <f t="shared" si="29"/>
        <v/>
      </c>
      <c r="CP24" s="475" t="str">
        <f t="shared" si="29"/>
        <v/>
      </c>
      <c r="CQ24" s="475" t="str">
        <f t="shared" si="29"/>
        <v/>
      </c>
      <c r="CR24" s="475" t="str">
        <f t="shared" si="29"/>
        <v/>
      </c>
      <c r="CS24" s="475" t="str">
        <f t="shared" si="29"/>
        <v/>
      </c>
      <c r="CT24" s="475" t="str">
        <f t="shared" si="29"/>
        <v/>
      </c>
      <c r="CU24" s="475" t="str">
        <f t="shared" si="29"/>
        <v/>
      </c>
      <c r="CV24" s="475" t="str">
        <f t="shared" si="29"/>
        <v/>
      </c>
      <c r="CW24" s="475" t="str">
        <f t="shared" si="29"/>
        <v/>
      </c>
      <c r="CX24" s="475" t="str">
        <f t="shared" si="29"/>
        <v/>
      </c>
      <c r="CY24" s="475" t="str">
        <f t="shared" si="29"/>
        <v/>
      </c>
      <c r="CZ24" s="495" t="str">
        <f t="shared" si="29"/>
        <v/>
      </c>
      <c r="DA24" s="502"/>
      <c r="DB24" s="460"/>
      <c r="DC24" s="465"/>
      <c r="DD24" s="463"/>
      <c r="DE24" s="512"/>
      <c r="DF24" s="516"/>
      <c r="DG24" s="508"/>
      <c r="DH24" s="463"/>
      <c r="DI24" s="461"/>
      <c r="DJ24" s="461"/>
      <c r="DK24" s="461"/>
      <c r="DL24" s="464"/>
      <c r="DM24" s="466"/>
      <c r="DN24" s="502"/>
      <c r="DO24" s="460"/>
      <c r="DP24" s="464"/>
      <c r="DQ24" s="464"/>
      <c r="DR24" s="464"/>
      <c r="DS24" s="508"/>
      <c r="DT24" s="525"/>
      <c r="DU24" s="525"/>
      <c r="DV24" s="463"/>
      <c r="DW24" s="464"/>
      <c r="DX24" s="465"/>
      <c r="DY24" s="463"/>
      <c r="DZ24" s="464"/>
      <c r="EA24" s="465"/>
      <c r="EB24" s="463"/>
      <c r="EC24" s="465"/>
      <c r="ED24" s="462"/>
      <c r="EE24" s="502"/>
      <c r="EF24" s="463"/>
      <c r="EG24" s="461"/>
      <c r="EH24" s="464"/>
      <c r="EI24" s="464"/>
      <c r="EJ24" s="464"/>
      <c r="EK24" s="464"/>
      <c r="EL24" s="464"/>
      <c r="EM24" s="464"/>
      <c r="EN24" s="464"/>
      <c r="EO24" s="464"/>
      <c r="EP24" s="464"/>
      <c r="EQ24" s="464"/>
      <c r="ER24" s="464"/>
      <c r="ES24" s="464"/>
      <c r="ET24" s="464"/>
      <c r="EU24" s="464"/>
      <c r="EV24" s="464"/>
      <c r="EW24" s="465"/>
      <c r="EX24" s="465"/>
      <c r="EY24" s="502"/>
      <c r="EZ24" s="460"/>
      <c r="FA24" s="464"/>
      <c r="FB24" s="464"/>
      <c r="FC24" s="464"/>
      <c r="FD24" s="464"/>
      <c r="FE24" s="464"/>
      <c r="FF24" s="464"/>
      <c r="FG24" s="466"/>
    </row>
    <row r="25" spans="1:163">
      <c r="A25" s="468" t="s">
        <v>212</v>
      </c>
      <c r="B25" s="471" t="str">
        <f>IF(ISNUMBER(MATCH(A25, 'Pulldown Data'!W:W, 0))=TRUE, "Y", IF(ISNUMBER(MATCH(A25, 'Pulldown Data'!X:X, 0))=TRUE, "M", ""))</f>
        <v/>
      </c>
      <c r="C25" s="442"/>
      <c r="D25" s="502"/>
      <c r="E25" s="443" t="str">
        <f t="shared" si="20"/>
        <v/>
      </c>
      <c r="F25" s="444" t="str">
        <f t="shared" si="20"/>
        <v/>
      </c>
      <c r="G25" s="444" t="str">
        <f t="shared" si="20"/>
        <v/>
      </c>
      <c r="H25" s="444" t="str">
        <f t="shared" si="20"/>
        <v/>
      </c>
      <c r="I25" s="444" t="str">
        <f t="shared" si="20"/>
        <v/>
      </c>
      <c r="J25" s="444" t="str">
        <f t="shared" si="20"/>
        <v/>
      </c>
      <c r="K25" s="444" t="str">
        <f t="shared" si="20"/>
        <v/>
      </c>
      <c r="L25" s="444" t="str">
        <f t="shared" si="20"/>
        <v/>
      </c>
      <c r="M25" s="444" t="str">
        <f t="shared" si="20"/>
        <v/>
      </c>
      <c r="N25" s="444" t="str">
        <f t="shared" si="20"/>
        <v/>
      </c>
      <c r="O25" s="444" t="str">
        <f t="shared" si="21"/>
        <v/>
      </c>
      <c r="P25" s="444" t="str">
        <f t="shared" si="21"/>
        <v/>
      </c>
      <c r="Q25" s="444" t="str">
        <f t="shared" si="21"/>
        <v/>
      </c>
      <c r="R25" s="444" t="str">
        <f t="shared" si="21"/>
        <v/>
      </c>
      <c r="S25" s="444" t="str">
        <f t="shared" si="21"/>
        <v/>
      </c>
      <c r="T25" s="444" t="str">
        <f t="shared" si="21"/>
        <v/>
      </c>
      <c r="U25" s="444" t="str">
        <f t="shared" si="21"/>
        <v/>
      </c>
      <c r="V25" s="444" t="str">
        <f t="shared" si="21"/>
        <v/>
      </c>
      <c r="W25" s="444" t="str">
        <f t="shared" si="21"/>
        <v/>
      </c>
      <c r="X25" s="444" t="str">
        <f t="shared" si="21"/>
        <v/>
      </c>
      <c r="Y25" s="444" t="str">
        <f t="shared" si="22"/>
        <v/>
      </c>
      <c r="Z25" s="444" t="str">
        <f t="shared" si="22"/>
        <v/>
      </c>
      <c r="AA25" s="444" t="str">
        <f t="shared" si="22"/>
        <v/>
      </c>
      <c r="AB25" s="444" t="str">
        <f t="shared" si="22"/>
        <v/>
      </c>
      <c r="AC25" s="444" t="str">
        <f t="shared" si="22"/>
        <v/>
      </c>
      <c r="AD25" s="444" t="str">
        <f t="shared" si="22"/>
        <v/>
      </c>
      <c r="AE25" s="444" t="str">
        <f t="shared" si="22"/>
        <v/>
      </c>
      <c r="AF25" s="444" t="str">
        <f t="shared" si="22"/>
        <v/>
      </c>
      <c r="AG25" s="444" t="str">
        <f t="shared" si="22"/>
        <v/>
      </c>
      <c r="AH25" s="444" t="str">
        <f t="shared" si="22"/>
        <v/>
      </c>
      <c r="AI25" s="444" t="str">
        <f t="shared" si="23"/>
        <v/>
      </c>
      <c r="AJ25" s="444" t="str">
        <f t="shared" si="23"/>
        <v/>
      </c>
      <c r="AK25" s="444" t="str">
        <f t="shared" si="23"/>
        <v/>
      </c>
      <c r="AL25" s="444" t="str">
        <f t="shared" si="23"/>
        <v/>
      </c>
      <c r="AM25" s="444" t="str">
        <f t="shared" si="23"/>
        <v/>
      </c>
      <c r="AN25" s="444" t="str">
        <f t="shared" si="23"/>
        <v/>
      </c>
      <c r="AO25" s="444" t="str">
        <f t="shared" si="23"/>
        <v/>
      </c>
      <c r="AP25" s="444" t="str">
        <f t="shared" si="23"/>
        <v/>
      </c>
      <c r="AQ25" s="444" t="str">
        <f t="shared" si="23"/>
        <v/>
      </c>
      <c r="AR25" s="444" t="str">
        <f t="shared" si="23"/>
        <v/>
      </c>
      <c r="AS25" s="444" t="str">
        <f t="shared" si="24"/>
        <v/>
      </c>
      <c r="AT25" s="444" t="str">
        <f t="shared" si="24"/>
        <v/>
      </c>
      <c r="AU25" s="444" t="str">
        <f t="shared" si="24"/>
        <v/>
      </c>
      <c r="AV25" s="444" t="str">
        <f t="shared" si="24"/>
        <v/>
      </c>
      <c r="AW25" s="444" t="str">
        <f t="shared" si="24"/>
        <v/>
      </c>
      <c r="AX25" s="444" t="str">
        <f t="shared" si="24"/>
        <v/>
      </c>
      <c r="AY25" s="444" t="str">
        <f t="shared" si="24"/>
        <v/>
      </c>
      <c r="AZ25" s="444" t="str">
        <f t="shared" si="24"/>
        <v/>
      </c>
      <c r="BA25" s="444" t="str">
        <f t="shared" si="24"/>
        <v/>
      </c>
      <c r="BB25" s="444" t="str">
        <f t="shared" si="24"/>
        <v/>
      </c>
      <c r="BC25" s="444" t="str">
        <f t="shared" si="25"/>
        <v/>
      </c>
      <c r="BD25" s="444" t="str">
        <f t="shared" si="25"/>
        <v/>
      </c>
      <c r="BE25" s="444" t="str">
        <f t="shared" si="25"/>
        <v/>
      </c>
      <c r="BF25" s="444" t="str">
        <f t="shared" si="25"/>
        <v/>
      </c>
      <c r="BG25" s="444" t="str">
        <f t="shared" si="25"/>
        <v/>
      </c>
      <c r="BH25" s="445" t="str">
        <f t="shared" si="25"/>
        <v/>
      </c>
      <c r="BI25" s="502"/>
      <c r="BJ25" s="474" t="str">
        <f t="shared" si="26"/>
        <v/>
      </c>
      <c r="BK25" s="475" t="str">
        <f t="shared" si="26"/>
        <v/>
      </c>
      <c r="BL25" s="475" t="str">
        <f t="shared" si="26"/>
        <v/>
      </c>
      <c r="BM25" s="475" t="str">
        <f t="shared" si="26"/>
        <v/>
      </c>
      <c r="BN25" s="475" t="str">
        <f t="shared" si="26"/>
        <v/>
      </c>
      <c r="BO25" s="475" t="str">
        <f t="shared" si="26"/>
        <v/>
      </c>
      <c r="BP25" s="475" t="str">
        <f t="shared" si="26"/>
        <v/>
      </c>
      <c r="BQ25" s="475" t="str">
        <f t="shared" si="26"/>
        <v/>
      </c>
      <c r="BR25" s="475" t="str">
        <f t="shared" si="26"/>
        <v/>
      </c>
      <c r="BS25" s="475" t="str">
        <f t="shared" si="26"/>
        <v/>
      </c>
      <c r="BT25" s="475" t="str">
        <f t="shared" si="27"/>
        <v/>
      </c>
      <c r="BU25" s="475" t="str">
        <f t="shared" si="27"/>
        <v/>
      </c>
      <c r="BV25" s="475" t="str">
        <f t="shared" si="27"/>
        <v/>
      </c>
      <c r="BW25" s="475" t="str">
        <f t="shared" si="27"/>
        <v/>
      </c>
      <c r="BX25" s="475" t="str">
        <f t="shared" si="27"/>
        <v/>
      </c>
      <c r="BY25" s="475" t="str">
        <f t="shared" si="27"/>
        <v/>
      </c>
      <c r="BZ25" s="475" t="str">
        <f t="shared" si="27"/>
        <v/>
      </c>
      <c r="CA25" s="475" t="str">
        <f t="shared" si="27"/>
        <v/>
      </c>
      <c r="CB25" s="475" t="str">
        <f t="shared" si="27"/>
        <v/>
      </c>
      <c r="CC25" s="475" t="str">
        <f t="shared" si="27"/>
        <v/>
      </c>
      <c r="CD25" s="475" t="str">
        <f t="shared" si="28"/>
        <v/>
      </c>
      <c r="CE25" s="475" t="str">
        <f t="shared" si="28"/>
        <v/>
      </c>
      <c r="CF25" s="475" t="str">
        <f t="shared" si="28"/>
        <v/>
      </c>
      <c r="CG25" s="475" t="str">
        <f t="shared" si="28"/>
        <v/>
      </c>
      <c r="CH25" s="475" t="str">
        <f t="shared" si="28"/>
        <v/>
      </c>
      <c r="CI25" s="475" t="str">
        <f t="shared" si="28"/>
        <v/>
      </c>
      <c r="CJ25" s="475" t="str">
        <f t="shared" si="28"/>
        <v/>
      </c>
      <c r="CK25" s="475" t="str">
        <f t="shared" si="28"/>
        <v/>
      </c>
      <c r="CL25" s="475" t="str">
        <f t="shared" si="28"/>
        <v/>
      </c>
      <c r="CM25" s="475" t="str">
        <f t="shared" si="28"/>
        <v/>
      </c>
      <c r="CN25" s="475" t="str">
        <f t="shared" si="29"/>
        <v/>
      </c>
      <c r="CO25" s="475" t="str">
        <f t="shared" si="29"/>
        <v/>
      </c>
      <c r="CP25" s="475" t="str">
        <f t="shared" si="29"/>
        <v/>
      </c>
      <c r="CQ25" s="475" t="str">
        <f t="shared" si="29"/>
        <v/>
      </c>
      <c r="CR25" s="475" t="str">
        <f t="shared" si="29"/>
        <v/>
      </c>
      <c r="CS25" s="475" t="str">
        <f t="shared" si="29"/>
        <v/>
      </c>
      <c r="CT25" s="475" t="str">
        <f t="shared" si="29"/>
        <v/>
      </c>
      <c r="CU25" s="475" t="str">
        <f t="shared" si="29"/>
        <v/>
      </c>
      <c r="CV25" s="475" t="str">
        <f t="shared" si="29"/>
        <v/>
      </c>
      <c r="CW25" s="475" t="str">
        <f t="shared" si="29"/>
        <v/>
      </c>
      <c r="CX25" s="475" t="str">
        <f t="shared" si="29"/>
        <v/>
      </c>
      <c r="CY25" s="475" t="str">
        <f t="shared" si="29"/>
        <v/>
      </c>
      <c r="CZ25" s="495" t="str">
        <f t="shared" si="29"/>
        <v/>
      </c>
      <c r="DA25" s="502"/>
      <c r="DB25" s="460"/>
      <c r="DC25" s="465"/>
      <c r="DD25" s="463"/>
      <c r="DE25" s="512"/>
      <c r="DF25" s="516"/>
      <c r="DG25" s="508"/>
      <c r="DH25" s="463"/>
      <c r="DI25" s="461"/>
      <c r="DJ25" s="461"/>
      <c r="DK25" s="461"/>
      <c r="DL25" s="464"/>
      <c r="DM25" s="466"/>
      <c r="DN25" s="502"/>
      <c r="DO25" s="460"/>
      <c r="DP25" s="464"/>
      <c r="DQ25" s="464"/>
      <c r="DR25" s="464"/>
      <c r="DS25" s="508"/>
      <c r="DT25" s="525"/>
      <c r="DU25" s="525"/>
      <c r="DV25" s="463"/>
      <c r="DW25" s="464"/>
      <c r="DX25" s="465"/>
      <c r="DY25" s="463"/>
      <c r="DZ25" s="464"/>
      <c r="EA25" s="465"/>
      <c r="EB25" s="463"/>
      <c r="EC25" s="465"/>
      <c r="ED25" s="462"/>
      <c r="EE25" s="502"/>
      <c r="EF25" s="463"/>
      <c r="EG25" s="461"/>
      <c r="EH25" s="464"/>
      <c r="EI25" s="464"/>
      <c r="EJ25" s="464"/>
      <c r="EK25" s="464"/>
      <c r="EL25" s="464"/>
      <c r="EM25" s="464"/>
      <c r="EN25" s="464"/>
      <c r="EO25" s="464"/>
      <c r="EP25" s="464"/>
      <c r="EQ25" s="464"/>
      <c r="ER25" s="464"/>
      <c r="ES25" s="464"/>
      <c r="ET25" s="464"/>
      <c r="EU25" s="464"/>
      <c r="EV25" s="464"/>
      <c r="EW25" s="465"/>
      <c r="EX25" s="465"/>
      <c r="EY25" s="502"/>
      <c r="EZ25" s="460"/>
      <c r="FA25" s="464"/>
      <c r="FB25" s="464"/>
      <c r="FC25" s="464"/>
      <c r="FD25" s="464"/>
      <c r="FE25" s="464"/>
      <c r="FF25" s="464"/>
      <c r="FG25" s="466"/>
    </row>
    <row r="26" spans="1:163">
      <c r="A26" s="467" t="s">
        <v>213</v>
      </c>
      <c r="B26" s="471" t="str">
        <f>IF(ISNUMBER(MATCH(A26, 'Pulldown Data'!W:W, 0))=TRUE, "Y", IF(ISNUMBER(MATCH(A26, 'Pulldown Data'!X:X, 0))=TRUE, "M", ""))</f>
        <v/>
      </c>
      <c r="C26" s="442"/>
      <c r="D26" s="502"/>
      <c r="E26" s="443" t="str">
        <f t="shared" si="20"/>
        <v/>
      </c>
      <c r="F26" s="444" t="str">
        <f t="shared" si="20"/>
        <v/>
      </c>
      <c r="G26" s="444" t="str">
        <f t="shared" si="20"/>
        <v/>
      </c>
      <c r="H26" s="444" t="str">
        <f t="shared" si="20"/>
        <v/>
      </c>
      <c r="I26" s="444" t="str">
        <f t="shared" si="20"/>
        <v/>
      </c>
      <c r="J26" s="444" t="str">
        <f t="shared" si="20"/>
        <v/>
      </c>
      <c r="K26" s="444" t="str">
        <f t="shared" si="20"/>
        <v/>
      </c>
      <c r="L26" s="444" t="str">
        <f t="shared" si="20"/>
        <v/>
      </c>
      <c r="M26" s="444" t="str">
        <f t="shared" si="20"/>
        <v/>
      </c>
      <c r="N26" s="444" t="str">
        <f t="shared" si="20"/>
        <v/>
      </c>
      <c r="O26" s="444" t="str">
        <f t="shared" si="21"/>
        <v/>
      </c>
      <c r="P26" s="444" t="str">
        <f t="shared" si="21"/>
        <v/>
      </c>
      <c r="Q26" s="444" t="str">
        <f t="shared" si="21"/>
        <v/>
      </c>
      <c r="R26" s="444" t="str">
        <f t="shared" si="21"/>
        <v/>
      </c>
      <c r="S26" s="444" t="str">
        <f t="shared" si="21"/>
        <v/>
      </c>
      <c r="T26" s="444" t="str">
        <f t="shared" si="21"/>
        <v/>
      </c>
      <c r="U26" s="444" t="str">
        <f t="shared" si="21"/>
        <v/>
      </c>
      <c r="V26" s="444" t="str">
        <f t="shared" si="21"/>
        <v/>
      </c>
      <c r="W26" s="444" t="str">
        <f t="shared" si="21"/>
        <v/>
      </c>
      <c r="X26" s="444" t="str">
        <f t="shared" si="21"/>
        <v/>
      </c>
      <c r="Y26" s="444" t="str">
        <f t="shared" si="22"/>
        <v/>
      </c>
      <c r="Z26" s="444" t="str">
        <f t="shared" si="22"/>
        <v/>
      </c>
      <c r="AA26" s="444" t="str">
        <f t="shared" si="22"/>
        <v/>
      </c>
      <c r="AB26" s="444" t="str">
        <f t="shared" si="22"/>
        <v/>
      </c>
      <c r="AC26" s="444" t="str">
        <f t="shared" si="22"/>
        <v/>
      </c>
      <c r="AD26" s="444" t="str">
        <f t="shared" si="22"/>
        <v/>
      </c>
      <c r="AE26" s="444" t="str">
        <f t="shared" si="22"/>
        <v/>
      </c>
      <c r="AF26" s="444" t="str">
        <f t="shared" si="22"/>
        <v/>
      </c>
      <c r="AG26" s="444" t="str">
        <f t="shared" si="22"/>
        <v/>
      </c>
      <c r="AH26" s="444" t="str">
        <f t="shared" si="22"/>
        <v/>
      </c>
      <c r="AI26" s="444" t="str">
        <f t="shared" si="23"/>
        <v/>
      </c>
      <c r="AJ26" s="444" t="str">
        <f t="shared" si="23"/>
        <v/>
      </c>
      <c r="AK26" s="444" t="str">
        <f t="shared" si="23"/>
        <v/>
      </c>
      <c r="AL26" s="444" t="str">
        <f t="shared" si="23"/>
        <v/>
      </c>
      <c r="AM26" s="444" t="str">
        <f t="shared" si="23"/>
        <v/>
      </c>
      <c r="AN26" s="444" t="str">
        <f t="shared" si="23"/>
        <v/>
      </c>
      <c r="AO26" s="444" t="str">
        <f t="shared" si="23"/>
        <v/>
      </c>
      <c r="AP26" s="444" t="str">
        <f t="shared" si="23"/>
        <v/>
      </c>
      <c r="AQ26" s="444" t="str">
        <f t="shared" si="23"/>
        <v/>
      </c>
      <c r="AR26" s="444" t="str">
        <f t="shared" si="23"/>
        <v/>
      </c>
      <c r="AS26" s="444" t="str">
        <f t="shared" si="24"/>
        <v/>
      </c>
      <c r="AT26" s="444" t="str">
        <f t="shared" si="24"/>
        <v/>
      </c>
      <c r="AU26" s="444" t="str">
        <f t="shared" si="24"/>
        <v/>
      </c>
      <c r="AV26" s="444" t="str">
        <f t="shared" si="24"/>
        <v/>
      </c>
      <c r="AW26" s="444" t="str">
        <f t="shared" si="24"/>
        <v/>
      </c>
      <c r="AX26" s="444" t="str">
        <f t="shared" si="24"/>
        <v/>
      </c>
      <c r="AY26" s="444" t="str">
        <f t="shared" si="24"/>
        <v/>
      </c>
      <c r="AZ26" s="444" t="str">
        <f t="shared" si="24"/>
        <v/>
      </c>
      <c r="BA26" s="444" t="str">
        <f t="shared" si="24"/>
        <v/>
      </c>
      <c r="BB26" s="444" t="str">
        <f t="shared" si="24"/>
        <v/>
      </c>
      <c r="BC26" s="444" t="str">
        <f t="shared" si="25"/>
        <v/>
      </c>
      <c r="BD26" s="444" t="str">
        <f t="shared" si="25"/>
        <v/>
      </c>
      <c r="BE26" s="444" t="str">
        <f t="shared" si="25"/>
        <v/>
      </c>
      <c r="BF26" s="444" t="str">
        <f t="shared" si="25"/>
        <v/>
      </c>
      <c r="BG26" s="444" t="str">
        <f t="shared" si="25"/>
        <v/>
      </c>
      <c r="BH26" s="445" t="str">
        <f t="shared" si="25"/>
        <v/>
      </c>
      <c r="BI26" s="502"/>
      <c r="BJ26" s="474" t="str">
        <f t="shared" si="26"/>
        <v/>
      </c>
      <c r="BK26" s="475" t="str">
        <f t="shared" si="26"/>
        <v/>
      </c>
      <c r="BL26" s="475" t="str">
        <f t="shared" si="26"/>
        <v/>
      </c>
      <c r="BM26" s="475" t="str">
        <f t="shared" si="26"/>
        <v/>
      </c>
      <c r="BN26" s="475" t="str">
        <f t="shared" si="26"/>
        <v/>
      </c>
      <c r="BO26" s="475" t="str">
        <f t="shared" si="26"/>
        <v/>
      </c>
      <c r="BP26" s="475" t="str">
        <f t="shared" si="26"/>
        <v/>
      </c>
      <c r="BQ26" s="475" t="str">
        <f t="shared" si="26"/>
        <v/>
      </c>
      <c r="BR26" s="475" t="str">
        <f t="shared" si="26"/>
        <v/>
      </c>
      <c r="BS26" s="475" t="str">
        <f t="shared" si="26"/>
        <v/>
      </c>
      <c r="BT26" s="475" t="str">
        <f t="shared" si="27"/>
        <v/>
      </c>
      <c r="BU26" s="475" t="str">
        <f t="shared" si="27"/>
        <v/>
      </c>
      <c r="BV26" s="475" t="str">
        <f t="shared" si="27"/>
        <v/>
      </c>
      <c r="BW26" s="475" t="str">
        <f t="shared" si="27"/>
        <v/>
      </c>
      <c r="BX26" s="475" t="str">
        <f t="shared" si="27"/>
        <v/>
      </c>
      <c r="BY26" s="475" t="str">
        <f t="shared" si="27"/>
        <v/>
      </c>
      <c r="BZ26" s="475" t="str">
        <f t="shared" si="27"/>
        <v/>
      </c>
      <c r="CA26" s="475" t="str">
        <f t="shared" si="27"/>
        <v/>
      </c>
      <c r="CB26" s="475" t="str">
        <f t="shared" si="27"/>
        <v/>
      </c>
      <c r="CC26" s="475" t="str">
        <f t="shared" si="27"/>
        <v/>
      </c>
      <c r="CD26" s="475" t="str">
        <f t="shared" si="28"/>
        <v/>
      </c>
      <c r="CE26" s="475" t="str">
        <f t="shared" si="28"/>
        <v/>
      </c>
      <c r="CF26" s="475" t="str">
        <f t="shared" si="28"/>
        <v/>
      </c>
      <c r="CG26" s="475" t="str">
        <f t="shared" si="28"/>
        <v/>
      </c>
      <c r="CH26" s="475" t="str">
        <f t="shared" si="28"/>
        <v/>
      </c>
      <c r="CI26" s="475" t="str">
        <f t="shared" si="28"/>
        <v/>
      </c>
      <c r="CJ26" s="475" t="str">
        <f t="shared" si="28"/>
        <v/>
      </c>
      <c r="CK26" s="475" t="str">
        <f t="shared" si="28"/>
        <v/>
      </c>
      <c r="CL26" s="475" t="str">
        <f t="shared" si="28"/>
        <v/>
      </c>
      <c r="CM26" s="475" t="str">
        <f t="shared" si="28"/>
        <v/>
      </c>
      <c r="CN26" s="475" t="str">
        <f t="shared" si="29"/>
        <v/>
      </c>
      <c r="CO26" s="475" t="str">
        <f t="shared" si="29"/>
        <v/>
      </c>
      <c r="CP26" s="475" t="str">
        <f t="shared" si="29"/>
        <v/>
      </c>
      <c r="CQ26" s="475" t="str">
        <f t="shared" si="29"/>
        <v/>
      </c>
      <c r="CR26" s="475" t="str">
        <f t="shared" si="29"/>
        <v/>
      </c>
      <c r="CS26" s="475" t="str">
        <f t="shared" si="29"/>
        <v/>
      </c>
      <c r="CT26" s="475" t="str">
        <f t="shared" si="29"/>
        <v/>
      </c>
      <c r="CU26" s="475" t="str">
        <f t="shared" si="29"/>
        <v/>
      </c>
      <c r="CV26" s="475" t="str">
        <f t="shared" si="29"/>
        <v/>
      </c>
      <c r="CW26" s="475" t="str">
        <f t="shared" si="29"/>
        <v/>
      </c>
      <c r="CX26" s="475" t="str">
        <f t="shared" si="29"/>
        <v/>
      </c>
      <c r="CY26" s="475" t="str">
        <f t="shared" si="29"/>
        <v/>
      </c>
      <c r="CZ26" s="495" t="str">
        <f t="shared" si="29"/>
        <v/>
      </c>
      <c r="DA26" s="502"/>
      <c r="DB26" s="460"/>
      <c r="DC26" s="465"/>
      <c r="DD26" s="463"/>
      <c r="DE26" s="512"/>
      <c r="DF26" s="516"/>
      <c r="DG26" s="508"/>
      <c r="DH26" s="463"/>
      <c r="DI26" s="461"/>
      <c r="DJ26" s="461"/>
      <c r="DK26" s="461"/>
      <c r="DL26" s="464"/>
      <c r="DM26" s="466"/>
      <c r="DN26" s="502"/>
      <c r="DO26" s="460"/>
      <c r="DP26" s="464"/>
      <c r="DQ26" s="464"/>
      <c r="DR26" s="464"/>
      <c r="DS26" s="508"/>
      <c r="DT26" s="525"/>
      <c r="DU26" s="525"/>
      <c r="DV26" s="463"/>
      <c r="DW26" s="464"/>
      <c r="DX26" s="465"/>
      <c r="DY26" s="463"/>
      <c r="DZ26" s="464"/>
      <c r="EA26" s="465"/>
      <c r="EB26" s="463"/>
      <c r="EC26" s="465"/>
      <c r="ED26" s="462"/>
      <c r="EE26" s="502"/>
      <c r="EF26" s="463"/>
      <c r="EG26" s="461"/>
      <c r="EH26" s="464"/>
      <c r="EI26" s="464"/>
      <c r="EJ26" s="464"/>
      <c r="EK26" s="464"/>
      <c r="EL26" s="464"/>
      <c r="EM26" s="464"/>
      <c r="EN26" s="464"/>
      <c r="EO26" s="464"/>
      <c r="EP26" s="464"/>
      <c r="EQ26" s="464"/>
      <c r="ER26" s="464"/>
      <c r="ES26" s="464"/>
      <c r="ET26" s="464"/>
      <c r="EU26" s="464"/>
      <c r="EV26" s="464"/>
      <c r="EW26" s="465"/>
      <c r="EX26" s="465"/>
      <c r="EY26" s="502"/>
      <c r="EZ26" s="460"/>
      <c r="FA26" s="464"/>
      <c r="FB26" s="464"/>
      <c r="FC26" s="464"/>
      <c r="FD26" s="464"/>
      <c r="FE26" s="464"/>
      <c r="FF26" s="464"/>
      <c r="FG26" s="466"/>
    </row>
    <row r="27" spans="1:163">
      <c r="A27" s="467" t="s">
        <v>214</v>
      </c>
      <c r="B27" s="471" t="str">
        <f>IF(ISNUMBER(MATCH(A27, 'Pulldown Data'!W:W, 0))=TRUE, "Y", IF(ISNUMBER(MATCH(A27, 'Pulldown Data'!X:X, 0))=TRUE, "M", ""))</f>
        <v/>
      </c>
      <c r="C27" s="442"/>
      <c r="D27" s="502"/>
      <c r="E27" s="443" t="str">
        <f t="shared" si="20"/>
        <v/>
      </c>
      <c r="F27" s="444" t="str">
        <f t="shared" si="20"/>
        <v/>
      </c>
      <c r="G27" s="444" t="str">
        <f t="shared" si="20"/>
        <v/>
      </c>
      <c r="H27" s="444" t="str">
        <f t="shared" si="20"/>
        <v/>
      </c>
      <c r="I27" s="444" t="str">
        <f t="shared" si="20"/>
        <v/>
      </c>
      <c r="J27" s="444" t="str">
        <f t="shared" si="20"/>
        <v/>
      </c>
      <c r="K27" s="444" t="str">
        <f t="shared" si="20"/>
        <v/>
      </c>
      <c r="L27" s="444" t="str">
        <f t="shared" si="20"/>
        <v/>
      </c>
      <c r="M27" s="444" t="str">
        <f t="shared" si="20"/>
        <v/>
      </c>
      <c r="N27" s="444" t="str">
        <f t="shared" si="20"/>
        <v/>
      </c>
      <c r="O27" s="444" t="str">
        <f t="shared" si="21"/>
        <v/>
      </c>
      <c r="P27" s="444" t="str">
        <f t="shared" si="21"/>
        <v/>
      </c>
      <c r="Q27" s="444" t="str">
        <f t="shared" si="21"/>
        <v/>
      </c>
      <c r="R27" s="444" t="str">
        <f t="shared" si="21"/>
        <v/>
      </c>
      <c r="S27" s="444" t="str">
        <f t="shared" si="21"/>
        <v/>
      </c>
      <c r="T27" s="444" t="str">
        <f t="shared" si="21"/>
        <v/>
      </c>
      <c r="U27" s="444" t="str">
        <f t="shared" si="21"/>
        <v/>
      </c>
      <c r="V27" s="444" t="str">
        <f t="shared" si="21"/>
        <v/>
      </c>
      <c r="W27" s="444" t="str">
        <f t="shared" si="21"/>
        <v/>
      </c>
      <c r="X27" s="444" t="str">
        <f t="shared" si="21"/>
        <v/>
      </c>
      <c r="Y27" s="444" t="str">
        <f t="shared" si="22"/>
        <v/>
      </c>
      <c r="Z27" s="444" t="str">
        <f t="shared" si="22"/>
        <v/>
      </c>
      <c r="AA27" s="444" t="str">
        <f t="shared" si="22"/>
        <v/>
      </c>
      <c r="AB27" s="444" t="str">
        <f t="shared" si="22"/>
        <v/>
      </c>
      <c r="AC27" s="444" t="str">
        <f t="shared" si="22"/>
        <v/>
      </c>
      <c r="AD27" s="444" t="str">
        <f t="shared" si="22"/>
        <v/>
      </c>
      <c r="AE27" s="444" t="str">
        <f t="shared" si="22"/>
        <v/>
      </c>
      <c r="AF27" s="444" t="str">
        <f t="shared" si="22"/>
        <v/>
      </c>
      <c r="AG27" s="444" t="str">
        <f t="shared" si="22"/>
        <v/>
      </c>
      <c r="AH27" s="444" t="str">
        <f t="shared" si="22"/>
        <v/>
      </c>
      <c r="AI27" s="444" t="str">
        <f t="shared" si="23"/>
        <v/>
      </c>
      <c r="AJ27" s="444" t="str">
        <f t="shared" si="23"/>
        <v/>
      </c>
      <c r="AK27" s="444" t="str">
        <f t="shared" si="23"/>
        <v/>
      </c>
      <c r="AL27" s="444" t="str">
        <f t="shared" si="23"/>
        <v/>
      </c>
      <c r="AM27" s="444" t="str">
        <f t="shared" si="23"/>
        <v/>
      </c>
      <c r="AN27" s="444" t="str">
        <f t="shared" si="23"/>
        <v/>
      </c>
      <c r="AO27" s="444" t="str">
        <f t="shared" si="23"/>
        <v/>
      </c>
      <c r="AP27" s="444" t="str">
        <f t="shared" si="23"/>
        <v/>
      </c>
      <c r="AQ27" s="444" t="str">
        <f t="shared" si="23"/>
        <v/>
      </c>
      <c r="AR27" s="444" t="str">
        <f t="shared" si="23"/>
        <v/>
      </c>
      <c r="AS27" s="444" t="str">
        <f t="shared" si="24"/>
        <v/>
      </c>
      <c r="AT27" s="444" t="str">
        <f t="shared" si="24"/>
        <v/>
      </c>
      <c r="AU27" s="444" t="str">
        <f t="shared" si="24"/>
        <v/>
      </c>
      <c r="AV27" s="444" t="str">
        <f t="shared" si="24"/>
        <v/>
      </c>
      <c r="AW27" s="444" t="str">
        <f t="shared" si="24"/>
        <v/>
      </c>
      <c r="AX27" s="444" t="str">
        <f t="shared" si="24"/>
        <v/>
      </c>
      <c r="AY27" s="444" t="str">
        <f t="shared" si="24"/>
        <v/>
      </c>
      <c r="AZ27" s="444" t="str">
        <f t="shared" si="24"/>
        <v/>
      </c>
      <c r="BA27" s="444" t="str">
        <f t="shared" si="24"/>
        <v/>
      </c>
      <c r="BB27" s="444" t="str">
        <f t="shared" si="24"/>
        <v/>
      </c>
      <c r="BC27" s="444" t="str">
        <f t="shared" si="25"/>
        <v/>
      </c>
      <c r="BD27" s="444" t="str">
        <f t="shared" si="25"/>
        <v/>
      </c>
      <c r="BE27" s="444" t="str">
        <f t="shared" si="25"/>
        <v/>
      </c>
      <c r="BF27" s="444" t="str">
        <f t="shared" si="25"/>
        <v/>
      </c>
      <c r="BG27" s="444" t="str">
        <f t="shared" si="25"/>
        <v/>
      </c>
      <c r="BH27" s="445" t="str">
        <f t="shared" si="25"/>
        <v/>
      </c>
      <c r="BI27" s="502"/>
      <c r="BJ27" s="474" t="str">
        <f t="shared" si="26"/>
        <v/>
      </c>
      <c r="BK27" s="475" t="str">
        <f t="shared" si="26"/>
        <v/>
      </c>
      <c r="BL27" s="475" t="str">
        <f t="shared" si="26"/>
        <v/>
      </c>
      <c r="BM27" s="475" t="str">
        <f t="shared" si="26"/>
        <v/>
      </c>
      <c r="BN27" s="475" t="str">
        <f t="shared" si="26"/>
        <v/>
      </c>
      <c r="BO27" s="475" t="str">
        <f t="shared" si="26"/>
        <v/>
      </c>
      <c r="BP27" s="475" t="str">
        <f t="shared" si="26"/>
        <v/>
      </c>
      <c r="BQ27" s="475" t="str">
        <f t="shared" si="26"/>
        <v/>
      </c>
      <c r="BR27" s="475" t="str">
        <f t="shared" si="26"/>
        <v/>
      </c>
      <c r="BS27" s="475" t="str">
        <f t="shared" si="26"/>
        <v/>
      </c>
      <c r="BT27" s="475" t="str">
        <f t="shared" si="27"/>
        <v/>
      </c>
      <c r="BU27" s="475" t="str">
        <f t="shared" si="27"/>
        <v/>
      </c>
      <c r="BV27" s="475" t="str">
        <f t="shared" si="27"/>
        <v/>
      </c>
      <c r="BW27" s="475" t="str">
        <f t="shared" si="27"/>
        <v/>
      </c>
      <c r="BX27" s="475" t="str">
        <f t="shared" si="27"/>
        <v/>
      </c>
      <c r="BY27" s="475" t="str">
        <f t="shared" si="27"/>
        <v/>
      </c>
      <c r="BZ27" s="475" t="str">
        <f t="shared" si="27"/>
        <v/>
      </c>
      <c r="CA27" s="475" t="str">
        <f t="shared" si="27"/>
        <v/>
      </c>
      <c r="CB27" s="475" t="str">
        <f t="shared" si="27"/>
        <v/>
      </c>
      <c r="CC27" s="475" t="str">
        <f t="shared" si="27"/>
        <v/>
      </c>
      <c r="CD27" s="475" t="str">
        <f t="shared" si="28"/>
        <v/>
      </c>
      <c r="CE27" s="475" t="str">
        <f t="shared" si="28"/>
        <v/>
      </c>
      <c r="CF27" s="475" t="str">
        <f t="shared" si="28"/>
        <v/>
      </c>
      <c r="CG27" s="475" t="str">
        <f t="shared" si="28"/>
        <v/>
      </c>
      <c r="CH27" s="475" t="str">
        <f t="shared" si="28"/>
        <v/>
      </c>
      <c r="CI27" s="475" t="str">
        <f t="shared" si="28"/>
        <v/>
      </c>
      <c r="CJ27" s="475" t="str">
        <f t="shared" si="28"/>
        <v/>
      </c>
      <c r="CK27" s="475" t="str">
        <f t="shared" si="28"/>
        <v/>
      </c>
      <c r="CL27" s="475" t="str">
        <f t="shared" si="28"/>
        <v/>
      </c>
      <c r="CM27" s="475" t="str">
        <f t="shared" si="28"/>
        <v/>
      </c>
      <c r="CN27" s="475" t="str">
        <f t="shared" si="29"/>
        <v/>
      </c>
      <c r="CO27" s="475" t="str">
        <f t="shared" si="29"/>
        <v/>
      </c>
      <c r="CP27" s="475" t="str">
        <f t="shared" si="29"/>
        <v/>
      </c>
      <c r="CQ27" s="475" t="str">
        <f t="shared" si="29"/>
        <v/>
      </c>
      <c r="CR27" s="475" t="str">
        <f t="shared" si="29"/>
        <v/>
      </c>
      <c r="CS27" s="475" t="str">
        <f t="shared" si="29"/>
        <v/>
      </c>
      <c r="CT27" s="475" t="str">
        <f t="shared" si="29"/>
        <v/>
      </c>
      <c r="CU27" s="475" t="str">
        <f t="shared" si="29"/>
        <v/>
      </c>
      <c r="CV27" s="475" t="str">
        <f t="shared" si="29"/>
        <v/>
      </c>
      <c r="CW27" s="475" t="str">
        <f t="shared" si="29"/>
        <v/>
      </c>
      <c r="CX27" s="475" t="str">
        <f t="shared" si="29"/>
        <v/>
      </c>
      <c r="CY27" s="475" t="str">
        <f t="shared" si="29"/>
        <v/>
      </c>
      <c r="CZ27" s="495" t="str">
        <f t="shared" si="29"/>
        <v/>
      </c>
      <c r="DA27" s="502"/>
      <c r="DB27" s="460"/>
      <c r="DC27" s="465"/>
      <c r="DD27" s="463"/>
      <c r="DE27" s="512"/>
      <c r="DF27" s="516"/>
      <c r="DG27" s="508"/>
      <c r="DH27" s="463"/>
      <c r="DI27" s="461"/>
      <c r="DJ27" s="461"/>
      <c r="DK27" s="461"/>
      <c r="DL27" s="464"/>
      <c r="DM27" s="466"/>
      <c r="DN27" s="502"/>
      <c r="DO27" s="460"/>
      <c r="DP27" s="464"/>
      <c r="DQ27" s="464"/>
      <c r="DR27" s="464"/>
      <c r="DS27" s="508"/>
      <c r="DT27" s="525"/>
      <c r="DU27" s="525"/>
      <c r="DV27" s="463"/>
      <c r="DW27" s="464"/>
      <c r="DX27" s="465"/>
      <c r="DY27" s="463"/>
      <c r="DZ27" s="464"/>
      <c r="EA27" s="465"/>
      <c r="EB27" s="463"/>
      <c r="EC27" s="465"/>
      <c r="ED27" s="462"/>
      <c r="EE27" s="502"/>
      <c r="EF27" s="463"/>
      <c r="EG27" s="461"/>
      <c r="EH27" s="464"/>
      <c r="EI27" s="464"/>
      <c r="EJ27" s="464"/>
      <c r="EK27" s="464"/>
      <c r="EL27" s="464"/>
      <c r="EM27" s="464"/>
      <c r="EN27" s="464"/>
      <c r="EO27" s="464"/>
      <c r="EP27" s="464"/>
      <c r="EQ27" s="464"/>
      <c r="ER27" s="464"/>
      <c r="ES27" s="464"/>
      <c r="ET27" s="464"/>
      <c r="EU27" s="464"/>
      <c r="EV27" s="464"/>
      <c r="EW27" s="465"/>
      <c r="EX27" s="465"/>
      <c r="EY27" s="502"/>
      <c r="EZ27" s="460"/>
      <c r="FA27" s="464"/>
      <c r="FB27" s="464"/>
      <c r="FC27" s="464"/>
      <c r="FD27" s="464"/>
      <c r="FE27" s="464"/>
      <c r="FF27" s="464"/>
      <c r="FG27" s="466"/>
    </row>
    <row r="28" spans="1:163">
      <c r="A28" s="469" t="s">
        <v>215</v>
      </c>
      <c r="B28" s="471" t="str">
        <f>IF(ISNUMBER(MATCH(A28, 'Pulldown Data'!W:W, 0))=TRUE, "Y", IF(ISNUMBER(MATCH(A28, 'Pulldown Data'!X:X, 0))=TRUE, "M", ""))</f>
        <v/>
      </c>
      <c r="C28" s="442"/>
      <c r="D28" s="502"/>
      <c r="E28" s="443" t="str">
        <f t="shared" si="20"/>
        <v/>
      </c>
      <c r="F28" s="444" t="str">
        <f t="shared" si="20"/>
        <v/>
      </c>
      <c r="G28" s="444" t="str">
        <f t="shared" si="20"/>
        <v/>
      </c>
      <c r="H28" s="444" t="str">
        <f t="shared" si="20"/>
        <v/>
      </c>
      <c r="I28" s="444" t="str">
        <f t="shared" si="20"/>
        <v/>
      </c>
      <c r="J28" s="444" t="str">
        <f t="shared" si="20"/>
        <v/>
      </c>
      <c r="K28" s="444" t="str">
        <f t="shared" si="20"/>
        <v/>
      </c>
      <c r="L28" s="444" t="str">
        <f t="shared" si="20"/>
        <v/>
      </c>
      <c r="M28" s="444" t="str">
        <f t="shared" si="20"/>
        <v/>
      </c>
      <c r="N28" s="444" t="str">
        <f t="shared" si="20"/>
        <v/>
      </c>
      <c r="O28" s="444" t="str">
        <f t="shared" si="21"/>
        <v/>
      </c>
      <c r="P28" s="444" t="str">
        <f t="shared" si="21"/>
        <v/>
      </c>
      <c r="Q28" s="444" t="str">
        <f t="shared" si="21"/>
        <v/>
      </c>
      <c r="R28" s="444" t="str">
        <f t="shared" si="21"/>
        <v/>
      </c>
      <c r="S28" s="444" t="str">
        <f t="shared" si="21"/>
        <v/>
      </c>
      <c r="T28" s="444" t="str">
        <f t="shared" si="21"/>
        <v/>
      </c>
      <c r="U28" s="444" t="str">
        <f t="shared" si="21"/>
        <v/>
      </c>
      <c r="V28" s="444" t="str">
        <f t="shared" si="21"/>
        <v/>
      </c>
      <c r="W28" s="444" t="str">
        <f t="shared" si="21"/>
        <v/>
      </c>
      <c r="X28" s="444" t="str">
        <f t="shared" si="21"/>
        <v/>
      </c>
      <c r="Y28" s="444" t="str">
        <f t="shared" si="22"/>
        <v/>
      </c>
      <c r="Z28" s="444" t="str">
        <f t="shared" si="22"/>
        <v/>
      </c>
      <c r="AA28" s="444" t="str">
        <f t="shared" si="22"/>
        <v/>
      </c>
      <c r="AB28" s="444" t="str">
        <f t="shared" si="22"/>
        <v/>
      </c>
      <c r="AC28" s="444" t="str">
        <f t="shared" si="22"/>
        <v/>
      </c>
      <c r="AD28" s="444" t="str">
        <f t="shared" si="22"/>
        <v/>
      </c>
      <c r="AE28" s="444" t="str">
        <f t="shared" si="22"/>
        <v/>
      </c>
      <c r="AF28" s="444" t="str">
        <f t="shared" si="22"/>
        <v/>
      </c>
      <c r="AG28" s="444" t="str">
        <f t="shared" si="22"/>
        <v/>
      </c>
      <c r="AH28" s="444" t="str">
        <f t="shared" si="22"/>
        <v/>
      </c>
      <c r="AI28" s="444" t="str">
        <f t="shared" si="23"/>
        <v/>
      </c>
      <c r="AJ28" s="444" t="str">
        <f t="shared" si="23"/>
        <v/>
      </c>
      <c r="AK28" s="444" t="str">
        <f t="shared" si="23"/>
        <v/>
      </c>
      <c r="AL28" s="444" t="str">
        <f t="shared" si="23"/>
        <v/>
      </c>
      <c r="AM28" s="444" t="str">
        <f t="shared" si="23"/>
        <v/>
      </c>
      <c r="AN28" s="444" t="str">
        <f t="shared" si="23"/>
        <v/>
      </c>
      <c r="AO28" s="444" t="str">
        <f t="shared" si="23"/>
        <v/>
      </c>
      <c r="AP28" s="444" t="str">
        <f t="shared" si="23"/>
        <v/>
      </c>
      <c r="AQ28" s="444" t="str">
        <f t="shared" si="23"/>
        <v/>
      </c>
      <c r="AR28" s="444" t="str">
        <f t="shared" si="23"/>
        <v/>
      </c>
      <c r="AS28" s="444" t="str">
        <f t="shared" si="24"/>
        <v/>
      </c>
      <c r="AT28" s="444" t="str">
        <f t="shared" si="24"/>
        <v/>
      </c>
      <c r="AU28" s="444" t="str">
        <f t="shared" si="24"/>
        <v/>
      </c>
      <c r="AV28" s="444" t="str">
        <f t="shared" si="24"/>
        <v/>
      </c>
      <c r="AW28" s="444" t="str">
        <f t="shared" si="24"/>
        <v/>
      </c>
      <c r="AX28" s="444" t="str">
        <f t="shared" si="24"/>
        <v/>
      </c>
      <c r="AY28" s="444" t="str">
        <f t="shared" si="24"/>
        <v/>
      </c>
      <c r="AZ28" s="444" t="str">
        <f t="shared" si="24"/>
        <v/>
      </c>
      <c r="BA28" s="444" t="str">
        <f t="shared" si="24"/>
        <v/>
      </c>
      <c r="BB28" s="444" t="str">
        <f t="shared" si="24"/>
        <v/>
      </c>
      <c r="BC28" s="444" t="str">
        <f t="shared" si="25"/>
        <v/>
      </c>
      <c r="BD28" s="444" t="str">
        <f t="shared" si="25"/>
        <v/>
      </c>
      <c r="BE28" s="444" t="str">
        <f t="shared" si="25"/>
        <v/>
      </c>
      <c r="BF28" s="444" t="str">
        <f t="shared" si="25"/>
        <v/>
      </c>
      <c r="BG28" s="444" t="str">
        <f t="shared" si="25"/>
        <v/>
      </c>
      <c r="BH28" s="445" t="str">
        <f t="shared" si="25"/>
        <v/>
      </c>
      <c r="BI28" s="502"/>
      <c r="BJ28" s="474" t="str">
        <f t="shared" si="26"/>
        <v/>
      </c>
      <c r="BK28" s="475" t="str">
        <f t="shared" si="26"/>
        <v/>
      </c>
      <c r="BL28" s="475" t="str">
        <f t="shared" si="26"/>
        <v/>
      </c>
      <c r="BM28" s="475" t="str">
        <f t="shared" si="26"/>
        <v/>
      </c>
      <c r="BN28" s="475" t="str">
        <f t="shared" si="26"/>
        <v/>
      </c>
      <c r="BO28" s="475" t="str">
        <f t="shared" si="26"/>
        <v/>
      </c>
      <c r="BP28" s="475" t="str">
        <f t="shared" si="26"/>
        <v/>
      </c>
      <c r="BQ28" s="475" t="str">
        <f t="shared" si="26"/>
        <v/>
      </c>
      <c r="BR28" s="475" t="str">
        <f t="shared" si="26"/>
        <v/>
      </c>
      <c r="BS28" s="475" t="str">
        <f t="shared" si="26"/>
        <v/>
      </c>
      <c r="BT28" s="475" t="str">
        <f t="shared" si="27"/>
        <v/>
      </c>
      <c r="BU28" s="475" t="str">
        <f t="shared" si="27"/>
        <v/>
      </c>
      <c r="BV28" s="475" t="str">
        <f t="shared" si="27"/>
        <v/>
      </c>
      <c r="BW28" s="475" t="str">
        <f t="shared" si="27"/>
        <v/>
      </c>
      <c r="BX28" s="475" t="str">
        <f t="shared" si="27"/>
        <v/>
      </c>
      <c r="BY28" s="475" t="str">
        <f t="shared" si="27"/>
        <v/>
      </c>
      <c r="BZ28" s="475" t="str">
        <f t="shared" si="27"/>
        <v/>
      </c>
      <c r="CA28" s="475" t="str">
        <f t="shared" si="27"/>
        <v/>
      </c>
      <c r="CB28" s="475" t="str">
        <f t="shared" si="27"/>
        <v/>
      </c>
      <c r="CC28" s="475" t="str">
        <f t="shared" si="27"/>
        <v/>
      </c>
      <c r="CD28" s="475" t="str">
        <f t="shared" si="28"/>
        <v/>
      </c>
      <c r="CE28" s="475" t="str">
        <f t="shared" si="28"/>
        <v/>
      </c>
      <c r="CF28" s="475" t="str">
        <f t="shared" si="28"/>
        <v/>
      </c>
      <c r="CG28" s="475" t="str">
        <f t="shared" si="28"/>
        <v/>
      </c>
      <c r="CH28" s="475" t="str">
        <f t="shared" si="28"/>
        <v/>
      </c>
      <c r="CI28" s="475" t="str">
        <f t="shared" si="28"/>
        <v/>
      </c>
      <c r="CJ28" s="475" t="str">
        <f t="shared" si="28"/>
        <v/>
      </c>
      <c r="CK28" s="475" t="str">
        <f t="shared" si="28"/>
        <v/>
      </c>
      <c r="CL28" s="475" t="str">
        <f t="shared" si="28"/>
        <v/>
      </c>
      <c r="CM28" s="475" t="str">
        <f t="shared" si="28"/>
        <v/>
      </c>
      <c r="CN28" s="475" t="str">
        <f t="shared" si="29"/>
        <v/>
      </c>
      <c r="CO28" s="475" t="str">
        <f t="shared" si="29"/>
        <v/>
      </c>
      <c r="CP28" s="475" t="str">
        <f t="shared" si="29"/>
        <v/>
      </c>
      <c r="CQ28" s="475" t="str">
        <f t="shared" si="29"/>
        <v/>
      </c>
      <c r="CR28" s="475" t="str">
        <f t="shared" si="29"/>
        <v/>
      </c>
      <c r="CS28" s="475" t="str">
        <f t="shared" si="29"/>
        <v/>
      </c>
      <c r="CT28" s="475" t="str">
        <f t="shared" si="29"/>
        <v/>
      </c>
      <c r="CU28" s="475" t="str">
        <f t="shared" si="29"/>
        <v/>
      </c>
      <c r="CV28" s="475" t="str">
        <f t="shared" si="29"/>
        <v/>
      </c>
      <c r="CW28" s="475" t="str">
        <f t="shared" si="29"/>
        <v/>
      </c>
      <c r="CX28" s="475" t="str">
        <f t="shared" si="29"/>
        <v/>
      </c>
      <c r="CY28" s="475" t="str">
        <f t="shared" si="29"/>
        <v/>
      </c>
      <c r="CZ28" s="495" t="str">
        <f t="shared" si="29"/>
        <v/>
      </c>
      <c r="DA28" s="502"/>
      <c r="DB28" s="460"/>
      <c r="DC28" s="465"/>
      <c r="DD28" s="463"/>
      <c r="DE28" s="512"/>
      <c r="DF28" s="516"/>
      <c r="DG28" s="508"/>
      <c r="DH28" s="463"/>
      <c r="DI28" s="461"/>
      <c r="DJ28" s="461"/>
      <c r="DK28" s="461"/>
      <c r="DL28" s="464"/>
      <c r="DM28" s="466"/>
      <c r="DN28" s="502"/>
      <c r="DO28" s="460"/>
      <c r="DP28" s="464"/>
      <c r="DQ28" s="464"/>
      <c r="DR28" s="464"/>
      <c r="DS28" s="508"/>
      <c r="DT28" s="525"/>
      <c r="DU28" s="525"/>
      <c r="DV28" s="463"/>
      <c r="DW28" s="464"/>
      <c r="DX28" s="465"/>
      <c r="DY28" s="463"/>
      <c r="DZ28" s="464"/>
      <c r="EA28" s="465"/>
      <c r="EB28" s="463"/>
      <c r="EC28" s="465"/>
      <c r="ED28" s="462"/>
      <c r="EE28" s="502"/>
      <c r="EF28" s="463"/>
      <c r="EG28" s="461"/>
      <c r="EH28" s="464"/>
      <c r="EI28" s="464"/>
      <c r="EJ28" s="464"/>
      <c r="EK28" s="464"/>
      <c r="EL28" s="464"/>
      <c r="EM28" s="464"/>
      <c r="EN28" s="464"/>
      <c r="EO28" s="464"/>
      <c r="EP28" s="464"/>
      <c r="EQ28" s="464"/>
      <c r="ER28" s="464"/>
      <c r="ES28" s="464"/>
      <c r="ET28" s="464"/>
      <c r="EU28" s="464"/>
      <c r="EV28" s="464"/>
      <c r="EW28" s="465"/>
      <c r="EX28" s="465"/>
      <c r="EY28" s="502"/>
      <c r="EZ28" s="460"/>
      <c r="FA28" s="464"/>
      <c r="FB28" s="464"/>
      <c r="FC28" s="464"/>
      <c r="FD28" s="464"/>
      <c r="FE28" s="464"/>
      <c r="FF28" s="464"/>
      <c r="FG28" s="466"/>
    </row>
    <row r="29" spans="1:163">
      <c r="A29" s="467" t="s">
        <v>216</v>
      </c>
      <c r="B29" s="471" t="str">
        <f>IF(ISNUMBER(MATCH(A29, 'Pulldown Data'!W:W, 0))=TRUE, "Y", IF(ISNUMBER(MATCH(A29, 'Pulldown Data'!X:X, 0))=TRUE, "M", ""))</f>
        <v/>
      </c>
      <c r="C29" s="442"/>
      <c r="D29" s="502"/>
      <c r="E29" s="443" t="str">
        <f t="shared" si="20"/>
        <v/>
      </c>
      <c r="F29" s="444" t="str">
        <f t="shared" si="20"/>
        <v/>
      </c>
      <c r="G29" s="444" t="str">
        <f t="shared" si="20"/>
        <v/>
      </c>
      <c r="H29" s="444" t="str">
        <f t="shared" si="20"/>
        <v/>
      </c>
      <c r="I29" s="444" t="str">
        <f t="shared" si="20"/>
        <v/>
      </c>
      <c r="J29" s="444" t="str">
        <f t="shared" si="20"/>
        <v/>
      </c>
      <c r="K29" s="444" t="str">
        <f t="shared" si="20"/>
        <v/>
      </c>
      <c r="L29" s="444" t="str">
        <f t="shared" si="20"/>
        <v/>
      </c>
      <c r="M29" s="444" t="str">
        <f t="shared" si="20"/>
        <v/>
      </c>
      <c r="N29" s="444" t="str">
        <f t="shared" si="20"/>
        <v/>
      </c>
      <c r="O29" s="444" t="str">
        <f t="shared" si="21"/>
        <v/>
      </c>
      <c r="P29" s="444" t="str">
        <f t="shared" si="21"/>
        <v/>
      </c>
      <c r="Q29" s="444" t="str">
        <f t="shared" si="21"/>
        <v/>
      </c>
      <c r="R29" s="444" t="str">
        <f t="shared" si="21"/>
        <v/>
      </c>
      <c r="S29" s="444" t="str">
        <f t="shared" si="21"/>
        <v/>
      </c>
      <c r="T29" s="444" t="str">
        <f t="shared" si="21"/>
        <v/>
      </c>
      <c r="U29" s="444" t="str">
        <f t="shared" si="21"/>
        <v/>
      </c>
      <c r="V29" s="444" t="str">
        <f t="shared" si="21"/>
        <v/>
      </c>
      <c r="W29" s="444" t="str">
        <f t="shared" si="21"/>
        <v/>
      </c>
      <c r="X29" s="444" t="str">
        <f t="shared" si="21"/>
        <v/>
      </c>
      <c r="Y29" s="444" t="str">
        <f t="shared" si="22"/>
        <v/>
      </c>
      <c r="Z29" s="444" t="str">
        <f t="shared" si="22"/>
        <v/>
      </c>
      <c r="AA29" s="444" t="str">
        <f t="shared" si="22"/>
        <v/>
      </c>
      <c r="AB29" s="444" t="str">
        <f t="shared" si="22"/>
        <v/>
      </c>
      <c r="AC29" s="444" t="str">
        <f t="shared" si="22"/>
        <v/>
      </c>
      <c r="AD29" s="444" t="str">
        <f t="shared" si="22"/>
        <v/>
      </c>
      <c r="AE29" s="444" t="str">
        <f t="shared" si="22"/>
        <v/>
      </c>
      <c r="AF29" s="444" t="str">
        <f t="shared" si="22"/>
        <v/>
      </c>
      <c r="AG29" s="444" t="str">
        <f t="shared" si="22"/>
        <v/>
      </c>
      <c r="AH29" s="444" t="str">
        <f t="shared" si="22"/>
        <v/>
      </c>
      <c r="AI29" s="444" t="str">
        <f t="shared" si="23"/>
        <v/>
      </c>
      <c r="AJ29" s="444" t="str">
        <f t="shared" si="23"/>
        <v/>
      </c>
      <c r="AK29" s="444" t="str">
        <f t="shared" si="23"/>
        <v/>
      </c>
      <c r="AL29" s="444" t="str">
        <f t="shared" si="23"/>
        <v/>
      </c>
      <c r="AM29" s="444" t="str">
        <f t="shared" si="23"/>
        <v/>
      </c>
      <c r="AN29" s="444" t="str">
        <f t="shared" si="23"/>
        <v/>
      </c>
      <c r="AO29" s="444" t="str">
        <f t="shared" si="23"/>
        <v/>
      </c>
      <c r="AP29" s="444" t="str">
        <f t="shared" si="23"/>
        <v/>
      </c>
      <c r="AQ29" s="444" t="str">
        <f t="shared" si="23"/>
        <v/>
      </c>
      <c r="AR29" s="444" t="str">
        <f t="shared" si="23"/>
        <v/>
      </c>
      <c r="AS29" s="444" t="str">
        <f t="shared" si="24"/>
        <v/>
      </c>
      <c r="AT29" s="444" t="str">
        <f t="shared" si="24"/>
        <v/>
      </c>
      <c r="AU29" s="444" t="str">
        <f t="shared" si="24"/>
        <v/>
      </c>
      <c r="AV29" s="444" t="str">
        <f t="shared" si="24"/>
        <v/>
      </c>
      <c r="AW29" s="444" t="str">
        <f t="shared" si="24"/>
        <v/>
      </c>
      <c r="AX29" s="444" t="str">
        <f t="shared" si="24"/>
        <v/>
      </c>
      <c r="AY29" s="444" t="str">
        <f t="shared" si="24"/>
        <v/>
      </c>
      <c r="AZ29" s="444" t="str">
        <f t="shared" si="24"/>
        <v/>
      </c>
      <c r="BA29" s="444" t="str">
        <f t="shared" si="24"/>
        <v/>
      </c>
      <c r="BB29" s="444" t="str">
        <f t="shared" si="24"/>
        <v/>
      </c>
      <c r="BC29" s="444" t="str">
        <f t="shared" si="25"/>
        <v/>
      </c>
      <c r="BD29" s="444" t="str">
        <f t="shared" si="25"/>
        <v/>
      </c>
      <c r="BE29" s="444" t="str">
        <f t="shared" si="25"/>
        <v/>
      </c>
      <c r="BF29" s="444" t="str">
        <f t="shared" si="25"/>
        <v/>
      </c>
      <c r="BG29" s="444" t="str">
        <f t="shared" si="25"/>
        <v/>
      </c>
      <c r="BH29" s="445" t="str">
        <f t="shared" si="25"/>
        <v/>
      </c>
      <c r="BI29" s="502"/>
      <c r="BJ29" s="474" t="str">
        <f t="shared" si="26"/>
        <v/>
      </c>
      <c r="BK29" s="475" t="str">
        <f t="shared" si="26"/>
        <v/>
      </c>
      <c r="BL29" s="475" t="str">
        <f t="shared" si="26"/>
        <v/>
      </c>
      <c r="BM29" s="475" t="str">
        <f t="shared" si="26"/>
        <v/>
      </c>
      <c r="BN29" s="475" t="str">
        <f t="shared" si="26"/>
        <v/>
      </c>
      <c r="BO29" s="475" t="str">
        <f t="shared" si="26"/>
        <v/>
      </c>
      <c r="BP29" s="475" t="str">
        <f t="shared" si="26"/>
        <v/>
      </c>
      <c r="BQ29" s="475" t="str">
        <f t="shared" si="26"/>
        <v/>
      </c>
      <c r="BR29" s="475" t="str">
        <f t="shared" si="26"/>
        <v/>
      </c>
      <c r="BS29" s="475" t="str">
        <f t="shared" si="26"/>
        <v/>
      </c>
      <c r="BT29" s="475" t="str">
        <f t="shared" si="27"/>
        <v/>
      </c>
      <c r="BU29" s="475" t="str">
        <f t="shared" si="27"/>
        <v/>
      </c>
      <c r="BV29" s="475" t="str">
        <f t="shared" si="27"/>
        <v/>
      </c>
      <c r="BW29" s="475" t="str">
        <f t="shared" si="27"/>
        <v/>
      </c>
      <c r="BX29" s="475" t="str">
        <f t="shared" si="27"/>
        <v/>
      </c>
      <c r="BY29" s="475" t="str">
        <f t="shared" si="27"/>
        <v/>
      </c>
      <c r="BZ29" s="475" t="str">
        <f t="shared" si="27"/>
        <v/>
      </c>
      <c r="CA29" s="475" t="str">
        <f t="shared" si="27"/>
        <v/>
      </c>
      <c r="CB29" s="475" t="str">
        <f t="shared" si="27"/>
        <v/>
      </c>
      <c r="CC29" s="475" t="str">
        <f t="shared" si="27"/>
        <v/>
      </c>
      <c r="CD29" s="475" t="str">
        <f t="shared" si="28"/>
        <v/>
      </c>
      <c r="CE29" s="475" t="str">
        <f t="shared" si="28"/>
        <v/>
      </c>
      <c r="CF29" s="475" t="str">
        <f t="shared" si="28"/>
        <v/>
      </c>
      <c r="CG29" s="475" t="str">
        <f t="shared" si="28"/>
        <v/>
      </c>
      <c r="CH29" s="475" t="str">
        <f t="shared" si="28"/>
        <v/>
      </c>
      <c r="CI29" s="475" t="str">
        <f t="shared" si="28"/>
        <v/>
      </c>
      <c r="CJ29" s="475" t="str">
        <f t="shared" si="28"/>
        <v/>
      </c>
      <c r="CK29" s="475" t="str">
        <f t="shared" si="28"/>
        <v/>
      </c>
      <c r="CL29" s="475" t="str">
        <f t="shared" si="28"/>
        <v/>
      </c>
      <c r="CM29" s="475" t="str">
        <f t="shared" si="28"/>
        <v/>
      </c>
      <c r="CN29" s="475" t="str">
        <f t="shared" si="29"/>
        <v/>
      </c>
      <c r="CO29" s="475" t="str">
        <f t="shared" si="29"/>
        <v/>
      </c>
      <c r="CP29" s="475" t="str">
        <f t="shared" si="29"/>
        <v/>
      </c>
      <c r="CQ29" s="475" t="str">
        <f t="shared" si="29"/>
        <v/>
      </c>
      <c r="CR29" s="475" t="str">
        <f t="shared" si="29"/>
        <v/>
      </c>
      <c r="CS29" s="475" t="str">
        <f t="shared" si="29"/>
        <v/>
      </c>
      <c r="CT29" s="475" t="str">
        <f t="shared" si="29"/>
        <v/>
      </c>
      <c r="CU29" s="475" t="str">
        <f t="shared" si="29"/>
        <v/>
      </c>
      <c r="CV29" s="475" t="str">
        <f t="shared" si="29"/>
        <v/>
      </c>
      <c r="CW29" s="475" t="str">
        <f t="shared" si="29"/>
        <v/>
      </c>
      <c r="CX29" s="475" t="str">
        <f t="shared" si="29"/>
        <v/>
      </c>
      <c r="CY29" s="475" t="str">
        <f t="shared" si="29"/>
        <v/>
      </c>
      <c r="CZ29" s="495" t="str">
        <f t="shared" si="29"/>
        <v/>
      </c>
      <c r="DA29" s="502"/>
      <c r="DB29" s="460"/>
      <c r="DC29" s="465"/>
      <c r="DD29" s="463"/>
      <c r="DE29" s="512"/>
      <c r="DF29" s="516"/>
      <c r="DG29" s="508"/>
      <c r="DH29" s="463"/>
      <c r="DI29" s="461"/>
      <c r="DJ29" s="461"/>
      <c r="DK29" s="461"/>
      <c r="DL29" s="464"/>
      <c r="DM29" s="466"/>
      <c r="DN29" s="502"/>
      <c r="DO29" s="460"/>
      <c r="DP29" s="464"/>
      <c r="DQ29" s="464"/>
      <c r="DR29" s="464"/>
      <c r="DS29" s="508"/>
      <c r="DT29" s="525"/>
      <c r="DU29" s="525"/>
      <c r="DV29" s="463"/>
      <c r="DW29" s="464"/>
      <c r="DX29" s="465"/>
      <c r="DY29" s="463"/>
      <c r="DZ29" s="464"/>
      <c r="EA29" s="465"/>
      <c r="EB29" s="463"/>
      <c r="EC29" s="465"/>
      <c r="ED29" s="462"/>
      <c r="EE29" s="502"/>
      <c r="EF29" s="463"/>
      <c r="EG29" s="461"/>
      <c r="EH29" s="464"/>
      <c r="EI29" s="464"/>
      <c r="EJ29" s="464"/>
      <c r="EK29" s="464"/>
      <c r="EL29" s="464"/>
      <c r="EM29" s="464"/>
      <c r="EN29" s="464"/>
      <c r="EO29" s="464"/>
      <c r="EP29" s="464"/>
      <c r="EQ29" s="464"/>
      <c r="ER29" s="464"/>
      <c r="ES29" s="464"/>
      <c r="ET29" s="464"/>
      <c r="EU29" s="464"/>
      <c r="EV29" s="464"/>
      <c r="EW29" s="465"/>
      <c r="EX29" s="465"/>
      <c r="EY29" s="502"/>
      <c r="EZ29" s="460"/>
      <c r="FA29" s="464"/>
      <c r="FB29" s="464"/>
      <c r="FC29" s="464"/>
      <c r="FD29" s="464"/>
      <c r="FE29" s="464"/>
      <c r="FF29" s="464"/>
      <c r="FG29" s="466"/>
    </row>
    <row r="30" spans="1:163">
      <c r="A30" s="469" t="s">
        <v>217</v>
      </c>
      <c r="B30" s="471" t="str">
        <f>IF(ISNUMBER(MATCH(A30, 'Pulldown Data'!W:W, 0))=TRUE, "Y", IF(ISNUMBER(MATCH(A30, 'Pulldown Data'!X:X, 0))=TRUE, "M", ""))</f>
        <v/>
      </c>
      <c r="C30" s="442"/>
      <c r="D30" s="502"/>
      <c r="E30" s="443" t="str">
        <f t="shared" si="20"/>
        <v/>
      </c>
      <c r="F30" s="444" t="str">
        <f t="shared" si="20"/>
        <v/>
      </c>
      <c r="G30" s="444" t="str">
        <f t="shared" si="20"/>
        <v/>
      </c>
      <c r="H30" s="444" t="str">
        <f t="shared" si="20"/>
        <v/>
      </c>
      <c r="I30" s="444" t="str">
        <f t="shared" si="20"/>
        <v/>
      </c>
      <c r="J30" s="444" t="str">
        <f t="shared" si="20"/>
        <v/>
      </c>
      <c r="K30" s="444" t="str">
        <f t="shared" si="20"/>
        <v/>
      </c>
      <c r="L30" s="444" t="str">
        <f t="shared" si="20"/>
        <v/>
      </c>
      <c r="M30" s="444" t="str">
        <f t="shared" si="20"/>
        <v/>
      </c>
      <c r="N30" s="444" t="str">
        <f t="shared" si="20"/>
        <v/>
      </c>
      <c r="O30" s="444" t="str">
        <f t="shared" si="21"/>
        <v/>
      </c>
      <c r="P30" s="444" t="str">
        <f t="shared" si="21"/>
        <v/>
      </c>
      <c r="Q30" s="444" t="str">
        <f t="shared" si="21"/>
        <v/>
      </c>
      <c r="R30" s="444" t="str">
        <f t="shared" si="21"/>
        <v/>
      </c>
      <c r="S30" s="444" t="str">
        <f t="shared" si="21"/>
        <v/>
      </c>
      <c r="T30" s="444" t="str">
        <f t="shared" si="21"/>
        <v/>
      </c>
      <c r="U30" s="444" t="str">
        <f t="shared" si="21"/>
        <v/>
      </c>
      <c r="V30" s="444" t="str">
        <f t="shared" si="21"/>
        <v/>
      </c>
      <c r="W30" s="444" t="str">
        <f t="shared" si="21"/>
        <v/>
      </c>
      <c r="X30" s="444" t="str">
        <f t="shared" si="21"/>
        <v/>
      </c>
      <c r="Y30" s="444" t="str">
        <f t="shared" si="22"/>
        <v/>
      </c>
      <c r="Z30" s="444" t="str">
        <f t="shared" si="22"/>
        <v/>
      </c>
      <c r="AA30" s="444" t="str">
        <f t="shared" si="22"/>
        <v/>
      </c>
      <c r="AB30" s="444" t="str">
        <f t="shared" si="22"/>
        <v/>
      </c>
      <c r="AC30" s="444" t="str">
        <f t="shared" si="22"/>
        <v/>
      </c>
      <c r="AD30" s="444" t="str">
        <f t="shared" si="22"/>
        <v/>
      </c>
      <c r="AE30" s="444" t="str">
        <f t="shared" si="22"/>
        <v/>
      </c>
      <c r="AF30" s="444" t="str">
        <f t="shared" si="22"/>
        <v/>
      </c>
      <c r="AG30" s="444" t="str">
        <f t="shared" si="22"/>
        <v/>
      </c>
      <c r="AH30" s="444" t="str">
        <f t="shared" si="22"/>
        <v/>
      </c>
      <c r="AI30" s="444" t="str">
        <f t="shared" si="23"/>
        <v/>
      </c>
      <c r="AJ30" s="444" t="str">
        <f t="shared" si="23"/>
        <v/>
      </c>
      <c r="AK30" s="444" t="str">
        <f t="shared" si="23"/>
        <v/>
      </c>
      <c r="AL30" s="444" t="str">
        <f t="shared" si="23"/>
        <v/>
      </c>
      <c r="AM30" s="444" t="str">
        <f t="shared" si="23"/>
        <v/>
      </c>
      <c r="AN30" s="444" t="str">
        <f t="shared" si="23"/>
        <v/>
      </c>
      <c r="AO30" s="444" t="str">
        <f t="shared" si="23"/>
        <v/>
      </c>
      <c r="AP30" s="444" t="str">
        <f t="shared" si="23"/>
        <v/>
      </c>
      <c r="AQ30" s="444" t="str">
        <f t="shared" si="23"/>
        <v/>
      </c>
      <c r="AR30" s="444" t="str">
        <f t="shared" si="23"/>
        <v/>
      </c>
      <c r="AS30" s="444" t="str">
        <f t="shared" si="24"/>
        <v/>
      </c>
      <c r="AT30" s="444" t="str">
        <f t="shared" si="24"/>
        <v/>
      </c>
      <c r="AU30" s="444" t="str">
        <f t="shared" si="24"/>
        <v/>
      </c>
      <c r="AV30" s="444" t="str">
        <f t="shared" si="24"/>
        <v/>
      </c>
      <c r="AW30" s="444" t="str">
        <f t="shared" si="24"/>
        <v/>
      </c>
      <c r="AX30" s="444" t="str">
        <f t="shared" si="24"/>
        <v/>
      </c>
      <c r="AY30" s="444" t="str">
        <f t="shared" si="24"/>
        <v/>
      </c>
      <c r="AZ30" s="444" t="str">
        <f t="shared" si="24"/>
        <v/>
      </c>
      <c r="BA30" s="444" t="str">
        <f t="shared" si="24"/>
        <v/>
      </c>
      <c r="BB30" s="444" t="str">
        <f t="shared" si="24"/>
        <v/>
      </c>
      <c r="BC30" s="444" t="str">
        <f t="shared" si="25"/>
        <v/>
      </c>
      <c r="BD30" s="444" t="str">
        <f t="shared" si="25"/>
        <v/>
      </c>
      <c r="BE30" s="444" t="str">
        <f t="shared" si="25"/>
        <v/>
      </c>
      <c r="BF30" s="444" t="str">
        <f t="shared" si="25"/>
        <v/>
      </c>
      <c r="BG30" s="444" t="str">
        <f t="shared" si="25"/>
        <v/>
      </c>
      <c r="BH30" s="445" t="str">
        <f t="shared" si="25"/>
        <v/>
      </c>
      <c r="BI30" s="502"/>
      <c r="BJ30" s="474" t="str">
        <f t="shared" si="26"/>
        <v/>
      </c>
      <c r="BK30" s="475" t="str">
        <f t="shared" si="26"/>
        <v/>
      </c>
      <c r="BL30" s="475" t="str">
        <f t="shared" si="26"/>
        <v/>
      </c>
      <c r="BM30" s="475" t="str">
        <f t="shared" si="26"/>
        <v/>
      </c>
      <c r="BN30" s="475" t="str">
        <f t="shared" si="26"/>
        <v/>
      </c>
      <c r="BO30" s="475" t="str">
        <f t="shared" si="26"/>
        <v/>
      </c>
      <c r="BP30" s="475" t="str">
        <f t="shared" si="26"/>
        <v/>
      </c>
      <c r="BQ30" s="475" t="str">
        <f t="shared" si="26"/>
        <v/>
      </c>
      <c r="BR30" s="475" t="str">
        <f t="shared" si="26"/>
        <v/>
      </c>
      <c r="BS30" s="475" t="str">
        <f t="shared" si="26"/>
        <v/>
      </c>
      <c r="BT30" s="475" t="str">
        <f t="shared" si="27"/>
        <v/>
      </c>
      <c r="BU30" s="475" t="str">
        <f t="shared" si="27"/>
        <v/>
      </c>
      <c r="BV30" s="475" t="str">
        <f t="shared" si="27"/>
        <v/>
      </c>
      <c r="BW30" s="475" t="str">
        <f t="shared" si="27"/>
        <v/>
      </c>
      <c r="BX30" s="475" t="str">
        <f t="shared" si="27"/>
        <v/>
      </c>
      <c r="BY30" s="475" t="str">
        <f t="shared" si="27"/>
        <v/>
      </c>
      <c r="BZ30" s="475" t="str">
        <f t="shared" si="27"/>
        <v/>
      </c>
      <c r="CA30" s="475" t="str">
        <f t="shared" si="27"/>
        <v/>
      </c>
      <c r="CB30" s="475" t="str">
        <f t="shared" si="27"/>
        <v/>
      </c>
      <c r="CC30" s="475" t="str">
        <f t="shared" si="27"/>
        <v/>
      </c>
      <c r="CD30" s="475" t="str">
        <f t="shared" si="28"/>
        <v/>
      </c>
      <c r="CE30" s="475" t="str">
        <f t="shared" si="28"/>
        <v/>
      </c>
      <c r="CF30" s="475" t="str">
        <f t="shared" si="28"/>
        <v/>
      </c>
      <c r="CG30" s="475" t="str">
        <f t="shared" si="28"/>
        <v/>
      </c>
      <c r="CH30" s="475" t="str">
        <f t="shared" si="28"/>
        <v/>
      </c>
      <c r="CI30" s="475" t="str">
        <f t="shared" si="28"/>
        <v/>
      </c>
      <c r="CJ30" s="475" t="str">
        <f t="shared" si="28"/>
        <v/>
      </c>
      <c r="CK30" s="475" t="str">
        <f t="shared" si="28"/>
        <v/>
      </c>
      <c r="CL30" s="475" t="str">
        <f t="shared" si="28"/>
        <v/>
      </c>
      <c r="CM30" s="475" t="str">
        <f t="shared" si="28"/>
        <v/>
      </c>
      <c r="CN30" s="475" t="str">
        <f t="shared" si="29"/>
        <v/>
      </c>
      <c r="CO30" s="475" t="str">
        <f t="shared" si="29"/>
        <v/>
      </c>
      <c r="CP30" s="475" t="str">
        <f t="shared" si="29"/>
        <v/>
      </c>
      <c r="CQ30" s="475" t="str">
        <f t="shared" si="29"/>
        <v/>
      </c>
      <c r="CR30" s="475" t="str">
        <f t="shared" si="29"/>
        <v/>
      </c>
      <c r="CS30" s="475" t="str">
        <f t="shared" si="29"/>
        <v/>
      </c>
      <c r="CT30" s="475" t="str">
        <f t="shared" si="29"/>
        <v/>
      </c>
      <c r="CU30" s="475" t="str">
        <f t="shared" si="29"/>
        <v/>
      </c>
      <c r="CV30" s="475" t="str">
        <f t="shared" si="29"/>
        <v/>
      </c>
      <c r="CW30" s="475" t="str">
        <f t="shared" si="29"/>
        <v/>
      </c>
      <c r="CX30" s="475" t="str">
        <f t="shared" si="29"/>
        <v/>
      </c>
      <c r="CY30" s="475" t="str">
        <f t="shared" si="29"/>
        <v/>
      </c>
      <c r="CZ30" s="495" t="str">
        <f t="shared" si="29"/>
        <v/>
      </c>
      <c r="DA30" s="502"/>
      <c r="DB30" s="460"/>
      <c r="DC30" s="465"/>
      <c r="DD30" s="463"/>
      <c r="DE30" s="512"/>
      <c r="DF30" s="516"/>
      <c r="DG30" s="508"/>
      <c r="DH30" s="463"/>
      <c r="DI30" s="461"/>
      <c r="DJ30" s="461"/>
      <c r="DK30" s="461"/>
      <c r="DL30" s="464"/>
      <c r="DM30" s="466"/>
      <c r="DN30" s="502"/>
      <c r="DO30" s="460"/>
      <c r="DP30" s="464"/>
      <c r="DQ30" s="464"/>
      <c r="DR30" s="464"/>
      <c r="DS30" s="508"/>
      <c r="DT30" s="525"/>
      <c r="DU30" s="525"/>
      <c r="DV30" s="463"/>
      <c r="DW30" s="464"/>
      <c r="DX30" s="465"/>
      <c r="DY30" s="463"/>
      <c r="DZ30" s="464"/>
      <c r="EA30" s="465"/>
      <c r="EB30" s="463"/>
      <c r="EC30" s="465"/>
      <c r="ED30" s="462"/>
      <c r="EE30" s="502"/>
      <c r="EF30" s="463"/>
      <c r="EG30" s="461"/>
      <c r="EH30" s="464"/>
      <c r="EI30" s="464"/>
      <c r="EJ30" s="464"/>
      <c r="EK30" s="464"/>
      <c r="EL30" s="464"/>
      <c r="EM30" s="464"/>
      <c r="EN30" s="464"/>
      <c r="EO30" s="464"/>
      <c r="EP30" s="464"/>
      <c r="EQ30" s="464"/>
      <c r="ER30" s="464"/>
      <c r="ES30" s="464"/>
      <c r="ET30" s="464"/>
      <c r="EU30" s="464"/>
      <c r="EV30" s="464"/>
      <c r="EW30" s="465"/>
      <c r="EX30" s="465"/>
      <c r="EY30" s="502"/>
      <c r="EZ30" s="460"/>
      <c r="FA30" s="464"/>
      <c r="FB30" s="464"/>
      <c r="FC30" s="464"/>
      <c r="FD30" s="464"/>
      <c r="FE30" s="464"/>
      <c r="FF30" s="464"/>
      <c r="FG30" s="466"/>
    </row>
    <row r="31" spans="1:163">
      <c r="A31" s="469" t="s">
        <v>218</v>
      </c>
      <c r="B31" s="471" t="str">
        <f>IF(ISNUMBER(MATCH(A31, 'Pulldown Data'!W:W, 0))=TRUE, "Y", IF(ISNUMBER(MATCH(A31, 'Pulldown Data'!X:X, 0))=TRUE, "M", ""))</f>
        <v/>
      </c>
      <c r="C31" s="442">
        <v>45630</v>
      </c>
      <c r="D31" s="502"/>
      <c r="E31" s="443" t="str">
        <f t="shared" si="20"/>
        <v>NO</v>
      </c>
      <c r="F31" s="444" t="str">
        <f t="shared" si="20"/>
        <v>NO</v>
      </c>
      <c r="G31" s="444" t="str">
        <f t="shared" si="20"/>
        <v>YES</v>
      </c>
      <c r="H31" s="444" t="str">
        <f t="shared" si="20"/>
        <v>YES</v>
      </c>
      <c r="I31" s="444" t="str">
        <f t="shared" si="20"/>
        <v>YES</v>
      </c>
      <c r="J31" s="444" t="str">
        <f t="shared" si="20"/>
        <v>YES</v>
      </c>
      <c r="K31" s="444" t="str">
        <f t="shared" si="20"/>
        <v>NO</v>
      </c>
      <c r="L31" s="444" t="str">
        <f t="shared" si="20"/>
        <v>NO</v>
      </c>
      <c r="M31" s="444" t="str">
        <f t="shared" si="20"/>
        <v>YES</v>
      </c>
      <c r="N31" s="444" t="str">
        <f t="shared" si="20"/>
        <v>NO</v>
      </c>
      <c r="O31" s="444" t="str">
        <f t="shared" si="21"/>
        <v>NO</v>
      </c>
      <c r="P31" s="444" t="str">
        <f t="shared" si="21"/>
        <v>DEP</v>
      </c>
      <c r="Q31" s="444" t="str">
        <f t="shared" si="21"/>
        <v>DEP</v>
      </c>
      <c r="R31" s="444" t="str">
        <f t="shared" si="21"/>
        <v>DEP</v>
      </c>
      <c r="S31" s="444" t="str">
        <f t="shared" si="21"/>
        <v>DEP</v>
      </c>
      <c r="T31" s="444" t="str">
        <f t="shared" si="21"/>
        <v>DEP</v>
      </c>
      <c r="U31" s="444" t="str">
        <f t="shared" si="21"/>
        <v>NO</v>
      </c>
      <c r="V31" s="444" t="str">
        <f t="shared" si="21"/>
        <v>NO</v>
      </c>
      <c r="W31" s="444" t="str">
        <f t="shared" si="21"/>
        <v>YES</v>
      </c>
      <c r="X31" s="444" t="str">
        <f t="shared" si="21"/>
        <v>NO</v>
      </c>
      <c r="Y31" s="444" t="str">
        <f t="shared" si="22"/>
        <v>DEP</v>
      </c>
      <c r="Z31" s="444" t="str">
        <f t="shared" si="22"/>
        <v>NO</v>
      </c>
      <c r="AA31" s="444" t="str">
        <f t="shared" si="22"/>
        <v>NO</v>
      </c>
      <c r="AB31" s="444" t="str">
        <f t="shared" si="22"/>
        <v>NO</v>
      </c>
      <c r="AC31" s="444" t="str">
        <f t="shared" si="22"/>
        <v>NO</v>
      </c>
      <c r="AD31" s="444" t="str">
        <f t="shared" si="22"/>
        <v>NO</v>
      </c>
      <c r="AE31" s="444" t="str">
        <f t="shared" si="22"/>
        <v>NO</v>
      </c>
      <c r="AF31" s="444" t="str">
        <f t="shared" si="22"/>
        <v>YES</v>
      </c>
      <c r="AG31" s="444" t="str">
        <f t="shared" si="22"/>
        <v>YES</v>
      </c>
      <c r="AH31" s="444" t="str">
        <f t="shared" si="22"/>
        <v>YES</v>
      </c>
      <c r="AI31" s="444" t="str">
        <f t="shared" si="23"/>
        <v>NO</v>
      </c>
      <c r="AJ31" s="444" t="str">
        <f t="shared" si="23"/>
        <v>YES</v>
      </c>
      <c r="AK31" s="444" t="str">
        <f t="shared" si="23"/>
        <v>NO</v>
      </c>
      <c r="AL31" s="444" t="str">
        <f t="shared" si="23"/>
        <v>NO</v>
      </c>
      <c r="AM31" s="444" t="str">
        <f t="shared" si="23"/>
        <v>YES</v>
      </c>
      <c r="AN31" s="444" t="str">
        <f t="shared" si="23"/>
        <v>NO</v>
      </c>
      <c r="AO31" s="444" t="str">
        <f t="shared" si="23"/>
        <v>DEP</v>
      </c>
      <c r="AP31" s="444" t="str">
        <f t="shared" si="23"/>
        <v>YES</v>
      </c>
      <c r="AQ31" s="444" t="str">
        <f t="shared" si="23"/>
        <v>DEP</v>
      </c>
      <c r="AR31" s="444" t="str">
        <f t="shared" si="23"/>
        <v>NO</v>
      </c>
      <c r="AS31" s="444" t="str">
        <f t="shared" si="24"/>
        <v>NO</v>
      </c>
      <c r="AT31" s="444" t="str">
        <f t="shared" si="24"/>
        <v>DEP</v>
      </c>
      <c r="AU31" s="444" t="str">
        <f t="shared" si="24"/>
        <v>DEP</v>
      </c>
      <c r="AV31" s="444" t="str">
        <f t="shared" si="24"/>
        <v>DEP</v>
      </c>
      <c r="AW31" s="444" t="str">
        <f t="shared" si="24"/>
        <v>DEP</v>
      </c>
      <c r="AX31" s="444" t="str">
        <f t="shared" si="24"/>
        <v>DEP</v>
      </c>
      <c r="AY31" s="444" t="str">
        <f t="shared" si="24"/>
        <v>YES</v>
      </c>
      <c r="AZ31" s="444" t="str">
        <f t="shared" si="24"/>
        <v>DEP</v>
      </c>
      <c r="BA31" s="444" t="str">
        <f t="shared" si="24"/>
        <v>DEP</v>
      </c>
      <c r="BB31" s="444" t="str">
        <f t="shared" si="24"/>
        <v>NO</v>
      </c>
      <c r="BC31" s="444" t="str">
        <f t="shared" si="25"/>
        <v>NO</v>
      </c>
      <c r="BD31" s="444" t="str">
        <f t="shared" si="25"/>
        <v>YES</v>
      </c>
      <c r="BE31" s="444" t="str">
        <f t="shared" si="25"/>
        <v>NO</v>
      </c>
      <c r="BF31" s="444" t="str">
        <f t="shared" si="25"/>
        <v>NO</v>
      </c>
      <c r="BG31" s="444" t="str">
        <f t="shared" si="25"/>
        <v>NO</v>
      </c>
      <c r="BH31" s="445" t="str">
        <f t="shared" si="25"/>
        <v>NO</v>
      </c>
      <c r="BI31" s="502"/>
      <c r="BJ31" s="474" t="str">
        <f t="shared" si="26"/>
        <v>NO</v>
      </c>
      <c r="BK31" s="475" t="str">
        <f t="shared" si="26"/>
        <v>YES</v>
      </c>
      <c r="BL31" s="475" t="str">
        <f t="shared" si="26"/>
        <v>NO</v>
      </c>
      <c r="BM31" s="475" t="str">
        <f t="shared" si="26"/>
        <v>NO</v>
      </c>
      <c r="BN31" s="475" t="str">
        <f t="shared" si="26"/>
        <v>NO</v>
      </c>
      <c r="BO31" s="475" t="str">
        <f t="shared" si="26"/>
        <v>NO</v>
      </c>
      <c r="BP31" s="475" t="str">
        <f t="shared" si="26"/>
        <v>NO</v>
      </c>
      <c r="BQ31" s="475" t="str">
        <f t="shared" si="26"/>
        <v>NO</v>
      </c>
      <c r="BR31" s="475" t="str">
        <f t="shared" si="26"/>
        <v>YES</v>
      </c>
      <c r="BS31" s="475" t="str">
        <f t="shared" si="26"/>
        <v>NO</v>
      </c>
      <c r="BT31" s="475" t="str">
        <f t="shared" si="27"/>
        <v>NO</v>
      </c>
      <c r="BU31" s="475" t="str">
        <f t="shared" si="27"/>
        <v>NO</v>
      </c>
      <c r="BV31" s="475" t="str">
        <f t="shared" si="27"/>
        <v>NO</v>
      </c>
      <c r="BW31" s="475" t="str">
        <f t="shared" si="27"/>
        <v>NO</v>
      </c>
      <c r="BX31" s="475" t="str">
        <f t="shared" si="27"/>
        <v>NO</v>
      </c>
      <c r="BY31" s="475" t="str">
        <f t="shared" si="27"/>
        <v>NO</v>
      </c>
      <c r="BZ31" s="475" t="str">
        <f t="shared" si="27"/>
        <v>NO</v>
      </c>
      <c r="CA31" s="475" t="str">
        <f t="shared" si="27"/>
        <v>NO</v>
      </c>
      <c r="CB31" s="475" t="str">
        <f t="shared" si="27"/>
        <v>NO</v>
      </c>
      <c r="CC31" s="475" t="str">
        <f t="shared" si="27"/>
        <v>NO</v>
      </c>
      <c r="CD31" s="475" t="str">
        <f t="shared" si="28"/>
        <v>NO</v>
      </c>
      <c r="CE31" s="475" t="str">
        <f t="shared" si="28"/>
        <v>NO</v>
      </c>
      <c r="CF31" s="475" t="str">
        <f t="shared" si="28"/>
        <v>NO</v>
      </c>
      <c r="CG31" s="475" t="str">
        <f t="shared" si="28"/>
        <v>NO</v>
      </c>
      <c r="CH31" s="475" t="str">
        <f t="shared" si="28"/>
        <v>NO</v>
      </c>
      <c r="CI31" s="475" t="str">
        <f t="shared" si="28"/>
        <v>NO</v>
      </c>
      <c r="CJ31" s="475" t="str">
        <f t="shared" si="28"/>
        <v>NO</v>
      </c>
      <c r="CK31" s="475" t="str">
        <f t="shared" si="28"/>
        <v>NO</v>
      </c>
      <c r="CL31" s="475" t="str">
        <f t="shared" si="28"/>
        <v>NO</v>
      </c>
      <c r="CM31" s="475" t="str">
        <f t="shared" si="28"/>
        <v>NO</v>
      </c>
      <c r="CN31" s="475" t="str">
        <f t="shared" si="29"/>
        <v>NO</v>
      </c>
      <c r="CO31" s="475" t="str">
        <f t="shared" si="29"/>
        <v>NO</v>
      </c>
      <c r="CP31" s="475" t="str">
        <f t="shared" si="29"/>
        <v>NO</v>
      </c>
      <c r="CQ31" s="475" t="str">
        <f t="shared" si="29"/>
        <v>NO</v>
      </c>
      <c r="CR31" s="475" t="str">
        <f t="shared" si="29"/>
        <v>NO</v>
      </c>
      <c r="CS31" s="475" t="str">
        <f t="shared" si="29"/>
        <v>NO</v>
      </c>
      <c r="CT31" s="475" t="str">
        <f t="shared" si="29"/>
        <v>NO</v>
      </c>
      <c r="CU31" s="475" t="str">
        <f t="shared" si="29"/>
        <v>NO</v>
      </c>
      <c r="CV31" s="475" t="str">
        <f t="shared" si="29"/>
        <v>NO</v>
      </c>
      <c r="CW31" s="475" t="str">
        <f t="shared" si="29"/>
        <v>NO</v>
      </c>
      <c r="CX31" s="475" t="str">
        <f t="shared" si="29"/>
        <v>NO</v>
      </c>
      <c r="CY31" s="475" t="str">
        <f t="shared" si="29"/>
        <v>NO</v>
      </c>
      <c r="CZ31" s="495" t="str">
        <f t="shared" si="29"/>
        <v>NO</v>
      </c>
      <c r="DA31" s="502"/>
      <c r="DB31" s="460"/>
      <c r="DC31" s="465"/>
      <c r="DD31" s="463"/>
      <c r="DE31" s="512"/>
      <c r="DF31" s="516"/>
      <c r="DG31" s="508"/>
      <c r="DH31" s="463"/>
      <c r="DI31" s="461"/>
      <c r="DJ31" s="461"/>
      <c r="DK31" s="461"/>
      <c r="DL31" s="464"/>
      <c r="DM31" s="466"/>
      <c r="DN31" s="502"/>
      <c r="DO31" s="460"/>
      <c r="DP31" s="464"/>
      <c r="DQ31" s="464"/>
      <c r="DR31" s="464"/>
      <c r="DS31" s="508"/>
      <c r="DT31" s="525"/>
      <c r="DU31" s="525"/>
      <c r="DV31" s="463"/>
      <c r="DW31" s="464"/>
      <c r="DX31" s="465"/>
      <c r="DY31" s="463"/>
      <c r="DZ31" s="464"/>
      <c r="EA31" s="465"/>
      <c r="EB31" s="463"/>
      <c r="EC31" s="465"/>
      <c r="ED31" s="462"/>
      <c r="EE31" s="502"/>
      <c r="EF31" s="463"/>
      <c r="EG31" s="461"/>
      <c r="EH31" s="464"/>
      <c r="EI31" s="464"/>
      <c r="EJ31" s="464"/>
      <c r="EK31" s="464"/>
      <c r="EL31" s="464"/>
      <c r="EM31" s="464"/>
      <c r="EN31" s="464"/>
      <c r="EO31" s="464"/>
      <c r="EP31" s="464"/>
      <c r="EQ31" s="464"/>
      <c r="ER31" s="464"/>
      <c r="ES31" s="464"/>
      <c r="ET31" s="464"/>
      <c r="EU31" s="464"/>
      <c r="EV31" s="464"/>
      <c r="EW31" s="465"/>
      <c r="EX31" s="465"/>
      <c r="EY31" s="502"/>
      <c r="EZ31" s="460"/>
      <c r="FA31" s="464"/>
      <c r="FB31" s="464"/>
      <c r="FC31" s="464"/>
      <c r="FD31" s="464"/>
      <c r="FE31" s="464"/>
      <c r="FF31" s="464"/>
      <c r="FG31" s="466"/>
    </row>
    <row r="32" spans="1:163">
      <c r="A32" s="469" t="s">
        <v>219</v>
      </c>
      <c r="B32" s="471" t="str">
        <f>IF(ISNUMBER(MATCH(A32, 'Pulldown Data'!W:W, 0))=TRUE, "Y", IF(ISNUMBER(MATCH(A32, 'Pulldown Data'!X:X, 0))=TRUE, "M", ""))</f>
        <v/>
      </c>
      <c r="C32" s="504"/>
      <c r="D32" s="502"/>
      <c r="E32" s="443" t="str">
        <f t="shared" ref="E32:N41" si="30" xml:space="preserve">
IFERROR(
_xlfn.IFNA(
   IF($B32="PLT",
      IF(INDEX(PRJGENVersions, MATCH(TRIM(E$1), PRJGENAlgosMapped, 0), MATCH($A32, PRJGENProjects, 0)), "YES", ""),
      IF(INDEX(RoadmapData, MATCH(TRIM(E$1), RoadmapDataFeatures, 0), MATCH($A32, RoadmapDataProjects, 0)) = "-", "-", INDEX(RoadmapData, MATCH(TRIM(E$1), RoadmapDataFeatures, 0), MATCH($A32, RoadmapDataProjects, 0)))),
""),
"")</f>
        <v/>
      </c>
      <c r="F32" s="444" t="str">
        <f t="shared" si="30"/>
        <v/>
      </c>
      <c r="G32" s="444" t="str">
        <f t="shared" si="30"/>
        <v/>
      </c>
      <c r="H32" s="444" t="str">
        <f t="shared" si="30"/>
        <v/>
      </c>
      <c r="I32" s="444" t="str">
        <f t="shared" si="30"/>
        <v/>
      </c>
      <c r="J32" s="444" t="str">
        <f t="shared" si="30"/>
        <v/>
      </c>
      <c r="K32" s="444" t="str">
        <f t="shared" si="30"/>
        <v/>
      </c>
      <c r="L32" s="444" t="str">
        <f t="shared" si="30"/>
        <v/>
      </c>
      <c r="M32" s="444" t="str">
        <f t="shared" si="30"/>
        <v/>
      </c>
      <c r="N32" s="444" t="str">
        <f t="shared" si="30"/>
        <v/>
      </c>
      <c r="O32" s="444" t="str">
        <f t="shared" ref="O32:X41" si="31" xml:space="preserve">
IFERROR(
_xlfn.IFNA(
   IF($B32="PLT",
      IF(INDEX(PRJGENVersions, MATCH(TRIM(O$1), PRJGENAlgosMapped, 0), MATCH($A32, PRJGENProjects, 0)), "YES", ""),
      IF(INDEX(RoadmapData, MATCH(TRIM(O$1), RoadmapDataFeatures, 0), MATCH($A32, RoadmapDataProjects, 0)) = "-", "-", INDEX(RoadmapData, MATCH(TRIM(O$1), RoadmapDataFeatures, 0), MATCH($A32, RoadmapDataProjects, 0)))),
""),
"")</f>
        <v/>
      </c>
      <c r="P32" s="444" t="str">
        <f t="shared" si="31"/>
        <v/>
      </c>
      <c r="Q32" s="444" t="str">
        <f t="shared" si="31"/>
        <v/>
      </c>
      <c r="R32" s="444" t="str">
        <f t="shared" si="31"/>
        <v/>
      </c>
      <c r="S32" s="444" t="str">
        <f t="shared" si="31"/>
        <v/>
      </c>
      <c r="T32" s="444" t="str">
        <f t="shared" si="31"/>
        <v/>
      </c>
      <c r="U32" s="444" t="str">
        <f t="shared" si="31"/>
        <v/>
      </c>
      <c r="V32" s="444" t="str">
        <f t="shared" si="31"/>
        <v/>
      </c>
      <c r="W32" s="444" t="str">
        <f t="shared" si="31"/>
        <v/>
      </c>
      <c r="X32" s="444" t="str">
        <f t="shared" si="31"/>
        <v/>
      </c>
      <c r="Y32" s="444" t="str">
        <f t="shared" ref="Y32:AH41" si="32" xml:space="preserve">
IFERROR(
_xlfn.IFNA(
   IF($B32="PLT",
      IF(INDEX(PRJGENVersions, MATCH(TRIM(Y$1), PRJGENAlgosMapped, 0), MATCH($A32, PRJGENProjects, 0)), "YES", ""),
      IF(INDEX(RoadmapData, MATCH(TRIM(Y$1), RoadmapDataFeatures, 0), MATCH($A32, RoadmapDataProjects, 0)) = "-", "-", INDEX(RoadmapData, MATCH(TRIM(Y$1), RoadmapDataFeatures, 0), MATCH($A32, RoadmapDataProjects, 0)))),
""),
"")</f>
        <v/>
      </c>
      <c r="Z32" s="444" t="str">
        <f t="shared" si="32"/>
        <v/>
      </c>
      <c r="AA32" s="444" t="str">
        <f t="shared" si="32"/>
        <v/>
      </c>
      <c r="AB32" s="444" t="str">
        <f t="shared" si="32"/>
        <v/>
      </c>
      <c r="AC32" s="444" t="str">
        <f t="shared" si="32"/>
        <v/>
      </c>
      <c r="AD32" s="444" t="str">
        <f t="shared" si="32"/>
        <v/>
      </c>
      <c r="AE32" s="444" t="str">
        <f t="shared" si="32"/>
        <v/>
      </c>
      <c r="AF32" s="444" t="str">
        <f t="shared" si="32"/>
        <v/>
      </c>
      <c r="AG32" s="444" t="str">
        <f t="shared" si="32"/>
        <v/>
      </c>
      <c r="AH32" s="444" t="str">
        <f t="shared" si="32"/>
        <v/>
      </c>
      <c r="AI32" s="444" t="str">
        <f t="shared" ref="AI32:AR41" si="33" xml:space="preserve">
IFERROR(
_xlfn.IFNA(
   IF($B32="PLT",
      IF(INDEX(PRJGENVersions, MATCH(TRIM(AI$1), PRJGENAlgosMapped, 0), MATCH($A32, PRJGENProjects, 0)), "YES", ""),
      IF(INDEX(RoadmapData, MATCH(TRIM(AI$1), RoadmapDataFeatures, 0), MATCH($A32, RoadmapDataProjects, 0)) = "-", "-", INDEX(RoadmapData, MATCH(TRIM(AI$1), RoadmapDataFeatures, 0), MATCH($A32, RoadmapDataProjects, 0)))),
""),
"")</f>
        <v/>
      </c>
      <c r="AJ32" s="444" t="str">
        <f t="shared" si="33"/>
        <v/>
      </c>
      <c r="AK32" s="444" t="str">
        <f t="shared" si="33"/>
        <v/>
      </c>
      <c r="AL32" s="444" t="str">
        <f t="shared" si="33"/>
        <v/>
      </c>
      <c r="AM32" s="444" t="str">
        <f t="shared" si="33"/>
        <v/>
      </c>
      <c r="AN32" s="444" t="str">
        <f t="shared" si="33"/>
        <v/>
      </c>
      <c r="AO32" s="444" t="str">
        <f t="shared" si="33"/>
        <v/>
      </c>
      <c r="AP32" s="444" t="str">
        <f t="shared" si="33"/>
        <v/>
      </c>
      <c r="AQ32" s="444" t="str">
        <f t="shared" si="33"/>
        <v/>
      </c>
      <c r="AR32" s="444" t="str">
        <f t="shared" si="33"/>
        <v/>
      </c>
      <c r="AS32" s="444" t="str">
        <f t="shared" ref="AS32:BB41" si="34" xml:space="preserve">
IFERROR(
_xlfn.IFNA(
   IF($B32="PLT",
      IF(INDEX(PRJGENVersions, MATCH(TRIM(AS$1), PRJGENAlgosMapped, 0), MATCH($A32, PRJGENProjects, 0)), "YES", ""),
      IF(INDEX(RoadmapData, MATCH(TRIM(AS$1), RoadmapDataFeatures, 0), MATCH($A32, RoadmapDataProjects, 0)) = "-", "-", INDEX(RoadmapData, MATCH(TRIM(AS$1), RoadmapDataFeatures, 0), MATCH($A32, RoadmapDataProjects, 0)))),
""),
"")</f>
        <v/>
      </c>
      <c r="AT32" s="444" t="str">
        <f t="shared" si="34"/>
        <v/>
      </c>
      <c r="AU32" s="444" t="str">
        <f t="shared" si="34"/>
        <v/>
      </c>
      <c r="AV32" s="444" t="str">
        <f t="shared" si="34"/>
        <v/>
      </c>
      <c r="AW32" s="444" t="str">
        <f t="shared" si="34"/>
        <v/>
      </c>
      <c r="AX32" s="444" t="str">
        <f t="shared" si="34"/>
        <v/>
      </c>
      <c r="AY32" s="444" t="str">
        <f t="shared" si="34"/>
        <v/>
      </c>
      <c r="AZ32" s="444" t="str">
        <f t="shared" si="34"/>
        <v/>
      </c>
      <c r="BA32" s="444" t="str">
        <f t="shared" si="34"/>
        <v/>
      </c>
      <c r="BB32" s="444" t="str">
        <f t="shared" si="34"/>
        <v/>
      </c>
      <c r="BC32" s="444" t="str">
        <f t="shared" ref="BC32:BH41" si="35" xml:space="preserve">
IFERROR(
_xlfn.IFNA(
   IF($B32="PLT",
      IF(INDEX(PRJGENVersions, MATCH(TRIM(BC$1), PRJGENAlgosMapped, 0), MATCH($A32, PRJGENProjects, 0)), "YES", ""),
      IF(INDEX(RoadmapData, MATCH(TRIM(BC$1), RoadmapDataFeatures, 0), MATCH($A32, RoadmapDataProjects, 0)) = "-", "-", INDEX(RoadmapData, MATCH(TRIM(BC$1), RoadmapDataFeatures, 0), MATCH($A32, RoadmapDataProjects, 0)))),
""),
"")</f>
        <v/>
      </c>
      <c r="BD32" s="444" t="str">
        <f t="shared" si="35"/>
        <v/>
      </c>
      <c r="BE32" s="444" t="str">
        <f t="shared" si="35"/>
        <v/>
      </c>
      <c r="BF32" s="444" t="str">
        <f t="shared" si="35"/>
        <v/>
      </c>
      <c r="BG32" s="444" t="str">
        <f t="shared" si="35"/>
        <v/>
      </c>
      <c r="BH32" s="445" t="str">
        <f t="shared" si="35"/>
        <v/>
      </c>
      <c r="BI32" s="502"/>
      <c r="BJ32" s="474" t="str">
        <f t="shared" ref="BJ32:BS41" si="36">_xlfn.IFNA(IF(INDEX(RoadmapData, MATCH(TRIM(BJ$1), RoadmapDataFeatures, 0), MATCH($A32, RoadmapDataProjects, 0)) = "-", "-", INDEX(RoadmapData, MATCH(TRIM(BJ$1), RoadmapDataFeatures, 0), MATCH($A32, RoadmapDataProjects, 0))), "")</f>
        <v/>
      </c>
      <c r="BK32" s="475" t="str">
        <f t="shared" si="36"/>
        <v/>
      </c>
      <c r="BL32" s="475" t="str">
        <f t="shared" si="36"/>
        <v/>
      </c>
      <c r="BM32" s="475" t="str">
        <f t="shared" si="36"/>
        <v/>
      </c>
      <c r="BN32" s="475" t="str">
        <f t="shared" si="36"/>
        <v/>
      </c>
      <c r="BO32" s="475" t="str">
        <f t="shared" si="36"/>
        <v/>
      </c>
      <c r="BP32" s="475" t="str">
        <f t="shared" si="36"/>
        <v/>
      </c>
      <c r="BQ32" s="475" t="str">
        <f t="shared" si="36"/>
        <v/>
      </c>
      <c r="BR32" s="475" t="str">
        <f t="shared" si="36"/>
        <v/>
      </c>
      <c r="BS32" s="475" t="str">
        <f t="shared" si="36"/>
        <v/>
      </c>
      <c r="BT32" s="475" t="str">
        <f t="shared" ref="BT32:CC41" si="37">_xlfn.IFNA(IF(INDEX(RoadmapData, MATCH(TRIM(BT$1), RoadmapDataFeatures, 0), MATCH($A32, RoadmapDataProjects, 0)) = "-", "-", INDEX(RoadmapData, MATCH(TRIM(BT$1), RoadmapDataFeatures, 0), MATCH($A32, RoadmapDataProjects, 0))), "")</f>
        <v/>
      </c>
      <c r="BU32" s="475" t="str">
        <f t="shared" si="37"/>
        <v/>
      </c>
      <c r="BV32" s="475" t="str">
        <f t="shared" si="37"/>
        <v/>
      </c>
      <c r="BW32" s="475" t="str">
        <f t="shared" si="37"/>
        <v/>
      </c>
      <c r="BX32" s="475" t="str">
        <f t="shared" si="37"/>
        <v/>
      </c>
      <c r="BY32" s="475" t="str">
        <f t="shared" si="37"/>
        <v/>
      </c>
      <c r="BZ32" s="475" t="str">
        <f t="shared" si="37"/>
        <v/>
      </c>
      <c r="CA32" s="475" t="str">
        <f t="shared" si="37"/>
        <v/>
      </c>
      <c r="CB32" s="475" t="str">
        <f t="shared" si="37"/>
        <v/>
      </c>
      <c r="CC32" s="475" t="str">
        <f t="shared" si="37"/>
        <v/>
      </c>
      <c r="CD32" s="475" t="str">
        <f t="shared" ref="CD32:CM41" si="38">_xlfn.IFNA(IF(INDEX(RoadmapData, MATCH(TRIM(CD$1), RoadmapDataFeatures, 0), MATCH($A32, RoadmapDataProjects, 0)) = "-", "-", INDEX(RoadmapData, MATCH(TRIM(CD$1), RoadmapDataFeatures, 0), MATCH($A32, RoadmapDataProjects, 0))), "")</f>
        <v/>
      </c>
      <c r="CE32" s="475" t="str">
        <f t="shared" si="38"/>
        <v/>
      </c>
      <c r="CF32" s="475" t="str">
        <f t="shared" si="38"/>
        <v/>
      </c>
      <c r="CG32" s="475" t="str">
        <f t="shared" si="38"/>
        <v/>
      </c>
      <c r="CH32" s="475" t="str">
        <f t="shared" si="38"/>
        <v/>
      </c>
      <c r="CI32" s="475" t="str">
        <f t="shared" si="38"/>
        <v/>
      </c>
      <c r="CJ32" s="475" t="str">
        <f t="shared" si="38"/>
        <v/>
      </c>
      <c r="CK32" s="475" t="str">
        <f t="shared" si="38"/>
        <v/>
      </c>
      <c r="CL32" s="475" t="str">
        <f t="shared" si="38"/>
        <v/>
      </c>
      <c r="CM32" s="475" t="str">
        <f t="shared" si="38"/>
        <v/>
      </c>
      <c r="CN32" s="475" t="str">
        <f t="shared" ref="CN32:CZ41" si="39">_xlfn.IFNA(IF(INDEX(RoadmapData, MATCH(TRIM(CN$1), RoadmapDataFeatures, 0), MATCH($A32, RoadmapDataProjects, 0)) = "-", "-", INDEX(RoadmapData, MATCH(TRIM(CN$1), RoadmapDataFeatures, 0), MATCH($A32, RoadmapDataProjects, 0))), "")</f>
        <v/>
      </c>
      <c r="CO32" s="475" t="str">
        <f t="shared" si="39"/>
        <v/>
      </c>
      <c r="CP32" s="475" t="str">
        <f t="shared" si="39"/>
        <v/>
      </c>
      <c r="CQ32" s="475" t="str">
        <f t="shared" si="39"/>
        <v/>
      </c>
      <c r="CR32" s="475" t="str">
        <f t="shared" si="39"/>
        <v/>
      </c>
      <c r="CS32" s="475" t="str">
        <f t="shared" si="39"/>
        <v/>
      </c>
      <c r="CT32" s="475" t="str">
        <f t="shared" si="39"/>
        <v/>
      </c>
      <c r="CU32" s="475" t="str">
        <f t="shared" si="39"/>
        <v/>
      </c>
      <c r="CV32" s="475" t="str">
        <f t="shared" si="39"/>
        <v/>
      </c>
      <c r="CW32" s="475" t="str">
        <f t="shared" si="39"/>
        <v/>
      </c>
      <c r="CX32" s="475" t="str">
        <f t="shared" si="39"/>
        <v/>
      </c>
      <c r="CY32" s="475" t="str">
        <f t="shared" si="39"/>
        <v/>
      </c>
      <c r="CZ32" s="495" t="str">
        <f t="shared" si="39"/>
        <v/>
      </c>
      <c r="DA32" s="502"/>
      <c r="DB32" s="460"/>
      <c r="DC32" s="465"/>
      <c r="DD32" s="463"/>
      <c r="DE32" s="512"/>
      <c r="DF32" s="516"/>
      <c r="DG32" s="508"/>
      <c r="DH32" s="463"/>
      <c r="DI32" s="461"/>
      <c r="DJ32" s="461"/>
      <c r="DK32" s="461"/>
      <c r="DL32" s="464"/>
      <c r="DM32" s="466"/>
      <c r="DN32" s="502"/>
      <c r="DO32" s="460"/>
      <c r="DP32" s="464"/>
      <c r="DQ32" s="464"/>
      <c r="DR32" s="464"/>
      <c r="DS32" s="508"/>
      <c r="DT32" s="525"/>
      <c r="DU32" s="525"/>
      <c r="DV32" s="463"/>
      <c r="DW32" s="464"/>
      <c r="DX32" s="465"/>
      <c r="DY32" s="463"/>
      <c r="DZ32" s="464"/>
      <c r="EA32" s="465"/>
      <c r="EB32" s="463"/>
      <c r="EC32" s="465"/>
      <c r="ED32" s="462"/>
      <c r="EE32" s="502"/>
      <c r="EF32" s="463"/>
      <c r="EG32" s="461"/>
      <c r="EH32" s="464"/>
      <c r="EI32" s="464"/>
      <c r="EJ32" s="464"/>
      <c r="EK32" s="464"/>
      <c r="EL32" s="464"/>
      <c r="EM32" s="464"/>
      <c r="EN32" s="464"/>
      <c r="EO32" s="464"/>
      <c r="EP32" s="464"/>
      <c r="EQ32" s="464"/>
      <c r="ER32" s="464"/>
      <c r="ES32" s="464"/>
      <c r="ET32" s="464"/>
      <c r="EU32" s="464"/>
      <c r="EV32" s="464"/>
      <c r="EW32" s="465"/>
      <c r="EX32" s="465"/>
      <c r="EY32" s="502"/>
      <c r="EZ32" s="460"/>
      <c r="FA32" s="464"/>
      <c r="FB32" s="464"/>
      <c r="FC32" s="464"/>
      <c r="FD32" s="464"/>
      <c r="FE32" s="464"/>
      <c r="FF32" s="464"/>
      <c r="FG32" s="466"/>
    </row>
    <row r="33" spans="1:163">
      <c r="A33" s="469" t="s">
        <v>220</v>
      </c>
      <c r="B33" s="471" t="str">
        <f>IF(ISNUMBER(MATCH(A33, 'Pulldown Data'!W:W, 0))=TRUE, "Y", IF(ISNUMBER(MATCH(A33, 'Pulldown Data'!X:X, 0))=TRUE, "M", ""))</f>
        <v/>
      </c>
      <c r="C33" s="504"/>
      <c r="D33" s="502"/>
      <c r="E33" s="443" t="str">
        <f t="shared" si="30"/>
        <v/>
      </c>
      <c r="F33" s="444" t="str">
        <f t="shared" si="30"/>
        <v/>
      </c>
      <c r="G33" s="444" t="str">
        <f t="shared" si="30"/>
        <v/>
      </c>
      <c r="H33" s="444" t="str">
        <f t="shared" si="30"/>
        <v/>
      </c>
      <c r="I33" s="444" t="str">
        <f t="shared" si="30"/>
        <v/>
      </c>
      <c r="J33" s="444" t="str">
        <f t="shared" si="30"/>
        <v/>
      </c>
      <c r="K33" s="444" t="str">
        <f t="shared" si="30"/>
        <v/>
      </c>
      <c r="L33" s="444" t="str">
        <f t="shared" si="30"/>
        <v/>
      </c>
      <c r="M33" s="444" t="str">
        <f t="shared" si="30"/>
        <v/>
      </c>
      <c r="N33" s="444" t="str">
        <f t="shared" si="30"/>
        <v/>
      </c>
      <c r="O33" s="444" t="str">
        <f t="shared" si="31"/>
        <v/>
      </c>
      <c r="P33" s="444" t="str">
        <f t="shared" si="31"/>
        <v/>
      </c>
      <c r="Q33" s="444" t="str">
        <f t="shared" si="31"/>
        <v/>
      </c>
      <c r="R33" s="444" t="str">
        <f t="shared" si="31"/>
        <v/>
      </c>
      <c r="S33" s="444" t="str">
        <f t="shared" si="31"/>
        <v/>
      </c>
      <c r="T33" s="444" t="str">
        <f t="shared" si="31"/>
        <v/>
      </c>
      <c r="U33" s="444" t="str">
        <f t="shared" si="31"/>
        <v/>
      </c>
      <c r="V33" s="444" t="str">
        <f t="shared" si="31"/>
        <v/>
      </c>
      <c r="W33" s="444" t="str">
        <f t="shared" si="31"/>
        <v/>
      </c>
      <c r="X33" s="444" t="str">
        <f t="shared" si="31"/>
        <v/>
      </c>
      <c r="Y33" s="444" t="str">
        <f t="shared" si="32"/>
        <v/>
      </c>
      <c r="Z33" s="444" t="str">
        <f t="shared" si="32"/>
        <v/>
      </c>
      <c r="AA33" s="444" t="str">
        <f t="shared" si="32"/>
        <v/>
      </c>
      <c r="AB33" s="444" t="str">
        <f t="shared" si="32"/>
        <v/>
      </c>
      <c r="AC33" s="444" t="str">
        <f t="shared" si="32"/>
        <v/>
      </c>
      <c r="AD33" s="444" t="str">
        <f t="shared" si="32"/>
        <v/>
      </c>
      <c r="AE33" s="444" t="str">
        <f t="shared" si="32"/>
        <v/>
      </c>
      <c r="AF33" s="444" t="str">
        <f t="shared" si="32"/>
        <v/>
      </c>
      <c r="AG33" s="444" t="str">
        <f t="shared" si="32"/>
        <v/>
      </c>
      <c r="AH33" s="444" t="str">
        <f t="shared" si="32"/>
        <v/>
      </c>
      <c r="AI33" s="444" t="str">
        <f t="shared" si="33"/>
        <v/>
      </c>
      <c r="AJ33" s="444" t="str">
        <f t="shared" si="33"/>
        <v/>
      </c>
      <c r="AK33" s="444" t="str">
        <f t="shared" si="33"/>
        <v/>
      </c>
      <c r="AL33" s="444" t="str">
        <f t="shared" si="33"/>
        <v/>
      </c>
      <c r="AM33" s="444" t="str">
        <f t="shared" si="33"/>
        <v/>
      </c>
      <c r="AN33" s="444" t="str">
        <f t="shared" si="33"/>
        <v/>
      </c>
      <c r="AO33" s="444" t="str">
        <f t="shared" si="33"/>
        <v/>
      </c>
      <c r="AP33" s="444" t="str">
        <f t="shared" si="33"/>
        <v/>
      </c>
      <c r="AQ33" s="444" t="str">
        <f t="shared" si="33"/>
        <v/>
      </c>
      <c r="AR33" s="444" t="str">
        <f t="shared" si="33"/>
        <v/>
      </c>
      <c r="AS33" s="444" t="str">
        <f t="shared" si="34"/>
        <v/>
      </c>
      <c r="AT33" s="444" t="str">
        <f t="shared" si="34"/>
        <v/>
      </c>
      <c r="AU33" s="444" t="str">
        <f t="shared" si="34"/>
        <v/>
      </c>
      <c r="AV33" s="444" t="str">
        <f t="shared" si="34"/>
        <v/>
      </c>
      <c r="AW33" s="444" t="str">
        <f t="shared" si="34"/>
        <v/>
      </c>
      <c r="AX33" s="444" t="str">
        <f t="shared" si="34"/>
        <v/>
      </c>
      <c r="AY33" s="444" t="str">
        <f t="shared" si="34"/>
        <v/>
      </c>
      <c r="AZ33" s="444" t="str">
        <f t="shared" si="34"/>
        <v/>
      </c>
      <c r="BA33" s="444" t="str">
        <f t="shared" si="34"/>
        <v/>
      </c>
      <c r="BB33" s="444" t="str">
        <f t="shared" si="34"/>
        <v/>
      </c>
      <c r="BC33" s="444" t="str">
        <f t="shared" si="35"/>
        <v/>
      </c>
      <c r="BD33" s="444" t="str">
        <f t="shared" si="35"/>
        <v/>
      </c>
      <c r="BE33" s="444" t="str">
        <f t="shared" si="35"/>
        <v/>
      </c>
      <c r="BF33" s="444" t="str">
        <f t="shared" si="35"/>
        <v/>
      </c>
      <c r="BG33" s="444" t="str">
        <f t="shared" si="35"/>
        <v/>
      </c>
      <c r="BH33" s="445" t="str">
        <f t="shared" si="35"/>
        <v/>
      </c>
      <c r="BI33" s="502"/>
      <c r="BJ33" s="474" t="str">
        <f t="shared" si="36"/>
        <v/>
      </c>
      <c r="BK33" s="475" t="str">
        <f t="shared" si="36"/>
        <v/>
      </c>
      <c r="BL33" s="475" t="str">
        <f t="shared" si="36"/>
        <v/>
      </c>
      <c r="BM33" s="475" t="str">
        <f t="shared" si="36"/>
        <v/>
      </c>
      <c r="BN33" s="475" t="str">
        <f t="shared" si="36"/>
        <v/>
      </c>
      <c r="BO33" s="475" t="str">
        <f t="shared" si="36"/>
        <v/>
      </c>
      <c r="BP33" s="475" t="str">
        <f t="shared" si="36"/>
        <v/>
      </c>
      <c r="BQ33" s="475" t="str">
        <f t="shared" si="36"/>
        <v/>
      </c>
      <c r="BR33" s="475" t="str">
        <f t="shared" si="36"/>
        <v/>
      </c>
      <c r="BS33" s="475" t="str">
        <f t="shared" si="36"/>
        <v/>
      </c>
      <c r="BT33" s="475" t="str">
        <f t="shared" si="37"/>
        <v/>
      </c>
      <c r="BU33" s="475" t="str">
        <f t="shared" si="37"/>
        <v/>
      </c>
      <c r="BV33" s="475" t="str">
        <f t="shared" si="37"/>
        <v/>
      </c>
      <c r="BW33" s="475" t="str">
        <f t="shared" si="37"/>
        <v/>
      </c>
      <c r="BX33" s="475" t="str">
        <f t="shared" si="37"/>
        <v/>
      </c>
      <c r="BY33" s="475" t="str">
        <f t="shared" si="37"/>
        <v/>
      </c>
      <c r="BZ33" s="475" t="str">
        <f t="shared" si="37"/>
        <v/>
      </c>
      <c r="CA33" s="475" t="str">
        <f t="shared" si="37"/>
        <v/>
      </c>
      <c r="CB33" s="475" t="str">
        <f t="shared" si="37"/>
        <v/>
      </c>
      <c r="CC33" s="475" t="str">
        <f t="shared" si="37"/>
        <v/>
      </c>
      <c r="CD33" s="475" t="str">
        <f t="shared" si="38"/>
        <v/>
      </c>
      <c r="CE33" s="475" t="str">
        <f t="shared" si="38"/>
        <v/>
      </c>
      <c r="CF33" s="475" t="str">
        <f t="shared" si="38"/>
        <v/>
      </c>
      <c r="CG33" s="475" t="str">
        <f t="shared" si="38"/>
        <v/>
      </c>
      <c r="CH33" s="475" t="str">
        <f t="shared" si="38"/>
        <v/>
      </c>
      <c r="CI33" s="475" t="str">
        <f t="shared" si="38"/>
        <v/>
      </c>
      <c r="CJ33" s="475" t="str">
        <f t="shared" si="38"/>
        <v/>
      </c>
      <c r="CK33" s="475" t="str">
        <f t="shared" si="38"/>
        <v/>
      </c>
      <c r="CL33" s="475" t="str">
        <f t="shared" si="38"/>
        <v/>
      </c>
      <c r="CM33" s="475" t="str">
        <f t="shared" si="38"/>
        <v/>
      </c>
      <c r="CN33" s="475" t="str">
        <f t="shared" si="39"/>
        <v/>
      </c>
      <c r="CO33" s="475" t="str">
        <f t="shared" si="39"/>
        <v/>
      </c>
      <c r="CP33" s="475" t="str">
        <f t="shared" si="39"/>
        <v/>
      </c>
      <c r="CQ33" s="475" t="str">
        <f t="shared" si="39"/>
        <v/>
      </c>
      <c r="CR33" s="475" t="str">
        <f t="shared" si="39"/>
        <v/>
      </c>
      <c r="CS33" s="475" t="str">
        <f t="shared" si="39"/>
        <v/>
      </c>
      <c r="CT33" s="475" t="str">
        <f t="shared" si="39"/>
        <v/>
      </c>
      <c r="CU33" s="475" t="str">
        <f t="shared" si="39"/>
        <v/>
      </c>
      <c r="CV33" s="475" t="str">
        <f t="shared" si="39"/>
        <v/>
      </c>
      <c r="CW33" s="475" t="str">
        <f t="shared" si="39"/>
        <v/>
      </c>
      <c r="CX33" s="475" t="str">
        <f t="shared" si="39"/>
        <v/>
      </c>
      <c r="CY33" s="475" t="str">
        <f t="shared" si="39"/>
        <v/>
      </c>
      <c r="CZ33" s="495" t="str">
        <f t="shared" si="39"/>
        <v/>
      </c>
      <c r="DA33" s="502"/>
      <c r="DB33" s="460"/>
      <c r="DC33" s="465"/>
      <c r="DD33" s="463"/>
      <c r="DE33" s="512"/>
      <c r="DF33" s="516"/>
      <c r="DG33" s="508"/>
      <c r="DH33" s="463"/>
      <c r="DI33" s="461"/>
      <c r="DJ33" s="461"/>
      <c r="DK33" s="461"/>
      <c r="DL33" s="464"/>
      <c r="DM33" s="466"/>
      <c r="DN33" s="502"/>
      <c r="DO33" s="460"/>
      <c r="DP33" s="464"/>
      <c r="DQ33" s="464"/>
      <c r="DR33" s="464"/>
      <c r="DS33" s="508"/>
      <c r="DT33" s="525"/>
      <c r="DU33" s="525"/>
      <c r="DV33" s="463"/>
      <c r="DW33" s="464"/>
      <c r="DX33" s="465"/>
      <c r="DY33" s="463"/>
      <c r="DZ33" s="464"/>
      <c r="EA33" s="465"/>
      <c r="EB33" s="463"/>
      <c r="EC33" s="465"/>
      <c r="ED33" s="462"/>
      <c r="EE33" s="502"/>
      <c r="EF33" s="463"/>
      <c r="EG33" s="461"/>
      <c r="EH33" s="464"/>
      <c r="EI33" s="464"/>
      <c r="EJ33" s="464"/>
      <c r="EK33" s="464"/>
      <c r="EL33" s="464"/>
      <c r="EM33" s="464"/>
      <c r="EN33" s="464"/>
      <c r="EO33" s="464"/>
      <c r="EP33" s="464"/>
      <c r="EQ33" s="464"/>
      <c r="ER33" s="464"/>
      <c r="ES33" s="464"/>
      <c r="ET33" s="464"/>
      <c r="EU33" s="464"/>
      <c r="EV33" s="464"/>
      <c r="EW33" s="465"/>
      <c r="EX33" s="465"/>
      <c r="EY33" s="502"/>
      <c r="EZ33" s="460"/>
      <c r="FA33" s="464"/>
      <c r="FB33" s="464"/>
      <c r="FC33" s="464"/>
      <c r="FD33" s="464"/>
      <c r="FE33" s="464"/>
      <c r="FF33" s="464"/>
      <c r="FG33" s="466"/>
    </row>
    <row r="34" spans="1:163">
      <c r="A34" s="467" t="s">
        <v>221</v>
      </c>
      <c r="B34" s="471" t="str">
        <f>IF(ISNUMBER(MATCH(A34, 'Pulldown Data'!W:W, 0))=TRUE, "Y", IF(ISNUMBER(MATCH(A34, 'Pulldown Data'!X:X, 0))=TRUE, "M", ""))</f>
        <v/>
      </c>
      <c r="C34" s="504">
        <v>45630</v>
      </c>
      <c r="D34" s="502"/>
      <c r="E34" s="443" t="str">
        <f t="shared" si="30"/>
        <v>NO</v>
      </c>
      <c r="F34" s="444" t="str">
        <f t="shared" si="30"/>
        <v>NO</v>
      </c>
      <c r="G34" s="444" t="str">
        <f t="shared" si="30"/>
        <v>YES</v>
      </c>
      <c r="H34" s="444" t="str">
        <f t="shared" si="30"/>
        <v>YES</v>
      </c>
      <c r="I34" s="444" t="str">
        <f t="shared" si="30"/>
        <v>NO</v>
      </c>
      <c r="J34" s="444" t="str">
        <f t="shared" si="30"/>
        <v>NO</v>
      </c>
      <c r="K34" s="444" t="str">
        <f t="shared" si="30"/>
        <v>NO</v>
      </c>
      <c r="L34" s="444" t="str">
        <f t="shared" si="30"/>
        <v>NO</v>
      </c>
      <c r="M34" s="444" t="str">
        <f t="shared" si="30"/>
        <v>NO</v>
      </c>
      <c r="N34" s="444" t="str">
        <f t="shared" si="30"/>
        <v>NO</v>
      </c>
      <c r="O34" s="444" t="str">
        <f t="shared" si="31"/>
        <v>NO</v>
      </c>
      <c r="P34" s="444" t="str">
        <f t="shared" si="31"/>
        <v>DEP</v>
      </c>
      <c r="Q34" s="444" t="str">
        <f t="shared" si="31"/>
        <v>DEP</v>
      </c>
      <c r="R34" s="444" t="str">
        <f t="shared" si="31"/>
        <v>DEP</v>
      </c>
      <c r="S34" s="444" t="str">
        <f t="shared" si="31"/>
        <v>DEP</v>
      </c>
      <c r="T34" s="444" t="str">
        <f t="shared" si="31"/>
        <v>DEP</v>
      </c>
      <c r="U34" s="444" t="str">
        <f t="shared" si="31"/>
        <v>NO</v>
      </c>
      <c r="V34" s="444" t="str">
        <f t="shared" si="31"/>
        <v>NO</v>
      </c>
      <c r="W34" s="444" t="str">
        <f t="shared" si="31"/>
        <v>YES</v>
      </c>
      <c r="X34" s="444" t="str">
        <f t="shared" si="31"/>
        <v>NO</v>
      </c>
      <c r="Y34" s="444" t="str">
        <f t="shared" si="32"/>
        <v>DEP</v>
      </c>
      <c r="Z34" s="444" t="str">
        <f t="shared" si="32"/>
        <v>NO</v>
      </c>
      <c r="AA34" s="444" t="str">
        <f t="shared" si="32"/>
        <v>NO</v>
      </c>
      <c r="AB34" s="444" t="str">
        <f t="shared" si="32"/>
        <v>NO</v>
      </c>
      <c r="AC34" s="444" t="str">
        <f t="shared" si="32"/>
        <v>NO</v>
      </c>
      <c r="AD34" s="444" t="str">
        <f t="shared" si="32"/>
        <v>NO</v>
      </c>
      <c r="AE34" s="444" t="str">
        <f t="shared" si="32"/>
        <v>NO</v>
      </c>
      <c r="AF34" s="444" t="str">
        <f t="shared" si="32"/>
        <v>NO</v>
      </c>
      <c r="AG34" s="444" t="str">
        <f t="shared" si="32"/>
        <v>NO</v>
      </c>
      <c r="AH34" s="444" t="str">
        <f t="shared" si="32"/>
        <v>NO</v>
      </c>
      <c r="AI34" s="444" t="str">
        <f t="shared" si="33"/>
        <v>NO</v>
      </c>
      <c r="AJ34" s="444" t="str">
        <f t="shared" si="33"/>
        <v>NO</v>
      </c>
      <c r="AK34" s="444" t="str">
        <f t="shared" si="33"/>
        <v>NO</v>
      </c>
      <c r="AL34" s="444" t="str">
        <f t="shared" si="33"/>
        <v>NO</v>
      </c>
      <c r="AM34" s="444" t="str">
        <f t="shared" si="33"/>
        <v>NO</v>
      </c>
      <c r="AN34" s="444" t="str">
        <f t="shared" si="33"/>
        <v>NO</v>
      </c>
      <c r="AO34" s="444" t="str">
        <f t="shared" si="33"/>
        <v>NO</v>
      </c>
      <c r="AP34" s="444" t="str">
        <f t="shared" si="33"/>
        <v>YES</v>
      </c>
      <c r="AQ34" s="444" t="str">
        <f t="shared" si="33"/>
        <v>NO</v>
      </c>
      <c r="AR34" s="444" t="str">
        <f t="shared" si="33"/>
        <v>NO</v>
      </c>
      <c r="AS34" s="444" t="str">
        <f t="shared" si="34"/>
        <v>NO</v>
      </c>
      <c r="AT34" s="444" t="str">
        <f t="shared" si="34"/>
        <v>DEP</v>
      </c>
      <c r="AU34" s="444" t="str">
        <f t="shared" si="34"/>
        <v>DEP</v>
      </c>
      <c r="AV34" s="444" t="str">
        <f t="shared" si="34"/>
        <v>DEP</v>
      </c>
      <c r="AW34" s="444" t="str">
        <f t="shared" si="34"/>
        <v>DEP</v>
      </c>
      <c r="AX34" s="444" t="str">
        <f t="shared" si="34"/>
        <v>DEP</v>
      </c>
      <c r="AY34" s="444" t="str">
        <f t="shared" si="34"/>
        <v>YES</v>
      </c>
      <c r="AZ34" s="444" t="str">
        <f t="shared" si="34"/>
        <v>DEP</v>
      </c>
      <c r="BA34" s="444" t="str">
        <f t="shared" si="34"/>
        <v>DEP</v>
      </c>
      <c r="BB34" s="444" t="str">
        <f t="shared" si="34"/>
        <v>NO</v>
      </c>
      <c r="BC34" s="444" t="str">
        <f t="shared" si="35"/>
        <v>NO</v>
      </c>
      <c r="BD34" s="444" t="str">
        <f t="shared" si="35"/>
        <v>NO</v>
      </c>
      <c r="BE34" s="444" t="str">
        <f t="shared" si="35"/>
        <v>NO</v>
      </c>
      <c r="BF34" s="444" t="str">
        <f t="shared" si="35"/>
        <v>NO</v>
      </c>
      <c r="BG34" s="444" t="str">
        <f t="shared" si="35"/>
        <v>NO</v>
      </c>
      <c r="BH34" s="445" t="str">
        <f t="shared" si="35"/>
        <v>NO</v>
      </c>
      <c r="BI34" s="502"/>
      <c r="BJ34" s="474" t="str">
        <f t="shared" si="36"/>
        <v>NO</v>
      </c>
      <c r="BK34" s="475" t="str">
        <f t="shared" si="36"/>
        <v>NO</v>
      </c>
      <c r="BL34" s="475" t="str">
        <f t="shared" si="36"/>
        <v>NO</v>
      </c>
      <c r="BM34" s="475" t="str">
        <f t="shared" si="36"/>
        <v>NO</v>
      </c>
      <c r="BN34" s="475" t="str">
        <f t="shared" si="36"/>
        <v>NO</v>
      </c>
      <c r="BO34" s="475" t="str">
        <f t="shared" si="36"/>
        <v>NO</v>
      </c>
      <c r="BP34" s="475" t="str">
        <f t="shared" si="36"/>
        <v>NO</v>
      </c>
      <c r="BQ34" s="475" t="str">
        <f t="shared" si="36"/>
        <v>NO</v>
      </c>
      <c r="BR34" s="475" t="str">
        <f t="shared" si="36"/>
        <v>NO</v>
      </c>
      <c r="BS34" s="475" t="str">
        <f t="shared" si="36"/>
        <v>NO</v>
      </c>
      <c r="BT34" s="475" t="str">
        <f t="shared" si="37"/>
        <v>NO</v>
      </c>
      <c r="BU34" s="475" t="str">
        <f t="shared" si="37"/>
        <v>NO</v>
      </c>
      <c r="BV34" s="475" t="str">
        <f t="shared" si="37"/>
        <v>NO</v>
      </c>
      <c r="BW34" s="475" t="str">
        <f t="shared" si="37"/>
        <v>NO</v>
      </c>
      <c r="BX34" s="475" t="str">
        <f t="shared" si="37"/>
        <v>NO</v>
      </c>
      <c r="BY34" s="475" t="str">
        <f t="shared" si="37"/>
        <v>NO</v>
      </c>
      <c r="BZ34" s="475" t="str">
        <f t="shared" si="37"/>
        <v>NO</v>
      </c>
      <c r="CA34" s="475" t="str">
        <f t="shared" si="37"/>
        <v>NO</v>
      </c>
      <c r="CB34" s="475" t="str">
        <f t="shared" si="37"/>
        <v>NO</v>
      </c>
      <c r="CC34" s="475" t="str">
        <f t="shared" si="37"/>
        <v>NO</v>
      </c>
      <c r="CD34" s="475" t="str">
        <f t="shared" si="38"/>
        <v>NO</v>
      </c>
      <c r="CE34" s="475" t="str">
        <f t="shared" si="38"/>
        <v>NO</v>
      </c>
      <c r="CF34" s="475" t="str">
        <f t="shared" si="38"/>
        <v>NO</v>
      </c>
      <c r="CG34" s="475" t="str">
        <f t="shared" si="38"/>
        <v>NO</v>
      </c>
      <c r="CH34" s="475" t="str">
        <f t="shared" si="38"/>
        <v>NO</v>
      </c>
      <c r="CI34" s="475" t="str">
        <f t="shared" si="38"/>
        <v>NO</v>
      </c>
      <c r="CJ34" s="475" t="str">
        <f t="shared" si="38"/>
        <v>NO</v>
      </c>
      <c r="CK34" s="475" t="str">
        <f t="shared" si="38"/>
        <v>NO</v>
      </c>
      <c r="CL34" s="475" t="str">
        <f t="shared" si="38"/>
        <v>NO</v>
      </c>
      <c r="CM34" s="475" t="str">
        <f t="shared" si="38"/>
        <v>NO</v>
      </c>
      <c r="CN34" s="475" t="str">
        <f t="shared" si="39"/>
        <v>NO</v>
      </c>
      <c r="CO34" s="475" t="str">
        <f t="shared" si="39"/>
        <v>NO</v>
      </c>
      <c r="CP34" s="475" t="str">
        <f t="shared" si="39"/>
        <v>NO</v>
      </c>
      <c r="CQ34" s="475" t="str">
        <f t="shared" si="39"/>
        <v>NO</v>
      </c>
      <c r="CR34" s="475" t="str">
        <f t="shared" si="39"/>
        <v>NO</v>
      </c>
      <c r="CS34" s="475" t="str">
        <f t="shared" si="39"/>
        <v>NO</v>
      </c>
      <c r="CT34" s="475" t="str">
        <f t="shared" si="39"/>
        <v>NO</v>
      </c>
      <c r="CU34" s="475" t="str">
        <f t="shared" si="39"/>
        <v>NO</v>
      </c>
      <c r="CV34" s="475" t="str">
        <f t="shared" si="39"/>
        <v>NO</v>
      </c>
      <c r="CW34" s="475" t="str">
        <f t="shared" si="39"/>
        <v>NO</v>
      </c>
      <c r="CX34" s="475" t="str">
        <f t="shared" si="39"/>
        <v>NO</v>
      </c>
      <c r="CY34" s="475" t="str">
        <f t="shared" si="39"/>
        <v>NO</v>
      </c>
      <c r="CZ34" s="495" t="str">
        <f t="shared" si="39"/>
        <v>NO</v>
      </c>
      <c r="DA34" s="502"/>
      <c r="DB34" s="460"/>
      <c r="DC34" s="465"/>
      <c r="DD34" s="463"/>
      <c r="DE34" s="512"/>
      <c r="DF34" s="516"/>
      <c r="DG34" s="508"/>
      <c r="DH34" s="463"/>
      <c r="DI34" s="461"/>
      <c r="DJ34" s="461"/>
      <c r="DK34" s="461"/>
      <c r="DL34" s="464"/>
      <c r="DM34" s="466"/>
      <c r="DN34" s="502"/>
      <c r="DO34" s="460"/>
      <c r="DP34" s="464"/>
      <c r="DQ34" s="464"/>
      <c r="DR34" s="464"/>
      <c r="DS34" s="508"/>
      <c r="DT34" s="525"/>
      <c r="DU34" s="525"/>
      <c r="DV34" s="463"/>
      <c r="DW34" s="464"/>
      <c r="DX34" s="465"/>
      <c r="DY34" s="463"/>
      <c r="DZ34" s="464"/>
      <c r="EA34" s="465"/>
      <c r="EB34" s="463"/>
      <c r="EC34" s="465"/>
      <c r="ED34" s="462"/>
      <c r="EE34" s="502"/>
      <c r="EF34" s="463"/>
      <c r="EG34" s="461"/>
      <c r="EH34" s="464"/>
      <c r="EI34" s="464"/>
      <c r="EJ34" s="464"/>
      <c r="EK34" s="464"/>
      <c r="EL34" s="464"/>
      <c r="EM34" s="464"/>
      <c r="EN34" s="464"/>
      <c r="EO34" s="464"/>
      <c r="EP34" s="464"/>
      <c r="EQ34" s="464"/>
      <c r="ER34" s="464"/>
      <c r="ES34" s="464"/>
      <c r="ET34" s="464"/>
      <c r="EU34" s="464"/>
      <c r="EV34" s="464"/>
      <c r="EW34" s="465"/>
      <c r="EX34" s="465"/>
      <c r="EY34" s="502"/>
      <c r="EZ34" s="460"/>
      <c r="FA34" s="464"/>
      <c r="FB34" s="464"/>
      <c r="FC34" s="464"/>
      <c r="FD34" s="464"/>
      <c r="FE34" s="464"/>
      <c r="FF34" s="464"/>
      <c r="FG34" s="466"/>
    </row>
    <row r="35" spans="1:163">
      <c r="A35" s="467" t="s">
        <v>222</v>
      </c>
      <c r="B35" s="471" t="str">
        <f>IF(ISNUMBER(MATCH(A35, 'Pulldown Data'!W:W, 0))=TRUE, "Y", IF(ISNUMBER(MATCH(A35, 'Pulldown Data'!X:X, 0))=TRUE, "M", ""))</f>
        <v/>
      </c>
      <c r="C35" s="504"/>
      <c r="D35" s="502"/>
      <c r="E35" s="443" t="str">
        <f t="shared" si="30"/>
        <v/>
      </c>
      <c r="F35" s="444" t="str">
        <f t="shared" si="30"/>
        <v/>
      </c>
      <c r="G35" s="444" t="str">
        <f t="shared" si="30"/>
        <v/>
      </c>
      <c r="H35" s="444" t="str">
        <f t="shared" si="30"/>
        <v/>
      </c>
      <c r="I35" s="444" t="str">
        <f t="shared" si="30"/>
        <v/>
      </c>
      <c r="J35" s="444" t="str">
        <f t="shared" si="30"/>
        <v/>
      </c>
      <c r="K35" s="444" t="str">
        <f t="shared" si="30"/>
        <v/>
      </c>
      <c r="L35" s="444" t="str">
        <f t="shared" si="30"/>
        <v/>
      </c>
      <c r="M35" s="444" t="str">
        <f t="shared" si="30"/>
        <v/>
      </c>
      <c r="N35" s="444" t="str">
        <f t="shared" si="30"/>
        <v/>
      </c>
      <c r="O35" s="444" t="str">
        <f t="shared" si="31"/>
        <v/>
      </c>
      <c r="P35" s="444" t="str">
        <f t="shared" si="31"/>
        <v/>
      </c>
      <c r="Q35" s="444" t="str">
        <f t="shared" si="31"/>
        <v/>
      </c>
      <c r="R35" s="444" t="str">
        <f t="shared" si="31"/>
        <v/>
      </c>
      <c r="S35" s="444" t="str">
        <f t="shared" si="31"/>
        <v/>
      </c>
      <c r="T35" s="444" t="str">
        <f t="shared" si="31"/>
        <v/>
      </c>
      <c r="U35" s="444" t="str">
        <f t="shared" si="31"/>
        <v/>
      </c>
      <c r="V35" s="444" t="str">
        <f t="shared" si="31"/>
        <v/>
      </c>
      <c r="W35" s="444" t="str">
        <f t="shared" si="31"/>
        <v/>
      </c>
      <c r="X35" s="444" t="str">
        <f t="shared" si="31"/>
        <v/>
      </c>
      <c r="Y35" s="444" t="str">
        <f t="shared" si="32"/>
        <v/>
      </c>
      <c r="Z35" s="444" t="str">
        <f t="shared" si="32"/>
        <v/>
      </c>
      <c r="AA35" s="444" t="str">
        <f t="shared" si="32"/>
        <v/>
      </c>
      <c r="AB35" s="444" t="str">
        <f t="shared" si="32"/>
        <v/>
      </c>
      <c r="AC35" s="444" t="str">
        <f t="shared" si="32"/>
        <v/>
      </c>
      <c r="AD35" s="444" t="str">
        <f t="shared" si="32"/>
        <v/>
      </c>
      <c r="AE35" s="444" t="str">
        <f t="shared" si="32"/>
        <v/>
      </c>
      <c r="AF35" s="444" t="str">
        <f t="shared" si="32"/>
        <v/>
      </c>
      <c r="AG35" s="444" t="str">
        <f t="shared" si="32"/>
        <v/>
      </c>
      <c r="AH35" s="444" t="str">
        <f t="shared" si="32"/>
        <v/>
      </c>
      <c r="AI35" s="444" t="str">
        <f t="shared" si="33"/>
        <v/>
      </c>
      <c r="AJ35" s="444" t="str">
        <f t="shared" si="33"/>
        <v/>
      </c>
      <c r="AK35" s="444" t="str">
        <f t="shared" si="33"/>
        <v/>
      </c>
      <c r="AL35" s="444" t="str">
        <f t="shared" si="33"/>
        <v/>
      </c>
      <c r="AM35" s="444" t="str">
        <f t="shared" si="33"/>
        <v/>
      </c>
      <c r="AN35" s="444" t="str">
        <f t="shared" si="33"/>
        <v/>
      </c>
      <c r="AO35" s="444" t="str">
        <f t="shared" si="33"/>
        <v/>
      </c>
      <c r="AP35" s="444" t="str">
        <f t="shared" si="33"/>
        <v/>
      </c>
      <c r="AQ35" s="444" t="str">
        <f t="shared" si="33"/>
        <v/>
      </c>
      <c r="AR35" s="444" t="str">
        <f t="shared" si="33"/>
        <v/>
      </c>
      <c r="AS35" s="444" t="str">
        <f t="shared" si="34"/>
        <v/>
      </c>
      <c r="AT35" s="444" t="str">
        <f t="shared" si="34"/>
        <v/>
      </c>
      <c r="AU35" s="444" t="str">
        <f t="shared" si="34"/>
        <v/>
      </c>
      <c r="AV35" s="444" t="str">
        <f t="shared" si="34"/>
        <v/>
      </c>
      <c r="AW35" s="444" t="str">
        <f t="shared" si="34"/>
        <v/>
      </c>
      <c r="AX35" s="444" t="str">
        <f t="shared" si="34"/>
        <v/>
      </c>
      <c r="AY35" s="444" t="str">
        <f t="shared" si="34"/>
        <v/>
      </c>
      <c r="AZ35" s="444" t="str">
        <f t="shared" si="34"/>
        <v/>
      </c>
      <c r="BA35" s="444" t="str">
        <f t="shared" si="34"/>
        <v/>
      </c>
      <c r="BB35" s="444" t="str">
        <f t="shared" si="34"/>
        <v/>
      </c>
      <c r="BC35" s="444" t="str">
        <f t="shared" si="35"/>
        <v/>
      </c>
      <c r="BD35" s="444" t="str">
        <f t="shared" si="35"/>
        <v/>
      </c>
      <c r="BE35" s="444" t="str">
        <f t="shared" si="35"/>
        <v/>
      </c>
      <c r="BF35" s="444" t="str">
        <f t="shared" si="35"/>
        <v/>
      </c>
      <c r="BG35" s="444" t="str">
        <f t="shared" si="35"/>
        <v/>
      </c>
      <c r="BH35" s="445" t="str">
        <f t="shared" si="35"/>
        <v/>
      </c>
      <c r="BI35" s="502"/>
      <c r="BJ35" s="474" t="str">
        <f t="shared" si="36"/>
        <v/>
      </c>
      <c r="BK35" s="475" t="str">
        <f t="shared" si="36"/>
        <v/>
      </c>
      <c r="BL35" s="475" t="str">
        <f t="shared" si="36"/>
        <v/>
      </c>
      <c r="BM35" s="475" t="str">
        <f t="shared" si="36"/>
        <v/>
      </c>
      <c r="BN35" s="475" t="str">
        <f t="shared" si="36"/>
        <v/>
      </c>
      <c r="BO35" s="475" t="str">
        <f t="shared" si="36"/>
        <v/>
      </c>
      <c r="BP35" s="475" t="str">
        <f t="shared" si="36"/>
        <v/>
      </c>
      <c r="BQ35" s="475" t="str">
        <f t="shared" si="36"/>
        <v/>
      </c>
      <c r="BR35" s="475" t="str">
        <f t="shared" si="36"/>
        <v/>
      </c>
      <c r="BS35" s="475" t="str">
        <f t="shared" si="36"/>
        <v/>
      </c>
      <c r="BT35" s="475" t="str">
        <f t="shared" si="37"/>
        <v/>
      </c>
      <c r="BU35" s="475" t="str">
        <f t="shared" si="37"/>
        <v/>
      </c>
      <c r="BV35" s="475" t="str">
        <f t="shared" si="37"/>
        <v/>
      </c>
      <c r="BW35" s="475" t="str">
        <f t="shared" si="37"/>
        <v/>
      </c>
      <c r="BX35" s="475" t="str">
        <f t="shared" si="37"/>
        <v/>
      </c>
      <c r="BY35" s="475" t="str">
        <f t="shared" si="37"/>
        <v/>
      </c>
      <c r="BZ35" s="475" t="str">
        <f t="shared" si="37"/>
        <v/>
      </c>
      <c r="CA35" s="475" t="str">
        <f t="shared" si="37"/>
        <v/>
      </c>
      <c r="CB35" s="475" t="str">
        <f t="shared" si="37"/>
        <v/>
      </c>
      <c r="CC35" s="475" t="str">
        <f t="shared" si="37"/>
        <v/>
      </c>
      <c r="CD35" s="475" t="str">
        <f t="shared" si="38"/>
        <v/>
      </c>
      <c r="CE35" s="475" t="str">
        <f t="shared" si="38"/>
        <v/>
      </c>
      <c r="CF35" s="475" t="str">
        <f t="shared" si="38"/>
        <v/>
      </c>
      <c r="CG35" s="475" t="str">
        <f t="shared" si="38"/>
        <v/>
      </c>
      <c r="CH35" s="475" t="str">
        <f t="shared" si="38"/>
        <v/>
      </c>
      <c r="CI35" s="475" t="str">
        <f t="shared" si="38"/>
        <v/>
      </c>
      <c r="CJ35" s="475" t="str">
        <f t="shared" si="38"/>
        <v/>
      </c>
      <c r="CK35" s="475" t="str">
        <f t="shared" si="38"/>
        <v/>
      </c>
      <c r="CL35" s="475" t="str">
        <f t="shared" si="38"/>
        <v/>
      </c>
      <c r="CM35" s="475" t="str">
        <f t="shared" si="38"/>
        <v/>
      </c>
      <c r="CN35" s="475" t="str">
        <f t="shared" si="39"/>
        <v/>
      </c>
      <c r="CO35" s="475" t="str">
        <f t="shared" si="39"/>
        <v/>
      </c>
      <c r="CP35" s="475" t="str">
        <f t="shared" si="39"/>
        <v/>
      </c>
      <c r="CQ35" s="475" t="str">
        <f t="shared" si="39"/>
        <v/>
      </c>
      <c r="CR35" s="475" t="str">
        <f t="shared" si="39"/>
        <v/>
      </c>
      <c r="CS35" s="475" t="str">
        <f t="shared" si="39"/>
        <v/>
      </c>
      <c r="CT35" s="475" t="str">
        <f t="shared" si="39"/>
        <v/>
      </c>
      <c r="CU35" s="475" t="str">
        <f t="shared" si="39"/>
        <v/>
      </c>
      <c r="CV35" s="475" t="str">
        <f t="shared" si="39"/>
        <v/>
      </c>
      <c r="CW35" s="475" t="str">
        <f t="shared" si="39"/>
        <v/>
      </c>
      <c r="CX35" s="475" t="str">
        <f t="shared" si="39"/>
        <v/>
      </c>
      <c r="CY35" s="475" t="str">
        <f t="shared" si="39"/>
        <v/>
      </c>
      <c r="CZ35" s="495" t="str">
        <f t="shared" si="39"/>
        <v/>
      </c>
      <c r="DA35" s="502"/>
      <c r="DB35" s="460"/>
      <c r="DC35" s="465"/>
      <c r="DD35" s="463"/>
      <c r="DE35" s="512"/>
      <c r="DF35" s="516"/>
      <c r="DG35" s="508"/>
      <c r="DH35" s="463"/>
      <c r="DI35" s="461"/>
      <c r="DJ35" s="461"/>
      <c r="DK35" s="461"/>
      <c r="DL35" s="464"/>
      <c r="DM35" s="466"/>
      <c r="DN35" s="502"/>
      <c r="DO35" s="460"/>
      <c r="DP35" s="464"/>
      <c r="DQ35" s="464"/>
      <c r="DR35" s="464"/>
      <c r="DS35" s="508"/>
      <c r="DT35" s="525"/>
      <c r="DU35" s="525"/>
      <c r="DV35" s="463"/>
      <c r="DW35" s="464"/>
      <c r="DX35" s="465"/>
      <c r="DY35" s="463"/>
      <c r="DZ35" s="464"/>
      <c r="EA35" s="465"/>
      <c r="EB35" s="463"/>
      <c r="EC35" s="465"/>
      <c r="ED35" s="462"/>
      <c r="EE35" s="502"/>
      <c r="EF35" s="463"/>
      <c r="EG35" s="461"/>
      <c r="EH35" s="464"/>
      <c r="EI35" s="464"/>
      <c r="EJ35" s="464"/>
      <c r="EK35" s="464"/>
      <c r="EL35" s="464"/>
      <c r="EM35" s="464"/>
      <c r="EN35" s="464"/>
      <c r="EO35" s="464"/>
      <c r="EP35" s="464"/>
      <c r="EQ35" s="464"/>
      <c r="ER35" s="464"/>
      <c r="ES35" s="464"/>
      <c r="ET35" s="464"/>
      <c r="EU35" s="464"/>
      <c r="EV35" s="464"/>
      <c r="EW35" s="465"/>
      <c r="EX35" s="465"/>
      <c r="EY35" s="502"/>
      <c r="EZ35" s="460"/>
      <c r="FA35" s="464"/>
      <c r="FB35" s="464"/>
      <c r="FC35" s="464"/>
      <c r="FD35" s="464"/>
      <c r="FE35" s="464"/>
      <c r="FF35" s="464"/>
      <c r="FG35" s="466"/>
    </row>
    <row r="36" spans="1:163">
      <c r="A36" s="467" t="s">
        <v>223</v>
      </c>
      <c r="B36" s="471" t="str">
        <f>IF(ISNUMBER(MATCH(A36, 'Pulldown Data'!W:W, 0))=TRUE, "Y", IF(ISNUMBER(MATCH(A36, 'Pulldown Data'!X:X, 0))=TRUE, "M", ""))</f>
        <v/>
      </c>
      <c r="C36" s="504"/>
      <c r="D36" s="502"/>
      <c r="E36" s="443" t="str">
        <f t="shared" si="30"/>
        <v/>
      </c>
      <c r="F36" s="444" t="str">
        <f t="shared" si="30"/>
        <v/>
      </c>
      <c r="G36" s="444" t="str">
        <f t="shared" si="30"/>
        <v/>
      </c>
      <c r="H36" s="444" t="str">
        <f t="shared" si="30"/>
        <v/>
      </c>
      <c r="I36" s="444" t="str">
        <f t="shared" si="30"/>
        <v/>
      </c>
      <c r="J36" s="444" t="str">
        <f t="shared" si="30"/>
        <v/>
      </c>
      <c r="K36" s="444" t="str">
        <f t="shared" si="30"/>
        <v/>
      </c>
      <c r="L36" s="444" t="str">
        <f t="shared" si="30"/>
        <v/>
      </c>
      <c r="M36" s="444" t="str">
        <f t="shared" si="30"/>
        <v/>
      </c>
      <c r="N36" s="444" t="str">
        <f t="shared" si="30"/>
        <v/>
      </c>
      <c r="O36" s="444" t="str">
        <f t="shared" si="31"/>
        <v/>
      </c>
      <c r="P36" s="444" t="str">
        <f t="shared" si="31"/>
        <v/>
      </c>
      <c r="Q36" s="444" t="str">
        <f t="shared" si="31"/>
        <v/>
      </c>
      <c r="R36" s="444" t="str">
        <f t="shared" si="31"/>
        <v/>
      </c>
      <c r="S36" s="444" t="str">
        <f t="shared" si="31"/>
        <v/>
      </c>
      <c r="T36" s="444" t="str">
        <f t="shared" si="31"/>
        <v/>
      </c>
      <c r="U36" s="444" t="str">
        <f t="shared" si="31"/>
        <v/>
      </c>
      <c r="V36" s="444" t="str">
        <f t="shared" si="31"/>
        <v/>
      </c>
      <c r="W36" s="444" t="str">
        <f t="shared" si="31"/>
        <v/>
      </c>
      <c r="X36" s="444" t="str">
        <f t="shared" si="31"/>
        <v/>
      </c>
      <c r="Y36" s="444" t="str">
        <f t="shared" si="32"/>
        <v/>
      </c>
      <c r="Z36" s="444" t="str">
        <f t="shared" si="32"/>
        <v/>
      </c>
      <c r="AA36" s="444" t="str">
        <f t="shared" si="32"/>
        <v/>
      </c>
      <c r="AB36" s="444" t="str">
        <f t="shared" si="32"/>
        <v/>
      </c>
      <c r="AC36" s="444" t="str">
        <f t="shared" si="32"/>
        <v/>
      </c>
      <c r="AD36" s="444" t="str">
        <f t="shared" si="32"/>
        <v/>
      </c>
      <c r="AE36" s="444" t="str">
        <f t="shared" si="32"/>
        <v/>
      </c>
      <c r="AF36" s="444" t="str">
        <f t="shared" si="32"/>
        <v/>
      </c>
      <c r="AG36" s="444" t="str">
        <f t="shared" si="32"/>
        <v/>
      </c>
      <c r="AH36" s="444" t="str">
        <f t="shared" si="32"/>
        <v/>
      </c>
      <c r="AI36" s="444" t="str">
        <f t="shared" si="33"/>
        <v/>
      </c>
      <c r="AJ36" s="444" t="str">
        <f t="shared" si="33"/>
        <v/>
      </c>
      <c r="AK36" s="444" t="str">
        <f t="shared" si="33"/>
        <v/>
      </c>
      <c r="AL36" s="444" t="str">
        <f t="shared" si="33"/>
        <v/>
      </c>
      <c r="AM36" s="444" t="str">
        <f t="shared" si="33"/>
        <v/>
      </c>
      <c r="AN36" s="444" t="str">
        <f t="shared" si="33"/>
        <v/>
      </c>
      <c r="AO36" s="444" t="str">
        <f t="shared" si="33"/>
        <v/>
      </c>
      <c r="AP36" s="444" t="str">
        <f t="shared" si="33"/>
        <v/>
      </c>
      <c r="AQ36" s="444" t="str">
        <f t="shared" si="33"/>
        <v/>
      </c>
      <c r="AR36" s="444" t="str">
        <f t="shared" si="33"/>
        <v/>
      </c>
      <c r="AS36" s="444" t="str">
        <f t="shared" si="34"/>
        <v/>
      </c>
      <c r="AT36" s="444" t="str">
        <f t="shared" si="34"/>
        <v/>
      </c>
      <c r="AU36" s="444" t="str">
        <f t="shared" si="34"/>
        <v/>
      </c>
      <c r="AV36" s="444" t="str">
        <f t="shared" si="34"/>
        <v/>
      </c>
      <c r="AW36" s="444" t="str">
        <f t="shared" si="34"/>
        <v/>
      </c>
      <c r="AX36" s="444" t="str">
        <f t="shared" si="34"/>
        <v/>
      </c>
      <c r="AY36" s="444" t="str">
        <f t="shared" si="34"/>
        <v/>
      </c>
      <c r="AZ36" s="444" t="str">
        <f t="shared" si="34"/>
        <v/>
      </c>
      <c r="BA36" s="444" t="str">
        <f t="shared" si="34"/>
        <v/>
      </c>
      <c r="BB36" s="444" t="str">
        <f t="shared" si="34"/>
        <v/>
      </c>
      <c r="BC36" s="444" t="str">
        <f t="shared" si="35"/>
        <v/>
      </c>
      <c r="BD36" s="444" t="str">
        <f t="shared" si="35"/>
        <v/>
      </c>
      <c r="BE36" s="444" t="str">
        <f t="shared" si="35"/>
        <v/>
      </c>
      <c r="BF36" s="444" t="str">
        <f t="shared" si="35"/>
        <v/>
      </c>
      <c r="BG36" s="444" t="str">
        <f t="shared" si="35"/>
        <v/>
      </c>
      <c r="BH36" s="445" t="str">
        <f t="shared" si="35"/>
        <v/>
      </c>
      <c r="BI36" s="502"/>
      <c r="BJ36" s="474" t="str">
        <f t="shared" si="36"/>
        <v/>
      </c>
      <c r="BK36" s="475" t="str">
        <f t="shared" si="36"/>
        <v/>
      </c>
      <c r="BL36" s="475" t="str">
        <f t="shared" si="36"/>
        <v/>
      </c>
      <c r="BM36" s="475" t="str">
        <f t="shared" si="36"/>
        <v/>
      </c>
      <c r="BN36" s="475" t="str">
        <f t="shared" si="36"/>
        <v/>
      </c>
      <c r="BO36" s="475" t="str">
        <f t="shared" si="36"/>
        <v/>
      </c>
      <c r="BP36" s="475" t="str">
        <f t="shared" si="36"/>
        <v/>
      </c>
      <c r="BQ36" s="475" t="str">
        <f t="shared" si="36"/>
        <v/>
      </c>
      <c r="BR36" s="475" t="str">
        <f t="shared" si="36"/>
        <v/>
      </c>
      <c r="BS36" s="475" t="str">
        <f t="shared" si="36"/>
        <v/>
      </c>
      <c r="BT36" s="475" t="str">
        <f t="shared" si="37"/>
        <v/>
      </c>
      <c r="BU36" s="475" t="str">
        <f t="shared" si="37"/>
        <v/>
      </c>
      <c r="BV36" s="475" t="str">
        <f t="shared" si="37"/>
        <v/>
      </c>
      <c r="BW36" s="475" t="str">
        <f t="shared" si="37"/>
        <v/>
      </c>
      <c r="BX36" s="475" t="str">
        <f t="shared" si="37"/>
        <v/>
      </c>
      <c r="BY36" s="475" t="str">
        <f t="shared" si="37"/>
        <v/>
      </c>
      <c r="BZ36" s="475" t="str">
        <f t="shared" si="37"/>
        <v/>
      </c>
      <c r="CA36" s="475" t="str">
        <f t="shared" si="37"/>
        <v/>
      </c>
      <c r="CB36" s="475" t="str">
        <f t="shared" si="37"/>
        <v/>
      </c>
      <c r="CC36" s="475" t="str">
        <f t="shared" si="37"/>
        <v/>
      </c>
      <c r="CD36" s="475" t="str">
        <f t="shared" si="38"/>
        <v/>
      </c>
      <c r="CE36" s="475" t="str">
        <f t="shared" si="38"/>
        <v/>
      </c>
      <c r="CF36" s="475" t="str">
        <f t="shared" si="38"/>
        <v/>
      </c>
      <c r="CG36" s="475" t="str">
        <f t="shared" si="38"/>
        <v/>
      </c>
      <c r="CH36" s="475" t="str">
        <f t="shared" si="38"/>
        <v/>
      </c>
      <c r="CI36" s="475" t="str">
        <f t="shared" si="38"/>
        <v/>
      </c>
      <c r="CJ36" s="475" t="str">
        <f t="shared" si="38"/>
        <v/>
      </c>
      <c r="CK36" s="475" t="str">
        <f t="shared" si="38"/>
        <v/>
      </c>
      <c r="CL36" s="475" t="str">
        <f t="shared" si="38"/>
        <v/>
      </c>
      <c r="CM36" s="475" t="str">
        <f t="shared" si="38"/>
        <v/>
      </c>
      <c r="CN36" s="475" t="str">
        <f t="shared" si="39"/>
        <v/>
      </c>
      <c r="CO36" s="475" t="str">
        <f t="shared" si="39"/>
        <v/>
      </c>
      <c r="CP36" s="475" t="str">
        <f t="shared" si="39"/>
        <v/>
      </c>
      <c r="CQ36" s="475" t="str">
        <f t="shared" si="39"/>
        <v/>
      </c>
      <c r="CR36" s="475" t="str">
        <f t="shared" si="39"/>
        <v/>
      </c>
      <c r="CS36" s="475" t="str">
        <f t="shared" si="39"/>
        <v/>
      </c>
      <c r="CT36" s="475" t="str">
        <f t="shared" si="39"/>
        <v/>
      </c>
      <c r="CU36" s="475" t="str">
        <f t="shared" si="39"/>
        <v/>
      </c>
      <c r="CV36" s="475" t="str">
        <f t="shared" si="39"/>
        <v/>
      </c>
      <c r="CW36" s="475" t="str">
        <f t="shared" si="39"/>
        <v/>
      </c>
      <c r="CX36" s="475" t="str">
        <f t="shared" si="39"/>
        <v/>
      </c>
      <c r="CY36" s="475" t="str">
        <f t="shared" si="39"/>
        <v/>
      </c>
      <c r="CZ36" s="495" t="str">
        <f t="shared" si="39"/>
        <v/>
      </c>
      <c r="DA36" s="502"/>
      <c r="DB36" s="460"/>
      <c r="DC36" s="465"/>
      <c r="DD36" s="463"/>
      <c r="DE36" s="512"/>
      <c r="DF36" s="516"/>
      <c r="DG36" s="508"/>
      <c r="DH36" s="463"/>
      <c r="DI36" s="461"/>
      <c r="DJ36" s="461"/>
      <c r="DK36" s="461"/>
      <c r="DL36" s="464"/>
      <c r="DM36" s="466"/>
      <c r="DN36" s="502"/>
      <c r="DO36" s="460"/>
      <c r="DP36" s="464"/>
      <c r="DQ36" s="464"/>
      <c r="DR36" s="464"/>
      <c r="DS36" s="508"/>
      <c r="DT36" s="525"/>
      <c r="DU36" s="525"/>
      <c r="DV36" s="463"/>
      <c r="DW36" s="464"/>
      <c r="DX36" s="465"/>
      <c r="DY36" s="463"/>
      <c r="DZ36" s="464"/>
      <c r="EA36" s="465"/>
      <c r="EB36" s="463"/>
      <c r="EC36" s="465"/>
      <c r="ED36" s="462"/>
      <c r="EE36" s="502"/>
      <c r="EF36" s="463"/>
      <c r="EG36" s="461"/>
      <c r="EH36" s="464"/>
      <c r="EI36" s="464"/>
      <c r="EJ36" s="464"/>
      <c r="EK36" s="464"/>
      <c r="EL36" s="464"/>
      <c r="EM36" s="464"/>
      <c r="EN36" s="464"/>
      <c r="EO36" s="464"/>
      <c r="EP36" s="464"/>
      <c r="EQ36" s="464"/>
      <c r="ER36" s="464"/>
      <c r="ES36" s="464"/>
      <c r="ET36" s="464"/>
      <c r="EU36" s="464"/>
      <c r="EV36" s="464"/>
      <c r="EW36" s="465"/>
      <c r="EX36" s="465"/>
      <c r="EY36" s="502"/>
      <c r="EZ36" s="460"/>
      <c r="FA36" s="464"/>
      <c r="FB36" s="464"/>
      <c r="FC36" s="464"/>
      <c r="FD36" s="464"/>
      <c r="FE36" s="464"/>
      <c r="FF36" s="464"/>
      <c r="FG36" s="466"/>
    </row>
    <row r="37" spans="1:163">
      <c r="A37" s="467" t="s">
        <v>224</v>
      </c>
      <c r="B37" s="471" t="str">
        <f>IF(ISNUMBER(MATCH(A37, 'Pulldown Data'!W:W, 0))=TRUE, "Y", IF(ISNUMBER(MATCH(A37, 'Pulldown Data'!X:X, 0))=TRUE, "M", ""))</f>
        <v/>
      </c>
      <c r="C37" s="504"/>
      <c r="D37" s="502"/>
      <c r="E37" s="443" t="str">
        <f t="shared" si="30"/>
        <v/>
      </c>
      <c r="F37" s="444" t="str">
        <f t="shared" si="30"/>
        <v/>
      </c>
      <c r="G37" s="444" t="str">
        <f t="shared" si="30"/>
        <v/>
      </c>
      <c r="H37" s="444" t="str">
        <f t="shared" si="30"/>
        <v/>
      </c>
      <c r="I37" s="444" t="str">
        <f t="shared" si="30"/>
        <v/>
      </c>
      <c r="J37" s="444" t="str">
        <f t="shared" si="30"/>
        <v/>
      </c>
      <c r="K37" s="444" t="str">
        <f t="shared" si="30"/>
        <v/>
      </c>
      <c r="L37" s="444" t="str">
        <f t="shared" si="30"/>
        <v/>
      </c>
      <c r="M37" s="444" t="str">
        <f t="shared" si="30"/>
        <v/>
      </c>
      <c r="N37" s="444" t="str">
        <f t="shared" si="30"/>
        <v/>
      </c>
      <c r="O37" s="444" t="str">
        <f t="shared" si="31"/>
        <v/>
      </c>
      <c r="P37" s="444" t="str">
        <f t="shared" si="31"/>
        <v/>
      </c>
      <c r="Q37" s="444" t="str">
        <f t="shared" si="31"/>
        <v/>
      </c>
      <c r="R37" s="444" t="str">
        <f t="shared" si="31"/>
        <v/>
      </c>
      <c r="S37" s="444" t="str">
        <f t="shared" si="31"/>
        <v/>
      </c>
      <c r="T37" s="444" t="str">
        <f t="shared" si="31"/>
        <v/>
      </c>
      <c r="U37" s="444" t="str">
        <f t="shared" si="31"/>
        <v/>
      </c>
      <c r="V37" s="444" t="str">
        <f t="shared" si="31"/>
        <v/>
      </c>
      <c r="W37" s="444" t="str">
        <f t="shared" si="31"/>
        <v/>
      </c>
      <c r="X37" s="444" t="str">
        <f t="shared" si="31"/>
        <v/>
      </c>
      <c r="Y37" s="444" t="str">
        <f t="shared" si="32"/>
        <v/>
      </c>
      <c r="Z37" s="444" t="str">
        <f t="shared" si="32"/>
        <v/>
      </c>
      <c r="AA37" s="444" t="str">
        <f t="shared" si="32"/>
        <v/>
      </c>
      <c r="AB37" s="444" t="str">
        <f t="shared" si="32"/>
        <v/>
      </c>
      <c r="AC37" s="444" t="str">
        <f t="shared" si="32"/>
        <v/>
      </c>
      <c r="AD37" s="444" t="str">
        <f t="shared" si="32"/>
        <v/>
      </c>
      <c r="AE37" s="444" t="str">
        <f t="shared" si="32"/>
        <v/>
      </c>
      <c r="AF37" s="444" t="str">
        <f t="shared" si="32"/>
        <v/>
      </c>
      <c r="AG37" s="444" t="str">
        <f t="shared" si="32"/>
        <v/>
      </c>
      <c r="AH37" s="444" t="str">
        <f t="shared" si="32"/>
        <v/>
      </c>
      <c r="AI37" s="444" t="str">
        <f t="shared" si="33"/>
        <v/>
      </c>
      <c r="AJ37" s="444" t="str">
        <f t="shared" si="33"/>
        <v/>
      </c>
      <c r="AK37" s="444" t="str">
        <f t="shared" si="33"/>
        <v/>
      </c>
      <c r="AL37" s="444" t="str">
        <f t="shared" si="33"/>
        <v/>
      </c>
      <c r="AM37" s="444" t="str">
        <f t="shared" si="33"/>
        <v/>
      </c>
      <c r="AN37" s="444" t="str">
        <f t="shared" si="33"/>
        <v/>
      </c>
      <c r="AO37" s="444" t="str">
        <f t="shared" si="33"/>
        <v/>
      </c>
      <c r="AP37" s="444" t="str">
        <f t="shared" si="33"/>
        <v/>
      </c>
      <c r="AQ37" s="444" t="str">
        <f t="shared" si="33"/>
        <v/>
      </c>
      <c r="AR37" s="444" t="str">
        <f t="shared" si="33"/>
        <v/>
      </c>
      <c r="AS37" s="444" t="str">
        <f t="shared" si="34"/>
        <v/>
      </c>
      <c r="AT37" s="444" t="str">
        <f t="shared" si="34"/>
        <v/>
      </c>
      <c r="AU37" s="444" t="str">
        <f t="shared" si="34"/>
        <v/>
      </c>
      <c r="AV37" s="444" t="str">
        <f t="shared" si="34"/>
        <v/>
      </c>
      <c r="AW37" s="444" t="str">
        <f t="shared" si="34"/>
        <v/>
      </c>
      <c r="AX37" s="444" t="str">
        <f t="shared" si="34"/>
        <v/>
      </c>
      <c r="AY37" s="444" t="str">
        <f t="shared" si="34"/>
        <v/>
      </c>
      <c r="AZ37" s="444" t="str">
        <f t="shared" si="34"/>
        <v/>
      </c>
      <c r="BA37" s="444" t="str">
        <f t="shared" si="34"/>
        <v/>
      </c>
      <c r="BB37" s="444" t="str">
        <f t="shared" si="34"/>
        <v/>
      </c>
      <c r="BC37" s="444" t="str">
        <f t="shared" si="35"/>
        <v/>
      </c>
      <c r="BD37" s="444" t="str">
        <f t="shared" si="35"/>
        <v/>
      </c>
      <c r="BE37" s="444" t="str">
        <f t="shared" si="35"/>
        <v/>
      </c>
      <c r="BF37" s="444" t="str">
        <f t="shared" si="35"/>
        <v/>
      </c>
      <c r="BG37" s="444" t="str">
        <f t="shared" si="35"/>
        <v/>
      </c>
      <c r="BH37" s="445" t="str">
        <f t="shared" si="35"/>
        <v/>
      </c>
      <c r="BI37" s="502"/>
      <c r="BJ37" s="474" t="str">
        <f t="shared" si="36"/>
        <v/>
      </c>
      <c r="BK37" s="475" t="str">
        <f t="shared" si="36"/>
        <v/>
      </c>
      <c r="BL37" s="475" t="str">
        <f t="shared" si="36"/>
        <v/>
      </c>
      <c r="BM37" s="475" t="str">
        <f t="shared" si="36"/>
        <v/>
      </c>
      <c r="BN37" s="475" t="str">
        <f t="shared" si="36"/>
        <v/>
      </c>
      <c r="BO37" s="475" t="str">
        <f t="shared" si="36"/>
        <v/>
      </c>
      <c r="BP37" s="475" t="str">
        <f t="shared" si="36"/>
        <v/>
      </c>
      <c r="BQ37" s="475" t="str">
        <f t="shared" si="36"/>
        <v/>
      </c>
      <c r="BR37" s="475" t="str">
        <f t="shared" si="36"/>
        <v/>
      </c>
      <c r="BS37" s="475" t="str">
        <f t="shared" si="36"/>
        <v/>
      </c>
      <c r="BT37" s="475" t="str">
        <f t="shared" si="37"/>
        <v/>
      </c>
      <c r="BU37" s="475" t="str">
        <f t="shared" si="37"/>
        <v/>
      </c>
      <c r="BV37" s="475" t="str">
        <f t="shared" si="37"/>
        <v/>
      </c>
      <c r="BW37" s="475" t="str">
        <f t="shared" si="37"/>
        <v/>
      </c>
      <c r="BX37" s="475" t="str">
        <f t="shared" si="37"/>
        <v/>
      </c>
      <c r="BY37" s="475" t="str">
        <f t="shared" si="37"/>
        <v/>
      </c>
      <c r="BZ37" s="475" t="str">
        <f t="shared" si="37"/>
        <v/>
      </c>
      <c r="CA37" s="475" t="str">
        <f t="shared" si="37"/>
        <v/>
      </c>
      <c r="CB37" s="475" t="str">
        <f t="shared" si="37"/>
        <v/>
      </c>
      <c r="CC37" s="475" t="str">
        <f t="shared" si="37"/>
        <v/>
      </c>
      <c r="CD37" s="475" t="str">
        <f t="shared" si="38"/>
        <v/>
      </c>
      <c r="CE37" s="475" t="str">
        <f t="shared" si="38"/>
        <v/>
      </c>
      <c r="CF37" s="475" t="str">
        <f t="shared" si="38"/>
        <v/>
      </c>
      <c r="CG37" s="475" t="str">
        <f t="shared" si="38"/>
        <v/>
      </c>
      <c r="CH37" s="475" t="str">
        <f t="shared" si="38"/>
        <v/>
      </c>
      <c r="CI37" s="475" t="str">
        <f t="shared" si="38"/>
        <v/>
      </c>
      <c r="CJ37" s="475" t="str">
        <f t="shared" si="38"/>
        <v/>
      </c>
      <c r="CK37" s="475" t="str">
        <f t="shared" si="38"/>
        <v/>
      </c>
      <c r="CL37" s="475" t="str">
        <f t="shared" si="38"/>
        <v/>
      </c>
      <c r="CM37" s="475" t="str">
        <f t="shared" si="38"/>
        <v/>
      </c>
      <c r="CN37" s="475" t="str">
        <f t="shared" si="39"/>
        <v/>
      </c>
      <c r="CO37" s="475" t="str">
        <f t="shared" si="39"/>
        <v/>
      </c>
      <c r="CP37" s="475" t="str">
        <f t="shared" si="39"/>
        <v/>
      </c>
      <c r="CQ37" s="475" t="str">
        <f t="shared" si="39"/>
        <v/>
      </c>
      <c r="CR37" s="475" t="str">
        <f t="shared" si="39"/>
        <v/>
      </c>
      <c r="CS37" s="475" t="str">
        <f t="shared" si="39"/>
        <v/>
      </c>
      <c r="CT37" s="475" t="str">
        <f t="shared" si="39"/>
        <v/>
      </c>
      <c r="CU37" s="475" t="str">
        <f t="shared" si="39"/>
        <v/>
      </c>
      <c r="CV37" s="475" t="str">
        <f t="shared" si="39"/>
        <v/>
      </c>
      <c r="CW37" s="475" t="str">
        <f t="shared" si="39"/>
        <v/>
      </c>
      <c r="CX37" s="475" t="str">
        <f t="shared" si="39"/>
        <v/>
      </c>
      <c r="CY37" s="475" t="str">
        <f t="shared" si="39"/>
        <v/>
      </c>
      <c r="CZ37" s="495" t="str">
        <f t="shared" si="39"/>
        <v/>
      </c>
      <c r="DA37" s="502"/>
      <c r="DB37" s="460"/>
      <c r="DC37" s="465"/>
      <c r="DD37" s="463"/>
      <c r="DE37" s="512"/>
      <c r="DF37" s="516"/>
      <c r="DG37" s="508"/>
      <c r="DH37" s="463"/>
      <c r="DI37" s="461"/>
      <c r="DJ37" s="461"/>
      <c r="DK37" s="461"/>
      <c r="DL37" s="464"/>
      <c r="DM37" s="466"/>
      <c r="DN37" s="502"/>
      <c r="DO37" s="460"/>
      <c r="DP37" s="464"/>
      <c r="DQ37" s="464"/>
      <c r="DR37" s="464"/>
      <c r="DS37" s="508"/>
      <c r="DT37" s="525"/>
      <c r="DU37" s="525"/>
      <c r="DV37" s="463"/>
      <c r="DW37" s="464"/>
      <c r="DX37" s="465"/>
      <c r="DY37" s="463"/>
      <c r="DZ37" s="464"/>
      <c r="EA37" s="465"/>
      <c r="EB37" s="463"/>
      <c r="EC37" s="465"/>
      <c r="ED37" s="462"/>
      <c r="EE37" s="502"/>
      <c r="EF37" s="463"/>
      <c r="EG37" s="461"/>
      <c r="EH37" s="464"/>
      <c r="EI37" s="464"/>
      <c r="EJ37" s="464"/>
      <c r="EK37" s="464"/>
      <c r="EL37" s="464"/>
      <c r="EM37" s="464"/>
      <c r="EN37" s="464"/>
      <c r="EO37" s="464"/>
      <c r="EP37" s="464"/>
      <c r="EQ37" s="464"/>
      <c r="ER37" s="464"/>
      <c r="ES37" s="464"/>
      <c r="ET37" s="464"/>
      <c r="EU37" s="464"/>
      <c r="EV37" s="464"/>
      <c r="EW37" s="465"/>
      <c r="EX37" s="465"/>
      <c r="EY37" s="502"/>
      <c r="EZ37" s="460"/>
      <c r="FA37" s="464"/>
      <c r="FB37" s="464"/>
      <c r="FC37" s="464"/>
      <c r="FD37" s="464"/>
      <c r="FE37" s="464"/>
      <c r="FF37" s="464"/>
      <c r="FG37" s="466"/>
    </row>
    <row r="38" spans="1:163">
      <c r="A38" s="467" t="s">
        <v>225</v>
      </c>
      <c r="B38" s="471" t="str">
        <f>IF(ISNUMBER(MATCH(A38, 'Pulldown Data'!W:W, 0))=TRUE, "Y", IF(ISNUMBER(MATCH(A38, 'Pulldown Data'!X:X, 0))=TRUE, "M", ""))</f>
        <v/>
      </c>
      <c r="C38" s="504"/>
      <c r="D38" s="502"/>
      <c r="E38" s="443" t="str">
        <f t="shared" si="30"/>
        <v/>
      </c>
      <c r="F38" s="444" t="str">
        <f t="shared" si="30"/>
        <v/>
      </c>
      <c r="G38" s="444" t="str">
        <f t="shared" si="30"/>
        <v/>
      </c>
      <c r="H38" s="444" t="str">
        <f t="shared" si="30"/>
        <v/>
      </c>
      <c r="I38" s="444" t="str">
        <f t="shared" si="30"/>
        <v/>
      </c>
      <c r="J38" s="444" t="str">
        <f t="shared" si="30"/>
        <v/>
      </c>
      <c r="K38" s="444" t="str">
        <f t="shared" si="30"/>
        <v/>
      </c>
      <c r="L38" s="444" t="str">
        <f t="shared" si="30"/>
        <v/>
      </c>
      <c r="M38" s="444" t="str">
        <f t="shared" si="30"/>
        <v/>
      </c>
      <c r="N38" s="444" t="str">
        <f t="shared" si="30"/>
        <v/>
      </c>
      <c r="O38" s="444" t="str">
        <f t="shared" si="31"/>
        <v/>
      </c>
      <c r="P38" s="444" t="str">
        <f t="shared" si="31"/>
        <v/>
      </c>
      <c r="Q38" s="444" t="str">
        <f t="shared" si="31"/>
        <v/>
      </c>
      <c r="R38" s="444" t="str">
        <f t="shared" si="31"/>
        <v/>
      </c>
      <c r="S38" s="444" t="str">
        <f t="shared" si="31"/>
        <v/>
      </c>
      <c r="T38" s="444" t="str">
        <f t="shared" si="31"/>
        <v/>
      </c>
      <c r="U38" s="444" t="str">
        <f t="shared" si="31"/>
        <v/>
      </c>
      <c r="V38" s="444" t="str">
        <f t="shared" si="31"/>
        <v/>
      </c>
      <c r="W38" s="444" t="str">
        <f t="shared" si="31"/>
        <v/>
      </c>
      <c r="X38" s="444" t="str">
        <f t="shared" si="31"/>
        <v/>
      </c>
      <c r="Y38" s="444" t="str">
        <f t="shared" si="32"/>
        <v/>
      </c>
      <c r="Z38" s="444" t="str">
        <f t="shared" si="32"/>
        <v/>
      </c>
      <c r="AA38" s="444" t="str">
        <f t="shared" si="32"/>
        <v/>
      </c>
      <c r="AB38" s="444" t="str">
        <f t="shared" si="32"/>
        <v/>
      </c>
      <c r="AC38" s="444" t="str">
        <f t="shared" si="32"/>
        <v/>
      </c>
      <c r="AD38" s="444" t="str">
        <f t="shared" si="32"/>
        <v/>
      </c>
      <c r="AE38" s="444" t="str">
        <f t="shared" si="32"/>
        <v/>
      </c>
      <c r="AF38" s="444" t="str">
        <f t="shared" si="32"/>
        <v/>
      </c>
      <c r="AG38" s="444" t="str">
        <f t="shared" si="32"/>
        <v/>
      </c>
      <c r="AH38" s="444" t="str">
        <f t="shared" si="32"/>
        <v/>
      </c>
      <c r="AI38" s="444" t="str">
        <f t="shared" si="33"/>
        <v/>
      </c>
      <c r="AJ38" s="444" t="str">
        <f t="shared" si="33"/>
        <v/>
      </c>
      <c r="AK38" s="444" t="str">
        <f t="shared" si="33"/>
        <v/>
      </c>
      <c r="AL38" s="444" t="str">
        <f t="shared" si="33"/>
        <v/>
      </c>
      <c r="AM38" s="444" t="str">
        <f t="shared" si="33"/>
        <v/>
      </c>
      <c r="AN38" s="444" t="str">
        <f t="shared" si="33"/>
        <v/>
      </c>
      <c r="AO38" s="444" t="str">
        <f t="shared" si="33"/>
        <v/>
      </c>
      <c r="AP38" s="444" t="str">
        <f t="shared" si="33"/>
        <v/>
      </c>
      <c r="AQ38" s="444" t="str">
        <f t="shared" si="33"/>
        <v/>
      </c>
      <c r="AR38" s="444" t="str">
        <f t="shared" si="33"/>
        <v/>
      </c>
      <c r="AS38" s="444" t="str">
        <f t="shared" si="34"/>
        <v/>
      </c>
      <c r="AT38" s="444" t="str">
        <f t="shared" si="34"/>
        <v/>
      </c>
      <c r="AU38" s="444" t="str">
        <f t="shared" si="34"/>
        <v/>
      </c>
      <c r="AV38" s="444" t="str">
        <f t="shared" si="34"/>
        <v/>
      </c>
      <c r="AW38" s="444" t="str">
        <f t="shared" si="34"/>
        <v/>
      </c>
      <c r="AX38" s="444" t="str">
        <f t="shared" si="34"/>
        <v/>
      </c>
      <c r="AY38" s="444" t="str">
        <f t="shared" si="34"/>
        <v/>
      </c>
      <c r="AZ38" s="444" t="str">
        <f t="shared" si="34"/>
        <v/>
      </c>
      <c r="BA38" s="444" t="str">
        <f t="shared" si="34"/>
        <v/>
      </c>
      <c r="BB38" s="444" t="str">
        <f t="shared" si="34"/>
        <v/>
      </c>
      <c r="BC38" s="444" t="str">
        <f t="shared" si="35"/>
        <v/>
      </c>
      <c r="BD38" s="444" t="str">
        <f t="shared" si="35"/>
        <v/>
      </c>
      <c r="BE38" s="444" t="str">
        <f t="shared" si="35"/>
        <v/>
      </c>
      <c r="BF38" s="444" t="str">
        <f t="shared" si="35"/>
        <v/>
      </c>
      <c r="BG38" s="444" t="str">
        <f t="shared" si="35"/>
        <v/>
      </c>
      <c r="BH38" s="445" t="str">
        <f t="shared" si="35"/>
        <v/>
      </c>
      <c r="BI38" s="502"/>
      <c r="BJ38" s="474" t="str">
        <f t="shared" si="36"/>
        <v/>
      </c>
      <c r="BK38" s="475" t="str">
        <f t="shared" si="36"/>
        <v/>
      </c>
      <c r="BL38" s="475" t="str">
        <f t="shared" si="36"/>
        <v/>
      </c>
      <c r="BM38" s="475" t="str">
        <f t="shared" si="36"/>
        <v/>
      </c>
      <c r="BN38" s="475" t="str">
        <f t="shared" si="36"/>
        <v/>
      </c>
      <c r="BO38" s="475" t="str">
        <f t="shared" si="36"/>
        <v/>
      </c>
      <c r="BP38" s="475" t="str">
        <f t="shared" si="36"/>
        <v/>
      </c>
      <c r="BQ38" s="475" t="str">
        <f t="shared" si="36"/>
        <v/>
      </c>
      <c r="BR38" s="475" t="str">
        <f t="shared" si="36"/>
        <v/>
      </c>
      <c r="BS38" s="475" t="str">
        <f t="shared" si="36"/>
        <v/>
      </c>
      <c r="BT38" s="475" t="str">
        <f t="shared" si="37"/>
        <v/>
      </c>
      <c r="BU38" s="475" t="str">
        <f t="shared" si="37"/>
        <v/>
      </c>
      <c r="BV38" s="475" t="str">
        <f t="shared" si="37"/>
        <v/>
      </c>
      <c r="BW38" s="475" t="str">
        <f t="shared" si="37"/>
        <v/>
      </c>
      <c r="BX38" s="475" t="str">
        <f t="shared" si="37"/>
        <v/>
      </c>
      <c r="BY38" s="475" t="str">
        <f t="shared" si="37"/>
        <v/>
      </c>
      <c r="BZ38" s="475" t="str">
        <f t="shared" si="37"/>
        <v/>
      </c>
      <c r="CA38" s="475" t="str">
        <f t="shared" si="37"/>
        <v/>
      </c>
      <c r="CB38" s="475" t="str">
        <f t="shared" si="37"/>
        <v/>
      </c>
      <c r="CC38" s="475" t="str">
        <f t="shared" si="37"/>
        <v/>
      </c>
      <c r="CD38" s="475" t="str">
        <f t="shared" si="38"/>
        <v/>
      </c>
      <c r="CE38" s="475" t="str">
        <f t="shared" si="38"/>
        <v/>
      </c>
      <c r="CF38" s="475" t="str">
        <f t="shared" si="38"/>
        <v/>
      </c>
      <c r="CG38" s="475" t="str">
        <f t="shared" si="38"/>
        <v/>
      </c>
      <c r="CH38" s="475" t="str">
        <f t="shared" si="38"/>
        <v/>
      </c>
      <c r="CI38" s="475" t="str">
        <f t="shared" si="38"/>
        <v/>
      </c>
      <c r="CJ38" s="475" t="str">
        <f t="shared" si="38"/>
        <v/>
      </c>
      <c r="CK38" s="475" t="str">
        <f t="shared" si="38"/>
        <v/>
      </c>
      <c r="CL38" s="475" t="str">
        <f t="shared" si="38"/>
        <v/>
      </c>
      <c r="CM38" s="475" t="str">
        <f t="shared" si="38"/>
        <v/>
      </c>
      <c r="CN38" s="475" t="str">
        <f t="shared" si="39"/>
        <v/>
      </c>
      <c r="CO38" s="475" t="str">
        <f t="shared" si="39"/>
        <v/>
      </c>
      <c r="CP38" s="475" t="str">
        <f t="shared" si="39"/>
        <v/>
      </c>
      <c r="CQ38" s="475" t="str">
        <f t="shared" si="39"/>
        <v/>
      </c>
      <c r="CR38" s="475" t="str">
        <f t="shared" si="39"/>
        <v/>
      </c>
      <c r="CS38" s="475" t="str">
        <f t="shared" si="39"/>
        <v/>
      </c>
      <c r="CT38" s="475" t="str">
        <f t="shared" si="39"/>
        <v/>
      </c>
      <c r="CU38" s="475" t="str">
        <f t="shared" si="39"/>
        <v/>
      </c>
      <c r="CV38" s="475" t="str">
        <f t="shared" si="39"/>
        <v/>
      </c>
      <c r="CW38" s="475" t="str">
        <f t="shared" si="39"/>
        <v/>
      </c>
      <c r="CX38" s="475" t="str">
        <f t="shared" si="39"/>
        <v/>
      </c>
      <c r="CY38" s="475" t="str">
        <f t="shared" si="39"/>
        <v/>
      </c>
      <c r="CZ38" s="495" t="str">
        <f t="shared" si="39"/>
        <v/>
      </c>
      <c r="DA38" s="502"/>
      <c r="DB38" s="460"/>
      <c r="DC38" s="465"/>
      <c r="DD38" s="463"/>
      <c r="DE38" s="512"/>
      <c r="DF38" s="516"/>
      <c r="DG38" s="508"/>
      <c r="DH38" s="463"/>
      <c r="DI38" s="461"/>
      <c r="DJ38" s="461"/>
      <c r="DK38" s="461"/>
      <c r="DL38" s="464"/>
      <c r="DM38" s="466"/>
      <c r="DN38" s="502"/>
      <c r="DO38" s="460"/>
      <c r="DP38" s="464"/>
      <c r="DQ38" s="464"/>
      <c r="DR38" s="464"/>
      <c r="DS38" s="508"/>
      <c r="DT38" s="525"/>
      <c r="DU38" s="525"/>
      <c r="DV38" s="463"/>
      <c r="DW38" s="464"/>
      <c r="DX38" s="465"/>
      <c r="DY38" s="463"/>
      <c r="DZ38" s="464"/>
      <c r="EA38" s="465"/>
      <c r="EB38" s="463"/>
      <c r="EC38" s="465"/>
      <c r="ED38" s="462"/>
      <c r="EE38" s="502"/>
      <c r="EF38" s="463"/>
      <c r="EG38" s="461"/>
      <c r="EH38" s="464"/>
      <c r="EI38" s="464"/>
      <c r="EJ38" s="464"/>
      <c r="EK38" s="464"/>
      <c r="EL38" s="464"/>
      <c r="EM38" s="464"/>
      <c r="EN38" s="464"/>
      <c r="EO38" s="464"/>
      <c r="EP38" s="464"/>
      <c r="EQ38" s="464"/>
      <c r="ER38" s="464"/>
      <c r="ES38" s="464"/>
      <c r="ET38" s="464"/>
      <c r="EU38" s="464"/>
      <c r="EV38" s="464"/>
      <c r="EW38" s="465"/>
      <c r="EX38" s="465"/>
      <c r="EY38" s="502"/>
      <c r="EZ38" s="460"/>
      <c r="FA38" s="464"/>
      <c r="FB38" s="464"/>
      <c r="FC38" s="464"/>
      <c r="FD38" s="464"/>
      <c r="FE38" s="464"/>
      <c r="FF38" s="464"/>
      <c r="FG38" s="466"/>
    </row>
    <row r="39" spans="1:163">
      <c r="A39" s="467" t="s">
        <v>226</v>
      </c>
      <c r="B39" s="471" t="str">
        <f>IF(ISNUMBER(MATCH(A39, 'Pulldown Data'!W:W, 0))=TRUE, "Y", IF(ISNUMBER(MATCH(A39, 'Pulldown Data'!X:X, 0))=TRUE, "M", ""))</f>
        <v/>
      </c>
      <c r="C39" s="504"/>
      <c r="D39" s="502"/>
      <c r="E39" s="443" t="str">
        <f t="shared" si="30"/>
        <v/>
      </c>
      <c r="F39" s="444" t="str">
        <f t="shared" si="30"/>
        <v/>
      </c>
      <c r="G39" s="444" t="str">
        <f t="shared" si="30"/>
        <v/>
      </c>
      <c r="H39" s="444" t="str">
        <f t="shared" si="30"/>
        <v/>
      </c>
      <c r="I39" s="444" t="str">
        <f t="shared" si="30"/>
        <v/>
      </c>
      <c r="J39" s="444" t="str">
        <f t="shared" si="30"/>
        <v/>
      </c>
      <c r="K39" s="444" t="str">
        <f t="shared" si="30"/>
        <v/>
      </c>
      <c r="L39" s="444" t="str">
        <f t="shared" si="30"/>
        <v/>
      </c>
      <c r="M39" s="444" t="str">
        <f t="shared" si="30"/>
        <v/>
      </c>
      <c r="N39" s="444" t="str">
        <f t="shared" si="30"/>
        <v/>
      </c>
      <c r="O39" s="444" t="str">
        <f t="shared" si="31"/>
        <v/>
      </c>
      <c r="P39" s="444" t="str">
        <f t="shared" si="31"/>
        <v/>
      </c>
      <c r="Q39" s="444" t="str">
        <f t="shared" si="31"/>
        <v/>
      </c>
      <c r="R39" s="444" t="str">
        <f t="shared" si="31"/>
        <v/>
      </c>
      <c r="S39" s="444" t="str">
        <f t="shared" si="31"/>
        <v/>
      </c>
      <c r="T39" s="444" t="str">
        <f t="shared" si="31"/>
        <v/>
      </c>
      <c r="U39" s="444" t="str">
        <f t="shared" si="31"/>
        <v/>
      </c>
      <c r="V39" s="444" t="str">
        <f t="shared" si="31"/>
        <v/>
      </c>
      <c r="W39" s="444" t="str">
        <f t="shared" si="31"/>
        <v/>
      </c>
      <c r="X39" s="444" t="str">
        <f t="shared" si="31"/>
        <v/>
      </c>
      <c r="Y39" s="444" t="str">
        <f t="shared" si="32"/>
        <v/>
      </c>
      <c r="Z39" s="444" t="str">
        <f t="shared" si="32"/>
        <v/>
      </c>
      <c r="AA39" s="444" t="str">
        <f t="shared" si="32"/>
        <v/>
      </c>
      <c r="AB39" s="444" t="str">
        <f t="shared" si="32"/>
        <v/>
      </c>
      <c r="AC39" s="444" t="str">
        <f t="shared" si="32"/>
        <v/>
      </c>
      <c r="AD39" s="444" t="str">
        <f t="shared" si="32"/>
        <v/>
      </c>
      <c r="AE39" s="444" t="str">
        <f t="shared" si="32"/>
        <v/>
      </c>
      <c r="AF39" s="444" t="str">
        <f t="shared" si="32"/>
        <v/>
      </c>
      <c r="AG39" s="444" t="str">
        <f t="shared" si="32"/>
        <v/>
      </c>
      <c r="AH39" s="444" t="str">
        <f t="shared" si="32"/>
        <v/>
      </c>
      <c r="AI39" s="444" t="str">
        <f t="shared" si="33"/>
        <v/>
      </c>
      <c r="AJ39" s="444" t="str">
        <f t="shared" si="33"/>
        <v/>
      </c>
      <c r="AK39" s="444" t="str">
        <f t="shared" si="33"/>
        <v/>
      </c>
      <c r="AL39" s="444" t="str">
        <f t="shared" si="33"/>
        <v/>
      </c>
      <c r="AM39" s="444" t="str">
        <f t="shared" si="33"/>
        <v/>
      </c>
      <c r="AN39" s="444" t="str">
        <f t="shared" si="33"/>
        <v/>
      </c>
      <c r="AO39" s="444" t="str">
        <f t="shared" si="33"/>
        <v/>
      </c>
      <c r="AP39" s="444" t="str">
        <f t="shared" si="33"/>
        <v/>
      </c>
      <c r="AQ39" s="444" t="str">
        <f t="shared" si="33"/>
        <v/>
      </c>
      <c r="AR39" s="444" t="str">
        <f t="shared" si="33"/>
        <v/>
      </c>
      <c r="AS39" s="444" t="str">
        <f t="shared" si="34"/>
        <v/>
      </c>
      <c r="AT39" s="444" t="str">
        <f t="shared" si="34"/>
        <v/>
      </c>
      <c r="AU39" s="444" t="str">
        <f t="shared" si="34"/>
        <v/>
      </c>
      <c r="AV39" s="444" t="str">
        <f t="shared" si="34"/>
        <v/>
      </c>
      <c r="AW39" s="444" t="str">
        <f t="shared" si="34"/>
        <v/>
      </c>
      <c r="AX39" s="444" t="str">
        <f t="shared" si="34"/>
        <v/>
      </c>
      <c r="AY39" s="444" t="str">
        <f t="shared" si="34"/>
        <v/>
      </c>
      <c r="AZ39" s="444" t="str">
        <f t="shared" si="34"/>
        <v/>
      </c>
      <c r="BA39" s="444" t="str">
        <f t="shared" si="34"/>
        <v/>
      </c>
      <c r="BB39" s="444" t="str">
        <f t="shared" si="34"/>
        <v/>
      </c>
      <c r="BC39" s="444" t="str">
        <f t="shared" si="35"/>
        <v/>
      </c>
      <c r="BD39" s="444" t="str">
        <f t="shared" si="35"/>
        <v/>
      </c>
      <c r="BE39" s="444" t="str">
        <f t="shared" si="35"/>
        <v/>
      </c>
      <c r="BF39" s="444" t="str">
        <f t="shared" si="35"/>
        <v/>
      </c>
      <c r="BG39" s="444" t="str">
        <f t="shared" si="35"/>
        <v/>
      </c>
      <c r="BH39" s="445" t="str">
        <f t="shared" si="35"/>
        <v/>
      </c>
      <c r="BI39" s="502"/>
      <c r="BJ39" s="474" t="str">
        <f t="shared" si="36"/>
        <v/>
      </c>
      <c r="BK39" s="475" t="str">
        <f t="shared" si="36"/>
        <v/>
      </c>
      <c r="BL39" s="475" t="str">
        <f t="shared" si="36"/>
        <v/>
      </c>
      <c r="BM39" s="475" t="str">
        <f t="shared" si="36"/>
        <v/>
      </c>
      <c r="BN39" s="475" t="str">
        <f t="shared" si="36"/>
        <v/>
      </c>
      <c r="BO39" s="475" t="str">
        <f t="shared" si="36"/>
        <v/>
      </c>
      <c r="BP39" s="475" t="str">
        <f t="shared" si="36"/>
        <v/>
      </c>
      <c r="BQ39" s="475" t="str">
        <f t="shared" si="36"/>
        <v/>
      </c>
      <c r="BR39" s="475" t="str">
        <f t="shared" si="36"/>
        <v/>
      </c>
      <c r="BS39" s="475" t="str">
        <f t="shared" si="36"/>
        <v/>
      </c>
      <c r="BT39" s="475" t="str">
        <f t="shared" si="37"/>
        <v/>
      </c>
      <c r="BU39" s="475" t="str">
        <f t="shared" si="37"/>
        <v/>
      </c>
      <c r="BV39" s="475" t="str">
        <f t="shared" si="37"/>
        <v/>
      </c>
      <c r="BW39" s="475" t="str">
        <f t="shared" si="37"/>
        <v/>
      </c>
      <c r="BX39" s="475" t="str">
        <f t="shared" si="37"/>
        <v/>
      </c>
      <c r="BY39" s="475" t="str">
        <f t="shared" si="37"/>
        <v/>
      </c>
      <c r="BZ39" s="475" t="str">
        <f t="shared" si="37"/>
        <v/>
      </c>
      <c r="CA39" s="475" t="str">
        <f t="shared" si="37"/>
        <v/>
      </c>
      <c r="CB39" s="475" t="str">
        <f t="shared" si="37"/>
        <v/>
      </c>
      <c r="CC39" s="475" t="str">
        <f t="shared" si="37"/>
        <v/>
      </c>
      <c r="CD39" s="475" t="str">
        <f t="shared" si="38"/>
        <v/>
      </c>
      <c r="CE39" s="475" t="str">
        <f t="shared" si="38"/>
        <v/>
      </c>
      <c r="CF39" s="475" t="str">
        <f t="shared" si="38"/>
        <v/>
      </c>
      <c r="CG39" s="475" t="str">
        <f t="shared" si="38"/>
        <v/>
      </c>
      <c r="CH39" s="475" t="str">
        <f t="shared" si="38"/>
        <v/>
      </c>
      <c r="CI39" s="475" t="str">
        <f t="shared" si="38"/>
        <v/>
      </c>
      <c r="CJ39" s="475" t="str">
        <f t="shared" si="38"/>
        <v/>
      </c>
      <c r="CK39" s="475" t="str">
        <f t="shared" si="38"/>
        <v/>
      </c>
      <c r="CL39" s="475" t="str">
        <f t="shared" si="38"/>
        <v/>
      </c>
      <c r="CM39" s="475" t="str">
        <f t="shared" si="38"/>
        <v/>
      </c>
      <c r="CN39" s="475" t="str">
        <f t="shared" si="39"/>
        <v/>
      </c>
      <c r="CO39" s="475" t="str">
        <f t="shared" si="39"/>
        <v/>
      </c>
      <c r="CP39" s="475" t="str">
        <f t="shared" si="39"/>
        <v/>
      </c>
      <c r="CQ39" s="475" t="str">
        <f t="shared" si="39"/>
        <v/>
      </c>
      <c r="CR39" s="475" t="str">
        <f t="shared" si="39"/>
        <v/>
      </c>
      <c r="CS39" s="475" t="str">
        <f t="shared" si="39"/>
        <v/>
      </c>
      <c r="CT39" s="475" t="str">
        <f t="shared" si="39"/>
        <v/>
      </c>
      <c r="CU39" s="475" t="str">
        <f t="shared" si="39"/>
        <v/>
      </c>
      <c r="CV39" s="475" t="str">
        <f t="shared" si="39"/>
        <v/>
      </c>
      <c r="CW39" s="475" t="str">
        <f t="shared" si="39"/>
        <v/>
      </c>
      <c r="CX39" s="475" t="str">
        <f t="shared" si="39"/>
        <v/>
      </c>
      <c r="CY39" s="475" t="str">
        <f t="shared" si="39"/>
        <v/>
      </c>
      <c r="CZ39" s="495" t="str">
        <f t="shared" si="39"/>
        <v/>
      </c>
      <c r="DA39" s="502"/>
      <c r="DB39" s="460"/>
      <c r="DC39" s="465"/>
      <c r="DD39" s="463"/>
      <c r="DE39" s="512"/>
      <c r="DF39" s="516"/>
      <c r="DG39" s="508"/>
      <c r="DH39" s="463"/>
      <c r="DI39" s="461"/>
      <c r="DJ39" s="461"/>
      <c r="DK39" s="461"/>
      <c r="DL39" s="464"/>
      <c r="DM39" s="466"/>
      <c r="DN39" s="502"/>
      <c r="DO39" s="460"/>
      <c r="DP39" s="464"/>
      <c r="DQ39" s="464"/>
      <c r="DR39" s="464"/>
      <c r="DS39" s="508"/>
      <c r="DT39" s="525"/>
      <c r="DU39" s="525"/>
      <c r="DV39" s="463"/>
      <c r="DW39" s="464"/>
      <c r="DX39" s="465"/>
      <c r="DY39" s="463"/>
      <c r="DZ39" s="464"/>
      <c r="EA39" s="465"/>
      <c r="EB39" s="463"/>
      <c r="EC39" s="465"/>
      <c r="ED39" s="462"/>
      <c r="EE39" s="502"/>
      <c r="EF39" s="463"/>
      <c r="EG39" s="461"/>
      <c r="EH39" s="464"/>
      <c r="EI39" s="464"/>
      <c r="EJ39" s="464"/>
      <c r="EK39" s="464"/>
      <c r="EL39" s="464"/>
      <c r="EM39" s="464"/>
      <c r="EN39" s="464"/>
      <c r="EO39" s="464"/>
      <c r="EP39" s="464"/>
      <c r="EQ39" s="464"/>
      <c r="ER39" s="464"/>
      <c r="ES39" s="464"/>
      <c r="ET39" s="464"/>
      <c r="EU39" s="464"/>
      <c r="EV39" s="464"/>
      <c r="EW39" s="465"/>
      <c r="EX39" s="465"/>
      <c r="EY39" s="502"/>
      <c r="EZ39" s="460"/>
      <c r="FA39" s="464"/>
      <c r="FB39" s="464"/>
      <c r="FC39" s="464"/>
      <c r="FD39" s="464"/>
      <c r="FE39" s="464"/>
      <c r="FF39" s="464"/>
      <c r="FG39" s="466"/>
    </row>
    <row r="40" spans="1:163">
      <c r="A40" s="467" t="s">
        <v>227</v>
      </c>
      <c r="B40" s="471" t="str">
        <f>IF(ISNUMBER(MATCH(A40, 'Pulldown Data'!W:W, 0))=TRUE, "Y", IF(ISNUMBER(MATCH(A40, 'Pulldown Data'!X:X, 0))=TRUE, "M", ""))</f>
        <v/>
      </c>
      <c r="C40" s="504"/>
      <c r="D40" s="502"/>
      <c r="E40" s="443" t="str">
        <f t="shared" si="30"/>
        <v/>
      </c>
      <c r="F40" s="444" t="str">
        <f t="shared" si="30"/>
        <v/>
      </c>
      <c r="G40" s="444" t="str">
        <f t="shared" si="30"/>
        <v/>
      </c>
      <c r="H40" s="444" t="str">
        <f t="shared" si="30"/>
        <v/>
      </c>
      <c r="I40" s="444" t="str">
        <f t="shared" si="30"/>
        <v/>
      </c>
      <c r="J40" s="444" t="str">
        <f t="shared" si="30"/>
        <v/>
      </c>
      <c r="K40" s="444" t="str">
        <f t="shared" si="30"/>
        <v/>
      </c>
      <c r="L40" s="444" t="str">
        <f t="shared" si="30"/>
        <v/>
      </c>
      <c r="M40" s="444" t="str">
        <f t="shared" si="30"/>
        <v/>
      </c>
      <c r="N40" s="444" t="str">
        <f t="shared" si="30"/>
        <v/>
      </c>
      <c r="O40" s="444" t="str">
        <f t="shared" si="31"/>
        <v/>
      </c>
      <c r="P40" s="444" t="str">
        <f t="shared" si="31"/>
        <v/>
      </c>
      <c r="Q40" s="444" t="str">
        <f t="shared" si="31"/>
        <v/>
      </c>
      <c r="R40" s="444" t="str">
        <f t="shared" si="31"/>
        <v/>
      </c>
      <c r="S40" s="444" t="str">
        <f t="shared" si="31"/>
        <v/>
      </c>
      <c r="T40" s="444" t="str">
        <f t="shared" si="31"/>
        <v/>
      </c>
      <c r="U40" s="444" t="str">
        <f t="shared" si="31"/>
        <v/>
      </c>
      <c r="V40" s="444" t="str">
        <f t="shared" si="31"/>
        <v/>
      </c>
      <c r="W40" s="444" t="str">
        <f t="shared" si="31"/>
        <v/>
      </c>
      <c r="X40" s="444" t="str">
        <f t="shared" si="31"/>
        <v/>
      </c>
      <c r="Y40" s="444" t="str">
        <f t="shared" si="32"/>
        <v/>
      </c>
      <c r="Z40" s="444" t="str">
        <f t="shared" si="32"/>
        <v/>
      </c>
      <c r="AA40" s="444" t="str">
        <f t="shared" si="32"/>
        <v/>
      </c>
      <c r="AB40" s="444" t="str">
        <f t="shared" si="32"/>
        <v/>
      </c>
      <c r="AC40" s="444" t="str">
        <f t="shared" si="32"/>
        <v/>
      </c>
      <c r="AD40" s="444" t="str">
        <f t="shared" si="32"/>
        <v/>
      </c>
      <c r="AE40" s="444" t="str">
        <f t="shared" si="32"/>
        <v/>
      </c>
      <c r="AF40" s="444" t="str">
        <f t="shared" si="32"/>
        <v/>
      </c>
      <c r="AG40" s="444" t="str">
        <f t="shared" si="32"/>
        <v/>
      </c>
      <c r="AH40" s="444" t="str">
        <f t="shared" si="32"/>
        <v/>
      </c>
      <c r="AI40" s="444" t="str">
        <f t="shared" si="33"/>
        <v/>
      </c>
      <c r="AJ40" s="444" t="str">
        <f t="shared" si="33"/>
        <v/>
      </c>
      <c r="AK40" s="444" t="str">
        <f t="shared" si="33"/>
        <v/>
      </c>
      <c r="AL40" s="444" t="str">
        <f t="shared" si="33"/>
        <v/>
      </c>
      <c r="AM40" s="444" t="str">
        <f t="shared" si="33"/>
        <v/>
      </c>
      <c r="AN40" s="444" t="str">
        <f t="shared" si="33"/>
        <v/>
      </c>
      <c r="AO40" s="444" t="str">
        <f t="shared" si="33"/>
        <v/>
      </c>
      <c r="AP40" s="444" t="str">
        <f t="shared" si="33"/>
        <v/>
      </c>
      <c r="AQ40" s="444" t="str">
        <f t="shared" si="33"/>
        <v/>
      </c>
      <c r="AR40" s="444" t="str">
        <f t="shared" si="33"/>
        <v/>
      </c>
      <c r="AS40" s="444" t="str">
        <f t="shared" si="34"/>
        <v/>
      </c>
      <c r="AT40" s="444" t="str">
        <f t="shared" si="34"/>
        <v/>
      </c>
      <c r="AU40" s="444" t="str">
        <f t="shared" si="34"/>
        <v/>
      </c>
      <c r="AV40" s="444" t="str">
        <f t="shared" si="34"/>
        <v/>
      </c>
      <c r="AW40" s="444" t="str">
        <f t="shared" si="34"/>
        <v/>
      </c>
      <c r="AX40" s="444" t="str">
        <f t="shared" si="34"/>
        <v/>
      </c>
      <c r="AY40" s="444" t="str">
        <f t="shared" si="34"/>
        <v/>
      </c>
      <c r="AZ40" s="444" t="str">
        <f t="shared" si="34"/>
        <v/>
      </c>
      <c r="BA40" s="444" t="str">
        <f t="shared" si="34"/>
        <v/>
      </c>
      <c r="BB40" s="444" t="str">
        <f t="shared" si="34"/>
        <v/>
      </c>
      <c r="BC40" s="444" t="str">
        <f t="shared" si="35"/>
        <v/>
      </c>
      <c r="BD40" s="444" t="str">
        <f t="shared" si="35"/>
        <v/>
      </c>
      <c r="BE40" s="444" t="str">
        <f t="shared" si="35"/>
        <v/>
      </c>
      <c r="BF40" s="444" t="str">
        <f t="shared" si="35"/>
        <v/>
      </c>
      <c r="BG40" s="444" t="str">
        <f t="shared" si="35"/>
        <v/>
      </c>
      <c r="BH40" s="445" t="str">
        <f t="shared" si="35"/>
        <v/>
      </c>
      <c r="BI40" s="502"/>
      <c r="BJ40" s="474" t="str">
        <f t="shared" si="36"/>
        <v/>
      </c>
      <c r="BK40" s="475" t="str">
        <f t="shared" si="36"/>
        <v/>
      </c>
      <c r="BL40" s="475" t="str">
        <f t="shared" si="36"/>
        <v/>
      </c>
      <c r="BM40" s="475" t="str">
        <f t="shared" si="36"/>
        <v/>
      </c>
      <c r="BN40" s="475" t="str">
        <f t="shared" si="36"/>
        <v/>
      </c>
      <c r="BO40" s="475" t="str">
        <f t="shared" si="36"/>
        <v/>
      </c>
      <c r="BP40" s="475" t="str">
        <f t="shared" si="36"/>
        <v/>
      </c>
      <c r="BQ40" s="475" t="str">
        <f t="shared" si="36"/>
        <v/>
      </c>
      <c r="BR40" s="475" t="str">
        <f t="shared" si="36"/>
        <v/>
      </c>
      <c r="BS40" s="475" t="str">
        <f t="shared" si="36"/>
        <v/>
      </c>
      <c r="BT40" s="475" t="str">
        <f t="shared" si="37"/>
        <v/>
      </c>
      <c r="BU40" s="475" t="str">
        <f t="shared" si="37"/>
        <v/>
      </c>
      <c r="BV40" s="475" t="str">
        <f t="shared" si="37"/>
        <v/>
      </c>
      <c r="BW40" s="475" t="str">
        <f t="shared" si="37"/>
        <v/>
      </c>
      <c r="BX40" s="475" t="str">
        <f t="shared" si="37"/>
        <v/>
      </c>
      <c r="BY40" s="475" t="str">
        <f t="shared" si="37"/>
        <v/>
      </c>
      <c r="BZ40" s="475" t="str">
        <f t="shared" si="37"/>
        <v/>
      </c>
      <c r="CA40" s="475" t="str">
        <f t="shared" si="37"/>
        <v/>
      </c>
      <c r="CB40" s="475" t="str">
        <f t="shared" si="37"/>
        <v/>
      </c>
      <c r="CC40" s="475" t="str">
        <f t="shared" si="37"/>
        <v/>
      </c>
      <c r="CD40" s="475" t="str">
        <f t="shared" si="38"/>
        <v/>
      </c>
      <c r="CE40" s="475" t="str">
        <f t="shared" si="38"/>
        <v/>
      </c>
      <c r="CF40" s="475" t="str">
        <f t="shared" si="38"/>
        <v/>
      </c>
      <c r="CG40" s="475" t="str">
        <f t="shared" si="38"/>
        <v/>
      </c>
      <c r="CH40" s="475" t="str">
        <f t="shared" si="38"/>
        <v/>
      </c>
      <c r="CI40" s="475" t="str">
        <f t="shared" si="38"/>
        <v/>
      </c>
      <c r="CJ40" s="475" t="str">
        <f t="shared" si="38"/>
        <v/>
      </c>
      <c r="CK40" s="475" t="str">
        <f t="shared" si="38"/>
        <v/>
      </c>
      <c r="CL40" s="475" t="str">
        <f t="shared" si="38"/>
        <v/>
      </c>
      <c r="CM40" s="475" t="str">
        <f t="shared" si="38"/>
        <v/>
      </c>
      <c r="CN40" s="475" t="str">
        <f t="shared" si="39"/>
        <v/>
      </c>
      <c r="CO40" s="475" t="str">
        <f t="shared" si="39"/>
        <v/>
      </c>
      <c r="CP40" s="475" t="str">
        <f t="shared" si="39"/>
        <v/>
      </c>
      <c r="CQ40" s="475" t="str">
        <f t="shared" si="39"/>
        <v/>
      </c>
      <c r="CR40" s="475" t="str">
        <f t="shared" si="39"/>
        <v/>
      </c>
      <c r="CS40" s="475" t="str">
        <f t="shared" si="39"/>
        <v/>
      </c>
      <c r="CT40" s="475" t="str">
        <f t="shared" si="39"/>
        <v/>
      </c>
      <c r="CU40" s="475" t="str">
        <f t="shared" si="39"/>
        <v/>
      </c>
      <c r="CV40" s="475" t="str">
        <f t="shared" si="39"/>
        <v/>
      </c>
      <c r="CW40" s="475" t="str">
        <f t="shared" si="39"/>
        <v/>
      </c>
      <c r="CX40" s="475" t="str">
        <f t="shared" si="39"/>
        <v/>
      </c>
      <c r="CY40" s="475" t="str">
        <f t="shared" si="39"/>
        <v/>
      </c>
      <c r="CZ40" s="495" t="str">
        <f t="shared" si="39"/>
        <v/>
      </c>
      <c r="DA40" s="502"/>
      <c r="DB40" s="460"/>
      <c r="DC40" s="465"/>
      <c r="DD40" s="463"/>
      <c r="DE40" s="512"/>
      <c r="DF40" s="516"/>
      <c r="DG40" s="508"/>
      <c r="DH40" s="463"/>
      <c r="DI40" s="461"/>
      <c r="DJ40" s="461"/>
      <c r="DK40" s="461"/>
      <c r="DL40" s="464"/>
      <c r="DM40" s="466"/>
      <c r="DN40" s="502"/>
      <c r="DO40" s="460"/>
      <c r="DP40" s="464"/>
      <c r="DQ40" s="464"/>
      <c r="DR40" s="464"/>
      <c r="DS40" s="508"/>
      <c r="DT40" s="525"/>
      <c r="DU40" s="525"/>
      <c r="DV40" s="463"/>
      <c r="DW40" s="464"/>
      <c r="DX40" s="465"/>
      <c r="DY40" s="463"/>
      <c r="DZ40" s="464"/>
      <c r="EA40" s="465"/>
      <c r="EB40" s="463"/>
      <c r="EC40" s="465"/>
      <c r="ED40" s="462"/>
      <c r="EE40" s="502"/>
      <c r="EF40" s="463"/>
      <c r="EG40" s="461"/>
      <c r="EH40" s="464"/>
      <c r="EI40" s="464"/>
      <c r="EJ40" s="464"/>
      <c r="EK40" s="464"/>
      <c r="EL40" s="464"/>
      <c r="EM40" s="464"/>
      <c r="EN40" s="464"/>
      <c r="EO40" s="464"/>
      <c r="EP40" s="464"/>
      <c r="EQ40" s="464"/>
      <c r="ER40" s="464"/>
      <c r="ES40" s="464"/>
      <c r="ET40" s="464"/>
      <c r="EU40" s="464"/>
      <c r="EV40" s="464"/>
      <c r="EW40" s="465"/>
      <c r="EX40" s="465"/>
      <c r="EY40" s="502"/>
      <c r="EZ40" s="460"/>
      <c r="FA40" s="464"/>
      <c r="FB40" s="464"/>
      <c r="FC40" s="464"/>
      <c r="FD40" s="464"/>
      <c r="FE40" s="464"/>
      <c r="FF40" s="464"/>
      <c r="FG40" s="466"/>
    </row>
    <row r="41" spans="1:163">
      <c r="A41" s="467" t="s">
        <v>228</v>
      </c>
      <c r="B41" s="471" t="str">
        <f>IF(ISNUMBER(MATCH(A41, 'Pulldown Data'!W:W, 0))=TRUE, "Y", IF(ISNUMBER(MATCH(A41, 'Pulldown Data'!X:X, 0))=TRUE, "M", ""))</f>
        <v/>
      </c>
      <c r="C41" s="504"/>
      <c r="D41" s="502"/>
      <c r="E41" s="443" t="str">
        <f t="shared" si="30"/>
        <v/>
      </c>
      <c r="F41" s="444" t="str">
        <f t="shared" si="30"/>
        <v/>
      </c>
      <c r="G41" s="444" t="str">
        <f t="shared" si="30"/>
        <v/>
      </c>
      <c r="H41" s="444" t="str">
        <f t="shared" si="30"/>
        <v/>
      </c>
      <c r="I41" s="444" t="str">
        <f t="shared" si="30"/>
        <v/>
      </c>
      <c r="J41" s="444" t="str">
        <f t="shared" si="30"/>
        <v/>
      </c>
      <c r="K41" s="444" t="str">
        <f t="shared" si="30"/>
        <v/>
      </c>
      <c r="L41" s="444" t="str">
        <f t="shared" si="30"/>
        <v/>
      </c>
      <c r="M41" s="444" t="str">
        <f t="shared" si="30"/>
        <v/>
      </c>
      <c r="N41" s="444" t="str">
        <f t="shared" si="30"/>
        <v/>
      </c>
      <c r="O41" s="444" t="str">
        <f t="shared" si="31"/>
        <v/>
      </c>
      <c r="P41" s="444" t="str">
        <f t="shared" si="31"/>
        <v/>
      </c>
      <c r="Q41" s="444" t="str">
        <f t="shared" si="31"/>
        <v/>
      </c>
      <c r="R41" s="444" t="str">
        <f t="shared" si="31"/>
        <v/>
      </c>
      <c r="S41" s="444" t="str">
        <f t="shared" si="31"/>
        <v/>
      </c>
      <c r="T41" s="444" t="str">
        <f t="shared" si="31"/>
        <v/>
      </c>
      <c r="U41" s="444" t="str">
        <f t="shared" si="31"/>
        <v/>
      </c>
      <c r="V41" s="444" t="str">
        <f t="shared" si="31"/>
        <v/>
      </c>
      <c r="W41" s="444" t="str">
        <f t="shared" si="31"/>
        <v/>
      </c>
      <c r="X41" s="444" t="str">
        <f t="shared" si="31"/>
        <v/>
      </c>
      <c r="Y41" s="444" t="str">
        <f t="shared" si="32"/>
        <v/>
      </c>
      <c r="Z41" s="444" t="str">
        <f t="shared" si="32"/>
        <v/>
      </c>
      <c r="AA41" s="444" t="str">
        <f t="shared" si="32"/>
        <v/>
      </c>
      <c r="AB41" s="444" t="str">
        <f t="shared" si="32"/>
        <v/>
      </c>
      <c r="AC41" s="444" t="str">
        <f t="shared" si="32"/>
        <v/>
      </c>
      <c r="AD41" s="444" t="str">
        <f t="shared" si="32"/>
        <v/>
      </c>
      <c r="AE41" s="444" t="str">
        <f t="shared" si="32"/>
        <v/>
      </c>
      <c r="AF41" s="444" t="str">
        <f t="shared" si="32"/>
        <v/>
      </c>
      <c r="AG41" s="444" t="str">
        <f t="shared" si="32"/>
        <v/>
      </c>
      <c r="AH41" s="444" t="str">
        <f t="shared" si="32"/>
        <v/>
      </c>
      <c r="AI41" s="444" t="str">
        <f t="shared" si="33"/>
        <v/>
      </c>
      <c r="AJ41" s="444" t="str">
        <f t="shared" si="33"/>
        <v/>
      </c>
      <c r="AK41" s="444" t="str">
        <f t="shared" si="33"/>
        <v/>
      </c>
      <c r="AL41" s="444" t="str">
        <f t="shared" si="33"/>
        <v/>
      </c>
      <c r="AM41" s="444" t="str">
        <f t="shared" si="33"/>
        <v/>
      </c>
      <c r="AN41" s="444" t="str">
        <f t="shared" si="33"/>
        <v/>
      </c>
      <c r="AO41" s="444" t="str">
        <f t="shared" si="33"/>
        <v/>
      </c>
      <c r="AP41" s="444" t="str">
        <f t="shared" si="33"/>
        <v/>
      </c>
      <c r="AQ41" s="444" t="str">
        <f t="shared" si="33"/>
        <v/>
      </c>
      <c r="AR41" s="444" t="str">
        <f t="shared" si="33"/>
        <v/>
      </c>
      <c r="AS41" s="444" t="str">
        <f t="shared" si="34"/>
        <v/>
      </c>
      <c r="AT41" s="444" t="str">
        <f t="shared" si="34"/>
        <v/>
      </c>
      <c r="AU41" s="444" t="str">
        <f t="shared" si="34"/>
        <v/>
      </c>
      <c r="AV41" s="444" t="str">
        <f t="shared" si="34"/>
        <v/>
      </c>
      <c r="AW41" s="444" t="str">
        <f t="shared" si="34"/>
        <v/>
      </c>
      <c r="AX41" s="444" t="str">
        <f t="shared" si="34"/>
        <v/>
      </c>
      <c r="AY41" s="444" t="str">
        <f t="shared" si="34"/>
        <v/>
      </c>
      <c r="AZ41" s="444" t="str">
        <f t="shared" si="34"/>
        <v/>
      </c>
      <c r="BA41" s="444" t="str">
        <f t="shared" si="34"/>
        <v/>
      </c>
      <c r="BB41" s="444" t="str">
        <f t="shared" si="34"/>
        <v/>
      </c>
      <c r="BC41" s="444" t="str">
        <f t="shared" si="35"/>
        <v/>
      </c>
      <c r="BD41" s="444" t="str">
        <f t="shared" si="35"/>
        <v/>
      </c>
      <c r="BE41" s="444" t="str">
        <f t="shared" si="35"/>
        <v/>
      </c>
      <c r="BF41" s="444" t="str">
        <f t="shared" si="35"/>
        <v/>
      </c>
      <c r="BG41" s="444" t="str">
        <f t="shared" si="35"/>
        <v/>
      </c>
      <c r="BH41" s="445" t="str">
        <f t="shared" si="35"/>
        <v/>
      </c>
      <c r="BI41" s="502"/>
      <c r="BJ41" s="474" t="str">
        <f t="shared" si="36"/>
        <v/>
      </c>
      <c r="BK41" s="475" t="str">
        <f t="shared" si="36"/>
        <v/>
      </c>
      <c r="BL41" s="475" t="str">
        <f t="shared" si="36"/>
        <v/>
      </c>
      <c r="BM41" s="475" t="str">
        <f t="shared" si="36"/>
        <v/>
      </c>
      <c r="BN41" s="475" t="str">
        <f t="shared" si="36"/>
        <v/>
      </c>
      <c r="BO41" s="475" t="str">
        <f t="shared" si="36"/>
        <v/>
      </c>
      <c r="BP41" s="475" t="str">
        <f t="shared" si="36"/>
        <v/>
      </c>
      <c r="BQ41" s="475" t="str">
        <f t="shared" si="36"/>
        <v/>
      </c>
      <c r="BR41" s="475" t="str">
        <f t="shared" si="36"/>
        <v/>
      </c>
      <c r="BS41" s="475" t="str">
        <f t="shared" si="36"/>
        <v/>
      </c>
      <c r="BT41" s="475" t="str">
        <f t="shared" si="37"/>
        <v/>
      </c>
      <c r="BU41" s="475" t="str">
        <f t="shared" si="37"/>
        <v/>
      </c>
      <c r="BV41" s="475" t="str">
        <f t="shared" si="37"/>
        <v/>
      </c>
      <c r="BW41" s="475" t="str">
        <f t="shared" si="37"/>
        <v/>
      </c>
      <c r="BX41" s="475" t="str">
        <f t="shared" si="37"/>
        <v/>
      </c>
      <c r="BY41" s="475" t="str">
        <f t="shared" si="37"/>
        <v/>
      </c>
      <c r="BZ41" s="475" t="str">
        <f t="shared" si="37"/>
        <v/>
      </c>
      <c r="CA41" s="475" t="str">
        <f t="shared" si="37"/>
        <v/>
      </c>
      <c r="CB41" s="475" t="str">
        <f t="shared" si="37"/>
        <v/>
      </c>
      <c r="CC41" s="475" t="str">
        <f t="shared" si="37"/>
        <v/>
      </c>
      <c r="CD41" s="475" t="str">
        <f t="shared" si="38"/>
        <v/>
      </c>
      <c r="CE41" s="475" t="str">
        <f t="shared" si="38"/>
        <v/>
      </c>
      <c r="CF41" s="475" t="str">
        <f t="shared" si="38"/>
        <v/>
      </c>
      <c r="CG41" s="475" t="str">
        <f t="shared" si="38"/>
        <v/>
      </c>
      <c r="CH41" s="475" t="str">
        <f t="shared" si="38"/>
        <v/>
      </c>
      <c r="CI41" s="475" t="str">
        <f t="shared" si="38"/>
        <v/>
      </c>
      <c r="CJ41" s="475" t="str">
        <f t="shared" si="38"/>
        <v/>
      </c>
      <c r="CK41" s="475" t="str">
        <f t="shared" si="38"/>
        <v/>
      </c>
      <c r="CL41" s="475" t="str">
        <f t="shared" si="38"/>
        <v/>
      </c>
      <c r="CM41" s="475" t="str">
        <f t="shared" si="38"/>
        <v/>
      </c>
      <c r="CN41" s="475" t="str">
        <f t="shared" si="39"/>
        <v/>
      </c>
      <c r="CO41" s="475" t="str">
        <f t="shared" si="39"/>
        <v/>
      </c>
      <c r="CP41" s="475" t="str">
        <f t="shared" si="39"/>
        <v/>
      </c>
      <c r="CQ41" s="475" t="str">
        <f t="shared" si="39"/>
        <v/>
      </c>
      <c r="CR41" s="475" t="str">
        <f t="shared" si="39"/>
        <v/>
      </c>
      <c r="CS41" s="475" t="str">
        <f t="shared" si="39"/>
        <v/>
      </c>
      <c r="CT41" s="475" t="str">
        <f t="shared" si="39"/>
        <v/>
      </c>
      <c r="CU41" s="475" t="str">
        <f t="shared" si="39"/>
        <v/>
      </c>
      <c r="CV41" s="475" t="str">
        <f t="shared" si="39"/>
        <v/>
      </c>
      <c r="CW41" s="475" t="str">
        <f t="shared" si="39"/>
        <v/>
      </c>
      <c r="CX41" s="475" t="str">
        <f t="shared" si="39"/>
        <v/>
      </c>
      <c r="CY41" s="475" t="str">
        <f t="shared" si="39"/>
        <v/>
      </c>
      <c r="CZ41" s="495" t="str">
        <f t="shared" si="39"/>
        <v/>
      </c>
      <c r="DA41" s="502"/>
      <c r="DB41" s="460"/>
      <c r="DC41" s="465"/>
      <c r="DD41" s="463"/>
      <c r="DE41" s="512"/>
      <c r="DF41" s="516"/>
      <c r="DG41" s="508"/>
      <c r="DH41" s="463"/>
      <c r="DI41" s="461"/>
      <c r="DJ41" s="461"/>
      <c r="DK41" s="461"/>
      <c r="DL41" s="464"/>
      <c r="DM41" s="466"/>
      <c r="DN41" s="502"/>
      <c r="DO41" s="460"/>
      <c r="DP41" s="464"/>
      <c r="DQ41" s="464"/>
      <c r="DR41" s="464"/>
      <c r="DS41" s="508"/>
      <c r="DT41" s="525"/>
      <c r="DU41" s="525"/>
      <c r="DV41" s="463"/>
      <c r="DW41" s="464"/>
      <c r="DX41" s="465"/>
      <c r="DY41" s="463"/>
      <c r="DZ41" s="464"/>
      <c r="EA41" s="465"/>
      <c r="EB41" s="463"/>
      <c r="EC41" s="465"/>
      <c r="ED41" s="462"/>
      <c r="EE41" s="502"/>
      <c r="EF41" s="463"/>
      <c r="EG41" s="461"/>
      <c r="EH41" s="464"/>
      <c r="EI41" s="464"/>
      <c r="EJ41" s="464"/>
      <c r="EK41" s="464"/>
      <c r="EL41" s="464"/>
      <c r="EM41" s="464"/>
      <c r="EN41" s="464"/>
      <c r="EO41" s="464"/>
      <c r="EP41" s="464"/>
      <c r="EQ41" s="464"/>
      <c r="ER41" s="464"/>
      <c r="ES41" s="464"/>
      <c r="ET41" s="464"/>
      <c r="EU41" s="464"/>
      <c r="EV41" s="464"/>
      <c r="EW41" s="465"/>
      <c r="EX41" s="465"/>
      <c r="EY41" s="502"/>
      <c r="EZ41" s="460"/>
      <c r="FA41" s="464"/>
      <c r="FB41" s="464"/>
      <c r="FC41" s="464"/>
      <c r="FD41" s="464"/>
      <c r="FE41" s="464"/>
      <c r="FF41" s="464"/>
      <c r="FG41" s="466"/>
    </row>
    <row r="42" spans="1:163">
      <c r="A42" s="467" t="s">
        <v>229</v>
      </c>
      <c r="B42" s="471" t="str">
        <f>IF(ISNUMBER(MATCH(A42, 'Pulldown Data'!W:W, 0))=TRUE, "Y", IF(ISNUMBER(MATCH(A42, 'Pulldown Data'!X:X, 0))=TRUE, "M", ""))</f>
        <v/>
      </c>
      <c r="C42" s="504"/>
      <c r="D42" s="502"/>
      <c r="E42" s="443" t="str">
        <f t="shared" ref="E42:N51" si="40" xml:space="preserve">
IFERROR(
_xlfn.IFNA(
   IF($B42="PLT",
      IF(INDEX(PRJGENVersions, MATCH(TRIM(E$1), PRJGENAlgosMapped, 0), MATCH($A42, PRJGENProjects, 0)), "YES", ""),
      IF(INDEX(RoadmapData, MATCH(TRIM(E$1), RoadmapDataFeatures, 0), MATCH($A42, RoadmapDataProjects, 0)) = "-", "-", INDEX(RoadmapData, MATCH(TRIM(E$1), RoadmapDataFeatures, 0), MATCH($A42, RoadmapDataProjects, 0)))),
""),
"")</f>
        <v/>
      </c>
      <c r="F42" s="444" t="str">
        <f t="shared" si="40"/>
        <v/>
      </c>
      <c r="G42" s="444" t="str">
        <f t="shared" si="40"/>
        <v/>
      </c>
      <c r="H42" s="444" t="str">
        <f t="shared" si="40"/>
        <v/>
      </c>
      <c r="I42" s="444" t="str">
        <f t="shared" si="40"/>
        <v/>
      </c>
      <c r="J42" s="444" t="str">
        <f t="shared" si="40"/>
        <v/>
      </c>
      <c r="K42" s="444" t="str">
        <f t="shared" si="40"/>
        <v/>
      </c>
      <c r="L42" s="444" t="str">
        <f t="shared" si="40"/>
        <v/>
      </c>
      <c r="M42" s="444" t="str">
        <f t="shared" si="40"/>
        <v/>
      </c>
      <c r="N42" s="444" t="str">
        <f t="shared" si="40"/>
        <v/>
      </c>
      <c r="O42" s="444" t="str">
        <f t="shared" ref="O42:X51" si="41" xml:space="preserve">
IFERROR(
_xlfn.IFNA(
   IF($B42="PLT",
      IF(INDEX(PRJGENVersions, MATCH(TRIM(O$1), PRJGENAlgosMapped, 0), MATCH($A42, PRJGENProjects, 0)), "YES", ""),
      IF(INDEX(RoadmapData, MATCH(TRIM(O$1), RoadmapDataFeatures, 0), MATCH($A42, RoadmapDataProjects, 0)) = "-", "-", INDEX(RoadmapData, MATCH(TRIM(O$1), RoadmapDataFeatures, 0), MATCH($A42, RoadmapDataProjects, 0)))),
""),
"")</f>
        <v/>
      </c>
      <c r="P42" s="444" t="str">
        <f t="shared" si="41"/>
        <v/>
      </c>
      <c r="Q42" s="444" t="str">
        <f t="shared" si="41"/>
        <v/>
      </c>
      <c r="R42" s="444" t="str">
        <f t="shared" si="41"/>
        <v/>
      </c>
      <c r="S42" s="444" t="str">
        <f t="shared" si="41"/>
        <v/>
      </c>
      <c r="T42" s="444" t="str">
        <f t="shared" si="41"/>
        <v/>
      </c>
      <c r="U42" s="444" t="str">
        <f t="shared" si="41"/>
        <v/>
      </c>
      <c r="V42" s="444" t="str">
        <f t="shared" si="41"/>
        <v/>
      </c>
      <c r="W42" s="444" t="str">
        <f t="shared" si="41"/>
        <v/>
      </c>
      <c r="X42" s="444" t="str">
        <f t="shared" si="41"/>
        <v/>
      </c>
      <c r="Y42" s="444" t="str">
        <f t="shared" ref="Y42:AH51" si="42" xml:space="preserve">
IFERROR(
_xlfn.IFNA(
   IF($B42="PLT",
      IF(INDEX(PRJGENVersions, MATCH(TRIM(Y$1), PRJGENAlgosMapped, 0), MATCH($A42, PRJGENProjects, 0)), "YES", ""),
      IF(INDEX(RoadmapData, MATCH(TRIM(Y$1), RoadmapDataFeatures, 0), MATCH($A42, RoadmapDataProjects, 0)) = "-", "-", INDEX(RoadmapData, MATCH(TRIM(Y$1), RoadmapDataFeatures, 0), MATCH($A42, RoadmapDataProjects, 0)))),
""),
"")</f>
        <v/>
      </c>
      <c r="Z42" s="444" t="str">
        <f t="shared" si="42"/>
        <v/>
      </c>
      <c r="AA42" s="444" t="str">
        <f t="shared" si="42"/>
        <v/>
      </c>
      <c r="AB42" s="444" t="str">
        <f t="shared" si="42"/>
        <v/>
      </c>
      <c r="AC42" s="444" t="str">
        <f t="shared" si="42"/>
        <v/>
      </c>
      <c r="AD42" s="444" t="str">
        <f t="shared" si="42"/>
        <v/>
      </c>
      <c r="AE42" s="444" t="str">
        <f t="shared" si="42"/>
        <v/>
      </c>
      <c r="AF42" s="444" t="str">
        <f t="shared" si="42"/>
        <v/>
      </c>
      <c r="AG42" s="444" t="str">
        <f t="shared" si="42"/>
        <v/>
      </c>
      <c r="AH42" s="444" t="str">
        <f t="shared" si="42"/>
        <v/>
      </c>
      <c r="AI42" s="444" t="str">
        <f t="shared" ref="AI42:AR51" si="43" xml:space="preserve">
IFERROR(
_xlfn.IFNA(
   IF($B42="PLT",
      IF(INDEX(PRJGENVersions, MATCH(TRIM(AI$1), PRJGENAlgosMapped, 0), MATCH($A42, PRJGENProjects, 0)), "YES", ""),
      IF(INDEX(RoadmapData, MATCH(TRIM(AI$1), RoadmapDataFeatures, 0), MATCH($A42, RoadmapDataProjects, 0)) = "-", "-", INDEX(RoadmapData, MATCH(TRIM(AI$1), RoadmapDataFeatures, 0), MATCH($A42, RoadmapDataProjects, 0)))),
""),
"")</f>
        <v/>
      </c>
      <c r="AJ42" s="444" t="str">
        <f t="shared" si="43"/>
        <v/>
      </c>
      <c r="AK42" s="444" t="str">
        <f t="shared" si="43"/>
        <v/>
      </c>
      <c r="AL42" s="444" t="str">
        <f t="shared" si="43"/>
        <v/>
      </c>
      <c r="AM42" s="444" t="str">
        <f t="shared" si="43"/>
        <v/>
      </c>
      <c r="AN42" s="444" t="str">
        <f t="shared" si="43"/>
        <v/>
      </c>
      <c r="AO42" s="444" t="str">
        <f t="shared" si="43"/>
        <v/>
      </c>
      <c r="AP42" s="444" t="str">
        <f t="shared" si="43"/>
        <v/>
      </c>
      <c r="AQ42" s="444" t="str">
        <f t="shared" si="43"/>
        <v/>
      </c>
      <c r="AR42" s="444" t="str">
        <f t="shared" si="43"/>
        <v/>
      </c>
      <c r="AS42" s="444" t="str">
        <f t="shared" ref="AS42:BB51" si="44" xml:space="preserve">
IFERROR(
_xlfn.IFNA(
   IF($B42="PLT",
      IF(INDEX(PRJGENVersions, MATCH(TRIM(AS$1), PRJGENAlgosMapped, 0), MATCH($A42, PRJGENProjects, 0)), "YES", ""),
      IF(INDEX(RoadmapData, MATCH(TRIM(AS$1), RoadmapDataFeatures, 0), MATCH($A42, RoadmapDataProjects, 0)) = "-", "-", INDEX(RoadmapData, MATCH(TRIM(AS$1), RoadmapDataFeatures, 0), MATCH($A42, RoadmapDataProjects, 0)))),
""),
"")</f>
        <v/>
      </c>
      <c r="AT42" s="444" t="str">
        <f t="shared" si="44"/>
        <v/>
      </c>
      <c r="AU42" s="444" t="str">
        <f t="shared" si="44"/>
        <v/>
      </c>
      <c r="AV42" s="444" t="str">
        <f t="shared" si="44"/>
        <v/>
      </c>
      <c r="AW42" s="444" t="str">
        <f t="shared" si="44"/>
        <v/>
      </c>
      <c r="AX42" s="444" t="str">
        <f t="shared" si="44"/>
        <v/>
      </c>
      <c r="AY42" s="444" t="str">
        <f t="shared" si="44"/>
        <v/>
      </c>
      <c r="AZ42" s="444" t="str">
        <f t="shared" si="44"/>
        <v/>
      </c>
      <c r="BA42" s="444" t="str">
        <f t="shared" si="44"/>
        <v/>
      </c>
      <c r="BB42" s="444" t="str">
        <f t="shared" si="44"/>
        <v/>
      </c>
      <c r="BC42" s="444" t="str">
        <f t="shared" ref="BC42:BH51" si="45" xml:space="preserve">
IFERROR(
_xlfn.IFNA(
   IF($B42="PLT",
      IF(INDEX(PRJGENVersions, MATCH(TRIM(BC$1), PRJGENAlgosMapped, 0), MATCH($A42, PRJGENProjects, 0)), "YES", ""),
      IF(INDEX(RoadmapData, MATCH(TRIM(BC$1), RoadmapDataFeatures, 0), MATCH($A42, RoadmapDataProjects, 0)) = "-", "-", INDEX(RoadmapData, MATCH(TRIM(BC$1), RoadmapDataFeatures, 0), MATCH($A42, RoadmapDataProjects, 0)))),
""),
"")</f>
        <v/>
      </c>
      <c r="BD42" s="444" t="str">
        <f t="shared" si="45"/>
        <v/>
      </c>
      <c r="BE42" s="444" t="str">
        <f t="shared" si="45"/>
        <v/>
      </c>
      <c r="BF42" s="444" t="str">
        <f t="shared" si="45"/>
        <v/>
      </c>
      <c r="BG42" s="444" t="str">
        <f t="shared" si="45"/>
        <v/>
      </c>
      <c r="BH42" s="445" t="str">
        <f t="shared" si="45"/>
        <v/>
      </c>
      <c r="BI42" s="502"/>
      <c r="BJ42" s="474" t="str">
        <f t="shared" ref="BJ42:BS51" si="46">_xlfn.IFNA(IF(INDEX(RoadmapData, MATCH(TRIM(BJ$1), RoadmapDataFeatures, 0), MATCH($A42, RoadmapDataProjects, 0)) = "-", "-", INDEX(RoadmapData, MATCH(TRIM(BJ$1), RoadmapDataFeatures, 0), MATCH($A42, RoadmapDataProjects, 0))), "")</f>
        <v/>
      </c>
      <c r="BK42" s="475" t="str">
        <f t="shared" si="46"/>
        <v/>
      </c>
      <c r="BL42" s="475" t="str">
        <f t="shared" si="46"/>
        <v/>
      </c>
      <c r="BM42" s="475" t="str">
        <f t="shared" si="46"/>
        <v/>
      </c>
      <c r="BN42" s="475" t="str">
        <f t="shared" si="46"/>
        <v/>
      </c>
      <c r="BO42" s="475" t="str">
        <f t="shared" si="46"/>
        <v/>
      </c>
      <c r="BP42" s="475" t="str">
        <f t="shared" si="46"/>
        <v/>
      </c>
      <c r="BQ42" s="475" t="str">
        <f t="shared" si="46"/>
        <v/>
      </c>
      <c r="BR42" s="475" t="str">
        <f t="shared" si="46"/>
        <v/>
      </c>
      <c r="BS42" s="475" t="str">
        <f t="shared" si="46"/>
        <v/>
      </c>
      <c r="BT42" s="475" t="str">
        <f t="shared" ref="BT42:CC51" si="47">_xlfn.IFNA(IF(INDEX(RoadmapData, MATCH(TRIM(BT$1), RoadmapDataFeatures, 0), MATCH($A42, RoadmapDataProjects, 0)) = "-", "-", INDEX(RoadmapData, MATCH(TRIM(BT$1), RoadmapDataFeatures, 0), MATCH($A42, RoadmapDataProjects, 0))), "")</f>
        <v/>
      </c>
      <c r="BU42" s="475" t="str">
        <f t="shared" si="47"/>
        <v/>
      </c>
      <c r="BV42" s="475" t="str">
        <f t="shared" si="47"/>
        <v/>
      </c>
      <c r="BW42" s="475" t="str">
        <f t="shared" si="47"/>
        <v/>
      </c>
      <c r="BX42" s="475" t="str">
        <f t="shared" si="47"/>
        <v/>
      </c>
      <c r="BY42" s="475" t="str">
        <f t="shared" si="47"/>
        <v/>
      </c>
      <c r="BZ42" s="475" t="str">
        <f t="shared" si="47"/>
        <v/>
      </c>
      <c r="CA42" s="475" t="str">
        <f t="shared" si="47"/>
        <v/>
      </c>
      <c r="CB42" s="475" t="str">
        <f t="shared" si="47"/>
        <v/>
      </c>
      <c r="CC42" s="475" t="str">
        <f t="shared" si="47"/>
        <v/>
      </c>
      <c r="CD42" s="475" t="str">
        <f t="shared" ref="CD42:CM51" si="48">_xlfn.IFNA(IF(INDEX(RoadmapData, MATCH(TRIM(CD$1), RoadmapDataFeatures, 0), MATCH($A42, RoadmapDataProjects, 0)) = "-", "-", INDEX(RoadmapData, MATCH(TRIM(CD$1), RoadmapDataFeatures, 0), MATCH($A42, RoadmapDataProjects, 0))), "")</f>
        <v/>
      </c>
      <c r="CE42" s="475" t="str">
        <f t="shared" si="48"/>
        <v/>
      </c>
      <c r="CF42" s="475" t="str">
        <f t="shared" si="48"/>
        <v/>
      </c>
      <c r="CG42" s="475" t="str">
        <f t="shared" si="48"/>
        <v/>
      </c>
      <c r="CH42" s="475" t="str">
        <f t="shared" si="48"/>
        <v/>
      </c>
      <c r="CI42" s="475" t="str">
        <f t="shared" si="48"/>
        <v/>
      </c>
      <c r="CJ42" s="475" t="str">
        <f t="shared" si="48"/>
        <v/>
      </c>
      <c r="CK42" s="475" t="str">
        <f t="shared" si="48"/>
        <v/>
      </c>
      <c r="CL42" s="475" t="str">
        <f t="shared" si="48"/>
        <v/>
      </c>
      <c r="CM42" s="475" t="str">
        <f t="shared" si="48"/>
        <v/>
      </c>
      <c r="CN42" s="475" t="str">
        <f t="shared" ref="CN42:CZ51" si="49">_xlfn.IFNA(IF(INDEX(RoadmapData, MATCH(TRIM(CN$1), RoadmapDataFeatures, 0), MATCH($A42, RoadmapDataProjects, 0)) = "-", "-", INDEX(RoadmapData, MATCH(TRIM(CN$1), RoadmapDataFeatures, 0), MATCH($A42, RoadmapDataProjects, 0))), "")</f>
        <v/>
      </c>
      <c r="CO42" s="475" t="str">
        <f t="shared" si="49"/>
        <v/>
      </c>
      <c r="CP42" s="475" t="str">
        <f t="shared" si="49"/>
        <v/>
      </c>
      <c r="CQ42" s="475" t="str">
        <f t="shared" si="49"/>
        <v/>
      </c>
      <c r="CR42" s="475" t="str">
        <f t="shared" si="49"/>
        <v/>
      </c>
      <c r="CS42" s="475" t="str">
        <f t="shared" si="49"/>
        <v/>
      </c>
      <c r="CT42" s="475" t="str">
        <f t="shared" si="49"/>
        <v/>
      </c>
      <c r="CU42" s="475" t="str">
        <f t="shared" si="49"/>
        <v/>
      </c>
      <c r="CV42" s="475" t="str">
        <f t="shared" si="49"/>
        <v/>
      </c>
      <c r="CW42" s="475" t="str">
        <f t="shared" si="49"/>
        <v/>
      </c>
      <c r="CX42" s="475" t="str">
        <f t="shared" si="49"/>
        <v/>
      </c>
      <c r="CY42" s="475" t="str">
        <f t="shared" si="49"/>
        <v/>
      </c>
      <c r="CZ42" s="495" t="str">
        <f t="shared" si="49"/>
        <v/>
      </c>
      <c r="DA42" s="502"/>
      <c r="DB42" s="460"/>
      <c r="DC42" s="465"/>
      <c r="DD42" s="463"/>
      <c r="DE42" s="512"/>
      <c r="DF42" s="516"/>
      <c r="DG42" s="508"/>
      <c r="DH42" s="463"/>
      <c r="DI42" s="461"/>
      <c r="DJ42" s="461"/>
      <c r="DK42" s="461"/>
      <c r="DL42" s="464"/>
      <c r="DM42" s="466"/>
      <c r="DN42" s="502"/>
      <c r="DO42" s="460"/>
      <c r="DP42" s="464"/>
      <c r="DQ42" s="464"/>
      <c r="DR42" s="464"/>
      <c r="DS42" s="508"/>
      <c r="DT42" s="525"/>
      <c r="DU42" s="525"/>
      <c r="DV42" s="463"/>
      <c r="DW42" s="464"/>
      <c r="DX42" s="465"/>
      <c r="DY42" s="463"/>
      <c r="DZ42" s="464"/>
      <c r="EA42" s="465"/>
      <c r="EB42" s="463"/>
      <c r="EC42" s="465"/>
      <c r="ED42" s="462"/>
      <c r="EE42" s="502"/>
      <c r="EF42" s="463"/>
      <c r="EG42" s="461"/>
      <c r="EH42" s="464"/>
      <c r="EI42" s="464"/>
      <c r="EJ42" s="464"/>
      <c r="EK42" s="464"/>
      <c r="EL42" s="464"/>
      <c r="EM42" s="464"/>
      <c r="EN42" s="464"/>
      <c r="EO42" s="464"/>
      <c r="EP42" s="464"/>
      <c r="EQ42" s="464"/>
      <c r="ER42" s="464"/>
      <c r="ES42" s="464"/>
      <c r="ET42" s="464"/>
      <c r="EU42" s="464"/>
      <c r="EV42" s="464"/>
      <c r="EW42" s="465"/>
      <c r="EX42" s="465"/>
      <c r="EY42" s="502"/>
      <c r="EZ42" s="460"/>
      <c r="FA42" s="464"/>
      <c r="FB42" s="464"/>
      <c r="FC42" s="464"/>
      <c r="FD42" s="464"/>
      <c r="FE42" s="464"/>
      <c r="FF42" s="464"/>
      <c r="FG42" s="466"/>
    </row>
    <row r="43" spans="1:163">
      <c r="A43" s="467" t="s">
        <v>230</v>
      </c>
      <c r="B43" s="471" t="str">
        <f>IF(ISNUMBER(MATCH(A43, 'Pulldown Data'!W:W, 0))=TRUE, "Y", IF(ISNUMBER(MATCH(A43, 'Pulldown Data'!X:X, 0))=TRUE, "M", ""))</f>
        <v/>
      </c>
      <c r="C43" s="504">
        <v>45630</v>
      </c>
      <c r="D43" s="502"/>
      <c r="E43" s="443" t="str">
        <f t="shared" si="40"/>
        <v>NO</v>
      </c>
      <c r="F43" s="444" t="str">
        <f t="shared" si="40"/>
        <v>YES</v>
      </c>
      <c r="G43" s="444" t="str">
        <f t="shared" si="40"/>
        <v>YES</v>
      </c>
      <c r="H43" s="444" t="str">
        <f t="shared" si="40"/>
        <v>YES</v>
      </c>
      <c r="I43" s="444" t="str">
        <f t="shared" si="40"/>
        <v>YES</v>
      </c>
      <c r="J43" s="444" t="str">
        <f t="shared" si="40"/>
        <v>YES</v>
      </c>
      <c r="K43" s="444" t="str">
        <f t="shared" si="40"/>
        <v>NO</v>
      </c>
      <c r="L43" s="444" t="str">
        <f t="shared" si="40"/>
        <v>NO</v>
      </c>
      <c r="M43" s="444" t="str">
        <f t="shared" si="40"/>
        <v>NO</v>
      </c>
      <c r="N43" s="444" t="str">
        <f t="shared" si="40"/>
        <v>NO</v>
      </c>
      <c r="O43" s="444" t="str">
        <f t="shared" si="41"/>
        <v>NO</v>
      </c>
      <c r="P43" s="444" t="str">
        <f t="shared" si="41"/>
        <v>NO</v>
      </c>
      <c r="Q43" s="444" t="str">
        <f t="shared" si="41"/>
        <v>NO</v>
      </c>
      <c r="R43" s="444" t="str">
        <f t="shared" si="41"/>
        <v>NO</v>
      </c>
      <c r="S43" s="444" t="str">
        <f t="shared" si="41"/>
        <v>NO</v>
      </c>
      <c r="T43" s="444" t="str">
        <f t="shared" si="41"/>
        <v>NO</v>
      </c>
      <c r="U43" s="444" t="str">
        <f t="shared" si="41"/>
        <v>NO</v>
      </c>
      <c r="V43" s="444" t="str">
        <f t="shared" si="41"/>
        <v>NO</v>
      </c>
      <c r="W43" s="444" t="str">
        <f t="shared" si="41"/>
        <v>YES</v>
      </c>
      <c r="X43" s="444" t="str">
        <f t="shared" si="41"/>
        <v>NO</v>
      </c>
      <c r="Y43" s="444" t="str">
        <f t="shared" si="42"/>
        <v>YES</v>
      </c>
      <c r="Z43" s="444" t="str">
        <f t="shared" si="42"/>
        <v>NO</v>
      </c>
      <c r="AA43" s="444" t="str">
        <f t="shared" si="42"/>
        <v>NO</v>
      </c>
      <c r="AB43" s="444" t="str">
        <f t="shared" si="42"/>
        <v>NO</v>
      </c>
      <c r="AC43" s="444" t="str">
        <f t="shared" si="42"/>
        <v>NO</v>
      </c>
      <c r="AD43" s="444" t="str">
        <f t="shared" si="42"/>
        <v>NO</v>
      </c>
      <c r="AE43" s="444" t="str">
        <f t="shared" si="42"/>
        <v>NO</v>
      </c>
      <c r="AF43" s="444" t="str">
        <f t="shared" si="42"/>
        <v>NO</v>
      </c>
      <c r="AG43" s="444" t="str">
        <f t="shared" si="42"/>
        <v>NO</v>
      </c>
      <c r="AH43" s="444" t="str">
        <f t="shared" si="42"/>
        <v>NO</v>
      </c>
      <c r="AI43" s="444" t="str">
        <f t="shared" si="43"/>
        <v>NO</v>
      </c>
      <c r="AJ43" s="444" t="str">
        <f t="shared" si="43"/>
        <v>NO</v>
      </c>
      <c r="AK43" s="444" t="str">
        <f t="shared" si="43"/>
        <v>NO</v>
      </c>
      <c r="AL43" s="444" t="str">
        <f t="shared" si="43"/>
        <v>YES</v>
      </c>
      <c r="AM43" s="444" t="str">
        <f t="shared" si="43"/>
        <v>YES</v>
      </c>
      <c r="AN43" s="444" t="str">
        <f t="shared" si="43"/>
        <v>NO</v>
      </c>
      <c r="AO43" s="444" t="str">
        <f t="shared" si="43"/>
        <v>YES</v>
      </c>
      <c r="AP43" s="444" t="str">
        <f t="shared" si="43"/>
        <v>NO</v>
      </c>
      <c r="AQ43" s="444" t="str">
        <f t="shared" si="43"/>
        <v>NO</v>
      </c>
      <c r="AR43" s="444" t="str">
        <f t="shared" si="43"/>
        <v>NO</v>
      </c>
      <c r="AS43" s="444" t="str">
        <f t="shared" si="44"/>
        <v>NO</v>
      </c>
      <c r="AT43" s="444" t="str">
        <f t="shared" si="44"/>
        <v>DEP</v>
      </c>
      <c r="AU43" s="444" t="str">
        <f t="shared" si="44"/>
        <v>DEP</v>
      </c>
      <c r="AV43" s="444" t="str">
        <f t="shared" si="44"/>
        <v>DEP</v>
      </c>
      <c r="AW43" s="444" t="str">
        <f t="shared" si="44"/>
        <v>DEP</v>
      </c>
      <c r="AX43" s="444" t="str">
        <f t="shared" si="44"/>
        <v>DEP</v>
      </c>
      <c r="AY43" s="444" t="str">
        <f t="shared" si="44"/>
        <v>YES</v>
      </c>
      <c r="AZ43" s="444" t="str">
        <f t="shared" si="44"/>
        <v>DEP</v>
      </c>
      <c r="BA43" s="444" t="str">
        <f t="shared" si="44"/>
        <v>DEP</v>
      </c>
      <c r="BB43" s="444" t="str">
        <f t="shared" si="44"/>
        <v>NO</v>
      </c>
      <c r="BC43" s="444" t="str">
        <f t="shared" si="45"/>
        <v>NO</v>
      </c>
      <c r="BD43" s="444" t="str">
        <f t="shared" si="45"/>
        <v>NO</v>
      </c>
      <c r="BE43" s="444" t="str">
        <f t="shared" si="45"/>
        <v>YES</v>
      </c>
      <c r="BF43" s="444" t="str">
        <f t="shared" si="45"/>
        <v>YES</v>
      </c>
      <c r="BG43" s="444" t="str">
        <f t="shared" si="45"/>
        <v>NO</v>
      </c>
      <c r="BH43" s="445" t="str">
        <f t="shared" si="45"/>
        <v>NO</v>
      </c>
      <c r="BI43" s="502"/>
      <c r="BJ43" s="474" t="str">
        <f t="shared" si="46"/>
        <v>NO</v>
      </c>
      <c r="BK43" s="475" t="str">
        <f t="shared" si="46"/>
        <v>NO</v>
      </c>
      <c r="BL43" s="475" t="str">
        <f t="shared" si="46"/>
        <v>NO</v>
      </c>
      <c r="BM43" s="475" t="str">
        <f t="shared" si="46"/>
        <v>NO</v>
      </c>
      <c r="BN43" s="475" t="str">
        <f t="shared" si="46"/>
        <v>NO</v>
      </c>
      <c r="BO43" s="475" t="str">
        <f t="shared" si="46"/>
        <v>NO</v>
      </c>
      <c r="BP43" s="475" t="str">
        <f t="shared" si="46"/>
        <v>NO</v>
      </c>
      <c r="BQ43" s="475" t="str">
        <f t="shared" si="46"/>
        <v>NO</v>
      </c>
      <c r="BR43" s="475" t="str">
        <f t="shared" si="46"/>
        <v>NO</v>
      </c>
      <c r="BS43" s="475" t="str">
        <f t="shared" si="46"/>
        <v>NO</v>
      </c>
      <c r="BT43" s="475" t="str">
        <f t="shared" si="47"/>
        <v>NO</v>
      </c>
      <c r="BU43" s="475" t="str">
        <f t="shared" si="47"/>
        <v>NO</v>
      </c>
      <c r="BV43" s="475" t="str">
        <f t="shared" si="47"/>
        <v>NO</v>
      </c>
      <c r="BW43" s="475" t="str">
        <f t="shared" si="47"/>
        <v>NO</v>
      </c>
      <c r="BX43" s="475" t="str">
        <f t="shared" si="47"/>
        <v>NO</v>
      </c>
      <c r="BY43" s="475" t="str">
        <f t="shared" si="47"/>
        <v>NO</v>
      </c>
      <c r="BZ43" s="475" t="str">
        <f t="shared" si="47"/>
        <v>NO</v>
      </c>
      <c r="CA43" s="475" t="str">
        <f t="shared" si="47"/>
        <v>NO</v>
      </c>
      <c r="CB43" s="475" t="str">
        <f t="shared" si="47"/>
        <v>NO</v>
      </c>
      <c r="CC43" s="475" t="str">
        <f t="shared" si="47"/>
        <v>NO</v>
      </c>
      <c r="CD43" s="475" t="str">
        <f t="shared" si="48"/>
        <v>NO</v>
      </c>
      <c r="CE43" s="475" t="str">
        <f t="shared" si="48"/>
        <v>NO</v>
      </c>
      <c r="CF43" s="475" t="str">
        <f t="shared" si="48"/>
        <v>NO</v>
      </c>
      <c r="CG43" s="475" t="str">
        <f t="shared" si="48"/>
        <v>NO</v>
      </c>
      <c r="CH43" s="475" t="str">
        <f t="shared" si="48"/>
        <v>NO</v>
      </c>
      <c r="CI43" s="475" t="str">
        <f t="shared" si="48"/>
        <v>NO</v>
      </c>
      <c r="CJ43" s="475" t="str">
        <f t="shared" si="48"/>
        <v>NO</v>
      </c>
      <c r="CK43" s="475" t="str">
        <f t="shared" si="48"/>
        <v>NO</v>
      </c>
      <c r="CL43" s="475" t="str">
        <f t="shared" si="48"/>
        <v>NO</v>
      </c>
      <c r="CM43" s="475" t="str">
        <f t="shared" si="48"/>
        <v>NO</v>
      </c>
      <c r="CN43" s="475" t="str">
        <f t="shared" si="49"/>
        <v>NO</v>
      </c>
      <c r="CO43" s="475" t="str">
        <f t="shared" si="49"/>
        <v>NO</v>
      </c>
      <c r="CP43" s="475" t="str">
        <f t="shared" si="49"/>
        <v>NO</v>
      </c>
      <c r="CQ43" s="475" t="str">
        <f t="shared" si="49"/>
        <v>NO</v>
      </c>
      <c r="CR43" s="475" t="str">
        <f t="shared" si="49"/>
        <v>NO</v>
      </c>
      <c r="CS43" s="475" t="str">
        <f t="shared" si="49"/>
        <v>NO</v>
      </c>
      <c r="CT43" s="475" t="str">
        <f t="shared" si="49"/>
        <v>NO</v>
      </c>
      <c r="CU43" s="475" t="str">
        <f t="shared" si="49"/>
        <v>NO</v>
      </c>
      <c r="CV43" s="475" t="str">
        <f t="shared" si="49"/>
        <v>NO</v>
      </c>
      <c r="CW43" s="475" t="str">
        <f t="shared" si="49"/>
        <v>NO</v>
      </c>
      <c r="CX43" s="475" t="str">
        <f t="shared" si="49"/>
        <v>NO</v>
      </c>
      <c r="CY43" s="475" t="str">
        <f t="shared" si="49"/>
        <v>NO</v>
      </c>
      <c r="CZ43" s="495" t="str">
        <f t="shared" si="49"/>
        <v>NO</v>
      </c>
      <c r="DA43" s="502"/>
      <c r="DB43" s="460"/>
      <c r="DC43" s="465"/>
      <c r="DD43" s="463"/>
      <c r="DE43" s="512"/>
      <c r="DF43" s="516"/>
      <c r="DG43" s="508"/>
      <c r="DH43" s="463"/>
      <c r="DI43" s="461"/>
      <c r="DJ43" s="461"/>
      <c r="DK43" s="461"/>
      <c r="DL43" s="464"/>
      <c r="DM43" s="466"/>
      <c r="DN43" s="502"/>
      <c r="DO43" s="460"/>
      <c r="DP43" s="464"/>
      <c r="DQ43" s="464"/>
      <c r="DR43" s="464"/>
      <c r="DS43" s="508"/>
      <c r="DT43" s="525"/>
      <c r="DU43" s="525"/>
      <c r="DV43" s="463"/>
      <c r="DW43" s="464"/>
      <c r="DX43" s="465"/>
      <c r="DY43" s="463"/>
      <c r="DZ43" s="464"/>
      <c r="EA43" s="465"/>
      <c r="EB43" s="463"/>
      <c r="EC43" s="465"/>
      <c r="ED43" s="462"/>
      <c r="EE43" s="502"/>
      <c r="EF43" s="463"/>
      <c r="EG43" s="461"/>
      <c r="EH43" s="464"/>
      <c r="EI43" s="464"/>
      <c r="EJ43" s="464"/>
      <c r="EK43" s="464"/>
      <c r="EL43" s="464"/>
      <c r="EM43" s="464"/>
      <c r="EN43" s="464"/>
      <c r="EO43" s="464"/>
      <c r="EP43" s="464"/>
      <c r="EQ43" s="464"/>
      <c r="ER43" s="464"/>
      <c r="ES43" s="464"/>
      <c r="ET43" s="464"/>
      <c r="EU43" s="464"/>
      <c r="EV43" s="464"/>
      <c r="EW43" s="465"/>
      <c r="EX43" s="465"/>
      <c r="EY43" s="502"/>
      <c r="EZ43" s="460"/>
      <c r="FA43" s="464"/>
      <c r="FB43" s="464"/>
      <c r="FC43" s="464"/>
      <c r="FD43" s="464"/>
      <c r="FE43" s="464"/>
      <c r="FF43" s="464"/>
      <c r="FG43" s="466"/>
    </row>
    <row r="44" spans="1:163">
      <c r="A44" s="467" t="s">
        <v>231</v>
      </c>
      <c r="B44" s="471" t="str">
        <f>IF(ISNUMBER(MATCH(A44, 'Pulldown Data'!W:W, 0))=TRUE, "Y", IF(ISNUMBER(MATCH(A44, 'Pulldown Data'!X:X, 0))=TRUE, "M", ""))</f>
        <v/>
      </c>
      <c r="C44" s="504"/>
      <c r="D44" s="502"/>
      <c r="E44" s="443" t="str">
        <f t="shared" si="40"/>
        <v/>
      </c>
      <c r="F44" s="444" t="str">
        <f t="shared" si="40"/>
        <v/>
      </c>
      <c r="G44" s="444" t="str">
        <f t="shared" si="40"/>
        <v/>
      </c>
      <c r="H44" s="444" t="str">
        <f t="shared" si="40"/>
        <v/>
      </c>
      <c r="I44" s="444" t="str">
        <f t="shared" si="40"/>
        <v/>
      </c>
      <c r="J44" s="444" t="str">
        <f t="shared" si="40"/>
        <v/>
      </c>
      <c r="K44" s="444" t="str">
        <f t="shared" si="40"/>
        <v/>
      </c>
      <c r="L44" s="444" t="str">
        <f t="shared" si="40"/>
        <v/>
      </c>
      <c r="M44" s="444" t="str">
        <f t="shared" si="40"/>
        <v/>
      </c>
      <c r="N44" s="444" t="str">
        <f t="shared" si="40"/>
        <v/>
      </c>
      <c r="O44" s="444" t="str">
        <f t="shared" si="41"/>
        <v/>
      </c>
      <c r="P44" s="444" t="str">
        <f t="shared" si="41"/>
        <v/>
      </c>
      <c r="Q44" s="444" t="str">
        <f t="shared" si="41"/>
        <v/>
      </c>
      <c r="R44" s="444" t="str">
        <f t="shared" si="41"/>
        <v/>
      </c>
      <c r="S44" s="444" t="str">
        <f t="shared" si="41"/>
        <v/>
      </c>
      <c r="T44" s="444" t="str">
        <f t="shared" si="41"/>
        <v/>
      </c>
      <c r="U44" s="444" t="str">
        <f t="shared" si="41"/>
        <v/>
      </c>
      <c r="V44" s="444" t="str">
        <f t="shared" si="41"/>
        <v/>
      </c>
      <c r="W44" s="444" t="str">
        <f t="shared" si="41"/>
        <v/>
      </c>
      <c r="X44" s="444" t="str">
        <f t="shared" si="41"/>
        <v/>
      </c>
      <c r="Y44" s="444" t="str">
        <f t="shared" si="42"/>
        <v/>
      </c>
      <c r="Z44" s="444" t="str">
        <f t="shared" si="42"/>
        <v/>
      </c>
      <c r="AA44" s="444" t="str">
        <f t="shared" si="42"/>
        <v/>
      </c>
      <c r="AB44" s="444" t="str">
        <f t="shared" si="42"/>
        <v/>
      </c>
      <c r="AC44" s="444" t="str">
        <f t="shared" si="42"/>
        <v/>
      </c>
      <c r="AD44" s="444" t="str">
        <f t="shared" si="42"/>
        <v/>
      </c>
      <c r="AE44" s="444" t="str">
        <f t="shared" si="42"/>
        <v/>
      </c>
      <c r="AF44" s="444" t="str">
        <f t="shared" si="42"/>
        <v/>
      </c>
      <c r="AG44" s="444" t="str">
        <f t="shared" si="42"/>
        <v/>
      </c>
      <c r="AH44" s="444" t="str">
        <f t="shared" si="42"/>
        <v/>
      </c>
      <c r="AI44" s="444" t="str">
        <f t="shared" si="43"/>
        <v/>
      </c>
      <c r="AJ44" s="444" t="str">
        <f t="shared" si="43"/>
        <v/>
      </c>
      <c r="AK44" s="444" t="str">
        <f t="shared" si="43"/>
        <v/>
      </c>
      <c r="AL44" s="444" t="str">
        <f t="shared" si="43"/>
        <v/>
      </c>
      <c r="AM44" s="444" t="str">
        <f t="shared" si="43"/>
        <v/>
      </c>
      <c r="AN44" s="444" t="str">
        <f t="shared" si="43"/>
        <v/>
      </c>
      <c r="AO44" s="444" t="str">
        <f t="shared" si="43"/>
        <v/>
      </c>
      <c r="AP44" s="444" t="str">
        <f t="shared" si="43"/>
        <v/>
      </c>
      <c r="AQ44" s="444" t="str">
        <f t="shared" si="43"/>
        <v/>
      </c>
      <c r="AR44" s="444" t="str">
        <f t="shared" si="43"/>
        <v/>
      </c>
      <c r="AS44" s="444" t="str">
        <f t="shared" si="44"/>
        <v/>
      </c>
      <c r="AT44" s="444" t="str">
        <f t="shared" si="44"/>
        <v/>
      </c>
      <c r="AU44" s="444" t="str">
        <f t="shared" si="44"/>
        <v/>
      </c>
      <c r="AV44" s="444" t="str">
        <f t="shared" si="44"/>
        <v/>
      </c>
      <c r="AW44" s="444" t="str">
        <f t="shared" si="44"/>
        <v/>
      </c>
      <c r="AX44" s="444" t="str">
        <f t="shared" si="44"/>
        <v/>
      </c>
      <c r="AY44" s="444" t="str">
        <f t="shared" si="44"/>
        <v/>
      </c>
      <c r="AZ44" s="444" t="str">
        <f t="shared" si="44"/>
        <v/>
      </c>
      <c r="BA44" s="444" t="str">
        <f t="shared" si="44"/>
        <v/>
      </c>
      <c r="BB44" s="444" t="str">
        <f t="shared" si="44"/>
        <v/>
      </c>
      <c r="BC44" s="444" t="str">
        <f t="shared" si="45"/>
        <v/>
      </c>
      <c r="BD44" s="444" t="str">
        <f t="shared" si="45"/>
        <v/>
      </c>
      <c r="BE44" s="444" t="str">
        <f t="shared" si="45"/>
        <v/>
      </c>
      <c r="BF44" s="444" t="str">
        <f t="shared" si="45"/>
        <v/>
      </c>
      <c r="BG44" s="444" t="str">
        <f t="shared" si="45"/>
        <v/>
      </c>
      <c r="BH44" s="445" t="str">
        <f t="shared" si="45"/>
        <v/>
      </c>
      <c r="BI44" s="502"/>
      <c r="BJ44" s="474" t="str">
        <f t="shared" si="46"/>
        <v/>
      </c>
      <c r="BK44" s="475" t="str">
        <f t="shared" si="46"/>
        <v/>
      </c>
      <c r="BL44" s="475" t="str">
        <f t="shared" si="46"/>
        <v/>
      </c>
      <c r="BM44" s="475" t="str">
        <f t="shared" si="46"/>
        <v/>
      </c>
      <c r="BN44" s="475" t="str">
        <f t="shared" si="46"/>
        <v/>
      </c>
      <c r="BO44" s="475" t="str">
        <f t="shared" si="46"/>
        <v/>
      </c>
      <c r="BP44" s="475" t="str">
        <f t="shared" si="46"/>
        <v/>
      </c>
      <c r="BQ44" s="475" t="str">
        <f t="shared" si="46"/>
        <v/>
      </c>
      <c r="BR44" s="475" t="str">
        <f t="shared" si="46"/>
        <v/>
      </c>
      <c r="BS44" s="475" t="str">
        <f t="shared" si="46"/>
        <v/>
      </c>
      <c r="BT44" s="475" t="str">
        <f t="shared" si="47"/>
        <v/>
      </c>
      <c r="BU44" s="475" t="str">
        <f t="shared" si="47"/>
        <v/>
      </c>
      <c r="BV44" s="475" t="str">
        <f t="shared" si="47"/>
        <v/>
      </c>
      <c r="BW44" s="475" t="str">
        <f t="shared" si="47"/>
        <v/>
      </c>
      <c r="BX44" s="475" t="str">
        <f t="shared" si="47"/>
        <v/>
      </c>
      <c r="BY44" s="475" t="str">
        <f t="shared" si="47"/>
        <v/>
      </c>
      <c r="BZ44" s="475" t="str">
        <f t="shared" si="47"/>
        <v/>
      </c>
      <c r="CA44" s="475" t="str">
        <f t="shared" si="47"/>
        <v/>
      </c>
      <c r="CB44" s="475" t="str">
        <f t="shared" si="47"/>
        <v/>
      </c>
      <c r="CC44" s="475" t="str">
        <f t="shared" si="47"/>
        <v/>
      </c>
      <c r="CD44" s="475" t="str">
        <f t="shared" si="48"/>
        <v/>
      </c>
      <c r="CE44" s="475" t="str">
        <f t="shared" si="48"/>
        <v/>
      </c>
      <c r="CF44" s="475" t="str">
        <f t="shared" si="48"/>
        <v/>
      </c>
      <c r="CG44" s="475" t="str">
        <f t="shared" si="48"/>
        <v/>
      </c>
      <c r="CH44" s="475" t="str">
        <f t="shared" si="48"/>
        <v/>
      </c>
      <c r="CI44" s="475" t="str">
        <f t="shared" si="48"/>
        <v/>
      </c>
      <c r="CJ44" s="475" t="str">
        <f t="shared" si="48"/>
        <v/>
      </c>
      <c r="CK44" s="475" t="str">
        <f t="shared" si="48"/>
        <v/>
      </c>
      <c r="CL44" s="475" t="str">
        <f t="shared" si="48"/>
        <v/>
      </c>
      <c r="CM44" s="475" t="str">
        <f t="shared" si="48"/>
        <v/>
      </c>
      <c r="CN44" s="475" t="str">
        <f t="shared" si="49"/>
        <v/>
      </c>
      <c r="CO44" s="475" t="str">
        <f t="shared" si="49"/>
        <v/>
      </c>
      <c r="CP44" s="475" t="str">
        <f t="shared" si="49"/>
        <v/>
      </c>
      <c r="CQ44" s="475" t="str">
        <f t="shared" si="49"/>
        <v/>
      </c>
      <c r="CR44" s="475" t="str">
        <f t="shared" si="49"/>
        <v/>
      </c>
      <c r="CS44" s="475" t="str">
        <f t="shared" si="49"/>
        <v/>
      </c>
      <c r="CT44" s="475" t="str">
        <f t="shared" si="49"/>
        <v/>
      </c>
      <c r="CU44" s="475" t="str">
        <f t="shared" si="49"/>
        <v/>
      </c>
      <c r="CV44" s="475" t="str">
        <f t="shared" si="49"/>
        <v/>
      </c>
      <c r="CW44" s="475" t="str">
        <f t="shared" si="49"/>
        <v/>
      </c>
      <c r="CX44" s="475" t="str">
        <f t="shared" si="49"/>
        <v/>
      </c>
      <c r="CY44" s="475" t="str">
        <f t="shared" si="49"/>
        <v/>
      </c>
      <c r="CZ44" s="495" t="str">
        <f t="shared" si="49"/>
        <v/>
      </c>
      <c r="DA44" s="502"/>
      <c r="DB44" s="460"/>
      <c r="DC44" s="465"/>
      <c r="DD44" s="463"/>
      <c r="DE44" s="512"/>
      <c r="DF44" s="516"/>
      <c r="DG44" s="508"/>
      <c r="DH44" s="463"/>
      <c r="DI44" s="461"/>
      <c r="DJ44" s="461"/>
      <c r="DK44" s="461"/>
      <c r="DL44" s="464"/>
      <c r="DM44" s="466"/>
      <c r="DN44" s="502"/>
      <c r="DO44" s="460"/>
      <c r="DP44" s="464"/>
      <c r="DQ44" s="464"/>
      <c r="DR44" s="464"/>
      <c r="DS44" s="508"/>
      <c r="DT44" s="525"/>
      <c r="DU44" s="525"/>
      <c r="DV44" s="463"/>
      <c r="DW44" s="464"/>
      <c r="DX44" s="465"/>
      <c r="DY44" s="463"/>
      <c r="DZ44" s="464"/>
      <c r="EA44" s="465"/>
      <c r="EB44" s="463"/>
      <c r="EC44" s="465"/>
      <c r="ED44" s="462"/>
      <c r="EE44" s="502"/>
      <c r="EF44" s="463"/>
      <c r="EG44" s="461"/>
      <c r="EH44" s="464"/>
      <c r="EI44" s="464"/>
      <c r="EJ44" s="464"/>
      <c r="EK44" s="464"/>
      <c r="EL44" s="464"/>
      <c r="EM44" s="464"/>
      <c r="EN44" s="464"/>
      <c r="EO44" s="464"/>
      <c r="EP44" s="464"/>
      <c r="EQ44" s="464"/>
      <c r="ER44" s="464"/>
      <c r="ES44" s="464"/>
      <c r="ET44" s="464"/>
      <c r="EU44" s="464"/>
      <c r="EV44" s="464"/>
      <c r="EW44" s="465"/>
      <c r="EX44" s="465"/>
      <c r="EY44" s="502"/>
      <c r="EZ44" s="460"/>
      <c r="FA44" s="464"/>
      <c r="FB44" s="464"/>
      <c r="FC44" s="464"/>
      <c r="FD44" s="464"/>
      <c r="FE44" s="464"/>
      <c r="FF44" s="464"/>
      <c r="FG44" s="466"/>
    </row>
    <row r="45" spans="1:163">
      <c r="A45" s="467" t="s">
        <v>232</v>
      </c>
      <c r="B45" s="471" t="str">
        <f>IF(ISNUMBER(MATCH(A45, 'Pulldown Data'!W:W, 0))=TRUE, "Y", IF(ISNUMBER(MATCH(A45, 'Pulldown Data'!X:X, 0))=TRUE, "M", ""))</f>
        <v/>
      </c>
      <c r="C45" s="504">
        <v>45630</v>
      </c>
      <c r="D45" s="502"/>
      <c r="E45" s="443" t="str">
        <f t="shared" si="40"/>
        <v>NO</v>
      </c>
      <c r="F45" s="444" t="str">
        <f t="shared" si="40"/>
        <v>YES</v>
      </c>
      <c r="G45" s="444" t="str">
        <f t="shared" si="40"/>
        <v>YES</v>
      </c>
      <c r="H45" s="444" t="str">
        <f t="shared" si="40"/>
        <v>YES</v>
      </c>
      <c r="I45" s="444" t="str">
        <f t="shared" si="40"/>
        <v>YES</v>
      </c>
      <c r="J45" s="444" t="str">
        <f t="shared" si="40"/>
        <v>YES</v>
      </c>
      <c r="K45" s="444" t="str">
        <f t="shared" si="40"/>
        <v>NO</v>
      </c>
      <c r="L45" s="444" t="str">
        <f t="shared" si="40"/>
        <v>NO</v>
      </c>
      <c r="M45" s="444" t="str">
        <f t="shared" si="40"/>
        <v>YES</v>
      </c>
      <c r="N45" s="444" t="str">
        <f t="shared" si="40"/>
        <v>YES</v>
      </c>
      <c r="O45" s="444" t="str">
        <f t="shared" si="41"/>
        <v>YES</v>
      </c>
      <c r="P45" s="444" t="str">
        <f t="shared" si="41"/>
        <v>YES</v>
      </c>
      <c r="Q45" s="444" t="str">
        <f t="shared" si="41"/>
        <v>YES</v>
      </c>
      <c r="R45" s="444" t="str">
        <f t="shared" si="41"/>
        <v>DEP</v>
      </c>
      <c r="S45" s="444" t="str">
        <f t="shared" si="41"/>
        <v>DEP</v>
      </c>
      <c r="T45" s="444" t="str">
        <f t="shared" si="41"/>
        <v>DEP</v>
      </c>
      <c r="U45" s="444" t="str">
        <f t="shared" si="41"/>
        <v>YES</v>
      </c>
      <c r="V45" s="444" t="str">
        <f t="shared" si="41"/>
        <v>YES</v>
      </c>
      <c r="W45" s="444" t="str">
        <f t="shared" si="41"/>
        <v>YES</v>
      </c>
      <c r="X45" s="444" t="str">
        <f t="shared" si="41"/>
        <v>NO</v>
      </c>
      <c r="Y45" s="444" t="str">
        <f t="shared" si="42"/>
        <v>YES</v>
      </c>
      <c r="Z45" s="444" t="str">
        <f t="shared" si="42"/>
        <v>YES</v>
      </c>
      <c r="AA45" s="444" t="str">
        <f t="shared" si="42"/>
        <v>YES</v>
      </c>
      <c r="AB45" s="444" t="str">
        <f t="shared" si="42"/>
        <v>NO</v>
      </c>
      <c r="AC45" s="444" t="str">
        <f t="shared" si="42"/>
        <v>NO</v>
      </c>
      <c r="AD45" s="444" t="str">
        <f t="shared" si="42"/>
        <v>YES</v>
      </c>
      <c r="AE45" s="444" t="str">
        <f t="shared" si="42"/>
        <v>YES</v>
      </c>
      <c r="AF45" s="444" t="str">
        <f t="shared" si="42"/>
        <v>YES</v>
      </c>
      <c r="AG45" s="444" t="str">
        <f t="shared" si="42"/>
        <v>YES</v>
      </c>
      <c r="AH45" s="444" t="str">
        <f t="shared" si="42"/>
        <v>YES</v>
      </c>
      <c r="AI45" s="444" t="str">
        <f t="shared" si="43"/>
        <v>YES</v>
      </c>
      <c r="AJ45" s="444" t="str">
        <f t="shared" si="43"/>
        <v>YES</v>
      </c>
      <c r="AK45" s="444" t="str">
        <f t="shared" si="43"/>
        <v>NO</v>
      </c>
      <c r="AL45" s="444" t="str">
        <f t="shared" si="43"/>
        <v>NO</v>
      </c>
      <c r="AM45" s="444" t="str">
        <f t="shared" si="43"/>
        <v>YES</v>
      </c>
      <c r="AN45" s="444" t="str">
        <f t="shared" si="43"/>
        <v>YES</v>
      </c>
      <c r="AO45" s="444" t="str">
        <f t="shared" si="43"/>
        <v>YES</v>
      </c>
      <c r="AP45" s="444" t="str">
        <f t="shared" si="43"/>
        <v>YES</v>
      </c>
      <c r="AQ45" s="444" t="str">
        <f t="shared" si="43"/>
        <v>NO</v>
      </c>
      <c r="AR45" s="444" t="str">
        <f t="shared" si="43"/>
        <v>YES</v>
      </c>
      <c r="AS45" s="444" t="str">
        <f t="shared" si="44"/>
        <v>NO</v>
      </c>
      <c r="AT45" s="444" t="str">
        <f t="shared" si="44"/>
        <v>YES</v>
      </c>
      <c r="AU45" s="444" t="str">
        <f t="shared" si="44"/>
        <v>YES</v>
      </c>
      <c r="AV45" s="444" t="str">
        <f t="shared" si="44"/>
        <v>YES</v>
      </c>
      <c r="AW45" s="444" t="str">
        <f t="shared" si="44"/>
        <v>YES</v>
      </c>
      <c r="AX45" s="444" t="str">
        <f t="shared" si="44"/>
        <v>YES</v>
      </c>
      <c r="AY45" s="444" t="str">
        <f t="shared" si="44"/>
        <v>YES</v>
      </c>
      <c r="AZ45" s="444" t="str">
        <f t="shared" si="44"/>
        <v>YES</v>
      </c>
      <c r="BA45" s="444" t="str">
        <f t="shared" si="44"/>
        <v>YES</v>
      </c>
      <c r="BB45" s="444" t="str">
        <f t="shared" si="44"/>
        <v>YES</v>
      </c>
      <c r="BC45" s="444" t="str">
        <f t="shared" si="45"/>
        <v>NO</v>
      </c>
      <c r="BD45" s="444" t="str">
        <f t="shared" si="45"/>
        <v>NO</v>
      </c>
      <c r="BE45" s="444" t="str">
        <f t="shared" si="45"/>
        <v>YES</v>
      </c>
      <c r="BF45" s="444" t="str">
        <f t="shared" si="45"/>
        <v>YES</v>
      </c>
      <c r="BG45" s="444" t="str">
        <f t="shared" si="45"/>
        <v>YES</v>
      </c>
      <c r="BH45" s="445" t="str">
        <f t="shared" si="45"/>
        <v>NO</v>
      </c>
      <c r="BI45" s="502"/>
      <c r="BJ45" s="474" t="str">
        <f t="shared" si="46"/>
        <v>NO</v>
      </c>
      <c r="BK45" s="475" t="str">
        <f t="shared" si="46"/>
        <v>NO</v>
      </c>
      <c r="BL45" s="475" t="str">
        <f t="shared" si="46"/>
        <v>NO</v>
      </c>
      <c r="BM45" s="475" t="str">
        <f t="shared" si="46"/>
        <v>NO</v>
      </c>
      <c r="BN45" s="475" t="str">
        <f t="shared" si="46"/>
        <v>YES</v>
      </c>
      <c r="BO45" s="475" t="str">
        <f t="shared" si="46"/>
        <v>YES</v>
      </c>
      <c r="BP45" s="475" t="str">
        <f t="shared" si="46"/>
        <v>YES</v>
      </c>
      <c r="BQ45" s="475" t="str">
        <f t="shared" si="46"/>
        <v>NO</v>
      </c>
      <c r="BR45" s="475" t="str">
        <f t="shared" si="46"/>
        <v>YES</v>
      </c>
      <c r="BS45" s="475" t="str">
        <f t="shared" si="46"/>
        <v>YES</v>
      </c>
      <c r="BT45" s="475" t="str">
        <f t="shared" si="47"/>
        <v>YES</v>
      </c>
      <c r="BU45" s="475" t="str">
        <f t="shared" si="47"/>
        <v>YES</v>
      </c>
      <c r="BV45" s="475" t="str">
        <f t="shared" si="47"/>
        <v>YES</v>
      </c>
      <c r="BW45" s="475" t="str">
        <f t="shared" si="47"/>
        <v>NO</v>
      </c>
      <c r="BX45" s="475" t="str">
        <f t="shared" si="47"/>
        <v>YES</v>
      </c>
      <c r="BY45" s="475" t="str">
        <f t="shared" si="47"/>
        <v>NO</v>
      </c>
      <c r="BZ45" s="475" t="str">
        <f t="shared" si="47"/>
        <v>NO</v>
      </c>
      <c r="CA45" s="475" t="str">
        <f t="shared" si="47"/>
        <v>NO</v>
      </c>
      <c r="CB45" s="475" t="str">
        <f t="shared" si="47"/>
        <v>NO</v>
      </c>
      <c r="CC45" s="475" t="str">
        <f t="shared" si="47"/>
        <v>NO</v>
      </c>
      <c r="CD45" s="475" t="str">
        <f t="shared" si="48"/>
        <v>YES</v>
      </c>
      <c r="CE45" s="475" t="str">
        <f t="shared" si="48"/>
        <v>NO</v>
      </c>
      <c r="CF45" s="475" t="str">
        <f t="shared" si="48"/>
        <v>YES</v>
      </c>
      <c r="CG45" s="475" t="str">
        <f t="shared" si="48"/>
        <v>NO</v>
      </c>
      <c r="CH45" s="475" t="str">
        <f t="shared" si="48"/>
        <v>NO</v>
      </c>
      <c r="CI45" s="475" t="str">
        <f t="shared" si="48"/>
        <v>NO</v>
      </c>
      <c r="CJ45" s="475" t="str">
        <f t="shared" si="48"/>
        <v>NO</v>
      </c>
      <c r="CK45" s="475" t="str">
        <f t="shared" si="48"/>
        <v>NO</v>
      </c>
      <c r="CL45" s="475" t="str">
        <f t="shared" si="48"/>
        <v>NO</v>
      </c>
      <c r="CM45" s="475" t="str">
        <f t="shared" si="48"/>
        <v>NO</v>
      </c>
      <c r="CN45" s="475" t="str">
        <f t="shared" si="49"/>
        <v>NO</v>
      </c>
      <c r="CO45" s="475" t="str">
        <f t="shared" si="49"/>
        <v>NO</v>
      </c>
      <c r="CP45" s="475" t="str">
        <f t="shared" si="49"/>
        <v>NO</v>
      </c>
      <c r="CQ45" s="475" t="str">
        <f t="shared" si="49"/>
        <v>NO</v>
      </c>
      <c r="CR45" s="475" t="str">
        <f t="shared" si="49"/>
        <v>NO</v>
      </c>
      <c r="CS45" s="475" t="str">
        <f t="shared" si="49"/>
        <v>NO</v>
      </c>
      <c r="CT45" s="475" t="str">
        <f t="shared" si="49"/>
        <v>NO</v>
      </c>
      <c r="CU45" s="475" t="str">
        <f t="shared" si="49"/>
        <v>NO</v>
      </c>
      <c r="CV45" s="475" t="str">
        <f t="shared" si="49"/>
        <v>NO</v>
      </c>
      <c r="CW45" s="475" t="str">
        <f t="shared" si="49"/>
        <v>NO</v>
      </c>
      <c r="CX45" s="475" t="str">
        <f t="shared" si="49"/>
        <v>NO</v>
      </c>
      <c r="CY45" s="475" t="str">
        <f t="shared" si="49"/>
        <v>NO</v>
      </c>
      <c r="CZ45" s="495" t="str">
        <f t="shared" si="49"/>
        <v>NO</v>
      </c>
      <c r="DA45" s="502"/>
      <c r="DB45" s="460"/>
      <c r="DC45" s="465"/>
      <c r="DD45" s="463"/>
      <c r="DE45" s="512"/>
      <c r="DF45" s="516"/>
      <c r="DG45" s="508"/>
      <c r="DH45" s="463"/>
      <c r="DI45" s="461"/>
      <c r="DJ45" s="461"/>
      <c r="DK45" s="461"/>
      <c r="DL45" s="464"/>
      <c r="DM45" s="466"/>
      <c r="DN45" s="502"/>
      <c r="DO45" s="460"/>
      <c r="DP45" s="464"/>
      <c r="DQ45" s="464"/>
      <c r="DR45" s="464"/>
      <c r="DS45" s="508"/>
      <c r="DT45" s="525"/>
      <c r="DU45" s="525"/>
      <c r="DV45" s="463"/>
      <c r="DW45" s="464"/>
      <c r="DX45" s="465"/>
      <c r="DY45" s="463"/>
      <c r="DZ45" s="464"/>
      <c r="EA45" s="465"/>
      <c r="EB45" s="463"/>
      <c r="EC45" s="465"/>
      <c r="ED45" s="462"/>
      <c r="EE45" s="502"/>
      <c r="EF45" s="463"/>
      <c r="EG45" s="461"/>
      <c r="EH45" s="464"/>
      <c r="EI45" s="464"/>
      <c r="EJ45" s="464"/>
      <c r="EK45" s="464"/>
      <c r="EL45" s="464"/>
      <c r="EM45" s="464"/>
      <c r="EN45" s="464"/>
      <c r="EO45" s="464"/>
      <c r="EP45" s="464"/>
      <c r="EQ45" s="464"/>
      <c r="ER45" s="464"/>
      <c r="ES45" s="464"/>
      <c r="ET45" s="464"/>
      <c r="EU45" s="464"/>
      <c r="EV45" s="464"/>
      <c r="EW45" s="465"/>
      <c r="EX45" s="465"/>
      <c r="EY45" s="502"/>
      <c r="EZ45" s="460"/>
      <c r="FA45" s="464"/>
      <c r="FB45" s="464"/>
      <c r="FC45" s="464"/>
      <c r="FD45" s="464"/>
      <c r="FE45" s="464"/>
      <c r="FF45" s="464"/>
      <c r="FG45" s="466"/>
    </row>
    <row r="46" spans="1:163">
      <c r="A46" s="467" t="s">
        <v>233</v>
      </c>
      <c r="B46" s="471" t="str">
        <f>IF(ISNUMBER(MATCH(A46, 'Pulldown Data'!W:W, 0))=TRUE, "Y", IF(ISNUMBER(MATCH(A46, 'Pulldown Data'!X:X, 0))=TRUE, "M", ""))</f>
        <v/>
      </c>
      <c r="C46" s="504"/>
      <c r="D46" s="502"/>
      <c r="E46" s="443" t="str">
        <f t="shared" si="40"/>
        <v/>
      </c>
      <c r="F46" s="444" t="str">
        <f t="shared" si="40"/>
        <v/>
      </c>
      <c r="G46" s="444" t="str">
        <f t="shared" si="40"/>
        <v/>
      </c>
      <c r="H46" s="444" t="str">
        <f t="shared" si="40"/>
        <v/>
      </c>
      <c r="I46" s="444" t="str">
        <f t="shared" si="40"/>
        <v/>
      </c>
      <c r="J46" s="444" t="str">
        <f t="shared" si="40"/>
        <v/>
      </c>
      <c r="K46" s="444" t="str">
        <f t="shared" si="40"/>
        <v/>
      </c>
      <c r="L46" s="444" t="str">
        <f t="shared" si="40"/>
        <v/>
      </c>
      <c r="M46" s="444" t="str">
        <f t="shared" si="40"/>
        <v/>
      </c>
      <c r="N46" s="444" t="str">
        <f t="shared" si="40"/>
        <v/>
      </c>
      <c r="O46" s="444" t="str">
        <f t="shared" si="41"/>
        <v/>
      </c>
      <c r="P46" s="444" t="str">
        <f t="shared" si="41"/>
        <v/>
      </c>
      <c r="Q46" s="444" t="str">
        <f t="shared" si="41"/>
        <v/>
      </c>
      <c r="R46" s="444" t="str">
        <f t="shared" si="41"/>
        <v/>
      </c>
      <c r="S46" s="444" t="str">
        <f t="shared" si="41"/>
        <v/>
      </c>
      <c r="T46" s="444" t="str">
        <f t="shared" si="41"/>
        <v/>
      </c>
      <c r="U46" s="444" t="str">
        <f t="shared" si="41"/>
        <v/>
      </c>
      <c r="V46" s="444" t="str">
        <f t="shared" si="41"/>
        <v/>
      </c>
      <c r="W46" s="444" t="str">
        <f t="shared" si="41"/>
        <v/>
      </c>
      <c r="X46" s="444" t="str">
        <f t="shared" si="41"/>
        <v/>
      </c>
      <c r="Y46" s="444" t="str">
        <f t="shared" si="42"/>
        <v/>
      </c>
      <c r="Z46" s="444" t="str">
        <f t="shared" si="42"/>
        <v/>
      </c>
      <c r="AA46" s="444" t="str">
        <f t="shared" si="42"/>
        <v/>
      </c>
      <c r="AB46" s="444" t="str">
        <f t="shared" si="42"/>
        <v/>
      </c>
      <c r="AC46" s="444" t="str">
        <f t="shared" si="42"/>
        <v/>
      </c>
      <c r="AD46" s="444" t="str">
        <f t="shared" si="42"/>
        <v/>
      </c>
      <c r="AE46" s="444" t="str">
        <f t="shared" si="42"/>
        <v/>
      </c>
      <c r="AF46" s="444" t="str">
        <f t="shared" si="42"/>
        <v/>
      </c>
      <c r="AG46" s="444" t="str">
        <f t="shared" si="42"/>
        <v/>
      </c>
      <c r="AH46" s="444" t="str">
        <f t="shared" si="42"/>
        <v/>
      </c>
      <c r="AI46" s="444" t="str">
        <f t="shared" si="43"/>
        <v/>
      </c>
      <c r="AJ46" s="444" t="str">
        <f t="shared" si="43"/>
        <v/>
      </c>
      <c r="AK46" s="444" t="str">
        <f t="shared" si="43"/>
        <v/>
      </c>
      <c r="AL46" s="444" t="str">
        <f t="shared" si="43"/>
        <v/>
      </c>
      <c r="AM46" s="444" t="str">
        <f t="shared" si="43"/>
        <v/>
      </c>
      <c r="AN46" s="444" t="str">
        <f t="shared" si="43"/>
        <v/>
      </c>
      <c r="AO46" s="444" t="str">
        <f t="shared" si="43"/>
        <v/>
      </c>
      <c r="AP46" s="444" t="str">
        <f t="shared" si="43"/>
        <v/>
      </c>
      <c r="AQ46" s="444" t="str">
        <f t="shared" si="43"/>
        <v/>
      </c>
      <c r="AR46" s="444" t="str">
        <f t="shared" si="43"/>
        <v/>
      </c>
      <c r="AS46" s="444" t="str">
        <f t="shared" si="44"/>
        <v/>
      </c>
      <c r="AT46" s="444" t="str">
        <f t="shared" si="44"/>
        <v/>
      </c>
      <c r="AU46" s="444" t="str">
        <f t="shared" si="44"/>
        <v/>
      </c>
      <c r="AV46" s="444" t="str">
        <f t="shared" si="44"/>
        <v/>
      </c>
      <c r="AW46" s="444" t="str">
        <f t="shared" si="44"/>
        <v/>
      </c>
      <c r="AX46" s="444" t="str">
        <f t="shared" si="44"/>
        <v/>
      </c>
      <c r="AY46" s="444" t="str">
        <f t="shared" si="44"/>
        <v/>
      </c>
      <c r="AZ46" s="444" t="str">
        <f t="shared" si="44"/>
        <v/>
      </c>
      <c r="BA46" s="444" t="str">
        <f t="shared" si="44"/>
        <v/>
      </c>
      <c r="BB46" s="444" t="str">
        <f t="shared" si="44"/>
        <v/>
      </c>
      <c r="BC46" s="444" t="str">
        <f t="shared" si="45"/>
        <v/>
      </c>
      <c r="BD46" s="444" t="str">
        <f t="shared" si="45"/>
        <v/>
      </c>
      <c r="BE46" s="444" t="str">
        <f t="shared" si="45"/>
        <v/>
      </c>
      <c r="BF46" s="444" t="str">
        <f t="shared" si="45"/>
        <v/>
      </c>
      <c r="BG46" s="444" t="str">
        <f t="shared" si="45"/>
        <v/>
      </c>
      <c r="BH46" s="445" t="str">
        <f t="shared" si="45"/>
        <v/>
      </c>
      <c r="BI46" s="502"/>
      <c r="BJ46" s="474" t="str">
        <f t="shared" si="46"/>
        <v/>
      </c>
      <c r="BK46" s="475" t="str">
        <f t="shared" si="46"/>
        <v/>
      </c>
      <c r="BL46" s="475" t="str">
        <f t="shared" si="46"/>
        <v/>
      </c>
      <c r="BM46" s="475" t="str">
        <f t="shared" si="46"/>
        <v/>
      </c>
      <c r="BN46" s="475" t="str">
        <f t="shared" si="46"/>
        <v/>
      </c>
      <c r="BO46" s="475" t="str">
        <f t="shared" si="46"/>
        <v/>
      </c>
      <c r="BP46" s="475" t="str">
        <f t="shared" si="46"/>
        <v/>
      </c>
      <c r="BQ46" s="475" t="str">
        <f t="shared" si="46"/>
        <v/>
      </c>
      <c r="BR46" s="475" t="str">
        <f t="shared" si="46"/>
        <v/>
      </c>
      <c r="BS46" s="475" t="str">
        <f t="shared" si="46"/>
        <v/>
      </c>
      <c r="BT46" s="475" t="str">
        <f t="shared" si="47"/>
        <v/>
      </c>
      <c r="BU46" s="475" t="str">
        <f t="shared" si="47"/>
        <v/>
      </c>
      <c r="BV46" s="475" t="str">
        <f t="shared" si="47"/>
        <v/>
      </c>
      <c r="BW46" s="475" t="str">
        <f t="shared" si="47"/>
        <v/>
      </c>
      <c r="BX46" s="475" t="str">
        <f t="shared" si="47"/>
        <v/>
      </c>
      <c r="BY46" s="475" t="str">
        <f t="shared" si="47"/>
        <v/>
      </c>
      <c r="BZ46" s="475" t="str">
        <f t="shared" si="47"/>
        <v/>
      </c>
      <c r="CA46" s="475" t="str">
        <f t="shared" si="47"/>
        <v/>
      </c>
      <c r="CB46" s="475" t="str">
        <f t="shared" si="47"/>
        <v/>
      </c>
      <c r="CC46" s="475" t="str">
        <f t="shared" si="47"/>
        <v/>
      </c>
      <c r="CD46" s="475" t="str">
        <f t="shared" si="48"/>
        <v/>
      </c>
      <c r="CE46" s="475" t="str">
        <f t="shared" si="48"/>
        <v/>
      </c>
      <c r="CF46" s="475" t="str">
        <f t="shared" si="48"/>
        <v/>
      </c>
      <c r="CG46" s="475" t="str">
        <f t="shared" si="48"/>
        <v/>
      </c>
      <c r="CH46" s="475" t="str">
        <f t="shared" si="48"/>
        <v/>
      </c>
      <c r="CI46" s="475" t="str">
        <f t="shared" si="48"/>
        <v/>
      </c>
      <c r="CJ46" s="475" t="str">
        <f t="shared" si="48"/>
        <v/>
      </c>
      <c r="CK46" s="475" t="str">
        <f t="shared" si="48"/>
        <v/>
      </c>
      <c r="CL46" s="475" t="str">
        <f t="shared" si="48"/>
        <v/>
      </c>
      <c r="CM46" s="475" t="str">
        <f t="shared" si="48"/>
        <v/>
      </c>
      <c r="CN46" s="475" t="str">
        <f t="shared" si="49"/>
        <v/>
      </c>
      <c r="CO46" s="475" t="str">
        <f t="shared" si="49"/>
        <v/>
      </c>
      <c r="CP46" s="475" t="str">
        <f t="shared" si="49"/>
        <v/>
      </c>
      <c r="CQ46" s="475" t="str">
        <f t="shared" si="49"/>
        <v/>
      </c>
      <c r="CR46" s="475" t="str">
        <f t="shared" si="49"/>
        <v/>
      </c>
      <c r="CS46" s="475" t="str">
        <f t="shared" si="49"/>
        <v/>
      </c>
      <c r="CT46" s="475" t="str">
        <f t="shared" si="49"/>
        <v/>
      </c>
      <c r="CU46" s="475" t="str">
        <f t="shared" si="49"/>
        <v/>
      </c>
      <c r="CV46" s="475" t="str">
        <f t="shared" si="49"/>
        <v/>
      </c>
      <c r="CW46" s="475" t="str">
        <f t="shared" si="49"/>
        <v/>
      </c>
      <c r="CX46" s="475" t="str">
        <f t="shared" si="49"/>
        <v/>
      </c>
      <c r="CY46" s="475" t="str">
        <f t="shared" si="49"/>
        <v/>
      </c>
      <c r="CZ46" s="495" t="str">
        <f t="shared" si="49"/>
        <v/>
      </c>
      <c r="DA46" s="502"/>
      <c r="DB46" s="460"/>
      <c r="DC46" s="465"/>
      <c r="DD46" s="463"/>
      <c r="DE46" s="512"/>
      <c r="DF46" s="516"/>
      <c r="DG46" s="508"/>
      <c r="DH46" s="463"/>
      <c r="DI46" s="461"/>
      <c r="DJ46" s="461"/>
      <c r="DK46" s="461"/>
      <c r="DL46" s="464"/>
      <c r="DM46" s="466"/>
      <c r="DN46" s="502"/>
      <c r="DO46" s="460"/>
      <c r="DP46" s="464"/>
      <c r="DQ46" s="464"/>
      <c r="DR46" s="464"/>
      <c r="DS46" s="508"/>
      <c r="DT46" s="525"/>
      <c r="DU46" s="525"/>
      <c r="DV46" s="463"/>
      <c r="DW46" s="464"/>
      <c r="DX46" s="465"/>
      <c r="DY46" s="463"/>
      <c r="DZ46" s="464"/>
      <c r="EA46" s="465"/>
      <c r="EB46" s="463"/>
      <c r="EC46" s="465"/>
      <c r="ED46" s="462"/>
      <c r="EE46" s="502"/>
      <c r="EF46" s="463"/>
      <c r="EG46" s="461"/>
      <c r="EH46" s="464"/>
      <c r="EI46" s="464"/>
      <c r="EJ46" s="464"/>
      <c r="EK46" s="464"/>
      <c r="EL46" s="464"/>
      <c r="EM46" s="464"/>
      <c r="EN46" s="464"/>
      <c r="EO46" s="464"/>
      <c r="EP46" s="464"/>
      <c r="EQ46" s="464"/>
      <c r="ER46" s="464"/>
      <c r="ES46" s="464"/>
      <c r="ET46" s="464"/>
      <c r="EU46" s="464"/>
      <c r="EV46" s="464"/>
      <c r="EW46" s="465"/>
      <c r="EX46" s="465"/>
      <c r="EY46" s="502"/>
      <c r="EZ46" s="460"/>
      <c r="FA46" s="464"/>
      <c r="FB46" s="464"/>
      <c r="FC46" s="464"/>
      <c r="FD46" s="464"/>
      <c r="FE46" s="464"/>
      <c r="FF46" s="464"/>
      <c r="FG46" s="466"/>
    </row>
    <row r="47" spans="1:163">
      <c r="A47" s="467" t="s">
        <v>234</v>
      </c>
      <c r="B47" s="471" t="str">
        <f>IF(ISNUMBER(MATCH(A47, 'Pulldown Data'!W:W, 0))=TRUE, "Y", IF(ISNUMBER(MATCH(A47, 'Pulldown Data'!X:X, 0))=TRUE, "M", ""))</f>
        <v/>
      </c>
      <c r="C47" s="504"/>
      <c r="D47" s="502"/>
      <c r="E47" s="443" t="str">
        <f t="shared" si="40"/>
        <v/>
      </c>
      <c r="F47" s="444" t="str">
        <f t="shared" si="40"/>
        <v/>
      </c>
      <c r="G47" s="444" t="str">
        <f t="shared" si="40"/>
        <v/>
      </c>
      <c r="H47" s="444" t="str">
        <f t="shared" si="40"/>
        <v/>
      </c>
      <c r="I47" s="444" t="str">
        <f t="shared" si="40"/>
        <v/>
      </c>
      <c r="J47" s="444" t="str">
        <f t="shared" si="40"/>
        <v/>
      </c>
      <c r="K47" s="444" t="str">
        <f t="shared" si="40"/>
        <v/>
      </c>
      <c r="L47" s="444" t="str">
        <f t="shared" si="40"/>
        <v/>
      </c>
      <c r="M47" s="444" t="str">
        <f t="shared" si="40"/>
        <v/>
      </c>
      <c r="N47" s="444" t="str">
        <f t="shared" si="40"/>
        <v/>
      </c>
      <c r="O47" s="444" t="str">
        <f t="shared" si="41"/>
        <v/>
      </c>
      <c r="P47" s="444" t="str">
        <f t="shared" si="41"/>
        <v/>
      </c>
      <c r="Q47" s="444" t="str">
        <f t="shared" si="41"/>
        <v/>
      </c>
      <c r="R47" s="444" t="str">
        <f t="shared" si="41"/>
        <v/>
      </c>
      <c r="S47" s="444" t="str">
        <f t="shared" si="41"/>
        <v/>
      </c>
      <c r="T47" s="444" t="str">
        <f t="shared" si="41"/>
        <v/>
      </c>
      <c r="U47" s="444" t="str">
        <f t="shared" si="41"/>
        <v/>
      </c>
      <c r="V47" s="444" t="str">
        <f t="shared" si="41"/>
        <v/>
      </c>
      <c r="W47" s="444" t="str">
        <f t="shared" si="41"/>
        <v/>
      </c>
      <c r="X47" s="444" t="str">
        <f t="shared" si="41"/>
        <v/>
      </c>
      <c r="Y47" s="444" t="str">
        <f t="shared" si="42"/>
        <v/>
      </c>
      <c r="Z47" s="444" t="str">
        <f t="shared" si="42"/>
        <v/>
      </c>
      <c r="AA47" s="444" t="str">
        <f t="shared" si="42"/>
        <v/>
      </c>
      <c r="AB47" s="444" t="str">
        <f t="shared" si="42"/>
        <v/>
      </c>
      <c r="AC47" s="444" t="str">
        <f t="shared" si="42"/>
        <v/>
      </c>
      <c r="AD47" s="444" t="str">
        <f t="shared" si="42"/>
        <v/>
      </c>
      <c r="AE47" s="444" t="str">
        <f t="shared" si="42"/>
        <v/>
      </c>
      <c r="AF47" s="444" t="str">
        <f t="shared" si="42"/>
        <v/>
      </c>
      <c r="AG47" s="444" t="str">
        <f t="shared" si="42"/>
        <v/>
      </c>
      <c r="AH47" s="444" t="str">
        <f t="shared" si="42"/>
        <v/>
      </c>
      <c r="AI47" s="444" t="str">
        <f t="shared" si="43"/>
        <v/>
      </c>
      <c r="AJ47" s="444" t="str">
        <f t="shared" si="43"/>
        <v/>
      </c>
      <c r="AK47" s="444" t="str">
        <f t="shared" si="43"/>
        <v/>
      </c>
      <c r="AL47" s="444" t="str">
        <f t="shared" si="43"/>
        <v/>
      </c>
      <c r="AM47" s="444" t="str">
        <f t="shared" si="43"/>
        <v/>
      </c>
      <c r="AN47" s="444" t="str">
        <f t="shared" si="43"/>
        <v/>
      </c>
      <c r="AO47" s="444" t="str">
        <f t="shared" si="43"/>
        <v/>
      </c>
      <c r="AP47" s="444" t="str">
        <f t="shared" si="43"/>
        <v/>
      </c>
      <c r="AQ47" s="444" t="str">
        <f t="shared" si="43"/>
        <v/>
      </c>
      <c r="AR47" s="444" t="str">
        <f t="shared" si="43"/>
        <v/>
      </c>
      <c r="AS47" s="444" t="str">
        <f t="shared" si="44"/>
        <v/>
      </c>
      <c r="AT47" s="444" t="str">
        <f t="shared" si="44"/>
        <v/>
      </c>
      <c r="AU47" s="444" t="str">
        <f t="shared" si="44"/>
        <v/>
      </c>
      <c r="AV47" s="444" t="str">
        <f t="shared" si="44"/>
        <v/>
      </c>
      <c r="AW47" s="444" t="str">
        <f t="shared" si="44"/>
        <v/>
      </c>
      <c r="AX47" s="444" t="str">
        <f t="shared" si="44"/>
        <v/>
      </c>
      <c r="AY47" s="444" t="str">
        <f t="shared" si="44"/>
        <v/>
      </c>
      <c r="AZ47" s="444" t="str">
        <f t="shared" si="44"/>
        <v/>
      </c>
      <c r="BA47" s="444" t="str">
        <f t="shared" si="44"/>
        <v/>
      </c>
      <c r="BB47" s="444" t="str">
        <f t="shared" si="44"/>
        <v/>
      </c>
      <c r="BC47" s="444" t="str">
        <f t="shared" si="45"/>
        <v/>
      </c>
      <c r="BD47" s="444" t="str">
        <f t="shared" si="45"/>
        <v/>
      </c>
      <c r="BE47" s="444" t="str">
        <f t="shared" si="45"/>
        <v/>
      </c>
      <c r="BF47" s="444" t="str">
        <f t="shared" si="45"/>
        <v/>
      </c>
      <c r="BG47" s="444" t="str">
        <f t="shared" si="45"/>
        <v/>
      </c>
      <c r="BH47" s="445" t="str">
        <f t="shared" si="45"/>
        <v/>
      </c>
      <c r="BI47" s="502"/>
      <c r="BJ47" s="474" t="str">
        <f t="shared" si="46"/>
        <v/>
      </c>
      <c r="BK47" s="475" t="str">
        <f t="shared" si="46"/>
        <v/>
      </c>
      <c r="BL47" s="475" t="str">
        <f t="shared" si="46"/>
        <v/>
      </c>
      <c r="BM47" s="475" t="str">
        <f t="shared" si="46"/>
        <v/>
      </c>
      <c r="BN47" s="475" t="str">
        <f t="shared" si="46"/>
        <v/>
      </c>
      <c r="BO47" s="475" t="str">
        <f t="shared" si="46"/>
        <v/>
      </c>
      <c r="BP47" s="475" t="str">
        <f t="shared" si="46"/>
        <v/>
      </c>
      <c r="BQ47" s="475" t="str">
        <f t="shared" si="46"/>
        <v/>
      </c>
      <c r="BR47" s="475" t="str">
        <f t="shared" si="46"/>
        <v/>
      </c>
      <c r="BS47" s="475" t="str">
        <f t="shared" si="46"/>
        <v/>
      </c>
      <c r="BT47" s="475" t="str">
        <f t="shared" si="47"/>
        <v/>
      </c>
      <c r="BU47" s="475" t="str">
        <f t="shared" si="47"/>
        <v/>
      </c>
      <c r="BV47" s="475" t="str">
        <f t="shared" si="47"/>
        <v/>
      </c>
      <c r="BW47" s="475" t="str">
        <f t="shared" si="47"/>
        <v/>
      </c>
      <c r="BX47" s="475" t="str">
        <f t="shared" si="47"/>
        <v/>
      </c>
      <c r="BY47" s="475" t="str">
        <f t="shared" si="47"/>
        <v/>
      </c>
      <c r="BZ47" s="475" t="str">
        <f t="shared" si="47"/>
        <v/>
      </c>
      <c r="CA47" s="475" t="str">
        <f t="shared" si="47"/>
        <v/>
      </c>
      <c r="CB47" s="475" t="str">
        <f t="shared" si="47"/>
        <v/>
      </c>
      <c r="CC47" s="475" t="str">
        <f t="shared" si="47"/>
        <v/>
      </c>
      <c r="CD47" s="475" t="str">
        <f t="shared" si="48"/>
        <v/>
      </c>
      <c r="CE47" s="475" t="str">
        <f t="shared" si="48"/>
        <v/>
      </c>
      <c r="CF47" s="475" t="str">
        <f t="shared" si="48"/>
        <v/>
      </c>
      <c r="CG47" s="475" t="str">
        <f t="shared" si="48"/>
        <v/>
      </c>
      <c r="CH47" s="475" t="str">
        <f t="shared" si="48"/>
        <v/>
      </c>
      <c r="CI47" s="475" t="str">
        <f t="shared" si="48"/>
        <v/>
      </c>
      <c r="CJ47" s="475" t="str">
        <f t="shared" si="48"/>
        <v/>
      </c>
      <c r="CK47" s="475" t="str">
        <f t="shared" si="48"/>
        <v/>
      </c>
      <c r="CL47" s="475" t="str">
        <f t="shared" si="48"/>
        <v/>
      </c>
      <c r="CM47" s="475" t="str">
        <f t="shared" si="48"/>
        <v/>
      </c>
      <c r="CN47" s="475" t="str">
        <f t="shared" si="49"/>
        <v/>
      </c>
      <c r="CO47" s="475" t="str">
        <f t="shared" si="49"/>
        <v/>
      </c>
      <c r="CP47" s="475" t="str">
        <f t="shared" si="49"/>
        <v/>
      </c>
      <c r="CQ47" s="475" t="str">
        <f t="shared" si="49"/>
        <v/>
      </c>
      <c r="CR47" s="475" t="str">
        <f t="shared" si="49"/>
        <v/>
      </c>
      <c r="CS47" s="475" t="str">
        <f t="shared" si="49"/>
        <v/>
      </c>
      <c r="CT47" s="475" t="str">
        <f t="shared" si="49"/>
        <v/>
      </c>
      <c r="CU47" s="475" t="str">
        <f t="shared" si="49"/>
        <v/>
      </c>
      <c r="CV47" s="475" t="str">
        <f t="shared" si="49"/>
        <v/>
      </c>
      <c r="CW47" s="475" t="str">
        <f t="shared" si="49"/>
        <v/>
      </c>
      <c r="CX47" s="475" t="str">
        <f t="shared" si="49"/>
        <v/>
      </c>
      <c r="CY47" s="475" t="str">
        <f t="shared" si="49"/>
        <v/>
      </c>
      <c r="CZ47" s="495" t="str">
        <f t="shared" si="49"/>
        <v/>
      </c>
      <c r="DA47" s="502"/>
      <c r="DB47" s="460"/>
      <c r="DC47" s="465"/>
      <c r="DD47" s="463"/>
      <c r="DE47" s="512"/>
      <c r="DF47" s="516"/>
      <c r="DG47" s="508"/>
      <c r="DH47" s="463"/>
      <c r="DI47" s="461"/>
      <c r="DJ47" s="461"/>
      <c r="DK47" s="461"/>
      <c r="DL47" s="464"/>
      <c r="DM47" s="466"/>
      <c r="DN47" s="502"/>
      <c r="DO47" s="460"/>
      <c r="DP47" s="464"/>
      <c r="DQ47" s="464"/>
      <c r="DR47" s="464"/>
      <c r="DS47" s="508"/>
      <c r="DT47" s="525"/>
      <c r="DU47" s="525"/>
      <c r="DV47" s="463"/>
      <c r="DW47" s="464"/>
      <c r="DX47" s="465"/>
      <c r="DY47" s="463"/>
      <c r="DZ47" s="464"/>
      <c r="EA47" s="465"/>
      <c r="EB47" s="463"/>
      <c r="EC47" s="465"/>
      <c r="ED47" s="462"/>
      <c r="EE47" s="502"/>
      <c r="EF47" s="463"/>
      <c r="EG47" s="461"/>
      <c r="EH47" s="464"/>
      <c r="EI47" s="464"/>
      <c r="EJ47" s="464"/>
      <c r="EK47" s="464"/>
      <c r="EL47" s="464"/>
      <c r="EM47" s="464"/>
      <c r="EN47" s="464"/>
      <c r="EO47" s="464"/>
      <c r="EP47" s="464"/>
      <c r="EQ47" s="464"/>
      <c r="ER47" s="464"/>
      <c r="ES47" s="464"/>
      <c r="ET47" s="464"/>
      <c r="EU47" s="464"/>
      <c r="EV47" s="464"/>
      <c r="EW47" s="465"/>
      <c r="EX47" s="465"/>
      <c r="EY47" s="502"/>
      <c r="EZ47" s="460"/>
      <c r="FA47" s="464"/>
      <c r="FB47" s="464"/>
      <c r="FC47" s="464"/>
      <c r="FD47" s="464"/>
      <c r="FE47" s="464"/>
      <c r="FF47" s="464"/>
      <c r="FG47" s="466"/>
    </row>
    <row r="48" spans="1:163">
      <c r="A48" s="467" t="s">
        <v>235</v>
      </c>
      <c r="B48" s="471" t="str">
        <f>IF(ISNUMBER(MATCH(A48, 'Pulldown Data'!W:W, 0))=TRUE, "Y", IF(ISNUMBER(MATCH(A48, 'Pulldown Data'!X:X, 0))=TRUE, "M", ""))</f>
        <v/>
      </c>
      <c r="C48" s="504"/>
      <c r="D48" s="502"/>
      <c r="E48" s="443" t="str">
        <f t="shared" si="40"/>
        <v/>
      </c>
      <c r="F48" s="444" t="str">
        <f t="shared" si="40"/>
        <v/>
      </c>
      <c r="G48" s="444" t="str">
        <f t="shared" si="40"/>
        <v/>
      </c>
      <c r="H48" s="444" t="str">
        <f t="shared" si="40"/>
        <v/>
      </c>
      <c r="I48" s="444" t="str">
        <f t="shared" si="40"/>
        <v/>
      </c>
      <c r="J48" s="444" t="str">
        <f t="shared" si="40"/>
        <v/>
      </c>
      <c r="K48" s="444" t="str">
        <f t="shared" si="40"/>
        <v/>
      </c>
      <c r="L48" s="444" t="str">
        <f t="shared" si="40"/>
        <v/>
      </c>
      <c r="M48" s="444" t="str">
        <f t="shared" si="40"/>
        <v/>
      </c>
      <c r="N48" s="444" t="str">
        <f t="shared" si="40"/>
        <v/>
      </c>
      <c r="O48" s="444" t="str">
        <f t="shared" si="41"/>
        <v/>
      </c>
      <c r="P48" s="444" t="str">
        <f t="shared" si="41"/>
        <v/>
      </c>
      <c r="Q48" s="444" t="str">
        <f t="shared" si="41"/>
        <v/>
      </c>
      <c r="R48" s="444" t="str">
        <f t="shared" si="41"/>
        <v/>
      </c>
      <c r="S48" s="444" t="str">
        <f t="shared" si="41"/>
        <v/>
      </c>
      <c r="T48" s="444" t="str">
        <f t="shared" si="41"/>
        <v/>
      </c>
      <c r="U48" s="444" t="str">
        <f t="shared" si="41"/>
        <v/>
      </c>
      <c r="V48" s="444" t="str">
        <f t="shared" si="41"/>
        <v/>
      </c>
      <c r="W48" s="444" t="str">
        <f t="shared" si="41"/>
        <v/>
      </c>
      <c r="X48" s="444" t="str">
        <f t="shared" si="41"/>
        <v/>
      </c>
      <c r="Y48" s="444" t="str">
        <f t="shared" si="42"/>
        <v/>
      </c>
      <c r="Z48" s="444" t="str">
        <f t="shared" si="42"/>
        <v/>
      </c>
      <c r="AA48" s="444" t="str">
        <f t="shared" si="42"/>
        <v/>
      </c>
      <c r="AB48" s="444" t="str">
        <f t="shared" si="42"/>
        <v/>
      </c>
      <c r="AC48" s="444" t="str">
        <f t="shared" si="42"/>
        <v/>
      </c>
      <c r="AD48" s="444" t="str">
        <f t="shared" si="42"/>
        <v/>
      </c>
      <c r="AE48" s="444" t="str">
        <f t="shared" si="42"/>
        <v/>
      </c>
      <c r="AF48" s="444" t="str">
        <f t="shared" si="42"/>
        <v/>
      </c>
      <c r="AG48" s="444" t="str">
        <f t="shared" si="42"/>
        <v/>
      </c>
      <c r="AH48" s="444" t="str">
        <f t="shared" si="42"/>
        <v/>
      </c>
      <c r="AI48" s="444" t="str">
        <f t="shared" si="43"/>
        <v/>
      </c>
      <c r="AJ48" s="444" t="str">
        <f t="shared" si="43"/>
        <v/>
      </c>
      <c r="AK48" s="444" t="str">
        <f t="shared" si="43"/>
        <v/>
      </c>
      <c r="AL48" s="444" t="str">
        <f t="shared" si="43"/>
        <v/>
      </c>
      <c r="AM48" s="444" t="str">
        <f t="shared" si="43"/>
        <v/>
      </c>
      <c r="AN48" s="444" t="str">
        <f t="shared" si="43"/>
        <v/>
      </c>
      <c r="AO48" s="444" t="str">
        <f t="shared" si="43"/>
        <v/>
      </c>
      <c r="AP48" s="444" t="str">
        <f t="shared" si="43"/>
        <v/>
      </c>
      <c r="AQ48" s="444" t="str">
        <f t="shared" si="43"/>
        <v/>
      </c>
      <c r="AR48" s="444" t="str">
        <f t="shared" si="43"/>
        <v/>
      </c>
      <c r="AS48" s="444" t="str">
        <f t="shared" si="44"/>
        <v/>
      </c>
      <c r="AT48" s="444" t="str">
        <f t="shared" si="44"/>
        <v/>
      </c>
      <c r="AU48" s="444" t="str">
        <f t="shared" si="44"/>
        <v/>
      </c>
      <c r="AV48" s="444" t="str">
        <f t="shared" si="44"/>
        <v/>
      </c>
      <c r="AW48" s="444" t="str">
        <f t="shared" si="44"/>
        <v/>
      </c>
      <c r="AX48" s="444" t="str">
        <f t="shared" si="44"/>
        <v/>
      </c>
      <c r="AY48" s="444" t="str">
        <f t="shared" si="44"/>
        <v/>
      </c>
      <c r="AZ48" s="444" t="str">
        <f t="shared" si="44"/>
        <v/>
      </c>
      <c r="BA48" s="444" t="str">
        <f t="shared" si="44"/>
        <v/>
      </c>
      <c r="BB48" s="444" t="str">
        <f t="shared" si="44"/>
        <v/>
      </c>
      <c r="BC48" s="444" t="str">
        <f t="shared" si="45"/>
        <v/>
      </c>
      <c r="BD48" s="444" t="str">
        <f t="shared" si="45"/>
        <v/>
      </c>
      <c r="BE48" s="444" t="str">
        <f t="shared" si="45"/>
        <v/>
      </c>
      <c r="BF48" s="444" t="str">
        <f t="shared" si="45"/>
        <v/>
      </c>
      <c r="BG48" s="444" t="str">
        <f t="shared" si="45"/>
        <v/>
      </c>
      <c r="BH48" s="445" t="str">
        <f t="shared" si="45"/>
        <v/>
      </c>
      <c r="BI48" s="502"/>
      <c r="BJ48" s="474" t="str">
        <f t="shared" si="46"/>
        <v/>
      </c>
      <c r="BK48" s="475" t="str">
        <f t="shared" si="46"/>
        <v/>
      </c>
      <c r="BL48" s="475" t="str">
        <f t="shared" si="46"/>
        <v/>
      </c>
      <c r="BM48" s="475" t="str">
        <f t="shared" si="46"/>
        <v/>
      </c>
      <c r="BN48" s="475" t="str">
        <f t="shared" si="46"/>
        <v/>
      </c>
      <c r="BO48" s="475" t="str">
        <f t="shared" si="46"/>
        <v/>
      </c>
      <c r="BP48" s="475" t="str">
        <f t="shared" si="46"/>
        <v/>
      </c>
      <c r="BQ48" s="475" t="str">
        <f t="shared" si="46"/>
        <v/>
      </c>
      <c r="BR48" s="475" t="str">
        <f t="shared" si="46"/>
        <v/>
      </c>
      <c r="BS48" s="475" t="str">
        <f t="shared" si="46"/>
        <v/>
      </c>
      <c r="BT48" s="475" t="str">
        <f t="shared" si="47"/>
        <v/>
      </c>
      <c r="BU48" s="475" t="str">
        <f t="shared" si="47"/>
        <v/>
      </c>
      <c r="BV48" s="475" t="str">
        <f t="shared" si="47"/>
        <v/>
      </c>
      <c r="BW48" s="475" t="str">
        <f t="shared" si="47"/>
        <v/>
      </c>
      <c r="BX48" s="475" t="str">
        <f t="shared" si="47"/>
        <v/>
      </c>
      <c r="BY48" s="475" t="str">
        <f t="shared" si="47"/>
        <v/>
      </c>
      <c r="BZ48" s="475" t="str">
        <f t="shared" si="47"/>
        <v/>
      </c>
      <c r="CA48" s="475" t="str">
        <f t="shared" si="47"/>
        <v/>
      </c>
      <c r="CB48" s="475" t="str">
        <f t="shared" si="47"/>
        <v/>
      </c>
      <c r="CC48" s="475" t="str">
        <f t="shared" si="47"/>
        <v/>
      </c>
      <c r="CD48" s="475" t="str">
        <f t="shared" si="48"/>
        <v/>
      </c>
      <c r="CE48" s="475" t="str">
        <f t="shared" si="48"/>
        <v/>
      </c>
      <c r="CF48" s="475" t="str">
        <f t="shared" si="48"/>
        <v/>
      </c>
      <c r="CG48" s="475" t="str">
        <f t="shared" si="48"/>
        <v/>
      </c>
      <c r="CH48" s="475" t="str">
        <f t="shared" si="48"/>
        <v/>
      </c>
      <c r="CI48" s="475" t="str">
        <f t="shared" si="48"/>
        <v/>
      </c>
      <c r="CJ48" s="475" t="str">
        <f t="shared" si="48"/>
        <v/>
      </c>
      <c r="CK48" s="475" t="str">
        <f t="shared" si="48"/>
        <v/>
      </c>
      <c r="CL48" s="475" t="str">
        <f t="shared" si="48"/>
        <v/>
      </c>
      <c r="CM48" s="475" t="str">
        <f t="shared" si="48"/>
        <v/>
      </c>
      <c r="CN48" s="475" t="str">
        <f t="shared" si="49"/>
        <v/>
      </c>
      <c r="CO48" s="475" t="str">
        <f t="shared" si="49"/>
        <v/>
      </c>
      <c r="CP48" s="475" t="str">
        <f t="shared" si="49"/>
        <v/>
      </c>
      <c r="CQ48" s="475" t="str">
        <f t="shared" si="49"/>
        <v/>
      </c>
      <c r="CR48" s="475" t="str">
        <f t="shared" si="49"/>
        <v/>
      </c>
      <c r="CS48" s="475" t="str">
        <f t="shared" si="49"/>
        <v/>
      </c>
      <c r="CT48" s="475" t="str">
        <f t="shared" si="49"/>
        <v/>
      </c>
      <c r="CU48" s="475" t="str">
        <f t="shared" si="49"/>
        <v/>
      </c>
      <c r="CV48" s="475" t="str">
        <f t="shared" si="49"/>
        <v/>
      </c>
      <c r="CW48" s="475" t="str">
        <f t="shared" si="49"/>
        <v/>
      </c>
      <c r="CX48" s="475" t="str">
        <f t="shared" si="49"/>
        <v/>
      </c>
      <c r="CY48" s="475" t="str">
        <f t="shared" si="49"/>
        <v/>
      </c>
      <c r="CZ48" s="495" t="str">
        <f t="shared" si="49"/>
        <v/>
      </c>
      <c r="DA48" s="502"/>
      <c r="DB48" s="460"/>
      <c r="DC48" s="465"/>
      <c r="DD48" s="463"/>
      <c r="DE48" s="512"/>
      <c r="DF48" s="516"/>
      <c r="DG48" s="508"/>
      <c r="DH48" s="463"/>
      <c r="DI48" s="461"/>
      <c r="DJ48" s="461"/>
      <c r="DK48" s="461"/>
      <c r="DL48" s="464"/>
      <c r="DM48" s="466"/>
      <c r="DN48" s="502"/>
      <c r="DO48" s="460"/>
      <c r="DP48" s="464"/>
      <c r="DQ48" s="464"/>
      <c r="DR48" s="464"/>
      <c r="DS48" s="508"/>
      <c r="DT48" s="525"/>
      <c r="DU48" s="525"/>
      <c r="DV48" s="463"/>
      <c r="DW48" s="464"/>
      <c r="DX48" s="465"/>
      <c r="DY48" s="463"/>
      <c r="DZ48" s="464"/>
      <c r="EA48" s="465"/>
      <c r="EB48" s="463"/>
      <c r="EC48" s="465"/>
      <c r="ED48" s="462"/>
      <c r="EE48" s="502"/>
      <c r="EF48" s="463"/>
      <c r="EG48" s="461"/>
      <c r="EH48" s="464"/>
      <c r="EI48" s="464"/>
      <c r="EJ48" s="464"/>
      <c r="EK48" s="464"/>
      <c r="EL48" s="464"/>
      <c r="EM48" s="464"/>
      <c r="EN48" s="464"/>
      <c r="EO48" s="464"/>
      <c r="EP48" s="464"/>
      <c r="EQ48" s="464"/>
      <c r="ER48" s="464"/>
      <c r="ES48" s="464"/>
      <c r="ET48" s="464"/>
      <c r="EU48" s="464"/>
      <c r="EV48" s="464"/>
      <c r="EW48" s="465"/>
      <c r="EX48" s="465"/>
      <c r="EY48" s="502"/>
      <c r="EZ48" s="460"/>
      <c r="FA48" s="464"/>
      <c r="FB48" s="464"/>
      <c r="FC48" s="464"/>
      <c r="FD48" s="464"/>
      <c r="FE48" s="464"/>
      <c r="FF48" s="464"/>
      <c r="FG48" s="466"/>
    </row>
    <row r="49" spans="1:163">
      <c r="A49" s="467" t="s">
        <v>236</v>
      </c>
      <c r="B49" s="471" t="str">
        <f>IF(ISNUMBER(MATCH(A49, 'Pulldown Data'!W:W, 0))=TRUE, "Y", IF(ISNUMBER(MATCH(A49, 'Pulldown Data'!X:X, 0))=TRUE, "M", ""))</f>
        <v/>
      </c>
      <c r="C49" s="504"/>
      <c r="D49" s="502"/>
      <c r="E49" s="443" t="str">
        <f t="shared" si="40"/>
        <v/>
      </c>
      <c r="F49" s="444" t="str">
        <f t="shared" si="40"/>
        <v/>
      </c>
      <c r="G49" s="444" t="str">
        <f t="shared" si="40"/>
        <v/>
      </c>
      <c r="H49" s="444" t="str">
        <f t="shared" si="40"/>
        <v/>
      </c>
      <c r="I49" s="444" t="str">
        <f t="shared" si="40"/>
        <v/>
      </c>
      <c r="J49" s="444" t="str">
        <f t="shared" si="40"/>
        <v/>
      </c>
      <c r="K49" s="444" t="str">
        <f t="shared" si="40"/>
        <v/>
      </c>
      <c r="L49" s="444" t="str">
        <f t="shared" si="40"/>
        <v/>
      </c>
      <c r="M49" s="444" t="str">
        <f t="shared" si="40"/>
        <v/>
      </c>
      <c r="N49" s="444" t="str">
        <f t="shared" si="40"/>
        <v/>
      </c>
      <c r="O49" s="444" t="str">
        <f t="shared" si="41"/>
        <v/>
      </c>
      <c r="P49" s="444" t="str">
        <f t="shared" si="41"/>
        <v/>
      </c>
      <c r="Q49" s="444" t="str">
        <f t="shared" si="41"/>
        <v/>
      </c>
      <c r="R49" s="444" t="str">
        <f t="shared" si="41"/>
        <v/>
      </c>
      <c r="S49" s="444" t="str">
        <f t="shared" si="41"/>
        <v/>
      </c>
      <c r="T49" s="444" t="str">
        <f t="shared" si="41"/>
        <v/>
      </c>
      <c r="U49" s="444" t="str">
        <f t="shared" si="41"/>
        <v/>
      </c>
      <c r="V49" s="444" t="str">
        <f t="shared" si="41"/>
        <v/>
      </c>
      <c r="W49" s="444" t="str">
        <f t="shared" si="41"/>
        <v/>
      </c>
      <c r="X49" s="444" t="str">
        <f t="shared" si="41"/>
        <v/>
      </c>
      <c r="Y49" s="444" t="str">
        <f t="shared" si="42"/>
        <v/>
      </c>
      <c r="Z49" s="444" t="str">
        <f t="shared" si="42"/>
        <v/>
      </c>
      <c r="AA49" s="444" t="str">
        <f t="shared" si="42"/>
        <v/>
      </c>
      <c r="AB49" s="444" t="str">
        <f t="shared" si="42"/>
        <v/>
      </c>
      <c r="AC49" s="444" t="str">
        <f t="shared" si="42"/>
        <v/>
      </c>
      <c r="AD49" s="444" t="str">
        <f t="shared" si="42"/>
        <v/>
      </c>
      <c r="AE49" s="444" t="str">
        <f t="shared" si="42"/>
        <v/>
      </c>
      <c r="AF49" s="444" t="str">
        <f t="shared" si="42"/>
        <v/>
      </c>
      <c r="AG49" s="444" t="str">
        <f t="shared" si="42"/>
        <v/>
      </c>
      <c r="AH49" s="444" t="str">
        <f t="shared" si="42"/>
        <v/>
      </c>
      <c r="AI49" s="444" t="str">
        <f t="shared" si="43"/>
        <v/>
      </c>
      <c r="AJ49" s="444" t="str">
        <f t="shared" si="43"/>
        <v/>
      </c>
      <c r="AK49" s="444" t="str">
        <f t="shared" si="43"/>
        <v/>
      </c>
      <c r="AL49" s="444" t="str">
        <f t="shared" si="43"/>
        <v/>
      </c>
      <c r="AM49" s="444" t="str">
        <f t="shared" si="43"/>
        <v/>
      </c>
      <c r="AN49" s="444" t="str">
        <f t="shared" si="43"/>
        <v/>
      </c>
      <c r="AO49" s="444" t="str">
        <f t="shared" si="43"/>
        <v/>
      </c>
      <c r="AP49" s="444" t="str">
        <f t="shared" si="43"/>
        <v/>
      </c>
      <c r="AQ49" s="444" t="str">
        <f t="shared" si="43"/>
        <v/>
      </c>
      <c r="AR49" s="444" t="str">
        <f t="shared" si="43"/>
        <v/>
      </c>
      <c r="AS49" s="444" t="str">
        <f t="shared" si="44"/>
        <v/>
      </c>
      <c r="AT49" s="444" t="str">
        <f t="shared" si="44"/>
        <v/>
      </c>
      <c r="AU49" s="444" t="str">
        <f t="shared" si="44"/>
        <v/>
      </c>
      <c r="AV49" s="444" t="str">
        <f t="shared" si="44"/>
        <v/>
      </c>
      <c r="AW49" s="444" t="str">
        <f t="shared" si="44"/>
        <v/>
      </c>
      <c r="AX49" s="444" t="str">
        <f t="shared" si="44"/>
        <v/>
      </c>
      <c r="AY49" s="444" t="str">
        <f t="shared" si="44"/>
        <v/>
      </c>
      <c r="AZ49" s="444" t="str">
        <f t="shared" si="44"/>
        <v/>
      </c>
      <c r="BA49" s="444" t="str">
        <f t="shared" si="44"/>
        <v/>
      </c>
      <c r="BB49" s="444" t="str">
        <f t="shared" si="44"/>
        <v/>
      </c>
      <c r="BC49" s="444" t="str">
        <f t="shared" si="45"/>
        <v/>
      </c>
      <c r="BD49" s="444" t="str">
        <f t="shared" si="45"/>
        <v/>
      </c>
      <c r="BE49" s="444" t="str">
        <f t="shared" si="45"/>
        <v/>
      </c>
      <c r="BF49" s="444" t="str">
        <f t="shared" si="45"/>
        <v/>
      </c>
      <c r="BG49" s="444" t="str">
        <f t="shared" si="45"/>
        <v/>
      </c>
      <c r="BH49" s="445" t="str">
        <f t="shared" si="45"/>
        <v/>
      </c>
      <c r="BI49" s="502"/>
      <c r="BJ49" s="474" t="str">
        <f t="shared" si="46"/>
        <v/>
      </c>
      <c r="BK49" s="475" t="str">
        <f t="shared" si="46"/>
        <v/>
      </c>
      <c r="BL49" s="475" t="str">
        <f t="shared" si="46"/>
        <v/>
      </c>
      <c r="BM49" s="475" t="str">
        <f t="shared" si="46"/>
        <v/>
      </c>
      <c r="BN49" s="475" t="str">
        <f t="shared" si="46"/>
        <v/>
      </c>
      <c r="BO49" s="475" t="str">
        <f t="shared" si="46"/>
        <v/>
      </c>
      <c r="BP49" s="475" t="str">
        <f t="shared" si="46"/>
        <v/>
      </c>
      <c r="BQ49" s="475" t="str">
        <f t="shared" si="46"/>
        <v/>
      </c>
      <c r="BR49" s="475" t="str">
        <f t="shared" si="46"/>
        <v/>
      </c>
      <c r="BS49" s="475" t="str">
        <f t="shared" si="46"/>
        <v/>
      </c>
      <c r="BT49" s="475" t="str">
        <f t="shared" si="47"/>
        <v/>
      </c>
      <c r="BU49" s="475" t="str">
        <f t="shared" si="47"/>
        <v/>
      </c>
      <c r="BV49" s="475" t="str">
        <f t="shared" si="47"/>
        <v/>
      </c>
      <c r="BW49" s="475" t="str">
        <f t="shared" si="47"/>
        <v/>
      </c>
      <c r="BX49" s="475" t="str">
        <f t="shared" si="47"/>
        <v/>
      </c>
      <c r="BY49" s="475" t="str">
        <f t="shared" si="47"/>
        <v/>
      </c>
      <c r="BZ49" s="475" t="str">
        <f t="shared" si="47"/>
        <v/>
      </c>
      <c r="CA49" s="475" t="str">
        <f t="shared" si="47"/>
        <v/>
      </c>
      <c r="CB49" s="475" t="str">
        <f t="shared" si="47"/>
        <v/>
      </c>
      <c r="CC49" s="475" t="str">
        <f t="shared" si="47"/>
        <v/>
      </c>
      <c r="CD49" s="475" t="str">
        <f t="shared" si="48"/>
        <v/>
      </c>
      <c r="CE49" s="475" t="str">
        <f t="shared" si="48"/>
        <v/>
      </c>
      <c r="CF49" s="475" t="str">
        <f t="shared" si="48"/>
        <v/>
      </c>
      <c r="CG49" s="475" t="str">
        <f t="shared" si="48"/>
        <v/>
      </c>
      <c r="CH49" s="475" t="str">
        <f t="shared" si="48"/>
        <v/>
      </c>
      <c r="CI49" s="475" t="str">
        <f t="shared" si="48"/>
        <v/>
      </c>
      <c r="CJ49" s="475" t="str">
        <f t="shared" si="48"/>
        <v/>
      </c>
      <c r="CK49" s="475" t="str">
        <f t="shared" si="48"/>
        <v/>
      </c>
      <c r="CL49" s="475" t="str">
        <f t="shared" si="48"/>
        <v/>
      </c>
      <c r="CM49" s="475" t="str">
        <f t="shared" si="48"/>
        <v/>
      </c>
      <c r="CN49" s="475" t="str">
        <f t="shared" si="49"/>
        <v/>
      </c>
      <c r="CO49" s="475" t="str">
        <f t="shared" si="49"/>
        <v/>
      </c>
      <c r="CP49" s="475" t="str">
        <f t="shared" si="49"/>
        <v/>
      </c>
      <c r="CQ49" s="475" t="str">
        <f t="shared" si="49"/>
        <v/>
      </c>
      <c r="CR49" s="475" t="str">
        <f t="shared" si="49"/>
        <v/>
      </c>
      <c r="CS49" s="475" t="str">
        <f t="shared" si="49"/>
        <v/>
      </c>
      <c r="CT49" s="475" t="str">
        <f t="shared" si="49"/>
        <v/>
      </c>
      <c r="CU49" s="475" t="str">
        <f t="shared" si="49"/>
        <v/>
      </c>
      <c r="CV49" s="475" t="str">
        <f t="shared" si="49"/>
        <v/>
      </c>
      <c r="CW49" s="475" t="str">
        <f t="shared" si="49"/>
        <v/>
      </c>
      <c r="CX49" s="475" t="str">
        <f t="shared" si="49"/>
        <v/>
      </c>
      <c r="CY49" s="475" t="str">
        <f t="shared" si="49"/>
        <v/>
      </c>
      <c r="CZ49" s="495" t="str">
        <f t="shared" si="49"/>
        <v/>
      </c>
      <c r="DA49" s="502"/>
      <c r="DB49" s="460"/>
      <c r="DC49" s="465"/>
      <c r="DD49" s="463"/>
      <c r="DE49" s="512"/>
      <c r="DF49" s="516"/>
      <c r="DG49" s="508"/>
      <c r="DH49" s="463"/>
      <c r="DI49" s="461"/>
      <c r="DJ49" s="461"/>
      <c r="DK49" s="461"/>
      <c r="DL49" s="464"/>
      <c r="DM49" s="466"/>
      <c r="DN49" s="502"/>
      <c r="DO49" s="460"/>
      <c r="DP49" s="464"/>
      <c r="DQ49" s="464"/>
      <c r="DR49" s="464"/>
      <c r="DS49" s="508"/>
      <c r="DT49" s="525"/>
      <c r="DU49" s="525"/>
      <c r="DV49" s="463"/>
      <c r="DW49" s="464"/>
      <c r="DX49" s="465"/>
      <c r="DY49" s="463"/>
      <c r="DZ49" s="464"/>
      <c r="EA49" s="465"/>
      <c r="EB49" s="463"/>
      <c r="EC49" s="465"/>
      <c r="ED49" s="462"/>
      <c r="EE49" s="502"/>
      <c r="EF49" s="463"/>
      <c r="EG49" s="461"/>
      <c r="EH49" s="464"/>
      <c r="EI49" s="464"/>
      <c r="EJ49" s="464"/>
      <c r="EK49" s="464"/>
      <c r="EL49" s="464"/>
      <c r="EM49" s="464"/>
      <c r="EN49" s="464"/>
      <c r="EO49" s="464"/>
      <c r="EP49" s="464"/>
      <c r="EQ49" s="464"/>
      <c r="ER49" s="464"/>
      <c r="ES49" s="464"/>
      <c r="ET49" s="464"/>
      <c r="EU49" s="464"/>
      <c r="EV49" s="464"/>
      <c r="EW49" s="465"/>
      <c r="EX49" s="465"/>
      <c r="EY49" s="502"/>
      <c r="EZ49" s="460"/>
      <c r="FA49" s="464"/>
      <c r="FB49" s="464"/>
      <c r="FC49" s="464"/>
      <c r="FD49" s="464"/>
      <c r="FE49" s="464"/>
      <c r="FF49" s="464"/>
      <c r="FG49" s="466"/>
    </row>
    <row r="50" spans="1:163">
      <c r="A50" s="467" t="s">
        <v>237</v>
      </c>
      <c r="B50" s="471" t="str">
        <f>IF(ISNUMBER(MATCH(A50, 'Pulldown Data'!W:W, 0))=TRUE, "Y", IF(ISNUMBER(MATCH(A50, 'Pulldown Data'!X:X, 0))=TRUE, "M", ""))</f>
        <v/>
      </c>
      <c r="C50" s="504"/>
      <c r="D50" s="502"/>
      <c r="E50" s="443" t="str">
        <f t="shared" si="40"/>
        <v/>
      </c>
      <c r="F50" s="444" t="str">
        <f t="shared" si="40"/>
        <v/>
      </c>
      <c r="G50" s="444" t="str">
        <f t="shared" si="40"/>
        <v/>
      </c>
      <c r="H50" s="444" t="str">
        <f t="shared" si="40"/>
        <v/>
      </c>
      <c r="I50" s="444" t="str">
        <f t="shared" si="40"/>
        <v/>
      </c>
      <c r="J50" s="444" t="str">
        <f t="shared" si="40"/>
        <v/>
      </c>
      <c r="K50" s="444" t="str">
        <f t="shared" si="40"/>
        <v/>
      </c>
      <c r="L50" s="444" t="str">
        <f t="shared" si="40"/>
        <v/>
      </c>
      <c r="M50" s="444" t="str">
        <f t="shared" si="40"/>
        <v/>
      </c>
      <c r="N50" s="444" t="str">
        <f t="shared" si="40"/>
        <v/>
      </c>
      <c r="O50" s="444" t="str">
        <f t="shared" si="41"/>
        <v/>
      </c>
      <c r="P50" s="444" t="str">
        <f t="shared" si="41"/>
        <v/>
      </c>
      <c r="Q50" s="444" t="str">
        <f t="shared" si="41"/>
        <v/>
      </c>
      <c r="R50" s="444" t="str">
        <f t="shared" si="41"/>
        <v/>
      </c>
      <c r="S50" s="444" t="str">
        <f t="shared" si="41"/>
        <v/>
      </c>
      <c r="T50" s="444" t="str">
        <f t="shared" si="41"/>
        <v/>
      </c>
      <c r="U50" s="444" t="str">
        <f t="shared" si="41"/>
        <v/>
      </c>
      <c r="V50" s="444" t="str">
        <f t="shared" si="41"/>
        <v/>
      </c>
      <c r="W50" s="444" t="str">
        <f t="shared" si="41"/>
        <v/>
      </c>
      <c r="X50" s="444" t="str">
        <f t="shared" si="41"/>
        <v/>
      </c>
      <c r="Y50" s="444" t="str">
        <f t="shared" si="42"/>
        <v/>
      </c>
      <c r="Z50" s="444" t="str">
        <f t="shared" si="42"/>
        <v/>
      </c>
      <c r="AA50" s="444" t="str">
        <f t="shared" si="42"/>
        <v/>
      </c>
      <c r="AB50" s="444" t="str">
        <f t="shared" si="42"/>
        <v/>
      </c>
      <c r="AC50" s="444" t="str">
        <f t="shared" si="42"/>
        <v/>
      </c>
      <c r="AD50" s="444" t="str">
        <f t="shared" si="42"/>
        <v/>
      </c>
      <c r="AE50" s="444" t="str">
        <f t="shared" si="42"/>
        <v/>
      </c>
      <c r="AF50" s="444" t="str">
        <f t="shared" si="42"/>
        <v/>
      </c>
      <c r="AG50" s="444" t="str">
        <f t="shared" si="42"/>
        <v/>
      </c>
      <c r="AH50" s="444" t="str">
        <f t="shared" si="42"/>
        <v/>
      </c>
      <c r="AI50" s="444" t="str">
        <f t="shared" si="43"/>
        <v/>
      </c>
      <c r="AJ50" s="444" t="str">
        <f t="shared" si="43"/>
        <v/>
      </c>
      <c r="AK50" s="444" t="str">
        <f t="shared" si="43"/>
        <v/>
      </c>
      <c r="AL50" s="444" t="str">
        <f t="shared" si="43"/>
        <v/>
      </c>
      <c r="AM50" s="444" t="str">
        <f t="shared" si="43"/>
        <v/>
      </c>
      <c r="AN50" s="444" t="str">
        <f t="shared" si="43"/>
        <v/>
      </c>
      <c r="AO50" s="444" t="str">
        <f t="shared" si="43"/>
        <v/>
      </c>
      <c r="AP50" s="444" t="str">
        <f t="shared" si="43"/>
        <v/>
      </c>
      <c r="AQ50" s="444" t="str">
        <f t="shared" si="43"/>
        <v/>
      </c>
      <c r="AR50" s="444" t="str">
        <f t="shared" si="43"/>
        <v/>
      </c>
      <c r="AS50" s="444" t="str">
        <f t="shared" si="44"/>
        <v/>
      </c>
      <c r="AT50" s="444" t="str">
        <f t="shared" si="44"/>
        <v/>
      </c>
      <c r="AU50" s="444" t="str">
        <f t="shared" si="44"/>
        <v/>
      </c>
      <c r="AV50" s="444" t="str">
        <f t="shared" si="44"/>
        <v/>
      </c>
      <c r="AW50" s="444" t="str">
        <f t="shared" si="44"/>
        <v/>
      </c>
      <c r="AX50" s="444" t="str">
        <f t="shared" si="44"/>
        <v/>
      </c>
      <c r="AY50" s="444" t="str">
        <f t="shared" si="44"/>
        <v/>
      </c>
      <c r="AZ50" s="444" t="str">
        <f t="shared" si="44"/>
        <v/>
      </c>
      <c r="BA50" s="444" t="str">
        <f t="shared" si="44"/>
        <v/>
      </c>
      <c r="BB50" s="444" t="str">
        <f t="shared" si="44"/>
        <v/>
      </c>
      <c r="BC50" s="444" t="str">
        <f t="shared" si="45"/>
        <v/>
      </c>
      <c r="BD50" s="444" t="str">
        <f t="shared" si="45"/>
        <v/>
      </c>
      <c r="BE50" s="444" t="str">
        <f t="shared" si="45"/>
        <v/>
      </c>
      <c r="BF50" s="444" t="str">
        <f t="shared" si="45"/>
        <v/>
      </c>
      <c r="BG50" s="444" t="str">
        <f t="shared" si="45"/>
        <v/>
      </c>
      <c r="BH50" s="445" t="str">
        <f t="shared" si="45"/>
        <v/>
      </c>
      <c r="BI50" s="502"/>
      <c r="BJ50" s="474" t="str">
        <f t="shared" si="46"/>
        <v/>
      </c>
      <c r="BK50" s="475" t="str">
        <f t="shared" si="46"/>
        <v/>
      </c>
      <c r="BL50" s="475" t="str">
        <f t="shared" si="46"/>
        <v/>
      </c>
      <c r="BM50" s="475" t="str">
        <f t="shared" si="46"/>
        <v/>
      </c>
      <c r="BN50" s="475" t="str">
        <f t="shared" si="46"/>
        <v/>
      </c>
      <c r="BO50" s="475" t="str">
        <f t="shared" si="46"/>
        <v/>
      </c>
      <c r="BP50" s="475" t="str">
        <f t="shared" si="46"/>
        <v/>
      </c>
      <c r="BQ50" s="475" t="str">
        <f t="shared" si="46"/>
        <v/>
      </c>
      <c r="BR50" s="475" t="str">
        <f t="shared" si="46"/>
        <v/>
      </c>
      <c r="BS50" s="475" t="str">
        <f t="shared" si="46"/>
        <v/>
      </c>
      <c r="BT50" s="475" t="str">
        <f t="shared" si="47"/>
        <v/>
      </c>
      <c r="BU50" s="475" t="str">
        <f t="shared" si="47"/>
        <v/>
      </c>
      <c r="BV50" s="475" t="str">
        <f t="shared" si="47"/>
        <v/>
      </c>
      <c r="BW50" s="475" t="str">
        <f t="shared" si="47"/>
        <v/>
      </c>
      <c r="BX50" s="475" t="str">
        <f t="shared" si="47"/>
        <v/>
      </c>
      <c r="BY50" s="475" t="str">
        <f t="shared" si="47"/>
        <v/>
      </c>
      <c r="BZ50" s="475" t="str">
        <f t="shared" si="47"/>
        <v/>
      </c>
      <c r="CA50" s="475" t="str">
        <f t="shared" si="47"/>
        <v/>
      </c>
      <c r="CB50" s="475" t="str">
        <f t="shared" si="47"/>
        <v/>
      </c>
      <c r="CC50" s="475" t="str">
        <f t="shared" si="47"/>
        <v/>
      </c>
      <c r="CD50" s="475" t="str">
        <f t="shared" si="48"/>
        <v/>
      </c>
      <c r="CE50" s="475" t="str">
        <f t="shared" si="48"/>
        <v/>
      </c>
      <c r="CF50" s="475" t="str">
        <f t="shared" si="48"/>
        <v/>
      </c>
      <c r="CG50" s="475" t="str">
        <f t="shared" si="48"/>
        <v/>
      </c>
      <c r="CH50" s="475" t="str">
        <f t="shared" si="48"/>
        <v/>
      </c>
      <c r="CI50" s="475" t="str">
        <f t="shared" si="48"/>
        <v/>
      </c>
      <c r="CJ50" s="475" t="str">
        <f t="shared" si="48"/>
        <v/>
      </c>
      <c r="CK50" s="475" t="str">
        <f t="shared" si="48"/>
        <v/>
      </c>
      <c r="CL50" s="475" t="str">
        <f t="shared" si="48"/>
        <v/>
      </c>
      <c r="CM50" s="475" t="str">
        <f t="shared" si="48"/>
        <v/>
      </c>
      <c r="CN50" s="475" t="str">
        <f t="shared" si="49"/>
        <v/>
      </c>
      <c r="CO50" s="475" t="str">
        <f t="shared" si="49"/>
        <v/>
      </c>
      <c r="CP50" s="475" t="str">
        <f t="shared" si="49"/>
        <v/>
      </c>
      <c r="CQ50" s="475" t="str">
        <f t="shared" si="49"/>
        <v/>
      </c>
      <c r="CR50" s="475" t="str">
        <f t="shared" si="49"/>
        <v/>
      </c>
      <c r="CS50" s="475" t="str">
        <f t="shared" si="49"/>
        <v/>
      </c>
      <c r="CT50" s="475" t="str">
        <f t="shared" si="49"/>
        <v/>
      </c>
      <c r="CU50" s="475" t="str">
        <f t="shared" si="49"/>
        <v/>
      </c>
      <c r="CV50" s="475" t="str">
        <f t="shared" si="49"/>
        <v/>
      </c>
      <c r="CW50" s="475" t="str">
        <f t="shared" si="49"/>
        <v/>
      </c>
      <c r="CX50" s="475" t="str">
        <f t="shared" si="49"/>
        <v/>
      </c>
      <c r="CY50" s="475" t="str">
        <f t="shared" si="49"/>
        <v/>
      </c>
      <c r="CZ50" s="495" t="str">
        <f t="shared" si="49"/>
        <v/>
      </c>
      <c r="DA50" s="502"/>
      <c r="DB50" s="460"/>
      <c r="DC50" s="465"/>
      <c r="DD50" s="463"/>
      <c r="DE50" s="512"/>
      <c r="DF50" s="516"/>
      <c r="DG50" s="508"/>
      <c r="DH50" s="463"/>
      <c r="DI50" s="461"/>
      <c r="DJ50" s="461"/>
      <c r="DK50" s="461"/>
      <c r="DL50" s="464"/>
      <c r="DM50" s="466"/>
      <c r="DN50" s="502"/>
      <c r="DO50" s="460"/>
      <c r="DP50" s="464"/>
      <c r="DQ50" s="464"/>
      <c r="DR50" s="464"/>
      <c r="DS50" s="508"/>
      <c r="DT50" s="525"/>
      <c r="DU50" s="525"/>
      <c r="DV50" s="463"/>
      <c r="DW50" s="464"/>
      <c r="DX50" s="465"/>
      <c r="DY50" s="463"/>
      <c r="DZ50" s="464"/>
      <c r="EA50" s="465"/>
      <c r="EB50" s="463"/>
      <c r="EC50" s="465"/>
      <c r="ED50" s="462"/>
      <c r="EE50" s="502"/>
      <c r="EF50" s="463"/>
      <c r="EG50" s="461"/>
      <c r="EH50" s="464"/>
      <c r="EI50" s="464"/>
      <c r="EJ50" s="464"/>
      <c r="EK50" s="464"/>
      <c r="EL50" s="464"/>
      <c r="EM50" s="464"/>
      <c r="EN50" s="464"/>
      <c r="EO50" s="464"/>
      <c r="EP50" s="464"/>
      <c r="EQ50" s="464"/>
      <c r="ER50" s="464"/>
      <c r="ES50" s="464"/>
      <c r="ET50" s="464"/>
      <c r="EU50" s="464"/>
      <c r="EV50" s="464"/>
      <c r="EW50" s="465"/>
      <c r="EX50" s="465"/>
      <c r="EY50" s="502"/>
      <c r="EZ50" s="460"/>
      <c r="FA50" s="464"/>
      <c r="FB50" s="464"/>
      <c r="FC50" s="464"/>
      <c r="FD50" s="464"/>
      <c r="FE50" s="464"/>
      <c r="FF50" s="464"/>
      <c r="FG50" s="466"/>
    </row>
    <row r="51" spans="1:163">
      <c r="A51" s="467" t="s">
        <v>238</v>
      </c>
      <c r="B51" s="471" t="str">
        <f>IF(ISNUMBER(MATCH(A51, 'Pulldown Data'!W:W, 0))=TRUE, "Y", IF(ISNUMBER(MATCH(A51, 'Pulldown Data'!X:X, 0))=TRUE, "M", ""))</f>
        <v/>
      </c>
      <c r="C51" s="504"/>
      <c r="D51" s="502"/>
      <c r="E51" s="443" t="str">
        <f t="shared" si="40"/>
        <v/>
      </c>
      <c r="F51" s="444" t="str">
        <f t="shared" si="40"/>
        <v/>
      </c>
      <c r="G51" s="444" t="str">
        <f t="shared" si="40"/>
        <v/>
      </c>
      <c r="H51" s="444" t="str">
        <f t="shared" si="40"/>
        <v/>
      </c>
      <c r="I51" s="444" t="str">
        <f t="shared" si="40"/>
        <v/>
      </c>
      <c r="J51" s="444" t="str">
        <f t="shared" si="40"/>
        <v/>
      </c>
      <c r="K51" s="444" t="str">
        <f t="shared" si="40"/>
        <v/>
      </c>
      <c r="L51" s="444" t="str">
        <f t="shared" si="40"/>
        <v/>
      </c>
      <c r="M51" s="444" t="str">
        <f t="shared" si="40"/>
        <v/>
      </c>
      <c r="N51" s="444" t="str">
        <f t="shared" si="40"/>
        <v/>
      </c>
      <c r="O51" s="444" t="str">
        <f t="shared" si="41"/>
        <v/>
      </c>
      <c r="P51" s="444" t="str">
        <f t="shared" si="41"/>
        <v/>
      </c>
      <c r="Q51" s="444" t="str">
        <f t="shared" si="41"/>
        <v/>
      </c>
      <c r="R51" s="444" t="str">
        <f t="shared" si="41"/>
        <v/>
      </c>
      <c r="S51" s="444" t="str">
        <f t="shared" si="41"/>
        <v/>
      </c>
      <c r="T51" s="444" t="str">
        <f t="shared" si="41"/>
        <v/>
      </c>
      <c r="U51" s="444" t="str">
        <f t="shared" si="41"/>
        <v/>
      </c>
      <c r="V51" s="444" t="str">
        <f t="shared" si="41"/>
        <v/>
      </c>
      <c r="W51" s="444" t="str">
        <f t="shared" si="41"/>
        <v/>
      </c>
      <c r="X51" s="444" t="str">
        <f t="shared" si="41"/>
        <v/>
      </c>
      <c r="Y51" s="444" t="str">
        <f t="shared" si="42"/>
        <v/>
      </c>
      <c r="Z51" s="444" t="str">
        <f t="shared" si="42"/>
        <v/>
      </c>
      <c r="AA51" s="444" t="str">
        <f t="shared" si="42"/>
        <v/>
      </c>
      <c r="AB51" s="444" t="str">
        <f t="shared" si="42"/>
        <v/>
      </c>
      <c r="AC51" s="444" t="str">
        <f t="shared" si="42"/>
        <v/>
      </c>
      <c r="AD51" s="444" t="str">
        <f t="shared" si="42"/>
        <v/>
      </c>
      <c r="AE51" s="444" t="str">
        <f t="shared" si="42"/>
        <v/>
      </c>
      <c r="AF51" s="444" t="str">
        <f t="shared" si="42"/>
        <v/>
      </c>
      <c r="AG51" s="444" t="str">
        <f t="shared" si="42"/>
        <v/>
      </c>
      <c r="AH51" s="444" t="str">
        <f t="shared" si="42"/>
        <v/>
      </c>
      <c r="AI51" s="444" t="str">
        <f t="shared" si="43"/>
        <v/>
      </c>
      <c r="AJ51" s="444" t="str">
        <f t="shared" si="43"/>
        <v/>
      </c>
      <c r="AK51" s="444" t="str">
        <f t="shared" si="43"/>
        <v/>
      </c>
      <c r="AL51" s="444" t="str">
        <f t="shared" si="43"/>
        <v/>
      </c>
      <c r="AM51" s="444" t="str">
        <f t="shared" si="43"/>
        <v/>
      </c>
      <c r="AN51" s="444" t="str">
        <f t="shared" si="43"/>
        <v/>
      </c>
      <c r="AO51" s="444" t="str">
        <f t="shared" si="43"/>
        <v/>
      </c>
      <c r="AP51" s="444" t="str">
        <f t="shared" si="43"/>
        <v/>
      </c>
      <c r="AQ51" s="444" t="str">
        <f t="shared" si="43"/>
        <v/>
      </c>
      <c r="AR51" s="444" t="str">
        <f t="shared" si="43"/>
        <v/>
      </c>
      <c r="AS51" s="444" t="str">
        <f t="shared" si="44"/>
        <v/>
      </c>
      <c r="AT51" s="444" t="str">
        <f t="shared" si="44"/>
        <v/>
      </c>
      <c r="AU51" s="444" t="str">
        <f t="shared" si="44"/>
        <v/>
      </c>
      <c r="AV51" s="444" t="str">
        <f t="shared" si="44"/>
        <v/>
      </c>
      <c r="AW51" s="444" t="str">
        <f t="shared" si="44"/>
        <v/>
      </c>
      <c r="AX51" s="444" t="str">
        <f t="shared" si="44"/>
        <v/>
      </c>
      <c r="AY51" s="444" t="str">
        <f t="shared" si="44"/>
        <v/>
      </c>
      <c r="AZ51" s="444" t="str">
        <f t="shared" si="44"/>
        <v/>
      </c>
      <c r="BA51" s="444" t="str">
        <f t="shared" si="44"/>
        <v/>
      </c>
      <c r="BB51" s="444" t="str">
        <f t="shared" si="44"/>
        <v/>
      </c>
      <c r="BC51" s="444" t="str">
        <f t="shared" si="45"/>
        <v/>
      </c>
      <c r="BD51" s="444" t="str">
        <f t="shared" si="45"/>
        <v/>
      </c>
      <c r="BE51" s="444" t="str">
        <f t="shared" si="45"/>
        <v/>
      </c>
      <c r="BF51" s="444" t="str">
        <f t="shared" si="45"/>
        <v/>
      </c>
      <c r="BG51" s="444" t="str">
        <f t="shared" si="45"/>
        <v/>
      </c>
      <c r="BH51" s="445" t="str">
        <f t="shared" si="45"/>
        <v/>
      </c>
      <c r="BI51" s="502"/>
      <c r="BJ51" s="474" t="str">
        <f t="shared" si="46"/>
        <v/>
      </c>
      <c r="BK51" s="475" t="str">
        <f t="shared" si="46"/>
        <v/>
      </c>
      <c r="BL51" s="475" t="str">
        <f t="shared" si="46"/>
        <v/>
      </c>
      <c r="BM51" s="475" t="str">
        <f t="shared" si="46"/>
        <v/>
      </c>
      <c r="BN51" s="475" t="str">
        <f t="shared" si="46"/>
        <v/>
      </c>
      <c r="BO51" s="475" t="str">
        <f t="shared" si="46"/>
        <v/>
      </c>
      <c r="BP51" s="475" t="str">
        <f t="shared" si="46"/>
        <v/>
      </c>
      <c r="BQ51" s="475" t="str">
        <f t="shared" si="46"/>
        <v/>
      </c>
      <c r="BR51" s="475" t="str">
        <f t="shared" si="46"/>
        <v/>
      </c>
      <c r="BS51" s="475" t="str">
        <f t="shared" si="46"/>
        <v/>
      </c>
      <c r="BT51" s="475" t="str">
        <f t="shared" si="47"/>
        <v/>
      </c>
      <c r="BU51" s="475" t="str">
        <f t="shared" si="47"/>
        <v/>
      </c>
      <c r="BV51" s="475" t="str">
        <f t="shared" si="47"/>
        <v/>
      </c>
      <c r="BW51" s="475" t="str">
        <f t="shared" si="47"/>
        <v/>
      </c>
      <c r="BX51" s="475" t="str">
        <f t="shared" si="47"/>
        <v/>
      </c>
      <c r="BY51" s="475" t="str">
        <f t="shared" si="47"/>
        <v/>
      </c>
      <c r="BZ51" s="475" t="str">
        <f t="shared" si="47"/>
        <v/>
      </c>
      <c r="CA51" s="475" t="str">
        <f t="shared" si="47"/>
        <v/>
      </c>
      <c r="CB51" s="475" t="str">
        <f t="shared" si="47"/>
        <v/>
      </c>
      <c r="CC51" s="475" t="str">
        <f t="shared" si="47"/>
        <v/>
      </c>
      <c r="CD51" s="475" t="str">
        <f t="shared" si="48"/>
        <v/>
      </c>
      <c r="CE51" s="475" t="str">
        <f t="shared" si="48"/>
        <v/>
      </c>
      <c r="CF51" s="475" t="str">
        <f t="shared" si="48"/>
        <v/>
      </c>
      <c r="CG51" s="475" t="str">
        <f t="shared" si="48"/>
        <v/>
      </c>
      <c r="CH51" s="475" t="str">
        <f t="shared" si="48"/>
        <v/>
      </c>
      <c r="CI51" s="475" t="str">
        <f t="shared" si="48"/>
        <v/>
      </c>
      <c r="CJ51" s="475" t="str">
        <f t="shared" si="48"/>
        <v/>
      </c>
      <c r="CK51" s="475" t="str">
        <f t="shared" si="48"/>
        <v/>
      </c>
      <c r="CL51" s="475" t="str">
        <f t="shared" si="48"/>
        <v/>
      </c>
      <c r="CM51" s="475" t="str">
        <f t="shared" si="48"/>
        <v/>
      </c>
      <c r="CN51" s="475" t="str">
        <f t="shared" si="49"/>
        <v/>
      </c>
      <c r="CO51" s="475" t="str">
        <f t="shared" si="49"/>
        <v/>
      </c>
      <c r="CP51" s="475" t="str">
        <f t="shared" si="49"/>
        <v/>
      </c>
      <c r="CQ51" s="475" t="str">
        <f t="shared" si="49"/>
        <v/>
      </c>
      <c r="CR51" s="475" t="str">
        <f t="shared" si="49"/>
        <v/>
      </c>
      <c r="CS51" s="475" t="str">
        <f t="shared" si="49"/>
        <v/>
      </c>
      <c r="CT51" s="475" t="str">
        <f t="shared" si="49"/>
        <v/>
      </c>
      <c r="CU51" s="475" t="str">
        <f t="shared" si="49"/>
        <v/>
      </c>
      <c r="CV51" s="475" t="str">
        <f t="shared" si="49"/>
        <v/>
      </c>
      <c r="CW51" s="475" t="str">
        <f t="shared" si="49"/>
        <v/>
      </c>
      <c r="CX51" s="475" t="str">
        <f t="shared" si="49"/>
        <v/>
      </c>
      <c r="CY51" s="475" t="str">
        <f t="shared" si="49"/>
        <v/>
      </c>
      <c r="CZ51" s="495" t="str">
        <f t="shared" si="49"/>
        <v/>
      </c>
      <c r="DA51" s="502"/>
      <c r="DB51" s="460"/>
      <c r="DC51" s="465"/>
      <c r="DD51" s="463"/>
      <c r="DE51" s="512"/>
      <c r="DF51" s="516"/>
      <c r="DG51" s="508"/>
      <c r="DH51" s="463"/>
      <c r="DI51" s="461"/>
      <c r="DJ51" s="461"/>
      <c r="DK51" s="461"/>
      <c r="DL51" s="464"/>
      <c r="DM51" s="466"/>
      <c r="DN51" s="502"/>
      <c r="DO51" s="460"/>
      <c r="DP51" s="464"/>
      <c r="DQ51" s="464"/>
      <c r="DR51" s="464"/>
      <c r="DS51" s="508"/>
      <c r="DT51" s="525"/>
      <c r="DU51" s="525"/>
      <c r="DV51" s="463"/>
      <c r="DW51" s="464"/>
      <c r="DX51" s="465"/>
      <c r="DY51" s="463"/>
      <c r="DZ51" s="464"/>
      <c r="EA51" s="465"/>
      <c r="EB51" s="463"/>
      <c r="EC51" s="465"/>
      <c r="ED51" s="462"/>
      <c r="EE51" s="502"/>
      <c r="EF51" s="463"/>
      <c r="EG51" s="461"/>
      <c r="EH51" s="464"/>
      <c r="EI51" s="464"/>
      <c r="EJ51" s="464"/>
      <c r="EK51" s="464"/>
      <c r="EL51" s="464"/>
      <c r="EM51" s="464"/>
      <c r="EN51" s="464"/>
      <c r="EO51" s="464"/>
      <c r="EP51" s="464"/>
      <c r="EQ51" s="464"/>
      <c r="ER51" s="464"/>
      <c r="ES51" s="464"/>
      <c r="ET51" s="464"/>
      <c r="EU51" s="464"/>
      <c r="EV51" s="464"/>
      <c r="EW51" s="465"/>
      <c r="EX51" s="465"/>
      <c r="EY51" s="502"/>
      <c r="EZ51" s="460"/>
      <c r="FA51" s="464"/>
      <c r="FB51" s="464"/>
      <c r="FC51" s="464"/>
      <c r="FD51" s="464"/>
      <c r="FE51" s="464"/>
      <c r="FF51" s="464"/>
      <c r="FG51" s="466"/>
    </row>
    <row r="52" spans="1:163">
      <c r="A52" s="467" t="s">
        <v>239</v>
      </c>
      <c r="B52" s="471" t="str">
        <f>IF(ISNUMBER(MATCH(A52, 'Pulldown Data'!W:W, 0))=TRUE, "Y", IF(ISNUMBER(MATCH(A52, 'Pulldown Data'!X:X, 0))=TRUE, "M", ""))</f>
        <v/>
      </c>
      <c r="C52" s="504"/>
      <c r="D52" s="502"/>
      <c r="E52" s="443" t="str">
        <f t="shared" ref="E52:N61" si="50" xml:space="preserve">
IFERROR(
_xlfn.IFNA(
   IF($B52="PLT",
      IF(INDEX(PRJGENVersions, MATCH(TRIM(E$1), PRJGENAlgosMapped, 0), MATCH($A52, PRJGENProjects, 0)), "YES", ""),
      IF(INDEX(RoadmapData, MATCH(TRIM(E$1), RoadmapDataFeatures, 0), MATCH($A52, RoadmapDataProjects, 0)) = "-", "-", INDEX(RoadmapData, MATCH(TRIM(E$1), RoadmapDataFeatures, 0), MATCH($A52, RoadmapDataProjects, 0)))),
""),
"")</f>
        <v/>
      </c>
      <c r="F52" s="444" t="str">
        <f t="shared" si="50"/>
        <v/>
      </c>
      <c r="G52" s="444" t="str">
        <f t="shared" si="50"/>
        <v/>
      </c>
      <c r="H52" s="444" t="str">
        <f t="shared" si="50"/>
        <v/>
      </c>
      <c r="I52" s="444" t="str">
        <f t="shared" si="50"/>
        <v/>
      </c>
      <c r="J52" s="444" t="str">
        <f t="shared" si="50"/>
        <v/>
      </c>
      <c r="K52" s="444" t="str">
        <f t="shared" si="50"/>
        <v/>
      </c>
      <c r="L52" s="444" t="str">
        <f t="shared" si="50"/>
        <v/>
      </c>
      <c r="M52" s="444" t="str">
        <f t="shared" si="50"/>
        <v/>
      </c>
      <c r="N52" s="444" t="str">
        <f t="shared" si="50"/>
        <v/>
      </c>
      <c r="O52" s="444" t="str">
        <f t="shared" ref="O52:X61" si="51" xml:space="preserve">
IFERROR(
_xlfn.IFNA(
   IF($B52="PLT",
      IF(INDEX(PRJGENVersions, MATCH(TRIM(O$1), PRJGENAlgosMapped, 0), MATCH($A52, PRJGENProjects, 0)), "YES", ""),
      IF(INDEX(RoadmapData, MATCH(TRIM(O$1), RoadmapDataFeatures, 0), MATCH($A52, RoadmapDataProjects, 0)) = "-", "-", INDEX(RoadmapData, MATCH(TRIM(O$1), RoadmapDataFeatures, 0), MATCH($A52, RoadmapDataProjects, 0)))),
""),
"")</f>
        <v/>
      </c>
      <c r="P52" s="444" t="str">
        <f t="shared" si="51"/>
        <v/>
      </c>
      <c r="Q52" s="444" t="str">
        <f t="shared" si="51"/>
        <v/>
      </c>
      <c r="R52" s="444" t="str">
        <f t="shared" si="51"/>
        <v/>
      </c>
      <c r="S52" s="444" t="str">
        <f t="shared" si="51"/>
        <v/>
      </c>
      <c r="T52" s="444" t="str">
        <f t="shared" si="51"/>
        <v/>
      </c>
      <c r="U52" s="444" t="str">
        <f t="shared" si="51"/>
        <v/>
      </c>
      <c r="V52" s="444" t="str">
        <f t="shared" si="51"/>
        <v/>
      </c>
      <c r="W52" s="444" t="str">
        <f t="shared" si="51"/>
        <v/>
      </c>
      <c r="X52" s="444" t="str">
        <f t="shared" si="51"/>
        <v/>
      </c>
      <c r="Y52" s="444" t="str">
        <f t="shared" ref="Y52:AH61" si="52" xml:space="preserve">
IFERROR(
_xlfn.IFNA(
   IF($B52="PLT",
      IF(INDEX(PRJGENVersions, MATCH(TRIM(Y$1), PRJGENAlgosMapped, 0), MATCH($A52, PRJGENProjects, 0)), "YES", ""),
      IF(INDEX(RoadmapData, MATCH(TRIM(Y$1), RoadmapDataFeatures, 0), MATCH($A52, RoadmapDataProjects, 0)) = "-", "-", INDEX(RoadmapData, MATCH(TRIM(Y$1), RoadmapDataFeatures, 0), MATCH($A52, RoadmapDataProjects, 0)))),
""),
"")</f>
        <v/>
      </c>
      <c r="Z52" s="444" t="str">
        <f t="shared" si="52"/>
        <v/>
      </c>
      <c r="AA52" s="444" t="str">
        <f t="shared" si="52"/>
        <v/>
      </c>
      <c r="AB52" s="444" t="str">
        <f t="shared" si="52"/>
        <v/>
      </c>
      <c r="AC52" s="444" t="str">
        <f t="shared" si="52"/>
        <v/>
      </c>
      <c r="AD52" s="444" t="str">
        <f t="shared" si="52"/>
        <v/>
      </c>
      <c r="AE52" s="444" t="str">
        <f t="shared" si="52"/>
        <v/>
      </c>
      <c r="AF52" s="444" t="str">
        <f t="shared" si="52"/>
        <v/>
      </c>
      <c r="AG52" s="444" t="str">
        <f t="shared" si="52"/>
        <v/>
      </c>
      <c r="AH52" s="444" t="str">
        <f t="shared" si="52"/>
        <v/>
      </c>
      <c r="AI52" s="444" t="str">
        <f t="shared" ref="AI52:AR61" si="53" xml:space="preserve">
IFERROR(
_xlfn.IFNA(
   IF($B52="PLT",
      IF(INDEX(PRJGENVersions, MATCH(TRIM(AI$1), PRJGENAlgosMapped, 0), MATCH($A52, PRJGENProjects, 0)), "YES", ""),
      IF(INDEX(RoadmapData, MATCH(TRIM(AI$1), RoadmapDataFeatures, 0), MATCH($A52, RoadmapDataProjects, 0)) = "-", "-", INDEX(RoadmapData, MATCH(TRIM(AI$1), RoadmapDataFeatures, 0), MATCH($A52, RoadmapDataProjects, 0)))),
""),
"")</f>
        <v/>
      </c>
      <c r="AJ52" s="444" t="str">
        <f t="shared" si="53"/>
        <v/>
      </c>
      <c r="AK52" s="444" t="str">
        <f t="shared" si="53"/>
        <v/>
      </c>
      <c r="AL52" s="444" t="str">
        <f t="shared" si="53"/>
        <v/>
      </c>
      <c r="AM52" s="444" t="str">
        <f t="shared" si="53"/>
        <v/>
      </c>
      <c r="AN52" s="444" t="str">
        <f t="shared" si="53"/>
        <v/>
      </c>
      <c r="AO52" s="444" t="str">
        <f t="shared" si="53"/>
        <v/>
      </c>
      <c r="AP52" s="444" t="str">
        <f t="shared" si="53"/>
        <v/>
      </c>
      <c r="AQ52" s="444" t="str">
        <f t="shared" si="53"/>
        <v/>
      </c>
      <c r="AR52" s="444" t="str">
        <f t="shared" si="53"/>
        <v/>
      </c>
      <c r="AS52" s="444" t="str">
        <f t="shared" ref="AS52:BB61" si="54" xml:space="preserve">
IFERROR(
_xlfn.IFNA(
   IF($B52="PLT",
      IF(INDEX(PRJGENVersions, MATCH(TRIM(AS$1), PRJGENAlgosMapped, 0), MATCH($A52, PRJGENProjects, 0)), "YES", ""),
      IF(INDEX(RoadmapData, MATCH(TRIM(AS$1), RoadmapDataFeatures, 0), MATCH($A52, RoadmapDataProjects, 0)) = "-", "-", INDEX(RoadmapData, MATCH(TRIM(AS$1), RoadmapDataFeatures, 0), MATCH($A52, RoadmapDataProjects, 0)))),
""),
"")</f>
        <v/>
      </c>
      <c r="AT52" s="444" t="str">
        <f t="shared" si="54"/>
        <v/>
      </c>
      <c r="AU52" s="444" t="str">
        <f t="shared" si="54"/>
        <v/>
      </c>
      <c r="AV52" s="444" t="str">
        <f t="shared" si="54"/>
        <v/>
      </c>
      <c r="AW52" s="444" t="str">
        <f t="shared" si="54"/>
        <v/>
      </c>
      <c r="AX52" s="444" t="str">
        <f t="shared" si="54"/>
        <v/>
      </c>
      <c r="AY52" s="444" t="str">
        <f t="shared" si="54"/>
        <v/>
      </c>
      <c r="AZ52" s="444" t="str">
        <f t="shared" si="54"/>
        <v/>
      </c>
      <c r="BA52" s="444" t="str">
        <f t="shared" si="54"/>
        <v/>
      </c>
      <c r="BB52" s="444" t="str">
        <f t="shared" si="54"/>
        <v/>
      </c>
      <c r="BC52" s="444" t="str">
        <f t="shared" ref="BC52:BH61" si="55" xml:space="preserve">
IFERROR(
_xlfn.IFNA(
   IF($B52="PLT",
      IF(INDEX(PRJGENVersions, MATCH(TRIM(BC$1), PRJGENAlgosMapped, 0), MATCH($A52, PRJGENProjects, 0)), "YES", ""),
      IF(INDEX(RoadmapData, MATCH(TRIM(BC$1), RoadmapDataFeatures, 0), MATCH($A52, RoadmapDataProjects, 0)) = "-", "-", INDEX(RoadmapData, MATCH(TRIM(BC$1), RoadmapDataFeatures, 0), MATCH($A52, RoadmapDataProjects, 0)))),
""),
"")</f>
        <v/>
      </c>
      <c r="BD52" s="444" t="str">
        <f t="shared" si="55"/>
        <v/>
      </c>
      <c r="BE52" s="444" t="str">
        <f t="shared" si="55"/>
        <v/>
      </c>
      <c r="BF52" s="444" t="str">
        <f t="shared" si="55"/>
        <v/>
      </c>
      <c r="BG52" s="444" t="str">
        <f t="shared" si="55"/>
        <v/>
      </c>
      <c r="BH52" s="445" t="str">
        <f t="shared" si="55"/>
        <v/>
      </c>
      <c r="BI52" s="502"/>
      <c r="BJ52" s="474" t="str">
        <f t="shared" ref="BJ52:BS61" si="56">_xlfn.IFNA(IF(INDEX(RoadmapData, MATCH(TRIM(BJ$1), RoadmapDataFeatures, 0), MATCH($A52, RoadmapDataProjects, 0)) = "-", "-", INDEX(RoadmapData, MATCH(TRIM(BJ$1), RoadmapDataFeatures, 0), MATCH($A52, RoadmapDataProjects, 0))), "")</f>
        <v/>
      </c>
      <c r="BK52" s="475" t="str">
        <f t="shared" si="56"/>
        <v/>
      </c>
      <c r="BL52" s="475" t="str">
        <f t="shared" si="56"/>
        <v/>
      </c>
      <c r="BM52" s="475" t="str">
        <f t="shared" si="56"/>
        <v/>
      </c>
      <c r="BN52" s="475" t="str">
        <f t="shared" si="56"/>
        <v/>
      </c>
      <c r="BO52" s="475" t="str">
        <f t="shared" si="56"/>
        <v/>
      </c>
      <c r="BP52" s="475" t="str">
        <f t="shared" si="56"/>
        <v/>
      </c>
      <c r="BQ52" s="475" t="str">
        <f t="shared" si="56"/>
        <v/>
      </c>
      <c r="BR52" s="475" t="str">
        <f t="shared" si="56"/>
        <v/>
      </c>
      <c r="BS52" s="475" t="str">
        <f t="shared" si="56"/>
        <v/>
      </c>
      <c r="BT52" s="475" t="str">
        <f t="shared" ref="BT52:CC61" si="57">_xlfn.IFNA(IF(INDEX(RoadmapData, MATCH(TRIM(BT$1), RoadmapDataFeatures, 0), MATCH($A52, RoadmapDataProjects, 0)) = "-", "-", INDEX(RoadmapData, MATCH(TRIM(BT$1), RoadmapDataFeatures, 0), MATCH($A52, RoadmapDataProjects, 0))), "")</f>
        <v/>
      </c>
      <c r="BU52" s="475" t="str">
        <f t="shared" si="57"/>
        <v/>
      </c>
      <c r="BV52" s="475" t="str">
        <f t="shared" si="57"/>
        <v/>
      </c>
      <c r="BW52" s="475" t="str">
        <f t="shared" si="57"/>
        <v/>
      </c>
      <c r="BX52" s="475" t="str">
        <f t="shared" si="57"/>
        <v/>
      </c>
      <c r="BY52" s="475" t="str">
        <f t="shared" si="57"/>
        <v/>
      </c>
      <c r="BZ52" s="475" t="str">
        <f t="shared" si="57"/>
        <v/>
      </c>
      <c r="CA52" s="475" t="str">
        <f t="shared" si="57"/>
        <v/>
      </c>
      <c r="CB52" s="475" t="str">
        <f t="shared" si="57"/>
        <v/>
      </c>
      <c r="CC52" s="475" t="str">
        <f t="shared" si="57"/>
        <v/>
      </c>
      <c r="CD52" s="475" t="str">
        <f t="shared" ref="CD52:CM61" si="58">_xlfn.IFNA(IF(INDEX(RoadmapData, MATCH(TRIM(CD$1), RoadmapDataFeatures, 0), MATCH($A52, RoadmapDataProjects, 0)) = "-", "-", INDEX(RoadmapData, MATCH(TRIM(CD$1), RoadmapDataFeatures, 0), MATCH($A52, RoadmapDataProjects, 0))), "")</f>
        <v/>
      </c>
      <c r="CE52" s="475" t="str">
        <f t="shared" si="58"/>
        <v/>
      </c>
      <c r="CF52" s="475" t="str">
        <f t="shared" si="58"/>
        <v/>
      </c>
      <c r="CG52" s="475" t="str">
        <f t="shared" si="58"/>
        <v/>
      </c>
      <c r="CH52" s="475" t="str">
        <f t="shared" si="58"/>
        <v/>
      </c>
      <c r="CI52" s="475" t="str">
        <f t="shared" si="58"/>
        <v/>
      </c>
      <c r="CJ52" s="475" t="str">
        <f t="shared" si="58"/>
        <v/>
      </c>
      <c r="CK52" s="475" t="str">
        <f t="shared" si="58"/>
        <v/>
      </c>
      <c r="CL52" s="475" t="str">
        <f t="shared" si="58"/>
        <v/>
      </c>
      <c r="CM52" s="475" t="str">
        <f t="shared" si="58"/>
        <v/>
      </c>
      <c r="CN52" s="475" t="str">
        <f t="shared" ref="CN52:CZ61" si="59">_xlfn.IFNA(IF(INDEX(RoadmapData, MATCH(TRIM(CN$1), RoadmapDataFeatures, 0), MATCH($A52, RoadmapDataProjects, 0)) = "-", "-", INDEX(RoadmapData, MATCH(TRIM(CN$1), RoadmapDataFeatures, 0), MATCH($A52, RoadmapDataProjects, 0))), "")</f>
        <v/>
      </c>
      <c r="CO52" s="475" t="str">
        <f t="shared" si="59"/>
        <v/>
      </c>
      <c r="CP52" s="475" t="str">
        <f t="shared" si="59"/>
        <v/>
      </c>
      <c r="CQ52" s="475" t="str">
        <f t="shared" si="59"/>
        <v/>
      </c>
      <c r="CR52" s="475" t="str">
        <f t="shared" si="59"/>
        <v/>
      </c>
      <c r="CS52" s="475" t="str">
        <f t="shared" si="59"/>
        <v/>
      </c>
      <c r="CT52" s="475" t="str">
        <f t="shared" si="59"/>
        <v/>
      </c>
      <c r="CU52" s="475" t="str">
        <f t="shared" si="59"/>
        <v/>
      </c>
      <c r="CV52" s="475" t="str">
        <f t="shared" si="59"/>
        <v/>
      </c>
      <c r="CW52" s="475" t="str">
        <f t="shared" si="59"/>
        <v/>
      </c>
      <c r="CX52" s="475" t="str">
        <f t="shared" si="59"/>
        <v/>
      </c>
      <c r="CY52" s="475" t="str">
        <f t="shared" si="59"/>
        <v/>
      </c>
      <c r="CZ52" s="495" t="str">
        <f t="shared" si="59"/>
        <v/>
      </c>
      <c r="DA52" s="502"/>
      <c r="DB52" s="460"/>
      <c r="DC52" s="465"/>
      <c r="DD52" s="463"/>
      <c r="DE52" s="512"/>
      <c r="DF52" s="516"/>
      <c r="DG52" s="508"/>
      <c r="DH52" s="463"/>
      <c r="DI52" s="461"/>
      <c r="DJ52" s="461"/>
      <c r="DK52" s="461"/>
      <c r="DL52" s="464"/>
      <c r="DM52" s="466"/>
      <c r="DN52" s="502"/>
      <c r="DO52" s="460"/>
      <c r="DP52" s="464"/>
      <c r="DQ52" s="464"/>
      <c r="DR52" s="464"/>
      <c r="DS52" s="508"/>
      <c r="DT52" s="525"/>
      <c r="DU52" s="525"/>
      <c r="DV52" s="463"/>
      <c r="DW52" s="464"/>
      <c r="DX52" s="465"/>
      <c r="DY52" s="463"/>
      <c r="DZ52" s="464"/>
      <c r="EA52" s="465"/>
      <c r="EB52" s="463"/>
      <c r="EC52" s="465"/>
      <c r="ED52" s="462"/>
      <c r="EE52" s="502"/>
      <c r="EF52" s="463"/>
      <c r="EG52" s="461"/>
      <c r="EH52" s="464"/>
      <c r="EI52" s="464"/>
      <c r="EJ52" s="464"/>
      <c r="EK52" s="464"/>
      <c r="EL52" s="464"/>
      <c r="EM52" s="464"/>
      <c r="EN52" s="464"/>
      <c r="EO52" s="464"/>
      <c r="EP52" s="464"/>
      <c r="EQ52" s="464"/>
      <c r="ER52" s="464"/>
      <c r="ES52" s="464"/>
      <c r="ET52" s="464"/>
      <c r="EU52" s="464"/>
      <c r="EV52" s="464"/>
      <c r="EW52" s="465"/>
      <c r="EX52" s="465"/>
      <c r="EY52" s="502"/>
      <c r="EZ52" s="460"/>
      <c r="FA52" s="464"/>
      <c r="FB52" s="464"/>
      <c r="FC52" s="464"/>
      <c r="FD52" s="464"/>
      <c r="FE52" s="464"/>
      <c r="FF52" s="464"/>
      <c r="FG52" s="466"/>
    </row>
    <row r="53" spans="1:163">
      <c r="A53" s="467" t="s">
        <v>240</v>
      </c>
      <c r="B53" s="471" t="str">
        <f>IF(ISNUMBER(MATCH(A53, 'Pulldown Data'!W:W, 0))=TRUE, "Y", IF(ISNUMBER(MATCH(A53, 'Pulldown Data'!X:X, 0))=TRUE, "M", ""))</f>
        <v/>
      </c>
      <c r="C53" s="504"/>
      <c r="D53" s="502"/>
      <c r="E53" s="443" t="str">
        <f t="shared" si="50"/>
        <v/>
      </c>
      <c r="F53" s="444" t="str">
        <f t="shared" si="50"/>
        <v/>
      </c>
      <c r="G53" s="444" t="str">
        <f t="shared" si="50"/>
        <v/>
      </c>
      <c r="H53" s="444" t="str">
        <f t="shared" si="50"/>
        <v/>
      </c>
      <c r="I53" s="444" t="str">
        <f t="shared" si="50"/>
        <v/>
      </c>
      <c r="J53" s="444" t="str">
        <f t="shared" si="50"/>
        <v/>
      </c>
      <c r="K53" s="444" t="str">
        <f t="shared" si="50"/>
        <v/>
      </c>
      <c r="L53" s="444" t="str">
        <f t="shared" si="50"/>
        <v/>
      </c>
      <c r="M53" s="444" t="str">
        <f t="shared" si="50"/>
        <v/>
      </c>
      <c r="N53" s="444" t="str">
        <f t="shared" si="50"/>
        <v/>
      </c>
      <c r="O53" s="444" t="str">
        <f t="shared" si="51"/>
        <v/>
      </c>
      <c r="P53" s="444" t="str">
        <f t="shared" si="51"/>
        <v/>
      </c>
      <c r="Q53" s="444" t="str">
        <f t="shared" si="51"/>
        <v/>
      </c>
      <c r="R53" s="444" t="str">
        <f t="shared" si="51"/>
        <v/>
      </c>
      <c r="S53" s="444" t="str">
        <f t="shared" si="51"/>
        <v/>
      </c>
      <c r="T53" s="444" t="str">
        <f t="shared" si="51"/>
        <v/>
      </c>
      <c r="U53" s="444" t="str">
        <f t="shared" si="51"/>
        <v/>
      </c>
      <c r="V53" s="444" t="str">
        <f t="shared" si="51"/>
        <v/>
      </c>
      <c r="W53" s="444" t="str">
        <f t="shared" si="51"/>
        <v/>
      </c>
      <c r="X53" s="444" t="str">
        <f t="shared" si="51"/>
        <v/>
      </c>
      <c r="Y53" s="444" t="str">
        <f t="shared" si="52"/>
        <v/>
      </c>
      <c r="Z53" s="444" t="str">
        <f t="shared" si="52"/>
        <v/>
      </c>
      <c r="AA53" s="444" t="str">
        <f t="shared" si="52"/>
        <v/>
      </c>
      <c r="AB53" s="444" t="str">
        <f t="shared" si="52"/>
        <v/>
      </c>
      <c r="AC53" s="444" t="str">
        <f t="shared" si="52"/>
        <v/>
      </c>
      <c r="AD53" s="444" t="str">
        <f t="shared" si="52"/>
        <v/>
      </c>
      <c r="AE53" s="444" t="str">
        <f t="shared" si="52"/>
        <v/>
      </c>
      <c r="AF53" s="444" t="str">
        <f t="shared" si="52"/>
        <v/>
      </c>
      <c r="AG53" s="444" t="str">
        <f t="shared" si="52"/>
        <v/>
      </c>
      <c r="AH53" s="444" t="str">
        <f t="shared" si="52"/>
        <v/>
      </c>
      <c r="AI53" s="444" t="str">
        <f t="shared" si="53"/>
        <v/>
      </c>
      <c r="AJ53" s="444" t="str">
        <f t="shared" si="53"/>
        <v/>
      </c>
      <c r="AK53" s="444" t="str">
        <f t="shared" si="53"/>
        <v/>
      </c>
      <c r="AL53" s="444" t="str">
        <f t="shared" si="53"/>
        <v/>
      </c>
      <c r="AM53" s="444" t="str">
        <f t="shared" si="53"/>
        <v/>
      </c>
      <c r="AN53" s="444" t="str">
        <f t="shared" si="53"/>
        <v/>
      </c>
      <c r="AO53" s="444" t="str">
        <f t="shared" si="53"/>
        <v/>
      </c>
      <c r="AP53" s="444" t="str">
        <f t="shared" si="53"/>
        <v/>
      </c>
      <c r="AQ53" s="444" t="str">
        <f t="shared" si="53"/>
        <v/>
      </c>
      <c r="AR53" s="444" t="str">
        <f t="shared" si="53"/>
        <v/>
      </c>
      <c r="AS53" s="444" t="str">
        <f t="shared" si="54"/>
        <v/>
      </c>
      <c r="AT53" s="444" t="str">
        <f t="shared" si="54"/>
        <v/>
      </c>
      <c r="AU53" s="444" t="str">
        <f t="shared" si="54"/>
        <v/>
      </c>
      <c r="AV53" s="444" t="str">
        <f t="shared" si="54"/>
        <v/>
      </c>
      <c r="AW53" s="444" t="str">
        <f t="shared" si="54"/>
        <v/>
      </c>
      <c r="AX53" s="444" t="str">
        <f t="shared" si="54"/>
        <v/>
      </c>
      <c r="AY53" s="444" t="str">
        <f t="shared" si="54"/>
        <v/>
      </c>
      <c r="AZ53" s="444" t="str">
        <f t="shared" si="54"/>
        <v/>
      </c>
      <c r="BA53" s="444" t="str">
        <f t="shared" si="54"/>
        <v/>
      </c>
      <c r="BB53" s="444" t="str">
        <f t="shared" si="54"/>
        <v/>
      </c>
      <c r="BC53" s="444" t="str">
        <f t="shared" si="55"/>
        <v/>
      </c>
      <c r="BD53" s="444" t="str">
        <f t="shared" si="55"/>
        <v/>
      </c>
      <c r="BE53" s="444" t="str">
        <f t="shared" si="55"/>
        <v/>
      </c>
      <c r="BF53" s="444" t="str">
        <f t="shared" si="55"/>
        <v/>
      </c>
      <c r="BG53" s="444" t="str">
        <f t="shared" si="55"/>
        <v/>
      </c>
      <c r="BH53" s="445" t="str">
        <f t="shared" si="55"/>
        <v/>
      </c>
      <c r="BI53" s="502"/>
      <c r="BJ53" s="474" t="str">
        <f t="shared" si="56"/>
        <v/>
      </c>
      <c r="BK53" s="475" t="str">
        <f t="shared" si="56"/>
        <v/>
      </c>
      <c r="BL53" s="475" t="str">
        <f t="shared" si="56"/>
        <v/>
      </c>
      <c r="BM53" s="475" t="str">
        <f t="shared" si="56"/>
        <v/>
      </c>
      <c r="BN53" s="475" t="str">
        <f t="shared" si="56"/>
        <v/>
      </c>
      <c r="BO53" s="475" t="str">
        <f t="shared" si="56"/>
        <v/>
      </c>
      <c r="BP53" s="475" t="str">
        <f t="shared" si="56"/>
        <v/>
      </c>
      <c r="BQ53" s="475" t="str">
        <f t="shared" si="56"/>
        <v/>
      </c>
      <c r="BR53" s="475" t="str">
        <f t="shared" si="56"/>
        <v/>
      </c>
      <c r="BS53" s="475" t="str">
        <f t="shared" si="56"/>
        <v/>
      </c>
      <c r="BT53" s="475" t="str">
        <f t="shared" si="57"/>
        <v/>
      </c>
      <c r="BU53" s="475" t="str">
        <f t="shared" si="57"/>
        <v/>
      </c>
      <c r="BV53" s="475" t="str">
        <f t="shared" si="57"/>
        <v/>
      </c>
      <c r="BW53" s="475" t="str">
        <f t="shared" si="57"/>
        <v/>
      </c>
      <c r="BX53" s="475" t="str">
        <f t="shared" si="57"/>
        <v/>
      </c>
      <c r="BY53" s="475" t="str">
        <f t="shared" si="57"/>
        <v/>
      </c>
      <c r="BZ53" s="475" t="str">
        <f t="shared" si="57"/>
        <v/>
      </c>
      <c r="CA53" s="475" t="str">
        <f t="shared" si="57"/>
        <v/>
      </c>
      <c r="CB53" s="475" t="str">
        <f t="shared" si="57"/>
        <v/>
      </c>
      <c r="CC53" s="475" t="str">
        <f t="shared" si="57"/>
        <v/>
      </c>
      <c r="CD53" s="475" t="str">
        <f t="shared" si="58"/>
        <v/>
      </c>
      <c r="CE53" s="475" t="str">
        <f t="shared" si="58"/>
        <v/>
      </c>
      <c r="CF53" s="475" t="str">
        <f t="shared" si="58"/>
        <v/>
      </c>
      <c r="CG53" s="475" t="str">
        <f t="shared" si="58"/>
        <v/>
      </c>
      <c r="CH53" s="475" t="str">
        <f t="shared" si="58"/>
        <v/>
      </c>
      <c r="CI53" s="475" t="str">
        <f t="shared" si="58"/>
        <v/>
      </c>
      <c r="CJ53" s="475" t="str">
        <f t="shared" si="58"/>
        <v/>
      </c>
      <c r="CK53" s="475" t="str">
        <f t="shared" si="58"/>
        <v/>
      </c>
      <c r="CL53" s="475" t="str">
        <f t="shared" si="58"/>
        <v/>
      </c>
      <c r="CM53" s="475" t="str">
        <f t="shared" si="58"/>
        <v/>
      </c>
      <c r="CN53" s="475" t="str">
        <f t="shared" si="59"/>
        <v/>
      </c>
      <c r="CO53" s="475" t="str">
        <f t="shared" si="59"/>
        <v/>
      </c>
      <c r="CP53" s="475" t="str">
        <f t="shared" si="59"/>
        <v/>
      </c>
      <c r="CQ53" s="475" t="str">
        <f t="shared" si="59"/>
        <v/>
      </c>
      <c r="CR53" s="475" t="str">
        <f t="shared" si="59"/>
        <v/>
      </c>
      <c r="CS53" s="475" t="str">
        <f t="shared" si="59"/>
        <v/>
      </c>
      <c r="CT53" s="475" t="str">
        <f t="shared" si="59"/>
        <v/>
      </c>
      <c r="CU53" s="475" t="str">
        <f t="shared" si="59"/>
        <v/>
      </c>
      <c r="CV53" s="475" t="str">
        <f t="shared" si="59"/>
        <v/>
      </c>
      <c r="CW53" s="475" t="str">
        <f t="shared" si="59"/>
        <v/>
      </c>
      <c r="CX53" s="475" t="str">
        <f t="shared" si="59"/>
        <v/>
      </c>
      <c r="CY53" s="475" t="str">
        <f t="shared" si="59"/>
        <v/>
      </c>
      <c r="CZ53" s="495" t="str">
        <f t="shared" si="59"/>
        <v/>
      </c>
      <c r="DA53" s="502"/>
      <c r="DB53" s="460"/>
      <c r="DC53" s="465"/>
      <c r="DD53" s="463"/>
      <c r="DE53" s="512"/>
      <c r="DF53" s="516"/>
      <c r="DG53" s="508"/>
      <c r="DH53" s="463"/>
      <c r="DI53" s="461"/>
      <c r="DJ53" s="461"/>
      <c r="DK53" s="461"/>
      <c r="DL53" s="464"/>
      <c r="DM53" s="466"/>
      <c r="DN53" s="502"/>
      <c r="DO53" s="460"/>
      <c r="DP53" s="464"/>
      <c r="DQ53" s="464"/>
      <c r="DR53" s="464"/>
      <c r="DS53" s="508"/>
      <c r="DT53" s="525"/>
      <c r="DU53" s="525"/>
      <c r="DV53" s="463"/>
      <c r="DW53" s="464"/>
      <c r="DX53" s="465"/>
      <c r="DY53" s="463"/>
      <c r="DZ53" s="464"/>
      <c r="EA53" s="465"/>
      <c r="EB53" s="463"/>
      <c r="EC53" s="465"/>
      <c r="ED53" s="462"/>
      <c r="EE53" s="502"/>
      <c r="EF53" s="463"/>
      <c r="EG53" s="461"/>
      <c r="EH53" s="464"/>
      <c r="EI53" s="464"/>
      <c r="EJ53" s="464"/>
      <c r="EK53" s="464"/>
      <c r="EL53" s="464"/>
      <c r="EM53" s="464"/>
      <c r="EN53" s="464"/>
      <c r="EO53" s="464"/>
      <c r="EP53" s="464"/>
      <c r="EQ53" s="464"/>
      <c r="ER53" s="464"/>
      <c r="ES53" s="464"/>
      <c r="ET53" s="464"/>
      <c r="EU53" s="464"/>
      <c r="EV53" s="464"/>
      <c r="EW53" s="465"/>
      <c r="EX53" s="465"/>
      <c r="EY53" s="502"/>
      <c r="EZ53" s="460"/>
      <c r="FA53" s="464"/>
      <c r="FB53" s="464"/>
      <c r="FC53" s="464"/>
      <c r="FD53" s="464"/>
      <c r="FE53" s="464"/>
      <c r="FF53" s="464"/>
      <c r="FG53" s="466"/>
    </row>
    <row r="54" spans="1:163">
      <c r="A54" s="467" t="s">
        <v>241</v>
      </c>
      <c r="B54" s="471" t="str">
        <f>IF(ISNUMBER(MATCH(A54, 'Pulldown Data'!W:W, 0))=TRUE, "Y", IF(ISNUMBER(MATCH(A54, 'Pulldown Data'!X:X, 0))=TRUE, "M", ""))</f>
        <v/>
      </c>
      <c r="C54" s="504"/>
      <c r="D54" s="502"/>
      <c r="E54" s="443" t="str">
        <f t="shared" si="50"/>
        <v/>
      </c>
      <c r="F54" s="444" t="str">
        <f t="shared" si="50"/>
        <v/>
      </c>
      <c r="G54" s="444" t="str">
        <f t="shared" si="50"/>
        <v/>
      </c>
      <c r="H54" s="444" t="str">
        <f t="shared" si="50"/>
        <v/>
      </c>
      <c r="I54" s="444" t="str">
        <f t="shared" si="50"/>
        <v/>
      </c>
      <c r="J54" s="444" t="str">
        <f t="shared" si="50"/>
        <v/>
      </c>
      <c r="K54" s="444" t="str">
        <f t="shared" si="50"/>
        <v/>
      </c>
      <c r="L54" s="444" t="str">
        <f t="shared" si="50"/>
        <v/>
      </c>
      <c r="M54" s="444" t="str">
        <f t="shared" si="50"/>
        <v/>
      </c>
      <c r="N54" s="444" t="str">
        <f t="shared" si="50"/>
        <v/>
      </c>
      <c r="O54" s="444" t="str">
        <f t="shared" si="51"/>
        <v/>
      </c>
      <c r="P54" s="444" t="str">
        <f t="shared" si="51"/>
        <v/>
      </c>
      <c r="Q54" s="444" t="str">
        <f t="shared" si="51"/>
        <v/>
      </c>
      <c r="R54" s="444" t="str">
        <f t="shared" si="51"/>
        <v/>
      </c>
      <c r="S54" s="444" t="str">
        <f t="shared" si="51"/>
        <v/>
      </c>
      <c r="T54" s="444" t="str">
        <f t="shared" si="51"/>
        <v/>
      </c>
      <c r="U54" s="444" t="str">
        <f t="shared" si="51"/>
        <v/>
      </c>
      <c r="V54" s="444" t="str">
        <f t="shared" si="51"/>
        <v/>
      </c>
      <c r="W54" s="444" t="str">
        <f t="shared" si="51"/>
        <v/>
      </c>
      <c r="X54" s="444" t="str">
        <f t="shared" si="51"/>
        <v/>
      </c>
      <c r="Y54" s="444" t="str">
        <f t="shared" si="52"/>
        <v/>
      </c>
      <c r="Z54" s="444" t="str">
        <f t="shared" si="52"/>
        <v/>
      </c>
      <c r="AA54" s="444" t="str">
        <f t="shared" si="52"/>
        <v/>
      </c>
      <c r="AB54" s="444" t="str">
        <f t="shared" si="52"/>
        <v/>
      </c>
      <c r="AC54" s="444" t="str">
        <f t="shared" si="52"/>
        <v/>
      </c>
      <c r="AD54" s="444" t="str">
        <f t="shared" si="52"/>
        <v/>
      </c>
      <c r="AE54" s="444" t="str">
        <f t="shared" si="52"/>
        <v/>
      </c>
      <c r="AF54" s="444" t="str">
        <f t="shared" si="52"/>
        <v/>
      </c>
      <c r="AG54" s="444" t="str">
        <f t="shared" si="52"/>
        <v/>
      </c>
      <c r="AH54" s="444" t="str">
        <f t="shared" si="52"/>
        <v/>
      </c>
      <c r="AI54" s="444" t="str">
        <f t="shared" si="53"/>
        <v/>
      </c>
      <c r="AJ54" s="444" t="str">
        <f t="shared" si="53"/>
        <v/>
      </c>
      <c r="AK54" s="444" t="str">
        <f t="shared" si="53"/>
        <v/>
      </c>
      <c r="AL54" s="444" t="str">
        <f t="shared" si="53"/>
        <v/>
      </c>
      <c r="AM54" s="444" t="str">
        <f t="shared" si="53"/>
        <v/>
      </c>
      <c r="AN54" s="444" t="str">
        <f t="shared" si="53"/>
        <v/>
      </c>
      <c r="AO54" s="444" t="str">
        <f t="shared" si="53"/>
        <v/>
      </c>
      <c r="AP54" s="444" t="str">
        <f t="shared" si="53"/>
        <v/>
      </c>
      <c r="AQ54" s="444" t="str">
        <f t="shared" si="53"/>
        <v/>
      </c>
      <c r="AR54" s="444" t="str">
        <f t="shared" si="53"/>
        <v/>
      </c>
      <c r="AS54" s="444" t="str">
        <f t="shared" si="54"/>
        <v/>
      </c>
      <c r="AT54" s="444" t="str">
        <f t="shared" si="54"/>
        <v/>
      </c>
      <c r="AU54" s="444" t="str">
        <f t="shared" si="54"/>
        <v/>
      </c>
      <c r="AV54" s="444" t="str">
        <f t="shared" si="54"/>
        <v/>
      </c>
      <c r="AW54" s="444" t="str">
        <f t="shared" si="54"/>
        <v/>
      </c>
      <c r="AX54" s="444" t="str">
        <f t="shared" si="54"/>
        <v/>
      </c>
      <c r="AY54" s="444" t="str">
        <f t="shared" si="54"/>
        <v/>
      </c>
      <c r="AZ54" s="444" t="str">
        <f t="shared" si="54"/>
        <v/>
      </c>
      <c r="BA54" s="444" t="str">
        <f t="shared" si="54"/>
        <v/>
      </c>
      <c r="BB54" s="444" t="str">
        <f t="shared" si="54"/>
        <v/>
      </c>
      <c r="BC54" s="444" t="str">
        <f t="shared" si="55"/>
        <v/>
      </c>
      <c r="BD54" s="444" t="str">
        <f t="shared" si="55"/>
        <v/>
      </c>
      <c r="BE54" s="444" t="str">
        <f t="shared" si="55"/>
        <v/>
      </c>
      <c r="BF54" s="444" t="str">
        <f t="shared" si="55"/>
        <v/>
      </c>
      <c r="BG54" s="444" t="str">
        <f t="shared" si="55"/>
        <v/>
      </c>
      <c r="BH54" s="445" t="str">
        <f t="shared" si="55"/>
        <v/>
      </c>
      <c r="BI54" s="502"/>
      <c r="BJ54" s="474" t="str">
        <f t="shared" si="56"/>
        <v/>
      </c>
      <c r="BK54" s="475" t="str">
        <f t="shared" si="56"/>
        <v/>
      </c>
      <c r="BL54" s="475" t="str">
        <f t="shared" si="56"/>
        <v/>
      </c>
      <c r="BM54" s="475" t="str">
        <f t="shared" si="56"/>
        <v/>
      </c>
      <c r="BN54" s="475" t="str">
        <f t="shared" si="56"/>
        <v/>
      </c>
      <c r="BO54" s="475" t="str">
        <f t="shared" si="56"/>
        <v/>
      </c>
      <c r="BP54" s="475" t="str">
        <f t="shared" si="56"/>
        <v/>
      </c>
      <c r="BQ54" s="475" t="str">
        <f t="shared" si="56"/>
        <v/>
      </c>
      <c r="BR54" s="475" t="str">
        <f t="shared" si="56"/>
        <v/>
      </c>
      <c r="BS54" s="475" t="str">
        <f t="shared" si="56"/>
        <v/>
      </c>
      <c r="BT54" s="475" t="str">
        <f t="shared" si="57"/>
        <v/>
      </c>
      <c r="BU54" s="475" t="str">
        <f t="shared" si="57"/>
        <v/>
      </c>
      <c r="BV54" s="475" t="str">
        <f t="shared" si="57"/>
        <v/>
      </c>
      <c r="BW54" s="475" t="str">
        <f t="shared" si="57"/>
        <v/>
      </c>
      <c r="BX54" s="475" t="str">
        <f t="shared" si="57"/>
        <v/>
      </c>
      <c r="BY54" s="475" t="str">
        <f t="shared" si="57"/>
        <v/>
      </c>
      <c r="BZ54" s="475" t="str">
        <f t="shared" si="57"/>
        <v/>
      </c>
      <c r="CA54" s="475" t="str">
        <f t="shared" si="57"/>
        <v/>
      </c>
      <c r="CB54" s="475" t="str">
        <f t="shared" si="57"/>
        <v/>
      </c>
      <c r="CC54" s="475" t="str">
        <f t="shared" si="57"/>
        <v/>
      </c>
      <c r="CD54" s="475" t="str">
        <f t="shared" si="58"/>
        <v/>
      </c>
      <c r="CE54" s="475" t="str">
        <f t="shared" si="58"/>
        <v/>
      </c>
      <c r="CF54" s="475" t="str">
        <f t="shared" si="58"/>
        <v/>
      </c>
      <c r="CG54" s="475" t="str">
        <f t="shared" si="58"/>
        <v/>
      </c>
      <c r="CH54" s="475" t="str">
        <f t="shared" si="58"/>
        <v/>
      </c>
      <c r="CI54" s="475" t="str">
        <f t="shared" si="58"/>
        <v/>
      </c>
      <c r="CJ54" s="475" t="str">
        <f t="shared" si="58"/>
        <v/>
      </c>
      <c r="CK54" s="475" t="str">
        <f t="shared" si="58"/>
        <v/>
      </c>
      <c r="CL54" s="475" t="str">
        <f t="shared" si="58"/>
        <v/>
      </c>
      <c r="CM54" s="475" t="str">
        <f t="shared" si="58"/>
        <v/>
      </c>
      <c r="CN54" s="475" t="str">
        <f t="shared" si="59"/>
        <v/>
      </c>
      <c r="CO54" s="475" t="str">
        <f t="shared" si="59"/>
        <v/>
      </c>
      <c r="CP54" s="475" t="str">
        <f t="shared" si="59"/>
        <v/>
      </c>
      <c r="CQ54" s="475" t="str">
        <f t="shared" si="59"/>
        <v/>
      </c>
      <c r="CR54" s="475" t="str">
        <f t="shared" si="59"/>
        <v/>
      </c>
      <c r="CS54" s="475" t="str">
        <f t="shared" si="59"/>
        <v/>
      </c>
      <c r="CT54" s="475" t="str">
        <f t="shared" si="59"/>
        <v/>
      </c>
      <c r="CU54" s="475" t="str">
        <f t="shared" si="59"/>
        <v/>
      </c>
      <c r="CV54" s="475" t="str">
        <f t="shared" si="59"/>
        <v/>
      </c>
      <c r="CW54" s="475" t="str">
        <f t="shared" si="59"/>
        <v/>
      </c>
      <c r="CX54" s="475" t="str">
        <f t="shared" si="59"/>
        <v/>
      </c>
      <c r="CY54" s="475" t="str">
        <f t="shared" si="59"/>
        <v/>
      </c>
      <c r="CZ54" s="495" t="str">
        <f t="shared" si="59"/>
        <v/>
      </c>
      <c r="DA54" s="502"/>
      <c r="DB54" s="460"/>
      <c r="DC54" s="465"/>
      <c r="DD54" s="463"/>
      <c r="DE54" s="512"/>
      <c r="DF54" s="516"/>
      <c r="DG54" s="508"/>
      <c r="DH54" s="463"/>
      <c r="DI54" s="461"/>
      <c r="DJ54" s="461"/>
      <c r="DK54" s="461"/>
      <c r="DL54" s="464"/>
      <c r="DM54" s="466"/>
      <c r="DN54" s="502"/>
      <c r="DO54" s="460"/>
      <c r="DP54" s="464"/>
      <c r="DQ54" s="464"/>
      <c r="DR54" s="464"/>
      <c r="DS54" s="508"/>
      <c r="DT54" s="525"/>
      <c r="DU54" s="525"/>
      <c r="DV54" s="463"/>
      <c r="DW54" s="464"/>
      <c r="DX54" s="465"/>
      <c r="DY54" s="463"/>
      <c r="DZ54" s="464"/>
      <c r="EA54" s="465"/>
      <c r="EB54" s="463"/>
      <c r="EC54" s="465"/>
      <c r="ED54" s="462"/>
      <c r="EE54" s="502"/>
      <c r="EF54" s="463"/>
      <c r="EG54" s="461"/>
      <c r="EH54" s="464"/>
      <c r="EI54" s="464"/>
      <c r="EJ54" s="464"/>
      <c r="EK54" s="464"/>
      <c r="EL54" s="464"/>
      <c r="EM54" s="464"/>
      <c r="EN54" s="464"/>
      <c r="EO54" s="464"/>
      <c r="EP54" s="464"/>
      <c r="EQ54" s="464"/>
      <c r="ER54" s="464"/>
      <c r="ES54" s="464"/>
      <c r="ET54" s="464"/>
      <c r="EU54" s="464"/>
      <c r="EV54" s="464"/>
      <c r="EW54" s="465"/>
      <c r="EX54" s="465"/>
      <c r="EY54" s="502"/>
      <c r="EZ54" s="460"/>
      <c r="FA54" s="464"/>
      <c r="FB54" s="464"/>
      <c r="FC54" s="464"/>
      <c r="FD54" s="464"/>
      <c r="FE54" s="464"/>
      <c r="FF54" s="464"/>
      <c r="FG54" s="466"/>
    </row>
    <row r="55" spans="1:163">
      <c r="A55" s="467" t="s">
        <v>242</v>
      </c>
      <c r="B55" s="471" t="str">
        <f>IF(ISNUMBER(MATCH(A55, 'Pulldown Data'!W:W, 0))=TRUE, "Y", IF(ISNUMBER(MATCH(A55, 'Pulldown Data'!X:X, 0))=TRUE, "M", ""))</f>
        <v/>
      </c>
      <c r="C55" s="504"/>
      <c r="D55" s="502"/>
      <c r="E55" s="443" t="str">
        <f t="shared" si="50"/>
        <v/>
      </c>
      <c r="F55" s="444" t="str">
        <f t="shared" si="50"/>
        <v/>
      </c>
      <c r="G55" s="444" t="str">
        <f t="shared" si="50"/>
        <v/>
      </c>
      <c r="H55" s="444" t="str">
        <f t="shared" si="50"/>
        <v/>
      </c>
      <c r="I55" s="444" t="str">
        <f t="shared" si="50"/>
        <v/>
      </c>
      <c r="J55" s="444" t="str">
        <f t="shared" si="50"/>
        <v/>
      </c>
      <c r="K55" s="444" t="str">
        <f t="shared" si="50"/>
        <v/>
      </c>
      <c r="L55" s="444" t="str">
        <f t="shared" si="50"/>
        <v/>
      </c>
      <c r="M55" s="444" t="str">
        <f t="shared" si="50"/>
        <v/>
      </c>
      <c r="N55" s="444" t="str">
        <f t="shared" si="50"/>
        <v/>
      </c>
      <c r="O55" s="444" t="str">
        <f t="shared" si="51"/>
        <v/>
      </c>
      <c r="P55" s="444" t="str">
        <f t="shared" si="51"/>
        <v/>
      </c>
      <c r="Q55" s="444" t="str">
        <f t="shared" si="51"/>
        <v/>
      </c>
      <c r="R55" s="444" t="str">
        <f t="shared" si="51"/>
        <v/>
      </c>
      <c r="S55" s="444" t="str">
        <f t="shared" si="51"/>
        <v/>
      </c>
      <c r="T55" s="444" t="str">
        <f t="shared" si="51"/>
        <v/>
      </c>
      <c r="U55" s="444" t="str">
        <f t="shared" si="51"/>
        <v/>
      </c>
      <c r="V55" s="444" t="str">
        <f t="shared" si="51"/>
        <v/>
      </c>
      <c r="W55" s="444" t="str">
        <f t="shared" si="51"/>
        <v/>
      </c>
      <c r="X55" s="444" t="str">
        <f t="shared" si="51"/>
        <v/>
      </c>
      <c r="Y55" s="444" t="str">
        <f t="shared" si="52"/>
        <v/>
      </c>
      <c r="Z55" s="444" t="str">
        <f t="shared" si="52"/>
        <v/>
      </c>
      <c r="AA55" s="444" t="str">
        <f t="shared" si="52"/>
        <v/>
      </c>
      <c r="AB55" s="444" t="str">
        <f t="shared" si="52"/>
        <v/>
      </c>
      <c r="AC55" s="444" t="str">
        <f t="shared" si="52"/>
        <v/>
      </c>
      <c r="AD55" s="444" t="str">
        <f t="shared" si="52"/>
        <v/>
      </c>
      <c r="AE55" s="444" t="str">
        <f t="shared" si="52"/>
        <v/>
      </c>
      <c r="AF55" s="444" t="str">
        <f t="shared" si="52"/>
        <v/>
      </c>
      <c r="AG55" s="444" t="str">
        <f t="shared" si="52"/>
        <v/>
      </c>
      <c r="AH55" s="444" t="str">
        <f t="shared" si="52"/>
        <v/>
      </c>
      <c r="AI55" s="444" t="str">
        <f t="shared" si="53"/>
        <v/>
      </c>
      <c r="AJ55" s="444" t="str">
        <f t="shared" si="53"/>
        <v/>
      </c>
      <c r="AK55" s="444" t="str">
        <f t="shared" si="53"/>
        <v/>
      </c>
      <c r="AL55" s="444" t="str">
        <f t="shared" si="53"/>
        <v/>
      </c>
      <c r="AM55" s="444" t="str">
        <f t="shared" si="53"/>
        <v/>
      </c>
      <c r="AN55" s="444" t="str">
        <f t="shared" si="53"/>
        <v/>
      </c>
      <c r="AO55" s="444" t="str">
        <f t="shared" si="53"/>
        <v/>
      </c>
      <c r="AP55" s="444" t="str">
        <f t="shared" si="53"/>
        <v/>
      </c>
      <c r="AQ55" s="444" t="str">
        <f t="shared" si="53"/>
        <v/>
      </c>
      <c r="AR55" s="444" t="str">
        <f t="shared" si="53"/>
        <v/>
      </c>
      <c r="AS55" s="444" t="str">
        <f t="shared" si="54"/>
        <v/>
      </c>
      <c r="AT55" s="444" t="str">
        <f t="shared" si="54"/>
        <v/>
      </c>
      <c r="AU55" s="444" t="str">
        <f t="shared" si="54"/>
        <v/>
      </c>
      <c r="AV55" s="444" t="str">
        <f t="shared" si="54"/>
        <v/>
      </c>
      <c r="AW55" s="444" t="str">
        <f t="shared" si="54"/>
        <v/>
      </c>
      <c r="AX55" s="444" t="str">
        <f t="shared" si="54"/>
        <v/>
      </c>
      <c r="AY55" s="444" t="str">
        <f t="shared" si="54"/>
        <v/>
      </c>
      <c r="AZ55" s="444" t="str">
        <f t="shared" si="54"/>
        <v/>
      </c>
      <c r="BA55" s="444" t="str">
        <f t="shared" si="54"/>
        <v/>
      </c>
      <c r="BB55" s="444" t="str">
        <f t="shared" si="54"/>
        <v/>
      </c>
      <c r="BC55" s="444" t="str">
        <f t="shared" si="55"/>
        <v/>
      </c>
      <c r="BD55" s="444" t="str">
        <f t="shared" si="55"/>
        <v/>
      </c>
      <c r="BE55" s="444" t="str">
        <f t="shared" si="55"/>
        <v/>
      </c>
      <c r="BF55" s="444" t="str">
        <f t="shared" si="55"/>
        <v/>
      </c>
      <c r="BG55" s="444" t="str">
        <f t="shared" si="55"/>
        <v/>
      </c>
      <c r="BH55" s="445" t="str">
        <f t="shared" si="55"/>
        <v/>
      </c>
      <c r="BI55" s="502"/>
      <c r="BJ55" s="474" t="str">
        <f t="shared" si="56"/>
        <v/>
      </c>
      <c r="BK55" s="475" t="str">
        <f t="shared" si="56"/>
        <v/>
      </c>
      <c r="BL55" s="475" t="str">
        <f t="shared" si="56"/>
        <v/>
      </c>
      <c r="BM55" s="475" t="str">
        <f t="shared" si="56"/>
        <v/>
      </c>
      <c r="BN55" s="475" t="str">
        <f t="shared" si="56"/>
        <v/>
      </c>
      <c r="BO55" s="475" t="str">
        <f t="shared" si="56"/>
        <v/>
      </c>
      <c r="BP55" s="475" t="str">
        <f t="shared" si="56"/>
        <v/>
      </c>
      <c r="BQ55" s="475" t="str">
        <f t="shared" si="56"/>
        <v/>
      </c>
      <c r="BR55" s="475" t="str">
        <f t="shared" si="56"/>
        <v/>
      </c>
      <c r="BS55" s="475" t="str">
        <f t="shared" si="56"/>
        <v/>
      </c>
      <c r="BT55" s="475" t="str">
        <f t="shared" si="57"/>
        <v/>
      </c>
      <c r="BU55" s="475" t="str">
        <f t="shared" si="57"/>
        <v/>
      </c>
      <c r="BV55" s="475" t="str">
        <f t="shared" si="57"/>
        <v/>
      </c>
      <c r="BW55" s="475" t="str">
        <f t="shared" si="57"/>
        <v/>
      </c>
      <c r="BX55" s="475" t="str">
        <f t="shared" si="57"/>
        <v/>
      </c>
      <c r="BY55" s="475" t="str">
        <f t="shared" si="57"/>
        <v/>
      </c>
      <c r="BZ55" s="475" t="str">
        <f t="shared" si="57"/>
        <v/>
      </c>
      <c r="CA55" s="475" t="str">
        <f t="shared" si="57"/>
        <v/>
      </c>
      <c r="CB55" s="475" t="str">
        <f t="shared" si="57"/>
        <v/>
      </c>
      <c r="CC55" s="475" t="str">
        <f t="shared" si="57"/>
        <v/>
      </c>
      <c r="CD55" s="475" t="str">
        <f t="shared" si="58"/>
        <v/>
      </c>
      <c r="CE55" s="475" t="str">
        <f t="shared" si="58"/>
        <v/>
      </c>
      <c r="CF55" s="475" t="str">
        <f t="shared" si="58"/>
        <v/>
      </c>
      <c r="CG55" s="475" t="str">
        <f t="shared" si="58"/>
        <v/>
      </c>
      <c r="CH55" s="475" t="str">
        <f t="shared" si="58"/>
        <v/>
      </c>
      <c r="CI55" s="475" t="str">
        <f t="shared" si="58"/>
        <v/>
      </c>
      <c r="CJ55" s="475" t="str">
        <f t="shared" si="58"/>
        <v/>
      </c>
      <c r="CK55" s="475" t="str">
        <f t="shared" si="58"/>
        <v/>
      </c>
      <c r="CL55" s="475" t="str">
        <f t="shared" si="58"/>
        <v/>
      </c>
      <c r="CM55" s="475" t="str">
        <f t="shared" si="58"/>
        <v/>
      </c>
      <c r="CN55" s="475" t="str">
        <f t="shared" si="59"/>
        <v/>
      </c>
      <c r="CO55" s="475" t="str">
        <f t="shared" si="59"/>
        <v/>
      </c>
      <c r="CP55" s="475" t="str">
        <f t="shared" si="59"/>
        <v/>
      </c>
      <c r="CQ55" s="475" t="str">
        <f t="shared" si="59"/>
        <v/>
      </c>
      <c r="CR55" s="475" t="str">
        <f t="shared" si="59"/>
        <v/>
      </c>
      <c r="CS55" s="475" t="str">
        <f t="shared" si="59"/>
        <v/>
      </c>
      <c r="CT55" s="475" t="str">
        <f t="shared" si="59"/>
        <v/>
      </c>
      <c r="CU55" s="475" t="str">
        <f t="shared" si="59"/>
        <v/>
      </c>
      <c r="CV55" s="475" t="str">
        <f t="shared" si="59"/>
        <v/>
      </c>
      <c r="CW55" s="475" t="str">
        <f t="shared" si="59"/>
        <v/>
      </c>
      <c r="CX55" s="475" t="str">
        <f t="shared" si="59"/>
        <v/>
      </c>
      <c r="CY55" s="475" t="str">
        <f t="shared" si="59"/>
        <v/>
      </c>
      <c r="CZ55" s="495" t="str">
        <f t="shared" si="59"/>
        <v/>
      </c>
      <c r="DA55" s="502"/>
      <c r="DB55" s="460"/>
      <c r="DC55" s="465"/>
      <c r="DD55" s="463"/>
      <c r="DE55" s="512"/>
      <c r="DF55" s="516"/>
      <c r="DG55" s="508"/>
      <c r="DH55" s="463"/>
      <c r="DI55" s="461"/>
      <c r="DJ55" s="461"/>
      <c r="DK55" s="461"/>
      <c r="DL55" s="464"/>
      <c r="DM55" s="466"/>
      <c r="DN55" s="502"/>
      <c r="DO55" s="460"/>
      <c r="DP55" s="464"/>
      <c r="DQ55" s="464"/>
      <c r="DR55" s="464"/>
      <c r="DS55" s="508"/>
      <c r="DT55" s="525"/>
      <c r="DU55" s="525"/>
      <c r="DV55" s="463"/>
      <c r="DW55" s="464"/>
      <c r="DX55" s="465"/>
      <c r="DY55" s="463"/>
      <c r="DZ55" s="464"/>
      <c r="EA55" s="465"/>
      <c r="EB55" s="463"/>
      <c r="EC55" s="465"/>
      <c r="ED55" s="462"/>
      <c r="EE55" s="502"/>
      <c r="EF55" s="463"/>
      <c r="EG55" s="461"/>
      <c r="EH55" s="464"/>
      <c r="EI55" s="464"/>
      <c r="EJ55" s="464"/>
      <c r="EK55" s="464"/>
      <c r="EL55" s="464"/>
      <c r="EM55" s="464"/>
      <c r="EN55" s="464"/>
      <c r="EO55" s="464"/>
      <c r="EP55" s="464"/>
      <c r="EQ55" s="464"/>
      <c r="ER55" s="464"/>
      <c r="ES55" s="464"/>
      <c r="ET55" s="464"/>
      <c r="EU55" s="464"/>
      <c r="EV55" s="464"/>
      <c r="EW55" s="465"/>
      <c r="EX55" s="465"/>
      <c r="EY55" s="502"/>
      <c r="EZ55" s="460"/>
      <c r="FA55" s="464"/>
      <c r="FB55" s="464"/>
      <c r="FC55" s="464"/>
      <c r="FD55" s="464"/>
      <c r="FE55" s="464"/>
      <c r="FF55" s="464"/>
      <c r="FG55" s="466"/>
    </row>
    <row r="56" spans="1:163">
      <c r="A56" s="467" t="s">
        <v>243</v>
      </c>
      <c r="B56" s="471" t="str">
        <f>IF(ISNUMBER(MATCH(A56, 'Pulldown Data'!W:W, 0))=TRUE, "Y", IF(ISNUMBER(MATCH(A56, 'Pulldown Data'!X:X, 0))=TRUE, "M", ""))</f>
        <v/>
      </c>
      <c r="C56" s="504"/>
      <c r="D56" s="502"/>
      <c r="E56" s="443" t="str">
        <f t="shared" si="50"/>
        <v/>
      </c>
      <c r="F56" s="444" t="str">
        <f t="shared" si="50"/>
        <v/>
      </c>
      <c r="G56" s="444" t="str">
        <f t="shared" si="50"/>
        <v/>
      </c>
      <c r="H56" s="444" t="str">
        <f t="shared" si="50"/>
        <v/>
      </c>
      <c r="I56" s="444" t="str">
        <f t="shared" si="50"/>
        <v/>
      </c>
      <c r="J56" s="444" t="str">
        <f t="shared" si="50"/>
        <v/>
      </c>
      <c r="K56" s="444" t="str">
        <f t="shared" si="50"/>
        <v/>
      </c>
      <c r="L56" s="444" t="str">
        <f t="shared" si="50"/>
        <v/>
      </c>
      <c r="M56" s="444" t="str">
        <f t="shared" si="50"/>
        <v/>
      </c>
      <c r="N56" s="444" t="str">
        <f t="shared" si="50"/>
        <v/>
      </c>
      <c r="O56" s="444" t="str">
        <f t="shared" si="51"/>
        <v/>
      </c>
      <c r="P56" s="444" t="str">
        <f t="shared" si="51"/>
        <v/>
      </c>
      <c r="Q56" s="444" t="str">
        <f t="shared" si="51"/>
        <v/>
      </c>
      <c r="R56" s="444" t="str">
        <f t="shared" si="51"/>
        <v/>
      </c>
      <c r="S56" s="444" t="str">
        <f t="shared" si="51"/>
        <v/>
      </c>
      <c r="T56" s="444" t="str">
        <f t="shared" si="51"/>
        <v/>
      </c>
      <c r="U56" s="444" t="str">
        <f t="shared" si="51"/>
        <v/>
      </c>
      <c r="V56" s="444" t="str">
        <f t="shared" si="51"/>
        <v/>
      </c>
      <c r="W56" s="444" t="str">
        <f t="shared" si="51"/>
        <v/>
      </c>
      <c r="X56" s="444" t="str">
        <f t="shared" si="51"/>
        <v/>
      </c>
      <c r="Y56" s="444" t="str">
        <f t="shared" si="52"/>
        <v/>
      </c>
      <c r="Z56" s="444" t="str">
        <f t="shared" si="52"/>
        <v/>
      </c>
      <c r="AA56" s="444" t="str">
        <f t="shared" si="52"/>
        <v/>
      </c>
      <c r="AB56" s="444" t="str">
        <f t="shared" si="52"/>
        <v/>
      </c>
      <c r="AC56" s="444" t="str">
        <f t="shared" si="52"/>
        <v/>
      </c>
      <c r="AD56" s="444" t="str">
        <f t="shared" si="52"/>
        <v/>
      </c>
      <c r="AE56" s="444" t="str">
        <f t="shared" si="52"/>
        <v/>
      </c>
      <c r="AF56" s="444" t="str">
        <f t="shared" si="52"/>
        <v/>
      </c>
      <c r="AG56" s="444" t="str">
        <f t="shared" si="52"/>
        <v/>
      </c>
      <c r="AH56" s="444" t="str">
        <f t="shared" si="52"/>
        <v/>
      </c>
      <c r="AI56" s="444" t="str">
        <f t="shared" si="53"/>
        <v/>
      </c>
      <c r="AJ56" s="444" t="str">
        <f t="shared" si="53"/>
        <v/>
      </c>
      <c r="AK56" s="444" t="str">
        <f t="shared" si="53"/>
        <v/>
      </c>
      <c r="AL56" s="444" t="str">
        <f t="shared" si="53"/>
        <v/>
      </c>
      <c r="AM56" s="444" t="str">
        <f t="shared" si="53"/>
        <v/>
      </c>
      <c r="AN56" s="444" t="str">
        <f t="shared" si="53"/>
        <v/>
      </c>
      <c r="AO56" s="444" t="str">
        <f t="shared" si="53"/>
        <v/>
      </c>
      <c r="AP56" s="444" t="str">
        <f t="shared" si="53"/>
        <v/>
      </c>
      <c r="AQ56" s="444" t="str">
        <f t="shared" si="53"/>
        <v/>
      </c>
      <c r="AR56" s="444" t="str">
        <f t="shared" si="53"/>
        <v/>
      </c>
      <c r="AS56" s="444" t="str">
        <f t="shared" si="54"/>
        <v/>
      </c>
      <c r="AT56" s="444" t="str">
        <f t="shared" si="54"/>
        <v/>
      </c>
      <c r="AU56" s="444" t="str">
        <f t="shared" si="54"/>
        <v/>
      </c>
      <c r="AV56" s="444" t="str">
        <f t="shared" si="54"/>
        <v/>
      </c>
      <c r="AW56" s="444" t="str">
        <f t="shared" si="54"/>
        <v/>
      </c>
      <c r="AX56" s="444" t="str">
        <f t="shared" si="54"/>
        <v/>
      </c>
      <c r="AY56" s="444" t="str">
        <f t="shared" si="54"/>
        <v/>
      </c>
      <c r="AZ56" s="444" t="str">
        <f t="shared" si="54"/>
        <v/>
      </c>
      <c r="BA56" s="444" t="str">
        <f t="shared" si="54"/>
        <v/>
      </c>
      <c r="BB56" s="444" t="str">
        <f t="shared" si="54"/>
        <v/>
      </c>
      <c r="BC56" s="444" t="str">
        <f t="shared" si="55"/>
        <v/>
      </c>
      <c r="BD56" s="444" t="str">
        <f t="shared" si="55"/>
        <v/>
      </c>
      <c r="BE56" s="444" t="str">
        <f t="shared" si="55"/>
        <v/>
      </c>
      <c r="BF56" s="444" t="str">
        <f t="shared" si="55"/>
        <v/>
      </c>
      <c r="BG56" s="444" t="str">
        <f t="shared" si="55"/>
        <v/>
      </c>
      <c r="BH56" s="445" t="str">
        <f t="shared" si="55"/>
        <v/>
      </c>
      <c r="BI56" s="502"/>
      <c r="BJ56" s="474" t="str">
        <f t="shared" si="56"/>
        <v/>
      </c>
      <c r="BK56" s="475" t="str">
        <f t="shared" si="56"/>
        <v/>
      </c>
      <c r="BL56" s="475" t="str">
        <f t="shared" si="56"/>
        <v/>
      </c>
      <c r="BM56" s="475" t="str">
        <f t="shared" si="56"/>
        <v/>
      </c>
      <c r="BN56" s="475" t="str">
        <f t="shared" si="56"/>
        <v/>
      </c>
      <c r="BO56" s="475" t="str">
        <f t="shared" si="56"/>
        <v/>
      </c>
      <c r="BP56" s="475" t="str">
        <f t="shared" si="56"/>
        <v/>
      </c>
      <c r="BQ56" s="475" t="str">
        <f t="shared" si="56"/>
        <v/>
      </c>
      <c r="BR56" s="475" t="str">
        <f t="shared" si="56"/>
        <v/>
      </c>
      <c r="BS56" s="475" t="str">
        <f t="shared" si="56"/>
        <v/>
      </c>
      <c r="BT56" s="475" t="str">
        <f t="shared" si="57"/>
        <v/>
      </c>
      <c r="BU56" s="475" t="str">
        <f t="shared" si="57"/>
        <v/>
      </c>
      <c r="BV56" s="475" t="str">
        <f t="shared" si="57"/>
        <v/>
      </c>
      <c r="BW56" s="475" t="str">
        <f t="shared" si="57"/>
        <v/>
      </c>
      <c r="BX56" s="475" t="str">
        <f t="shared" si="57"/>
        <v/>
      </c>
      <c r="BY56" s="475" t="str">
        <f t="shared" si="57"/>
        <v/>
      </c>
      <c r="BZ56" s="475" t="str">
        <f t="shared" si="57"/>
        <v/>
      </c>
      <c r="CA56" s="475" t="str">
        <f t="shared" si="57"/>
        <v/>
      </c>
      <c r="CB56" s="475" t="str">
        <f t="shared" si="57"/>
        <v/>
      </c>
      <c r="CC56" s="475" t="str">
        <f t="shared" si="57"/>
        <v/>
      </c>
      <c r="CD56" s="475" t="str">
        <f t="shared" si="58"/>
        <v/>
      </c>
      <c r="CE56" s="475" t="str">
        <f t="shared" si="58"/>
        <v/>
      </c>
      <c r="CF56" s="475" t="str">
        <f t="shared" si="58"/>
        <v/>
      </c>
      <c r="CG56" s="475" t="str">
        <f t="shared" si="58"/>
        <v/>
      </c>
      <c r="CH56" s="475" t="str">
        <f t="shared" si="58"/>
        <v/>
      </c>
      <c r="CI56" s="475" t="str">
        <f t="shared" si="58"/>
        <v/>
      </c>
      <c r="CJ56" s="475" t="str">
        <f t="shared" si="58"/>
        <v/>
      </c>
      <c r="CK56" s="475" t="str">
        <f t="shared" si="58"/>
        <v/>
      </c>
      <c r="CL56" s="475" t="str">
        <f t="shared" si="58"/>
        <v/>
      </c>
      <c r="CM56" s="475" t="str">
        <f t="shared" si="58"/>
        <v/>
      </c>
      <c r="CN56" s="475" t="str">
        <f t="shared" si="59"/>
        <v/>
      </c>
      <c r="CO56" s="475" t="str">
        <f t="shared" si="59"/>
        <v/>
      </c>
      <c r="CP56" s="475" t="str">
        <f t="shared" si="59"/>
        <v/>
      </c>
      <c r="CQ56" s="475" t="str">
        <f t="shared" si="59"/>
        <v/>
      </c>
      <c r="CR56" s="475" t="str">
        <f t="shared" si="59"/>
        <v/>
      </c>
      <c r="CS56" s="475" t="str">
        <f t="shared" si="59"/>
        <v/>
      </c>
      <c r="CT56" s="475" t="str">
        <f t="shared" si="59"/>
        <v/>
      </c>
      <c r="CU56" s="475" t="str">
        <f t="shared" si="59"/>
        <v/>
      </c>
      <c r="CV56" s="475" t="str">
        <f t="shared" si="59"/>
        <v/>
      </c>
      <c r="CW56" s="475" t="str">
        <f t="shared" si="59"/>
        <v/>
      </c>
      <c r="CX56" s="475" t="str">
        <f t="shared" si="59"/>
        <v/>
      </c>
      <c r="CY56" s="475" t="str">
        <f t="shared" si="59"/>
        <v/>
      </c>
      <c r="CZ56" s="495" t="str">
        <f t="shared" si="59"/>
        <v/>
      </c>
      <c r="DA56" s="502"/>
      <c r="DB56" s="460"/>
      <c r="DC56" s="465"/>
      <c r="DD56" s="463"/>
      <c r="DE56" s="512"/>
      <c r="DF56" s="516"/>
      <c r="DG56" s="508"/>
      <c r="DH56" s="463"/>
      <c r="DI56" s="461"/>
      <c r="DJ56" s="461"/>
      <c r="DK56" s="461"/>
      <c r="DL56" s="464"/>
      <c r="DM56" s="466"/>
      <c r="DN56" s="502"/>
      <c r="DO56" s="460"/>
      <c r="DP56" s="464"/>
      <c r="DQ56" s="464"/>
      <c r="DR56" s="464"/>
      <c r="DS56" s="508"/>
      <c r="DT56" s="525"/>
      <c r="DU56" s="525"/>
      <c r="DV56" s="463"/>
      <c r="DW56" s="464"/>
      <c r="DX56" s="465"/>
      <c r="DY56" s="463"/>
      <c r="DZ56" s="464"/>
      <c r="EA56" s="465"/>
      <c r="EB56" s="463"/>
      <c r="EC56" s="465"/>
      <c r="ED56" s="462"/>
      <c r="EE56" s="502"/>
      <c r="EF56" s="463"/>
      <c r="EG56" s="461"/>
      <c r="EH56" s="464"/>
      <c r="EI56" s="464"/>
      <c r="EJ56" s="464"/>
      <c r="EK56" s="464"/>
      <c r="EL56" s="464"/>
      <c r="EM56" s="464"/>
      <c r="EN56" s="464"/>
      <c r="EO56" s="464"/>
      <c r="EP56" s="464"/>
      <c r="EQ56" s="464"/>
      <c r="ER56" s="464"/>
      <c r="ES56" s="464"/>
      <c r="ET56" s="464"/>
      <c r="EU56" s="464"/>
      <c r="EV56" s="464"/>
      <c r="EW56" s="465"/>
      <c r="EX56" s="465"/>
      <c r="EY56" s="502"/>
      <c r="EZ56" s="460"/>
      <c r="FA56" s="464"/>
      <c r="FB56" s="464"/>
      <c r="FC56" s="464"/>
      <c r="FD56" s="464"/>
      <c r="FE56" s="464"/>
      <c r="FF56" s="464"/>
      <c r="FG56" s="466"/>
    </row>
    <row r="57" spans="1:163">
      <c r="A57" s="467" t="s">
        <v>244</v>
      </c>
      <c r="B57" s="471" t="str">
        <f>IF(ISNUMBER(MATCH(A57, 'Pulldown Data'!W:W, 0))=TRUE, "Y", IF(ISNUMBER(MATCH(A57, 'Pulldown Data'!X:X, 0))=TRUE, "M", ""))</f>
        <v/>
      </c>
      <c r="C57" s="504"/>
      <c r="D57" s="502"/>
      <c r="E57" s="443" t="str">
        <f t="shared" si="50"/>
        <v/>
      </c>
      <c r="F57" s="444" t="str">
        <f t="shared" si="50"/>
        <v/>
      </c>
      <c r="G57" s="444" t="str">
        <f t="shared" si="50"/>
        <v/>
      </c>
      <c r="H57" s="444" t="str">
        <f t="shared" si="50"/>
        <v/>
      </c>
      <c r="I57" s="444" t="str">
        <f t="shared" si="50"/>
        <v/>
      </c>
      <c r="J57" s="444" t="str">
        <f t="shared" si="50"/>
        <v/>
      </c>
      <c r="K57" s="444" t="str">
        <f t="shared" si="50"/>
        <v/>
      </c>
      <c r="L57" s="444" t="str">
        <f t="shared" si="50"/>
        <v/>
      </c>
      <c r="M57" s="444" t="str">
        <f t="shared" si="50"/>
        <v/>
      </c>
      <c r="N57" s="444" t="str">
        <f t="shared" si="50"/>
        <v/>
      </c>
      <c r="O57" s="444" t="str">
        <f t="shared" si="51"/>
        <v/>
      </c>
      <c r="P57" s="444" t="str">
        <f t="shared" si="51"/>
        <v/>
      </c>
      <c r="Q57" s="444" t="str">
        <f t="shared" si="51"/>
        <v/>
      </c>
      <c r="R57" s="444" t="str">
        <f t="shared" si="51"/>
        <v/>
      </c>
      <c r="S57" s="444" t="str">
        <f t="shared" si="51"/>
        <v/>
      </c>
      <c r="T57" s="444" t="str">
        <f t="shared" si="51"/>
        <v/>
      </c>
      <c r="U57" s="444" t="str">
        <f t="shared" si="51"/>
        <v/>
      </c>
      <c r="V57" s="444" t="str">
        <f t="shared" si="51"/>
        <v/>
      </c>
      <c r="W57" s="444" t="str">
        <f t="shared" si="51"/>
        <v/>
      </c>
      <c r="X57" s="444" t="str">
        <f t="shared" si="51"/>
        <v/>
      </c>
      <c r="Y57" s="444" t="str">
        <f t="shared" si="52"/>
        <v/>
      </c>
      <c r="Z57" s="444" t="str">
        <f t="shared" si="52"/>
        <v/>
      </c>
      <c r="AA57" s="444" t="str">
        <f t="shared" si="52"/>
        <v/>
      </c>
      <c r="AB57" s="444" t="str">
        <f t="shared" si="52"/>
        <v/>
      </c>
      <c r="AC57" s="444" t="str">
        <f t="shared" si="52"/>
        <v/>
      </c>
      <c r="AD57" s="444" t="str">
        <f t="shared" si="52"/>
        <v/>
      </c>
      <c r="AE57" s="444" t="str">
        <f t="shared" si="52"/>
        <v/>
      </c>
      <c r="AF57" s="444" t="str">
        <f t="shared" si="52"/>
        <v/>
      </c>
      <c r="AG57" s="444" t="str">
        <f t="shared" si="52"/>
        <v/>
      </c>
      <c r="AH57" s="444" t="str">
        <f t="shared" si="52"/>
        <v/>
      </c>
      <c r="AI57" s="444" t="str">
        <f t="shared" si="53"/>
        <v/>
      </c>
      <c r="AJ57" s="444" t="str">
        <f t="shared" si="53"/>
        <v/>
      </c>
      <c r="AK57" s="444" t="str">
        <f t="shared" si="53"/>
        <v/>
      </c>
      <c r="AL57" s="444" t="str">
        <f t="shared" si="53"/>
        <v/>
      </c>
      <c r="AM57" s="444" t="str">
        <f t="shared" si="53"/>
        <v/>
      </c>
      <c r="AN57" s="444" t="str">
        <f t="shared" si="53"/>
        <v/>
      </c>
      <c r="AO57" s="444" t="str">
        <f t="shared" si="53"/>
        <v/>
      </c>
      <c r="AP57" s="444" t="str">
        <f t="shared" si="53"/>
        <v/>
      </c>
      <c r="AQ57" s="444" t="str">
        <f t="shared" si="53"/>
        <v/>
      </c>
      <c r="AR57" s="444" t="str">
        <f t="shared" si="53"/>
        <v/>
      </c>
      <c r="AS57" s="444" t="str">
        <f t="shared" si="54"/>
        <v/>
      </c>
      <c r="AT57" s="444" t="str">
        <f t="shared" si="54"/>
        <v/>
      </c>
      <c r="AU57" s="444" t="str">
        <f t="shared" si="54"/>
        <v/>
      </c>
      <c r="AV57" s="444" t="str">
        <f t="shared" si="54"/>
        <v/>
      </c>
      <c r="AW57" s="444" t="str">
        <f t="shared" si="54"/>
        <v/>
      </c>
      <c r="AX57" s="444" t="str">
        <f t="shared" si="54"/>
        <v/>
      </c>
      <c r="AY57" s="444" t="str">
        <f t="shared" si="54"/>
        <v/>
      </c>
      <c r="AZ57" s="444" t="str">
        <f t="shared" si="54"/>
        <v/>
      </c>
      <c r="BA57" s="444" t="str">
        <f t="shared" si="54"/>
        <v/>
      </c>
      <c r="BB57" s="444" t="str">
        <f t="shared" si="54"/>
        <v/>
      </c>
      <c r="BC57" s="444" t="str">
        <f t="shared" si="55"/>
        <v/>
      </c>
      <c r="BD57" s="444" t="str">
        <f t="shared" si="55"/>
        <v/>
      </c>
      <c r="BE57" s="444" t="str">
        <f t="shared" si="55"/>
        <v/>
      </c>
      <c r="BF57" s="444" t="str">
        <f t="shared" si="55"/>
        <v/>
      </c>
      <c r="BG57" s="444" t="str">
        <f t="shared" si="55"/>
        <v/>
      </c>
      <c r="BH57" s="445" t="str">
        <f t="shared" si="55"/>
        <v/>
      </c>
      <c r="BI57" s="502"/>
      <c r="BJ57" s="474" t="str">
        <f t="shared" si="56"/>
        <v/>
      </c>
      <c r="BK57" s="475" t="str">
        <f t="shared" si="56"/>
        <v/>
      </c>
      <c r="BL57" s="475" t="str">
        <f t="shared" si="56"/>
        <v/>
      </c>
      <c r="BM57" s="475" t="str">
        <f t="shared" si="56"/>
        <v/>
      </c>
      <c r="BN57" s="475" t="str">
        <f t="shared" si="56"/>
        <v/>
      </c>
      <c r="BO57" s="475" t="str">
        <f t="shared" si="56"/>
        <v/>
      </c>
      <c r="BP57" s="475" t="str">
        <f t="shared" si="56"/>
        <v/>
      </c>
      <c r="BQ57" s="475" t="str">
        <f t="shared" si="56"/>
        <v/>
      </c>
      <c r="BR57" s="475" t="str">
        <f t="shared" si="56"/>
        <v/>
      </c>
      <c r="BS57" s="475" t="str">
        <f t="shared" si="56"/>
        <v/>
      </c>
      <c r="BT57" s="475" t="str">
        <f t="shared" si="57"/>
        <v/>
      </c>
      <c r="BU57" s="475" t="str">
        <f t="shared" si="57"/>
        <v/>
      </c>
      <c r="BV57" s="475" t="str">
        <f t="shared" si="57"/>
        <v/>
      </c>
      <c r="BW57" s="475" t="str">
        <f t="shared" si="57"/>
        <v/>
      </c>
      <c r="BX57" s="475" t="str">
        <f t="shared" si="57"/>
        <v/>
      </c>
      <c r="BY57" s="475" t="str">
        <f t="shared" si="57"/>
        <v/>
      </c>
      <c r="BZ57" s="475" t="str">
        <f t="shared" si="57"/>
        <v/>
      </c>
      <c r="CA57" s="475" t="str">
        <f t="shared" si="57"/>
        <v/>
      </c>
      <c r="CB57" s="475" t="str">
        <f t="shared" si="57"/>
        <v/>
      </c>
      <c r="CC57" s="475" t="str">
        <f t="shared" si="57"/>
        <v/>
      </c>
      <c r="CD57" s="475" t="str">
        <f t="shared" si="58"/>
        <v/>
      </c>
      <c r="CE57" s="475" t="str">
        <f t="shared" si="58"/>
        <v/>
      </c>
      <c r="CF57" s="475" t="str">
        <f t="shared" si="58"/>
        <v/>
      </c>
      <c r="CG57" s="475" t="str">
        <f t="shared" si="58"/>
        <v/>
      </c>
      <c r="CH57" s="475" t="str">
        <f t="shared" si="58"/>
        <v/>
      </c>
      <c r="CI57" s="475" t="str">
        <f t="shared" si="58"/>
        <v/>
      </c>
      <c r="CJ57" s="475" t="str">
        <f t="shared" si="58"/>
        <v/>
      </c>
      <c r="CK57" s="475" t="str">
        <f t="shared" si="58"/>
        <v/>
      </c>
      <c r="CL57" s="475" t="str">
        <f t="shared" si="58"/>
        <v/>
      </c>
      <c r="CM57" s="475" t="str">
        <f t="shared" si="58"/>
        <v/>
      </c>
      <c r="CN57" s="475" t="str">
        <f t="shared" si="59"/>
        <v/>
      </c>
      <c r="CO57" s="475" t="str">
        <f t="shared" si="59"/>
        <v/>
      </c>
      <c r="CP57" s="475" t="str">
        <f t="shared" si="59"/>
        <v/>
      </c>
      <c r="CQ57" s="475" t="str">
        <f t="shared" si="59"/>
        <v/>
      </c>
      <c r="CR57" s="475" t="str">
        <f t="shared" si="59"/>
        <v/>
      </c>
      <c r="CS57" s="475" t="str">
        <f t="shared" si="59"/>
        <v/>
      </c>
      <c r="CT57" s="475" t="str">
        <f t="shared" si="59"/>
        <v/>
      </c>
      <c r="CU57" s="475" t="str">
        <f t="shared" si="59"/>
        <v/>
      </c>
      <c r="CV57" s="475" t="str">
        <f t="shared" si="59"/>
        <v/>
      </c>
      <c r="CW57" s="475" t="str">
        <f t="shared" si="59"/>
        <v/>
      </c>
      <c r="CX57" s="475" t="str">
        <f t="shared" si="59"/>
        <v/>
      </c>
      <c r="CY57" s="475" t="str">
        <f t="shared" si="59"/>
        <v/>
      </c>
      <c r="CZ57" s="495" t="str">
        <f t="shared" si="59"/>
        <v/>
      </c>
      <c r="DA57" s="502"/>
      <c r="DB57" s="460"/>
      <c r="DC57" s="465"/>
      <c r="DD57" s="463"/>
      <c r="DE57" s="512"/>
      <c r="DF57" s="516"/>
      <c r="DG57" s="508"/>
      <c r="DH57" s="463"/>
      <c r="DI57" s="461"/>
      <c r="DJ57" s="461"/>
      <c r="DK57" s="461"/>
      <c r="DL57" s="464"/>
      <c r="DM57" s="466"/>
      <c r="DN57" s="502"/>
      <c r="DO57" s="460"/>
      <c r="DP57" s="464"/>
      <c r="DQ57" s="464"/>
      <c r="DR57" s="464"/>
      <c r="DS57" s="508"/>
      <c r="DT57" s="525"/>
      <c r="DU57" s="525"/>
      <c r="DV57" s="463"/>
      <c r="DW57" s="464"/>
      <c r="DX57" s="465"/>
      <c r="DY57" s="463"/>
      <c r="DZ57" s="464"/>
      <c r="EA57" s="465"/>
      <c r="EB57" s="463"/>
      <c r="EC57" s="465"/>
      <c r="ED57" s="462"/>
      <c r="EE57" s="502"/>
      <c r="EF57" s="463"/>
      <c r="EG57" s="461"/>
      <c r="EH57" s="464"/>
      <c r="EI57" s="464"/>
      <c r="EJ57" s="464"/>
      <c r="EK57" s="464"/>
      <c r="EL57" s="464"/>
      <c r="EM57" s="464"/>
      <c r="EN57" s="464"/>
      <c r="EO57" s="464"/>
      <c r="EP57" s="464"/>
      <c r="EQ57" s="464"/>
      <c r="ER57" s="464"/>
      <c r="ES57" s="464"/>
      <c r="ET57" s="464"/>
      <c r="EU57" s="464"/>
      <c r="EV57" s="464"/>
      <c r="EW57" s="465"/>
      <c r="EX57" s="465"/>
      <c r="EY57" s="502"/>
      <c r="EZ57" s="460"/>
      <c r="FA57" s="464"/>
      <c r="FB57" s="464"/>
      <c r="FC57" s="464"/>
      <c r="FD57" s="464"/>
      <c r="FE57" s="464"/>
      <c r="FF57" s="464"/>
      <c r="FG57" s="466"/>
    </row>
    <row r="58" spans="1:163">
      <c r="A58" s="467" t="s">
        <v>245</v>
      </c>
      <c r="B58" s="471" t="str">
        <f>IF(ISNUMBER(MATCH(A58, 'Pulldown Data'!W:W, 0))=TRUE, "Y", IF(ISNUMBER(MATCH(A58, 'Pulldown Data'!X:X, 0))=TRUE, "M", ""))</f>
        <v/>
      </c>
      <c r="C58" s="504"/>
      <c r="D58" s="502"/>
      <c r="E58" s="443" t="str">
        <f t="shared" si="50"/>
        <v/>
      </c>
      <c r="F58" s="444" t="str">
        <f t="shared" si="50"/>
        <v/>
      </c>
      <c r="G58" s="444" t="str">
        <f t="shared" si="50"/>
        <v/>
      </c>
      <c r="H58" s="444" t="str">
        <f t="shared" si="50"/>
        <v/>
      </c>
      <c r="I58" s="444" t="str">
        <f t="shared" si="50"/>
        <v/>
      </c>
      <c r="J58" s="444" t="str">
        <f t="shared" si="50"/>
        <v/>
      </c>
      <c r="K58" s="444" t="str">
        <f t="shared" si="50"/>
        <v/>
      </c>
      <c r="L58" s="444" t="str">
        <f t="shared" si="50"/>
        <v/>
      </c>
      <c r="M58" s="444" t="str">
        <f t="shared" si="50"/>
        <v/>
      </c>
      <c r="N58" s="444" t="str">
        <f t="shared" si="50"/>
        <v/>
      </c>
      <c r="O58" s="444" t="str">
        <f t="shared" si="51"/>
        <v/>
      </c>
      <c r="P58" s="444" t="str">
        <f t="shared" si="51"/>
        <v/>
      </c>
      <c r="Q58" s="444" t="str">
        <f t="shared" si="51"/>
        <v/>
      </c>
      <c r="R58" s="444" t="str">
        <f t="shared" si="51"/>
        <v/>
      </c>
      <c r="S58" s="444" t="str">
        <f t="shared" si="51"/>
        <v/>
      </c>
      <c r="T58" s="444" t="str">
        <f t="shared" si="51"/>
        <v/>
      </c>
      <c r="U58" s="444" t="str">
        <f t="shared" si="51"/>
        <v/>
      </c>
      <c r="V58" s="444" t="str">
        <f t="shared" si="51"/>
        <v/>
      </c>
      <c r="W58" s="444" t="str">
        <f t="shared" si="51"/>
        <v/>
      </c>
      <c r="X58" s="444" t="str">
        <f t="shared" si="51"/>
        <v/>
      </c>
      <c r="Y58" s="444" t="str">
        <f t="shared" si="52"/>
        <v/>
      </c>
      <c r="Z58" s="444" t="str">
        <f t="shared" si="52"/>
        <v/>
      </c>
      <c r="AA58" s="444" t="str">
        <f t="shared" si="52"/>
        <v/>
      </c>
      <c r="AB58" s="444" t="str">
        <f t="shared" si="52"/>
        <v/>
      </c>
      <c r="AC58" s="444" t="str">
        <f t="shared" si="52"/>
        <v/>
      </c>
      <c r="AD58" s="444" t="str">
        <f t="shared" si="52"/>
        <v/>
      </c>
      <c r="AE58" s="444" t="str">
        <f t="shared" si="52"/>
        <v/>
      </c>
      <c r="AF58" s="444" t="str">
        <f t="shared" si="52"/>
        <v/>
      </c>
      <c r="AG58" s="444" t="str">
        <f t="shared" si="52"/>
        <v/>
      </c>
      <c r="AH58" s="444" t="str">
        <f t="shared" si="52"/>
        <v/>
      </c>
      <c r="AI58" s="444" t="str">
        <f t="shared" si="53"/>
        <v/>
      </c>
      <c r="AJ58" s="444" t="str">
        <f t="shared" si="53"/>
        <v/>
      </c>
      <c r="AK58" s="444" t="str">
        <f t="shared" si="53"/>
        <v/>
      </c>
      <c r="AL58" s="444" t="str">
        <f t="shared" si="53"/>
        <v/>
      </c>
      <c r="AM58" s="444" t="str">
        <f t="shared" si="53"/>
        <v/>
      </c>
      <c r="AN58" s="444" t="str">
        <f t="shared" si="53"/>
        <v/>
      </c>
      <c r="AO58" s="444" t="str">
        <f t="shared" si="53"/>
        <v/>
      </c>
      <c r="AP58" s="444" t="str">
        <f t="shared" si="53"/>
        <v/>
      </c>
      <c r="AQ58" s="444" t="str">
        <f t="shared" si="53"/>
        <v/>
      </c>
      <c r="AR58" s="444" t="str">
        <f t="shared" si="53"/>
        <v/>
      </c>
      <c r="AS58" s="444" t="str">
        <f t="shared" si="54"/>
        <v/>
      </c>
      <c r="AT58" s="444" t="str">
        <f t="shared" si="54"/>
        <v/>
      </c>
      <c r="AU58" s="444" t="str">
        <f t="shared" si="54"/>
        <v/>
      </c>
      <c r="AV58" s="444" t="str">
        <f t="shared" si="54"/>
        <v/>
      </c>
      <c r="AW58" s="444" t="str">
        <f t="shared" si="54"/>
        <v/>
      </c>
      <c r="AX58" s="444" t="str">
        <f t="shared" si="54"/>
        <v/>
      </c>
      <c r="AY58" s="444" t="str">
        <f t="shared" si="54"/>
        <v/>
      </c>
      <c r="AZ58" s="444" t="str">
        <f t="shared" si="54"/>
        <v/>
      </c>
      <c r="BA58" s="444" t="str">
        <f t="shared" si="54"/>
        <v/>
      </c>
      <c r="BB58" s="444" t="str">
        <f t="shared" si="54"/>
        <v/>
      </c>
      <c r="BC58" s="444" t="str">
        <f t="shared" si="55"/>
        <v/>
      </c>
      <c r="BD58" s="444" t="str">
        <f t="shared" si="55"/>
        <v/>
      </c>
      <c r="BE58" s="444" t="str">
        <f t="shared" si="55"/>
        <v/>
      </c>
      <c r="BF58" s="444" t="str">
        <f t="shared" si="55"/>
        <v/>
      </c>
      <c r="BG58" s="444" t="str">
        <f t="shared" si="55"/>
        <v/>
      </c>
      <c r="BH58" s="445" t="str">
        <f t="shared" si="55"/>
        <v/>
      </c>
      <c r="BI58" s="502"/>
      <c r="BJ58" s="474" t="str">
        <f t="shared" si="56"/>
        <v/>
      </c>
      <c r="BK58" s="475" t="str">
        <f t="shared" si="56"/>
        <v/>
      </c>
      <c r="BL58" s="475" t="str">
        <f t="shared" si="56"/>
        <v/>
      </c>
      <c r="BM58" s="475" t="str">
        <f t="shared" si="56"/>
        <v/>
      </c>
      <c r="BN58" s="475" t="str">
        <f t="shared" si="56"/>
        <v/>
      </c>
      <c r="BO58" s="475" t="str">
        <f t="shared" si="56"/>
        <v/>
      </c>
      <c r="BP58" s="475" t="str">
        <f t="shared" si="56"/>
        <v/>
      </c>
      <c r="BQ58" s="475" t="str">
        <f t="shared" si="56"/>
        <v/>
      </c>
      <c r="BR58" s="475" t="str">
        <f t="shared" si="56"/>
        <v/>
      </c>
      <c r="BS58" s="475" t="str">
        <f t="shared" si="56"/>
        <v/>
      </c>
      <c r="BT58" s="475" t="str">
        <f t="shared" si="57"/>
        <v/>
      </c>
      <c r="BU58" s="475" t="str">
        <f t="shared" si="57"/>
        <v/>
      </c>
      <c r="BV58" s="475" t="str">
        <f t="shared" si="57"/>
        <v/>
      </c>
      <c r="BW58" s="475" t="str">
        <f t="shared" si="57"/>
        <v/>
      </c>
      <c r="BX58" s="475" t="str">
        <f t="shared" si="57"/>
        <v/>
      </c>
      <c r="BY58" s="475" t="str">
        <f t="shared" si="57"/>
        <v/>
      </c>
      <c r="BZ58" s="475" t="str">
        <f t="shared" si="57"/>
        <v/>
      </c>
      <c r="CA58" s="475" t="str">
        <f t="shared" si="57"/>
        <v/>
      </c>
      <c r="CB58" s="475" t="str">
        <f t="shared" si="57"/>
        <v/>
      </c>
      <c r="CC58" s="475" t="str">
        <f t="shared" si="57"/>
        <v/>
      </c>
      <c r="CD58" s="475" t="str">
        <f t="shared" si="58"/>
        <v/>
      </c>
      <c r="CE58" s="475" t="str">
        <f t="shared" si="58"/>
        <v/>
      </c>
      <c r="CF58" s="475" t="str">
        <f t="shared" si="58"/>
        <v/>
      </c>
      <c r="CG58" s="475" t="str">
        <f t="shared" si="58"/>
        <v/>
      </c>
      <c r="CH58" s="475" t="str">
        <f t="shared" si="58"/>
        <v/>
      </c>
      <c r="CI58" s="475" t="str">
        <f t="shared" si="58"/>
        <v/>
      </c>
      <c r="CJ58" s="475" t="str">
        <f t="shared" si="58"/>
        <v/>
      </c>
      <c r="CK58" s="475" t="str">
        <f t="shared" si="58"/>
        <v/>
      </c>
      <c r="CL58" s="475" t="str">
        <f t="shared" si="58"/>
        <v/>
      </c>
      <c r="CM58" s="475" t="str">
        <f t="shared" si="58"/>
        <v/>
      </c>
      <c r="CN58" s="475" t="str">
        <f t="shared" si="59"/>
        <v/>
      </c>
      <c r="CO58" s="475" t="str">
        <f t="shared" si="59"/>
        <v/>
      </c>
      <c r="CP58" s="475" t="str">
        <f t="shared" si="59"/>
        <v/>
      </c>
      <c r="CQ58" s="475" t="str">
        <f t="shared" si="59"/>
        <v/>
      </c>
      <c r="CR58" s="475" t="str">
        <f t="shared" si="59"/>
        <v/>
      </c>
      <c r="CS58" s="475" t="str">
        <f t="shared" si="59"/>
        <v/>
      </c>
      <c r="CT58" s="475" t="str">
        <f t="shared" si="59"/>
        <v/>
      </c>
      <c r="CU58" s="475" t="str">
        <f t="shared" si="59"/>
        <v/>
      </c>
      <c r="CV58" s="475" t="str">
        <f t="shared" si="59"/>
        <v/>
      </c>
      <c r="CW58" s="475" t="str">
        <f t="shared" si="59"/>
        <v/>
      </c>
      <c r="CX58" s="475" t="str">
        <f t="shared" si="59"/>
        <v/>
      </c>
      <c r="CY58" s="475" t="str">
        <f t="shared" si="59"/>
        <v/>
      </c>
      <c r="CZ58" s="495" t="str">
        <f t="shared" si="59"/>
        <v/>
      </c>
      <c r="DA58" s="502"/>
      <c r="DB58" s="460"/>
      <c r="DC58" s="465"/>
      <c r="DD58" s="463"/>
      <c r="DE58" s="512"/>
      <c r="DF58" s="516"/>
      <c r="DG58" s="508"/>
      <c r="DH58" s="463"/>
      <c r="DI58" s="461"/>
      <c r="DJ58" s="461"/>
      <c r="DK58" s="461"/>
      <c r="DL58" s="464"/>
      <c r="DM58" s="466"/>
      <c r="DN58" s="502"/>
      <c r="DO58" s="460"/>
      <c r="DP58" s="464"/>
      <c r="DQ58" s="464"/>
      <c r="DR58" s="464"/>
      <c r="DS58" s="508"/>
      <c r="DT58" s="525"/>
      <c r="DU58" s="525"/>
      <c r="DV58" s="463"/>
      <c r="DW58" s="464"/>
      <c r="DX58" s="465"/>
      <c r="DY58" s="463"/>
      <c r="DZ58" s="464"/>
      <c r="EA58" s="465"/>
      <c r="EB58" s="463"/>
      <c r="EC58" s="465"/>
      <c r="ED58" s="462"/>
      <c r="EE58" s="502"/>
      <c r="EF58" s="463"/>
      <c r="EG58" s="461"/>
      <c r="EH58" s="464"/>
      <c r="EI58" s="464"/>
      <c r="EJ58" s="464"/>
      <c r="EK58" s="464"/>
      <c r="EL58" s="464"/>
      <c r="EM58" s="464"/>
      <c r="EN58" s="464"/>
      <c r="EO58" s="464"/>
      <c r="EP58" s="464"/>
      <c r="EQ58" s="464"/>
      <c r="ER58" s="464"/>
      <c r="ES58" s="464"/>
      <c r="ET58" s="464"/>
      <c r="EU58" s="464"/>
      <c r="EV58" s="464"/>
      <c r="EW58" s="465"/>
      <c r="EX58" s="465"/>
      <c r="EY58" s="502"/>
      <c r="EZ58" s="460"/>
      <c r="FA58" s="464"/>
      <c r="FB58" s="464"/>
      <c r="FC58" s="464"/>
      <c r="FD58" s="464"/>
      <c r="FE58" s="464"/>
      <c r="FF58" s="464"/>
      <c r="FG58" s="466"/>
    </row>
    <row r="59" spans="1:163">
      <c r="A59" s="467" t="s">
        <v>246</v>
      </c>
      <c r="B59" s="471" t="str">
        <f>IF(ISNUMBER(MATCH(A59, 'Pulldown Data'!W:W, 0))=TRUE, "Y", IF(ISNUMBER(MATCH(A59, 'Pulldown Data'!X:X, 0))=TRUE, "M", ""))</f>
        <v/>
      </c>
      <c r="C59" s="504"/>
      <c r="D59" s="502"/>
      <c r="E59" s="443" t="str">
        <f t="shared" si="50"/>
        <v/>
      </c>
      <c r="F59" s="444" t="str">
        <f t="shared" si="50"/>
        <v/>
      </c>
      <c r="G59" s="444" t="str">
        <f t="shared" si="50"/>
        <v/>
      </c>
      <c r="H59" s="444" t="str">
        <f t="shared" si="50"/>
        <v/>
      </c>
      <c r="I59" s="444" t="str">
        <f t="shared" si="50"/>
        <v/>
      </c>
      <c r="J59" s="444" t="str">
        <f t="shared" si="50"/>
        <v/>
      </c>
      <c r="K59" s="444" t="str">
        <f t="shared" si="50"/>
        <v/>
      </c>
      <c r="L59" s="444" t="str">
        <f t="shared" si="50"/>
        <v/>
      </c>
      <c r="M59" s="444" t="str">
        <f t="shared" si="50"/>
        <v/>
      </c>
      <c r="N59" s="444" t="str">
        <f t="shared" si="50"/>
        <v/>
      </c>
      <c r="O59" s="444" t="str">
        <f t="shared" si="51"/>
        <v/>
      </c>
      <c r="P59" s="444" t="str">
        <f t="shared" si="51"/>
        <v/>
      </c>
      <c r="Q59" s="444" t="str">
        <f t="shared" si="51"/>
        <v/>
      </c>
      <c r="R59" s="444" t="str">
        <f t="shared" si="51"/>
        <v/>
      </c>
      <c r="S59" s="444" t="str">
        <f t="shared" si="51"/>
        <v/>
      </c>
      <c r="T59" s="444" t="str">
        <f t="shared" si="51"/>
        <v/>
      </c>
      <c r="U59" s="444" t="str">
        <f t="shared" si="51"/>
        <v/>
      </c>
      <c r="V59" s="444" t="str">
        <f t="shared" si="51"/>
        <v/>
      </c>
      <c r="W59" s="444" t="str">
        <f t="shared" si="51"/>
        <v/>
      </c>
      <c r="X59" s="444" t="str">
        <f t="shared" si="51"/>
        <v/>
      </c>
      <c r="Y59" s="444" t="str">
        <f t="shared" si="52"/>
        <v/>
      </c>
      <c r="Z59" s="444" t="str">
        <f t="shared" si="52"/>
        <v/>
      </c>
      <c r="AA59" s="444" t="str">
        <f t="shared" si="52"/>
        <v/>
      </c>
      <c r="AB59" s="444" t="str">
        <f t="shared" si="52"/>
        <v/>
      </c>
      <c r="AC59" s="444" t="str">
        <f t="shared" si="52"/>
        <v/>
      </c>
      <c r="AD59" s="444" t="str">
        <f t="shared" si="52"/>
        <v/>
      </c>
      <c r="AE59" s="444" t="str">
        <f t="shared" si="52"/>
        <v/>
      </c>
      <c r="AF59" s="444" t="str">
        <f t="shared" si="52"/>
        <v/>
      </c>
      <c r="AG59" s="444" t="str">
        <f t="shared" si="52"/>
        <v/>
      </c>
      <c r="AH59" s="444" t="str">
        <f t="shared" si="52"/>
        <v/>
      </c>
      <c r="AI59" s="444" t="str">
        <f t="shared" si="53"/>
        <v/>
      </c>
      <c r="AJ59" s="444" t="str">
        <f t="shared" si="53"/>
        <v/>
      </c>
      <c r="AK59" s="444" t="str">
        <f t="shared" si="53"/>
        <v/>
      </c>
      <c r="AL59" s="444" t="str">
        <f t="shared" si="53"/>
        <v/>
      </c>
      <c r="AM59" s="444" t="str">
        <f t="shared" si="53"/>
        <v/>
      </c>
      <c r="AN59" s="444" t="str">
        <f t="shared" si="53"/>
        <v/>
      </c>
      <c r="AO59" s="444" t="str">
        <f t="shared" si="53"/>
        <v/>
      </c>
      <c r="AP59" s="444" t="str">
        <f t="shared" si="53"/>
        <v/>
      </c>
      <c r="AQ59" s="444" t="str">
        <f t="shared" si="53"/>
        <v/>
      </c>
      <c r="AR59" s="444" t="str">
        <f t="shared" si="53"/>
        <v/>
      </c>
      <c r="AS59" s="444" t="str">
        <f t="shared" si="54"/>
        <v/>
      </c>
      <c r="AT59" s="444" t="str">
        <f t="shared" si="54"/>
        <v/>
      </c>
      <c r="AU59" s="444" t="str">
        <f t="shared" si="54"/>
        <v/>
      </c>
      <c r="AV59" s="444" t="str">
        <f t="shared" si="54"/>
        <v/>
      </c>
      <c r="AW59" s="444" t="str">
        <f t="shared" si="54"/>
        <v/>
      </c>
      <c r="AX59" s="444" t="str">
        <f t="shared" si="54"/>
        <v/>
      </c>
      <c r="AY59" s="444" t="str">
        <f t="shared" si="54"/>
        <v/>
      </c>
      <c r="AZ59" s="444" t="str">
        <f t="shared" si="54"/>
        <v/>
      </c>
      <c r="BA59" s="444" t="str">
        <f t="shared" si="54"/>
        <v/>
      </c>
      <c r="BB59" s="444" t="str">
        <f t="shared" si="54"/>
        <v/>
      </c>
      <c r="BC59" s="444" t="str">
        <f t="shared" si="55"/>
        <v/>
      </c>
      <c r="BD59" s="444" t="str">
        <f t="shared" si="55"/>
        <v/>
      </c>
      <c r="BE59" s="444" t="str">
        <f t="shared" si="55"/>
        <v/>
      </c>
      <c r="BF59" s="444" t="str">
        <f t="shared" si="55"/>
        <v/>
      </c>
      <c r="BG59" s="444" t="str">
        <f t="shared" si="55"/>
        <v/>
      </c>
      <c r="BH59" s="445" t="str">
        <f t="shared" si="55"/>
        <v/>
      </c>
      <c r="BI59" s="502"/>
      <c r="BJ59" s="474" t="str">
        <f t="shared" si="56"/>
        <v/>
      </c>
      <c r="BK59" s="475" t="str">
        <f t="shared" si="56"/>
        <v/>
      </c>
      <c r="BL59" s="475" t="str">
        <f t="shared" si="56"/>
        <v/>
      </c>
      <c r="BM59" s="475" t="str">
        <f t="shared" si="56"/>
        <v/>
      </c>
      <c r="BN59" s="475" t="str">
        <f t="shared" si="56"/>
        <v/>
      </c>
      <c r="BO59" s="475" t="str">
        <f t="shared" si="56"/>
        <v/>
      </c>
      <c r="BP59" s="475" t="str">
        <f t="shared" si="56"/>
        <v/>
      </c>
      <c r="BQ59" s="475" t="str">
        <f t="shared" si="56"/>
        <v/>
      </c>
      <c r="BR59" s="475" t="str">
        <f t="shared" si="56"/>
        <v/>
      </c>
      <c r="BS59" s="475" t="str">
        <f t="shared" si="56"/>
        <v/>
      </c>
      <c r="BT59" s="475" t="str">
        <f t="shared" si="57"/>
        <v/>
      </c>
      <c r="BU59" s="475" t="str">
        <f t="shared" si="57"/>
        <v/>
      </c>
      <c r="BV59" s="475" t="str">
        <f t="shared" si="57"/>
        <v/>
      </c>
      <c r="BW59" s="475" t="str">
        <f t="shared" si="57"/>
        <v/>
      </c>
      <c r="BX59" s="475" t="str">
        <f t="shared" si="57"/>
        <v/>
      </c>
      <c r="BY59" s="475" t="str">
        <f t="shared" si="57"/>
        <v/>
      </c>
      <c r="BZ59" s="475" t="str">
        <f t="shared" si="57"/>
        <v/>
      </c>
      <c r="CA59" s="475" t="str">
        <f t="shared" si="57"/>
        <v/>
      </c>
      <c r="CB59" s="475" t="str">
        <f t="shared" si="57"/>
        <v/>
      </c>
      <c r="CC59" s="475" t="str">
        <f t="shared" si="57"/>
        <v/>
      </c>
      <c r="CD59" s="475" t="str">
        <f t="shared" si="58"/>
        <v/>
      </c>
      <c r="CE59" s="475" t="str">
        <f t="shared" si="58"/>
        <v/>
      </c>
      <c r="CF59" s="475" t="str">
        <f t="shared" si="58"/>
        <v/>
      </c>
      <c r="CG59" s="475" t="str">
        <f t="shared" si="58"/>
        <v/>
      </c>
      <c r="CH59" s="475" t="str">
        <f t="shared" si="58"/>
        <v/>
      </c>
      <c r="CI59" s="475" t="str">
        <f t="shared" si="58"/>
        <v/>
      </c>
      <c r="CJ59" s="475" t="str">
        <f t="shared" si="58"/>
        <v/>
      </c>
      <c r="CK59" s="475" t="str">
        <f t="shared" si="58"/>
        <v/>
      </c>
      <c r="CL59" s="475" t="str">
        <f t="shared" si="58"/>
        <v/>
      </c>
      <c r="CM59" s="475" t="str">
        <f t="shared" si="58"/>
        <v/>
      </c>
      <c r="CN59" s="475" t="str">
        <f t="shared" si="59"/>
        <v/>
      </c>
      <c r="CO59" s="475" t="str">
        <f t="shared" si="59"/>
        <v/>
      </c>
      <c r="CP59" s="475" t="str">
        <f t="shared" si="59"/>
        <v/>
      </c>
      <c r="CQ59" s="475" t="str">
        <f t="shared" si="59"/>
        <v/>
      </c>
      <c r="CR59" s="475" t="str">
        <f t="shared" si="59"/>
        <v/>
      </c>
      <c r="CS59" s="475" t="str">
        <f t="shared" si="59"/>
        <v/>
      </c>
      <c r="CT59" s="475" t="str">
        <f t="shared" si="59"/>
        <v/>
      </c>
      <c r="CU59" s="475" t="str">
        <f t="shared" si="59"/>
        <v/>
      </c>
      <c r="CV59" s="475" t="str">
        <f t="shared" si="59"/>
        <v/>
      </c>
      <c r="CW59" s="475" t="str">
        <f t="shared" si="59"/>
        <v/>
      </c>
      <c r="CX59" s="475" t="str">
        <f t="shared" si="59"/>
        <v/>
      </c>
      <c r="CY59" s="475" t="str">
        <f t="shared" si="59"/>
        <v/>
      </c>
      <c r="CZ59" s="495" t="str">
        <f t="shared" si="59"/>
        <v/>
      </c>
      <c r="DA59" s="502"/>
      <c r="DB59" s="460"/>
      <c r="DC59" s="465"/>
      <c r="DD59" s="463"/>
      <c r="DE59" s="512"/>
      <c r="DF59" s="516"/>
      <c r="DG59" s="508"/>
      <c r="DH59" s="463"/>
      <c r="DI59" s="461"/>
      <c r="DJ59" s="461"/>
      <c r="DK59" s="461"/>
      <c r="DL59" s="464"/>
      <c r="DM59" s="466"/>
      <c r="DN59" s="502"/>
      <c r="DO59" s="460"/>
      <c r="DP59" s="464"/>
      <c r="DQ59" s="464"/>
      <c r="DR59" s="464"/>
      <c r="DS59" s="508"/>
      <c r="DT59" s="525"/>
      <c r="DU59" s="525"/>
      <c r="DV59" s="463"/>
      <c r="DW59" s="464"/>
      <c r="DX59" s="465"/>
      <c r="DY59" s="463"/>
      <c r="DZ59" s="464"/>
      <c r="EA59" s="465"/>
      <c r="EB59" s="463"/>
      <c r="EC59" s="465"/>
      <c r="ED59" s="462"/>
      <c r="EE59" s="502"/>
      <c r="EF59" s="463"/>
      <c r="EG59" s="461"/>
      <c r="EH59" s="464"/>
      <c r="EI59" s="464"/>
      <c r="EJ59" s="464"/>
      <c r="EK59" s="464"/>
      <c r="EL59" s="464"/>
      <c r="EM59" s="464"/>
      <c r="EN59" s="464"/>
      <c r="EO59" s="464"/>
      <c r="EP59" s="464"/>
      <c r="EQ59" s="464"/>
      <c r="ER59" s="464"/>
      <c r="ES59" s="464"/>
      <c r="ET59" s="464"/>
      <c r="EU59" s="464"/>
      <c r="EV59" s="464"/>
      <c r="EW59" s="465"/>
      <c r="EX59" s="465"/>
      <c r="EY59" s="502"/>
      <c r="EZ59" s="460"/>
      <c r="FA59" s="464"/>
      <c r="FB59" s="464"/>
      <c r="FC59" s="464"/>
      <c r="FD59" s="464"/>
      <c r="FE59" s="464"/>
      <c r="FF59" s="464"/>
      <c r="FG59" s="466"/>
    </row>
    <row r="60" spans="1:163">
      <c r="A60" s="467" t="s">
        <v>247</v>
      </c>
      <c r="B60" s="471" t="str">
        <f>IF(ISNUMBER(MATCH(A60, 'Pulldown Data'!W:W, 0))=TRUE, "Y", IF(ISNUMBER(MATCH(A60, 'Pulldown Data'!X:X, 0))=TRUE, "M", ""))</f>
        <v/>
      </c>
      <c r="C60" s="504"/>
      <c r="D60" s="502"/>
      <c r="E60" s="443" t="str">
        <f t="shared" si="50"/>
        <v/>
      </c>
      <c r="F60" s="444" t="str">
        <f t="shared" si="50"/>
        <v/>
      </c>
      <c r="G60" s="444" t="str">
        <f t="shared" si="50"/>
        <v/>
      </c>
      <c r="H60" s="444" t="str">
        <f t="shared" si="50"/>
        <v/>
      </c>
      <c r="I60" s="444" t="str">
        <f t="shared" si="50"/>
        <v/>
      </c>
      <c r="J60" s="444" t="str">
        <f t="shared" si="50"/>
        <v/>
      </c>
      <c r="K60" s="444" t="str">
        <f t="shared" si="50"/>
        <v/>
      </c>
      <c r="L60" s="444" t="str">
        <f t="shared" si="50"/>
        <v/>
      </c>
      <c r="M60" s="444" t="str">
        <f t="shared" si="50"/>
        <v/>
      </c>
      <c r="N60" s="444" t="str">
        <f t="shared" si="50"/>
        <v/>
      </c>
      <c r="O60" s="444" t="str">
        <f t="shared" si="51"/>
        <v/>
      </c>
      <c r="P60" s="444" t="str">
        <f t="shared" si="51"/>
        <v/>
      </c>
      <c r="Q60" s="444" t="str">
        <f t="shared" si="51"/>
        <v/>
      </c>
      <c r="R60" s="444" t="str">
        <f t="shared" si="51"/>
        <v/>
      </c>
      <c r="S60" s="444" t="str">
        <f t="shared" si="51"/>
        <v/>
      </c>
      <c r="T60" s="444" t="str">
        <f t="shared" si="51"/>
        <v/>
      </c>
      <c r="U60" s="444" t="str">
        <f t="shared" si="51"/>
        <v/>
      </c>
      <c r="V60" s="444" t="str">
        <f t="shared" si="51"/>
        <v/>
      </c>
      <c r="W60" s="444" t="str">
        <f t="shared" si="51"/>
        <v/>
      </c>
      <c r="X60" s="444" t="str">
        <f t="shared" si="51"/>
        <v/>
      </c>
      <c r="Y60" s="444" t="str">
        <f t="shared" si="52"/>
        <v/>
      </c>
      <c r="Z60" s="444" t="str">
        <f t="shared" si="52"/>
        <v/>
      </c>
      <c r="AA60" s="444" t="str">
        <f t="shared" si="52"/>
        <v/>
      </c>
      <c r="AB60" s="444" t="str">
        <f t="shared" si="52"/>
        <v/>
      </c>
      <c r="AC60" s="444" t="str">
        <f t="shared" si="52"/>
        <v/>
      </c>
      <c r="AD60" s="444" t="str">
        <f t="shared" si="52"/>
        <v/>
      </c>
      <c r="AE60" s="444" t="str">
        <f t="shared" si="52"/>
        <v/>
      </c>
      <c r="AF60" s="444" t="str">
        <f t="shared" si="52"/>
        <v/>
      </c>
      <c r="AG60" s="444" t="str">
        <f t="shared" si="52"/>
        <v/>
      </c>
      <c r="AH60" s="444" t="str">
        <f t="shared" si="52"/>
        <v/>
      </c>
      <c r="AI60" s="444" t="str">
        <f t="shared" si="53"/>
        <v/>
      </c>
      <c r="AJ60" s="444" t="str">
        <f t="shared" si="53"/>
        <v/>
      </c>
      <c r="AK60" s="444" t="str">
        <f t="shared" si="53"/>
        <v/>
      </c>
      <c r="AL60" s="444" t="str">
        <f t="shared" si="53"/>
        <v/>
      </c>
      <c r="AM60" s="444" t="str">
        <f t="shared" si="53"/>
        <v/>
      </c>
      <c r="AN60" s="444" t="str">
        <f t="shared" si="53"/>
        <v/>
      </c>
      <c r="AO60" s="444" t="str">
        <f t="shared" si="53"/>
        <v/>
      </c>
      <c r="AP60" s="444" t="str">
        <f t="shared" si="53"/>
        <v/>
      </c>
      <c r="AQ60" s="444" t="str">
        <f t="shared" si="53"/>
        <v/>
      </c>
      <c r="AR60" s="444" t="str">
        <f t="shared" si="53"/>
        <v/>
      </c>
      <c r="AS60" s="444" t="str">
        <f t="shared" si="54"/>
        <v/>
      </c>
      <c r="AT60" s="444" t="str">
        <f t="shared" si="54"/>
        <v/>
      </c>
      <c r="AU60" s="444" t="str">
        <f t="shared" si="54"/>
        <v/>
      </c>
      <c r="AV60" s="444" t="str">
        <f t="shared" si="54"/>
        <v/>
      </c>
      <c r="AW60" s="444" t="str">
        <f t="shared" si="54"/>
        <v/>
      </c>
      <c r="AX60" s="444" t="str">
        <f t="shared" si="54"/>
        <v/>
      </c>
      <c r="AY60" s="444" t="str">
        <f t="shared" si="54"/>
        <v/>
      </c>
      <c r="AZ60" s="444" t="str">
        <f t="shared" si="54"/>
        <v/>
      </c>
      <c r="BA60" s="444" t="str">
        <f t="shared" si="54"/>
        <v/>
      </c>
      <c r="BB60" s="444" t="str">
        <f t="shared" si="54"/>
        <v/>
      </c>
      <c r="BC60" s="444" t="str">
        <f t="shared" si="55"/>
        <v/>
      </c>
      <c r="BD60" s="444" t="str">
        <f t="shared" si="55"/>
        <v/>
      </c>
      <c r="BE60" s="444" t="str">
        <f t="shared" si="55"/>
        <v/>
      </c>
      <c r="BF60" s="444" t="str">
        <f t="shared" si="55"/>
        <v/>
      </c>
      <c r="BG60" s="444" t="str">
        <f t="shared" si="55"/>
        <v/>
      </c>
      <c r="BH60" s="445" t="str">
        <f t="shared" si="55"/>
        <v/>
      </c>
      <c r="BI60" s="502"/>
      <c r="BJ60" s="474" t="str">
        <f t="shared" si="56"/>
        <v/>
      </c>
      <c r="BK60" s="475" t="str">
        <f t="shared" si="56"/>
        <v/>
      </c>
      <c r="BL60" s="475" t="str">
        <f t="shared" si="56"/>
        <v/>
      </c>
      <c r="BM60" s="475" t="str">
        <f t="shared" si="56"/>
        <v/>
      </c>
      <c r="BN60" s="475" t="str">
        <f t="shared" si="56"/>
        <v/>
      </c>
      <c r="BO60" s="475" t="str">
        <f t="shared" si="56"/>
        <v/>
      </c>
      <c r="BP60" s="475" t="str">
        <f t="shared" si="56"/>
        <v/>
      </c>
      <c r="BQ60" s="475" t="str">
        <f t="shared" si="56"/>
        <v/>
      </c>
      <c r="BR60" s="475" t="str">
        <f t="shared" si="56"/>
        <v/>
      </c>
      <c r="BS60" s="475" t="str">
        <f t="shared" si="56"/>
        <v/>
      </c>
      <c r="BT60" s="475" t="str">
        <f t="shared" si="57"/>
        <v/>
      </c>
      <c r="BU60" s="475" t="str">
        <f t="shared" si="57"/>
        <v/>
      </c>
      <c r="BV60" s="475" t="str">
        <f t="shared" si="57"/>
        <v/>
      </c>
      <c r="BW60" s="475" t="str">
        <f t="shared" si="57"/>
        <v/>
      </c>
      <c r="BX60" s="475" t="str">
        <f t="shared" si="57"/>
        <v/>
      </c>
      <c r="BY60" s="475" t="str">
        <f t="shared" si="57"/>
        <v/>
      </c>
      <c r="BZ60" s="475" t="str">
        <f t="shared" si="57"/>
        <v/>
      </c>
      <c r="CA60" s="475" t="str">
        <f t="shared" si="57"/>
        <v/>
      </c>
      <c r="CB60" s="475" t="str">
        <f t="shared" si="57"/>
        <v/>
      </c>
      <c r="CC60" s="475" t="str">
        <f t="shared" si="57"/>
        <v/>
      </c>
      <c r="CD60" s="475" t="str">
        <f t="shared" si="58"/>
        <v/>
      </c>
      <c r="CE60" s="475" t="str">
        <f t="shared" si="58"/>
        <v/>
      </c>
      <c r="CF60" s="475" t="str">
        <f t="shared" si="58"/>
        <v/>
      </c>
      <c r="CG60" s="475" t="str">
        <f t="shared" si="58"/>
        <v/>
      </c>
      <c r="CH60" s="475" t="str">
        <f t="shared" si="58"/>
        <v/>
      </c>
      <c r="CI60" s="475" t="str">
        <f t="shared" si="58"/>
        <v/>
      </c>
      <c r="CJ60" s="475" t="str">
        <f t="shared" si="58"/>
        <v/>
      </c>
      <c r="CK60" s="475" t="str">
        <f t="shared" si="58"/>
        <v/>
      </c>
      <c r="CL60" s="475" t="str">
        <f t="shared" si="58"/>
        <v/>
      </c>
      <c r="CM60" s="475" t="str">
        <f t="shared" si="58"/>
        <v/>
      </c>
      <c r="CN60" s="475" t="str">
        <f t="shared" si="59"/>
        <v/>
      </c>
      <c r="CO60" s="475" t="str">
        <f t="shared" si="59"/>
        <v/>
      </c>
      <c r="CP60" s="475" t="str">
        <f t="shared" si="59"/>
        <v/>
      </c>
      <c r="CQ60" s="475" t="str">
        <f t="shared" si="59"/>
        <v/>
      </c>
      <c r="CR60" s="475" t="str">
        <f t="shared" si="59"/>
        <v/>
      </c>
      <c r="CS60" s="475" t="str">
        <f t="shared" si="59"/>
        <v/>
      </c>
      <c r="CT60" s="475" t="str">
        <f t="shared" si="59"/>
        <v/>
      </c>
      <c r="CU60" s="475" t="str">
        <f t="shared" si="59"/>
        <v/>
      </c>
      <c r="CV60" s="475" t="str">
        <f t="shared" si="59"/>
        <v/>
      </c>
      <c r="CW60" s="475" t="str">
        <f t="shared" si="59"/>
        <v/>
      </c>
      <c r="CX60" s="475" t="str">
        <f t="shared" si="59"/>
        <v/>
      </c>
      <c r="CY60" s="475" t="str">
        <f t="shared" si="59"/>
        <v/>
      </c>
      <c r="CZ60" s="495" t="str">
        <f t="shared" si="59"/>
        <v/>
      </c>
      <c r="DA60" s="502"/>
      <c r="DB60" s="460"/>
      <c r="DC60" s="465"/>
      <c r="DD60" s="463"/>
      <c r="DE60" s="512"/>
      <c r="DF60" s="516"/>
      <c r="DG60" s="508"/>
      <c r="DH60" s="463"/>
      <c r="DI60" s="461"/>
      <c r="DJ60" s="461"/>
      <c r="DK60" s="461"/>
      <c r="DL60" s="464"/>
      <c r="DM60" s="466"/>
      <c r="DN60" s="502"/>
      <c r="DO60" s="460"/>
      <c r="DP60" s="464"/>
      <c r="DQ60" s="464"/>
      <c r="DR60" s="464"/>
      <c r="DS60" s="508"/>
      <c r="DT60" s="525"/>
      <c r="DU60" s="525"/>
      <c r="DV60" s="463"/>
      <c r="DW60" s="464"/>
      <c r="DX60" s="465"/>
      <c r="DY60" s="463"/>
      <c r="DZ60" s="464"/>
      <c r="EA60" s="465"/>
      <c r="EB60" s="463"/>
      <c r="EC60" s="465"/>
      <c r="ED60" s="462"/>
      <c r="EE60" s="502"/>
      <c r="EF60" s="463"/>
      <c r="EG60" s="461"/>
      <c r="EH60" s="464"/>
      <c r="EI60" s="464"/>
      <c r="EJ60" s="464"/>
      <c r="EK60" s="464"/>
      <c r="EL60" s="464"/>
      <c r="EM60" s="464"/>
      <c r="EN60" s="464"/>
      <c r="EO60" s="464"/>
      <c r="EP60" s="464"/>
      <c r="EQ60" s="464"/>
      <c r="ER60" s="464"/>
      <c r="ES60" s="464"/>
      <c r="ET60" s="464"/>
      <c r="EU60" s="464"/>
      <c r="EV60" s="464"/>
      <c r="EW60" s="465"/>
      <c r="EX60" s="465"/>
      <c r="EY60" s="502"/>
      <c r="EZ60" s="460"/>
      <c r="FA60" s="464"/>
      <c r="FB60" s="464"/>
      <c r="FC60" s="464"/>
      <c r="FD60" s="464"/>
      <c r="FE60" s="464"/>
      <c r="FF60" s="464"/>
      <c r="FG60" s="466"/>
    </row>
    <row r="61" spans="1:163">
      <c r="A61" s="467" t="s">
        <v>248</v>
      </c>
      <c r="B61" s="471" t="str">
        <f>IF(ISNUMBER(MATCH(A61, 'Pulldown Data'!W:W, 0))=TRUE, "Y", IF(ISNUMBER(MATCH(A61, 'Pulldown Data'!X:X, 0))=TRUE, "M", ""))</f>
        <v/>
      </c>
      <c r="C61" s="504"/>
      <c r="D61" s="502"/>
      <c r="E61" s="443" t="str">
        <f t="shared" si="50"/>
        <v/>
      </c>
      <c r="F61" s="444" t="str">
        <f t="shared" si="50"/>
        <v/>
      </c>
      <c r="G61" s="444" t="str">
        <f t="shared" si="50"/>
        <v/>
      </c>
      <c r="H61" s="444" t="str">
        <f t="shared" si="50"/>
        <v/>
      </c>
      <c r="I61" s="444" t="str">
        <f t="shared" si="50"/>
        <v/>
      </c>
      <c r="J61" s="444" t="str">
        <f t="shared" si="50"/>
        <v/>
      </c>
      <c r="K61" s="444" t="str">
        <f t="shared" si="50"/>
        <v/>
      </c>
      <c r="L61" s="444" t="str">
        <f t="shared" si="50"/>
        <v/>
      </c>
      <c r="M61" s="444" t="str">
        <f t="shared" si="50"/>
        <v/>
      </c>
      <c r="N61" s="444" t="str">
        <f t="shared" si="50"/>
        <v/>
      </c>
      <c r="O61" s="444" t="str">
        <f t="shared" si="51"/>
        <v/>
      </c>
      <c r="P61" s="444" t="str">
        <f t="shared" si="51"/>
        <v/>
      </c>
      <c r="Q61" s="444" t="str">
        <f t="shared" si="51"/>
        <v/>
      </c>
      <c r="R61" s="444" t="str">
        <f t="shared" si="51"/>
        <v/>
      </c>
      <c r="S61" s="444" t="str">
        <f t="shared" si="51"/>
        <v/>
      </c>
      <c r="T61" s="444" t="str">
        <f t="shared" si="51"/>
        <v/>
      </c>
      <c r="U61" s="444" t="str">
        <f t="shared" si="51"/>
        <v/>
      </c>
      <c r="V61" s="444" t="str">
        <f t="shared" si="51"/>
        <v/>
      </c>
      <c r="W61" s="444" t="str">
        <f t="shared" si="51"/>
        <v/>
      </c>
      <c r="X61" s="444" t="str">
        <f t="shared" si="51"/>
        <v/>
      </c>
      <c r="Y61" s="444" t="str">
        <f t="shared" si="52"/>
        <v/>
      </c>
      <c r="Z61" s="444" t="str">
        <f t="shared" si="52"/>
        <v/>
      </c>
      <c r="AA61" s="444" t="str">
        <f t="shared" si="52"/>
        <v/>
      </c>
      <c r="AB61" s="444" t="str">
        <f t="shared" si="52"/>
        <v/>
      </c>
      <c r="AC61" s="444" t="str">
        <f t="shared" si="52"/>
        <v/>
      </c>
      <c r="AD61" s="444" t="str">
        <f t="shared" si="52"/>
        <v/>
      </c>
      <c r="AE61" s="444" t="str">
        <f t="shared" si="52"/>
        <v/>
      </c>
      <c r="AF61" s="444" t="str">
        <f t="shared" si="52"/>
        <v/>
      </c>
      <c r="AG61" s="444" t="str">
        <f t="shared" si="52"/>
        <v/>
      </c>
      <c r="AH61" s="444" t="str">
        <f t="shared" si="52"/>
        <v/>
      </c>
      <c r="AI61" s="444" t="str">
        <f t="shared" si="53"/>
        <v/>
      </c>
      <c r="AJ61" s="444" t="str">
        <f t="shared" si="53"/>
        <v/>
      </c>
      <c r="AK61" s="444" t="str">
        <f t="shared" si="53"/>
        <v/>
      </c>
      <c r="AL61" s="444" t="str">
        <f t="shared" si="53"/>
        <v/>
      </c>
      <c r="AM61" s="444" t="str">
        <f t="shared" si="53"/>
        <v/>
      </c>
      <c r="AN61" s="444" t="str">
        <f t="shared" si="53"/>
        <v/>
      </c>
      <c r="AO61" s="444" t="str">
        <f t="shared" si="53"/>
        <v/>
      </c>
      <c r="AP61" s="444" t="str">
        <f t="shared" si="53"/>
        <v/>
      </c>
      <c r="AQ61" s="444" t="str">
        <f t="shared" si="53"/>
        <v/>
      </c>
      <c r="AR61" s="444" t="str">
        <f t="shared" si="53"/>
        <v/>
      </c>
      <c r="AS61" s="444" t="str">
        <f t="shared" si="54"/>
        <v/>
      </c>
      <c r="AT61" s="444" t="str">
        <f t="shared" si="54"/>
        <v/>
      </c>
      <c r="AU61" s="444" t="str">
        <f t="shared" si="54"/>
        <v/>
      </c>
      <c r="AV61" s="444" t="str">
        <f t="shared" si="54"/>
        <v/>
      </c>
      <c r="AW61" s="444" t="str">
        <f t="shared" si="54"/>
        <v/>
      </c>
      <c r="AX61" s="444" t="str">
        <f t="shared" si="54"/>
        <v/>
      </c>
      <c r="AY61" s="444" t="str">
        <f t="shared" si="54"/>
        <v/>
      </c>
      <c r="AZ61" s="444" t="str">
        <f t="shared" si="54"/>
        <v/>
      </c>
      <c r="BA61" s="444" t="str">
        <f t="shared" si="54"/>
        <v/>
      </c>
      <c r="BB61" s="444" t="str">
        <f t="shared" si="54"/>
        <v/>
      </c>
      <c r="BC61" s="444" t="str">
        <f t="shared" si="55"/>
        <v/>
      </c>
      <c r="BD61" s="444" t="str">
        <f t="shared" si="55"/>
        <v/>
      </c>
      <c r="BE61" s="444" t="str">
        <f t="shared" si="55"/>
        <v/>
      </c>
      <c r="BF61" s="444" t="str">
        <f t="shared" si="55"/>
        <v/>
      </c>
      <c r="BG61" s="444" t="str">
        <f t="shared" si="55"/>
        <v/>
      </c>
      <c r="BH61" s="445" t="str">
        <f t="shared" si="55"/>
        <v/>
      </c>
      <c r="BI61" s="502"/>
      <c r="BJ61" s="474" t="str">
        <f t="shared" si="56"/>
        <v/>
      </c>
      <c r="BK61" s="475" t="str">
        <f t="shared" si="56"/>
        <v/>
      </c>
      <c r="BL61" s="475" t="str">
        <f t="shared" si="56"/>
        <v/>
      </c>
      <c r="BM61" s="475" t="str">
        <f t="shared" si="56"/>
        <v/>
      </c>
      <c r="BN61" s="475" t="str">
        <f t="shared" si="56"/>
        <v/>
      </c>
      <c r="BO61" s="475" t="str">
        <f t="shared" si="56"/>
        <v/>
      </c>
      <c r="BP61" s="475" t="str">
        <f t="shared" si="56"/>
        <v/>
      </c>
      <c r="BQ61" s="475" t="str">
        <f t="shared" si="56"/>
        <v/>
      </c>
      <c r="BR61" s="475" t="str">
        <f t="shared" si="56"/>
        <v/>
      </c>
      <c r="BS61" s="475" t="str">
        <f t="shared" si="56"/>
        <v/>
      </c>
      <c r="BT61" s="475" t="str">
        <f t="shared" si="57"/>
        <v/>
      </c>
      <c r="BU61" s="475" t="str">
        <f t="shared" si="57"/>
        <v/>
      </c>
      <c r="BV61" s="475" t="str">
        <f t="shared" si="57"/>
        <v/>
      </c>
      <c r="BW61" s="475" t="str">
        <f t="shared" si="57"/>
        <v/>
      </c>
      <c r="BX61" s="475" t="str">
        <f t="shared" si="57"/>
        <v/>
      </c>
      <c r="BY61" s="475" t="str">
        <f t="shared" si="57"/>
        <v/>
      </c>
      <c r="BZ61" s="475" t="str">
        <f t="shared" si="57"/>
        <v/>
      </c>
      <c r="CA61" s="475" t="str">
        <f t="shared" si="57"/>
        <v/>
      </c>
      <c r="CB61" s="475" t="str">
        <f t="shared" si="57"/>
        <v/>
      </c>
      <c r="CC61" s="475" t="str">
        <f t="shared" si="57"/>
        <v/>
      </c>
      <c r="CD61" s="475" t="str">
        <f t="shared" si="58"/>
        <v/>
      </c>
      <c r="CE61" s="475" t="str">
        <f t="shared" si="58"/>
        <v/>
      </c>
      <c r="CF61" s="475" t="str">
        <f t="shared" si="58"/>
        <v/>
      </c>
      <c r="CG61" s="475" t="str">
        <f t="shared" si="58"/>
        <v/>
      </c>
      <c r="CH61" s="475" t="str">
        <f t="shared" si="58"/>
        <v/>
      </c>
      <c r="CI61" s="475" t="str">
        <f t="shared" si="58"/>
        <v/>
      </c>
      <c r="CJ61" s="475" t="str">
        <f t="shared" si="58"/>
        <v/>
      </c>
      <c r="CK61" s="475" t="str">
        <f t="shared" si="58"/>
        <v/>
      </c>
      <c r="CL61" s="475" t="str">
        <f t="shared" si="58"/>
        <v/>
      </c>
      <c r="CM61" s="475" t="str">
        <f t="shared" si="58"/>
        <v/>
      </c>
      <c r="CN61" s="475" t="str">
        <f t="shared" si="59"/>
        <v/>
      </c>
      <c r="CO61" s="475" t="str">
        <f t="shared" si="59"/>
        <v/>
      </c>
      <c r="CP61" s="475" t="str">
        <f t="shared" si="59"/>
        <v/>
      </c>
      <c r="CQ61" s="475" t="str">
        <f t="shared" si="59"/>
        <v/>
      </c>
      <c r="CR61" s="475" t="str">
        <f t="shared" si="59"/>
        <v/>
      </c>
      <c r="CS61" s="475" t="str">
        <f t="shared" si="59"/>
        <v/>
      </c>
      <c r="CT61" s="475" t="str">
        <f t="shared" si="59"/>
        <v/>
      </c>
      <c r="CU61" s="475" t="str">
        <f t="shared" si="59"/>
        <v/>
      </c>
      <c r="CV61" s="475" t="str">
        <f t="shared" si="59"/>
        <v/>
      </c>
      <c r="CW61" s="475" t="str">
        <f t="shared" si="59"/>
        <v/>
      </c>
      <c r="CX61" s="475" t="str">
        <f t="shared" si="59"/>
        <v/>
      </c>
      <c r="CY61" s="475" t="str">
        <f t="shared" si="59"/>
        <v/>
      </c>
      <c r="CZ61" s="495" t="str">
        <f t="shared" si="59"/>
        <v/>
      </c>
      <c r="DA61" s="502"/>
      <c r="DB61" s="460"/>
      <c r="DC61" s="465"/>
      <c r="DD61" s="463"/>
      <c r="DE61" s="512"/>
      <c r="DF61" s="516"/>
      <c r="DG61" s="508"/>
      <c r="DH61" s="463"/>
      <c r="DI61" s="461"/>
      <c r="DJ61" s="461"/>
      <c r="DK61" s="461"/>
      <c r="DL61" s="464"/>
      <c r="DM61" s="466"/>
      <c r="DN61" s="502"/>
      <c r="DO61" s="460"/>
      <c r="DP61" s="464"/>
      <c r="DQ61" s="464"/>
      <c r="DR61" s="464"/>
      <c r="DS61" s="508"/>
      <c r="DT61" s="525"/>
      <c r="DU61" s="525"/>
      <c r="DV61" s="463"/>
      <c r="DW61" s="464"/>
      <c r="DX61" s="465"/>
      <c r="DY61" s="463"/>
      <c r="DZ61" s="464"/>
      <c r="EA61" s="465"/>
      <c r="EB61" s="463"/>
      <c r="EC61" s="465"/>
      <c r="ED61" s="462"/>
      <c r="EE61" s="502"/>
      <c r="EF61" s="463"/>
      <c r="EG61" s="461"/>
      <c r="EH61" s="464"/>
      <c r="EI61" s="464"/>
      <c r="EJ61" s="464"/>
      <c r="EK61" s="464"/>
      <c r="EL61" s="464"/>
      <c r="EM61" s="464"/>
      <c r="EN61" s="464"/>
      <c r="EO61" s="464"/>
      <c r="EP61" s="464"/>
      <c r="EQ61" s="464"/>
      <c r="ER61" s="464"/>
      <c r="ES61" s="464"/>
      <c r="ET61" s="464"/>
      <c r="EU61" s="464"/>
      <c r="EV61" s="464"/>
      <c r="EW61" s="465"/>
      <c r="EX61" s="465"/>
      <c r="EY61" s="502"/>
      <c r="EZ61" s="460"/>
      <c r="FA61" s="464"/>
      <c r="FB61" s="464"/>
      <c r="FC61" s="464"/>
      <c r="FD61" s="464"/>
      <c r="FE61" s="464"/>
      <c r="FF61" s="464"/>
      <c r="FG61" s="466"/>
    </row>
    <row r="62" spans="1:163">
      <c r="A62" s="467" t="s">
        <v>249</v>
      </c>
      <c r="B62" s="471" t="str">
        <f>IF(ISNUMBER(MATCH(A62, 'Pulldown Data'!W:W, 0))=TRUE, "Y", IF(ISNUMBER(MATCH(A62, 'Pulldown Data'!X:X, 0))=TRUE, "M", ""))</f>
        <v/>
      </c>
      <c r="C62" s="504"/>
      <c r="D62" s="502"/>
      <c r="E62" s="443" t="str">
        <f t="shared" ref="E62:N71" si="60" xml:space="preserve">
IFERROR(
_xlfn.IFNA(
   IF($B62="PLT",
      IF(INDEX(PRJGENVersions, MATCH(TRIM(E$1), PRJGENAlgosMapped, 0), MATCH($A62, PRJGENProjects, 0)), "YES", ""),
      IF(INDEX(RoadmapData, MATCH(TRIM(E$1), RoadmapDataFeatures, 0), MATCH($A62, RoadmapDataProjects, 0)) = "-", "-", INDEX(RoadmapData, MATCH(TRIM(E$1), RoadmapDataFeatures, 0), MATCH($A62, RoadmapDataProjects, 0)))),
""),
"")</f>
        <v/>
      </c>
      <c r="F62" s="444" t="str">
        <f t="shared" si="60"/>
        <v/>
      </c>
      <c r="G62" s="444" t="str">
        <f t="shared" si="60"/>
        <v/>
      </c>
      <c r="H62" s="444" t="str">
        <f t="shared" si="60"/>
        <v/>
      </c>
      <c r="I62" s="444" t="str">
        <f t="shared" si="60"/>
        <v/>
      </c>
      <c r="J62" s="444" t="str">
        <f t="shared" si="60"/>
        <v/>
      </c>
      <c r="K62" s="444" t="str">
        <f t="shared" si="60"/>
        <v/>
      </c>
      <c r="L62" s="444" t="str">
        <f t="shared" si="60"/>
        <v/>
      </c>
      <c r="M62" s="444" t="str">
        <f t="shared" si="60"/>
        <v/>
      </c>
      <c r="N62" s="444" t="str">
        <f t="shared" si="60"/>
        <v/>
      </c>
      <c r="O62" s="444" t="str">
        <f t="shared" ref="O62:X71" si="61" xml:space="preserve">
IFERROR(
_xlfn.IFNA(
   IF($B62="PLT",
      IF(INDEX(PRJGENVersions, MATCH(TRIM(O$1), PRJGENAlgosMapped, 0), MATCH($A62, PRJGENProjects, 0)), "YES", ""),
      IF(INDEX(RoadmapData, MATCH(TRIM(O$1), RoadmapDataFeatures, 0), MATCH($A62, RoadmapDataProjects, 0)) = "-", "-", INDEX(RoadmapData, MATCH(TRIM(O$1), RoadmapDataFeatures, 0), MATCH($A62, RoadmapDataProjects, 0)))),
""),
"")</f>
        <v/>
      </c>
      <c r="P62" s="444" t="str">
        <f t="shared" si="61"/>
        <v/>
      </c>
      <c r="Q62" s="444" t="str">
        <f t="shared" si="61"/>
        <v/>
      </c>
      <c r="R62" s="444" t="str">
        <f t="shared" si="61"/>
        <v/>
      </c>
      <c r="S62" s="444" t="str">
        <f t="shared" si="61"/>
        <v/>
      </c>
      <c r="T62" s="444" t="str">
        <f t="shared" si="61"/>
        <v/>
      </c>
      <c r="U62" s="444" t="str">
        <f t="shared" si="61"/>
        <v/>
      </c>
      <c r="V62" s="444" t="str">
        <f t="shared" si="61"/>
        <v/>
      </c>
      <c r="W62" s="444" t="str">
        <f t="shared" si="61"/>
        <v/>
      </c>
      <c r="X62" s="444" t="str">
        <f t="shared" si="61"/>
        <v/>
      </c>
      <c r="Y62" s="444" t="str">
        <f t="shared" ref="Y62:AH71" si="62" xml:space="preserve">
IFERROR(
_xlfn.IFNA(
   IF($B62="PLT",
      IF(INDEX(PRJGENVersions, MATCH(TRIM(Y$1), PRJGENAlgosMapped, 0), MATCH($A62, PRJGENProjects, 0)), "YES", ""),
      IF(INDEX(RoadmapData, MATCH(TRIM(Y$1), RoadmapDataFeatures, 0), MATCH($A62, RoadmapDataProjects, 0)) = "-", "-", INDEX(RoadmapData, MATCH(TRIM(Y$1), RoadmapDataFeatures, 0), MATCH($A62, RoadmapDataProjects, 0)))),
""),
"")</f>
        <v/>
      </c>
      <c r="Z62" s="444" t="str">
        <f t="shared" si="62"/>
        <v/>
      </c>
      <c r="AA62" s="444" t="str">
        <f t="shared" si="62"/>
        <v/>
      </c>
      <c r="AB62" s="444" t="str">
        <f t="shared" si="62"/>
        <v/>
      </c>
      <c r="AC62" s="444" t="str">
        <f t="shared" si="62"/>
        <v/>
      </c>
      <c r="AD62" s="444" t="str">
        <f t="shared" si="62"/>
        <v/>
      </c>
      <c r="AE62" s="444" t="str">
        <f t="shared" si="62"/>
        <v/>
      </c>
      <c r="AF62" s="444" t="str">
        <f t="shared" si="62"/>
        <v/>
      </c>
      <c r="AG62" s="444" t="str">
        <f t="shared" si="62"/>
        <v/>
      </c>
      <c r="AH62" s="444" t="str">
        <f t="shared" si="62"/>
        <v/>
      </c>
      <c r="AI62" s="444" t="str">
        <f t="shared" ref="AI62:AR71" si="63" xml:space="preserve">
IFERROR(
_xlfn.IFNA(
   IF($B62="PLT",
      IF(INDEX(PRJGENVersions, MATCH(TRIM(AI$1), PRJGENAlgosMapped, 0), MATCH($A62, PRJGENProjects, 0)), "YES", ""),
      IF(INDEX(RoadmapData, MATCH(TRIM(AI$1), RoadmapDataFeatures, 0), MATCH($A62, RoadmapDataProjects, 0)) = "-", "-", INDEX(RoadmapData, MATCH(TRIM(AI$1), RoadmapDataFeatures, 0), MATCH($A62, RoadmapDataProjects, 0)))),
""),
"")</f>
        <v/>
      </c>
      <c r="AJ62" s="444" t="str">
        <f t="shared" si="63"/>
        <v/>
      </c>
      <c r="AK62" s="444" t="str">
        <f t="shared" si="63"/>
        <v/>
      </c>
      <c r="AL62" s="444" t="str">
        <f t="shared" si="63"/>
        <v/>
      </c>
      <c r="AM62" s="444" t="str">
        <f t="shared" si="63"/>
        <v/>
      </c>
      <c r="AN62" s="444" t="str">
        <f t="shared" si="63"/>
        <v/>
      </c>
      <c r="AO62" s="444" t="str">
        <f t="shared" si="63"/>
        <v/>
      </c>
      <c r="AP62" s="444" t="str">
        <f t="shared" si="63"/>
        <v/>
      </c>
      <c r="AQ62" s="444" t="str">
        <f t="shared" si="63"/>
        <v/>
      </c>
      <c r="AR62" s="444" t="str">
        <f t="shared" si="63"/>
        <v/>
      </c>
      <c r="AS62" s="444" t="str">
        <f t="shared" ref="AS62:BB71" si="64" xml:space="preserve">
IFERROR(
_xlfn.IFNA(
   IF($B62="PLT",
      IF(INDEX(PRJGENVersions, MATCH(TRIM(AS$1), PRJGENAlgosMapped, 0), MATCH($A62, PRJGENProjects, 0)), "YES", ""),
      IF(INDEX(RoadmapData, MATCH(TRIM(AS$1), RoadmapDataFeatures, 0), MATCH($A62, RoadmapDataProjects, 0)) = "-", "-", INDEX(RoadmapData, MATCH(TRIM(AS$1), RoadmapDataFeatures, 0), MATCH($A62, RoadmapDataProjects, 0)))),
""),
"")</f>
        <v/>
      </c>
      <c r="AT62" s="444" t="str">
        <f t="shared" si="64"/>
        <v/>
      </c>
      <c r="AU62" s="444" t="str">
        <f t="shared" si="64"/>
        <v/>
      </c>
      <c r="AV62" s="444" t="str">
        <f t="shared" si="64"/>
        <v/>
      </c>
      <c r="AW62" s="444" t="str">
        <f t="shared" si="64"/>
        <v/>
      </c>
      <c r="AX62" s="444" t="str">
        <f t="shared" si="64"/>
        <v/>
      </c>
      <c r="AY62" s="444" t="str">
        <f t="shared" si="64"/>
        <v/>
      </c>
      <c r="AZ62" s="444" t="str">
        <f t="shared" si="64"/>
        <v/>
      </c>
      <c r="BA62" s="444" t="str">
        <f t="shared" si="64"/>
        <v/>
      </c>
      <c r="BB62" s="444" t="str">
        <f t="shared" si="64"/>
        <v/>
      </c>
      <c r="BC62" s="444" t="str">
        <f t="shared" ref="BC62:BH71" si="65" xml:space="preserve">
IFERROR(
_xlfn.IFNA(
   IF($B62="PLT",
      IF(INDEX(PRJGENVersions, MATCH(TRIM(BC$1), PRJGENAlgosMapped, 0), MATCH($A62, PRJGENProjects, 0)), "YES", ""),
      IF(INDEX(RoadmapData, MATCH(TRIM(BC$1), RoadmapDataFeatures, 0), MATCH($A62, RoadmapDataProjects, 0)) = "-", "-", INDEX(RoadmapData, MATCH(TRIM(BC$1), RoadmapDataFeatures, 0), MATCH($A62, RoadmapDataProjects, 0)))),
""),
"")</f>
        <v/>
      </c>
      <c r="BD62" s="444" t="str">
        <f t="shared" si="65"/>
        <v/>
      </c>
      <c r="BE62" s="444" t="str">
        <f t="shared" si="65"/>
        <v/>
      </c>
      <c r="BF62" s="444" t="str">
        <f t="shared" si="65"/>
        <v/>
      </c>
      <c r="BG62" s="444" t="str">
        <f t="shared" si="65"/>
        <v/>
      </c>
      <c r="BH62" s="445" t="str">
        <f t="shared" si="65"/>
        <v/>
      </c>
      <c r="BI62" s="502"/>
      <c r="BJ62" s="474" t="str">
        <f t="shared" ref="BJ62:BS71" si="66">_xlfn.IFNA(IF(INDEX(RoadmapData, MATCH(TRIM(BJ$1), RoadmapDataFeatures, 0), MATCH($A62, RoadmapDataProjects, 0)) = "-", "-", INDEX(RoadmapData, MATCH(TRIM(BJ$1), RoadmapDataFeatures, 0), MATCH($A62, RoadmapDataProjects, 0))), "")</f>
        <v/>
      </c>
      <c r="BK62" s="475" t="str">
        <f t="shared" si="66"/>
        <v/>
      </c>
      <c r="BL62" s="475" t="str">
        <f t="shared" si="66"/>
        <v/>
      </c>
      <c r="BM62" s="475" t="str">
        <f t="shared" si="66"/>
        <v/>
      </c>
      <c r="BN62" s="475" t="str">
        <f t="shared" si="66"/>
        <v/>
      </c>
      <c r="BO62" s="475" t="str">
        <f t="shared" si="66"/>
        <v/>
      </c>
      <c r="BP62" s="475" t="str">
        <f t="shared" si="66"/>
        <v/>
      </c>
      <c r="BQ62" s="475" t="str">
        <f t="shared" si="66"/>
        <v/>
      </c>
      <c r="BR62" s="475" t="str">
        <f t="shared" si="66"/>
        <v/>
      </c>
      <c r="BS62" s="475" t="str">
        <f t="shared" si="66"/>
        <v/>
      </c>
      <c r="BT62" s="475" t="str">
        <f t="shared" ref="BT62:CC71" si="67">_xlfn.IFNA(IF(INDEX(RoadmapData, MATCH(TRIM(BT$1), RoadmapDataFeatures, 0), MATCH($A62, RoadmapDataProjects, 0)) = "-", "-", INDEX(RoadmapData, MATCH(TRIM(BT$1), RoadmapDataFeatures, 0), MATCH($A62, RoadmapDataProjects, 0))), "")</f>
        <v/>
      </c>
      <c r="BU62" s="475" t="str">
        <f t="shared" si="67"/>
        <v/>
      </c>
      <c r="BV62" s="475" t="str">
        <f t="shared" si="67"/>
        <v/>
      </c>
      <c r="BW62" s="475" t="str">
        <f t="shared" si="67"/>
        <v/>
      </c>
      <c r="BX62" s="475" t="str">
        <f t="shared" si="67"/>
        <v/>
      </c>
      <c r="BY62" s="475" t="str">
        <f t="shared" si="67"/>
        <v/>
      </c>
      <c r="BZ62" s="475" t="str">
        <f t="shared" si="67"/>
        <v/>
      </c>
      <c r="CA62" s="475" t="str">
        <f t="shared" si="67"/>
        <v/>
      </c>
      <c r="CB62" s="475" t="str">
        <f t="shared" si="67"/>
        <v/>
      </c>
      <c r="CC62" s="475" t="str">
        <f t="shared" si="67"/>
        <v/>
      </c>
      <c r="CD62" s="475" t="str">
        <f t="shared" ref="CD62:CM71" si="68">_xlfn.IFNA(IF(INDEX(RoadmapData, MATCH(TRIM(CD$1), RoadmapDataFeatures, 0), MATCH($A62, RoadmapDataProjects, 0)) = "-", "-", INDEX(RoadmapData, MATCH(TRIM(CD$1), RoadmapDataFeatures, 0), MATCH($A62, RoadmapDataProjects, 0))), "")</f>
        <v/>
      </c>
      <c r="CE62" s="475" t="str">
        <f t="shared" si="68"/>
        <v/>
      </c>
      <c r="CF62" s="475" t="str">
        <f t="shared" si="68"/>
        <v/>
      </c>
      <c r="CG62" s="475" t="str">
        <f t="shared" si="68"/>
        <v/>
      </c>
      <c r="CH62" s="475" t="str">
        <f t="shared" si="68"/>
        <v/>
      </c>
      <c r="CI62" s="475" t="str">
        <f t="shared" si="68"/>
        <v/>
      </c>
      <c r="CJ62" s="475" t="str">
        <f t="shared" si="68"/>
        <v/>
      </c>
      <c r="CK62" s="475" t="str">
        <f t="shared" si="68"/>
        <v/>
      </c>
      <c r="CL62" s="475" t="str">
        <f t="shared" si="68"/>
        <v/>
      </c>
      <c r="CM62" s="475" t="str">
        <f t="shared" si="68"/>
        <v/>
      </c>
      <c r="CN62" s="475" t="str">
        <f t="shared" ref="CN62:CZ71" si="69">_xlfn.IFNA(IF(INDEX(RoadmapData, MATCH(TRIM(CN$1), RoadmapDataFeatures, 0), MATCH($A62, RoadmapDataProjects, 0)) = "-", "-", INDEX(RoadmapData, MATCH(TRIM(CN$1), RoadmapDataFeatures, 0), MATCH($A62, RoadmapDataProjects, 0))), "")</f>
        <v/>
      </c>
      <c r="CO62" s="475" t="str">
        <f t="shared" si="69"/>
        <v/>
      </c>
      <c r="CP62" s="475" t="str">
        <f t="shared" si="69"/>
        <v/>
      </c>
      <c r="CQ62" s="475" t="str">
        <f t="shared" si="69"/>
        <v/>
      </c>
      <c r="CR62" s="475" t="str">
        <f t="shared" si="69"/>
        <v/>
      </c>
      <c r="CS62" s="475" t="str">
        <f t="shared" si="69"/>
        <v/>
      </c>
      <c r="CT62" s="475" t="str">
        <f t="shared" si="69"/>
        <v/>
      </c>
      <c r="CU62" s="475" t="str">
        <f t="shared" si="69"/>
        <v/>
      </c>
      <c r="CV62" s="475" t="str">
        <f t="shared" si="69"/>
        <v/>
      </c>
      <c r="CW62" s="475" t="str">
        <f t="shared" si="69"/>
        <v/>
      </c>
      <c r="CX62" s="475" t="str">
        <f t="shared" si="69"/>
        <v/>
      </c>
      <c r="CY62" s="475" t="str">
        <f t="shared" si="69"/>
        <v/>
      </c>
      <c r="CZ62" s="495" t="str">
        <f t="shared" si="69"/>
        <v/>
      </c>
      <c r="DA62" s="502"/>
      <c r="DB62" s="460"/>
      <c r="DC62" s="465"/>
      <c r="DD62" s="463"/>
      <c r="DE62" s="512"/>
      <c r="DF62" s="516"/>
      <c r="DG62" s="508"/>
      <c r="DH62" s="463"/>
      <c r="DI62" s="461"/>
      <c r="DJ62" s="461"/>
      <c r="DK62" s="461"/>
      <c r="DL62" s="464"/>
      <c r="DM62" s="466"/>
      <c r="DN62" s="502"/>
      <c r="DO62" s="460"/>
      <c r="DP62" s="464"/>
      <c r="DQ62" s="464"/>
      <c r="DR62" s="464"/>
      <c r="DS62" s="508"/>
      <c r="DT62" s="525"/>
      <c r="DU62" s="525"/>
      <c r="DV62" s="463"/>
      <c r="DW62" s="464"/>
      <c r="DX62" s="465"/>
      <c r="DY62" s="463"/>
      <c r="DZ62" s="464"/>
      <c r="EA62" s="465"/>
      <c r="EB62" s="463"/>
      <c r="EC62" s="465"/>
      <c r="ED62" s="462"/>
      <c r="EE62" s="502"/>
      <c r="EF62" s="463"/>
      <c r="EG62" s="461"/>
      <c r="EH62" s="464"/>
      <c r="EI62" s="464"/>
      <c r="EJ62" s="464"/>
      <c r="EK62" s="464"/>
      <c r="EL62" s="464"/>
      <c r="EM62" s="464"/>
      <c r="EN62" s="464"/>
      <c r="EO62" s="464"/>
      <c r="EP62" s="464"/>
      <c r="EQ62" s="464"/>
      <c r="ER62" s="464"/>
      <c r="ES62" s="464"/>
      <c r="ET62" s="464"/>
      <c r="EU62" s="464"/>
      <c r="EV62" s="464"/>
      <c r="EW62" s="465"/>
      <c r="EX62" s="465"/>
      <c r="EY62" s="502"/>
      <c r="EZ62" s="460"/>
      <c r="FA62" s="464"/>
      <c r="FB62" s="464"/>
      <c r="FC62" s="464"/>
      <c r="FD62" s="464"/>
      <c r="FE62" s="464"/>
      <c r="FF62" s="464"/>
      <c r="FG62" s="466"/>
    </row>
    <row r="63" spans="1:163">
      <c r="A63" s="467" t="s">
        <v>250</v>
      </c>
      <c r="B63" s="471" t="str">
        <f>IF(ISNUMBER(MATCH(A63, 'Pulldown Data'!W:W, 0))=TRUE, "Y", IF(ISNUMBER(MATCH(A63, 'Pulldown Data'!X:X, 0))=TRUE, "M", ""))</f>
        <v/>
      </c>
      <c r="C63" s="504"/>
      <c r="D63" s="502"/>
      <c r="E63" s="443" t="str">
        <f t="shared" si="60"/>
        <v/>
      </c>
      <c r="F63" s="444" t="str">
        <f t="shared" si="60"/>
        <v/>
      </c>
      <c r="G63" s="444" t="str">
        <f t="shared" si="60"/>
        <v/>
      </c>
      <c r="H63" s="444" t="str">
        <f t="shared" si="60"/>
        <v/>
      </c>
      <c r="I63" s="444" t="str">
        <f t="shared" si="60"/>
        <v/>
      </c>
      <c r="J63" s="444" t="str">
        <f t="shared" si="60"/>
        <v/>
      </c>
      <c r="K63" s="444" t="str">
        <f t="shared" si="60"/>
        <v/>
      </c>
      <c r="L63" s="444" t="str">
        <f t="shared" si="60"/>
        <v/>
      </c>
      <c r="M63" s="444" t="str">
        <f t="shared" si="60"/>
        <v/>
      </c>
      <c r="N63" s="444" t="str">
        <f t="shared" si="60"/>
        <v/>
      </c>
      <c r="O63" s="444" t="str">
        <f t="shared" si="61"/>
        <v/>
      </c>
      <c r="P63" s="444" t="str">
        <f t="shared" si="61"/>
        <v/>
      </c>
      <c r="Q63" s="444" t="str">
        <f t="shared" si="61"/>
        <v/>
      </c>
      <c r="R63" s="444" t="str">
        <f t="shared" si="61"/>
        <v/>
      </c>
      <c r="S63" s="444" t="str">
        <f t="shared" si="61"/>
        <v/>
      </c>
      <c r="T63" s="444" t="str">
        <f t="shared" si="61"/>
        <v/>
      </c>
      <c r="U63" s="444" t="str">
        <f t="shared" si="61"/>
        <v/>
      </c>
      <c r="V63" s="444" t="str">
        <f t="shared" si="61"/>
        <v/>
      </c>
      <c r="W63" s="444" t="str">
        <f t="shared" si="61"/>
        <v/>
      </c>
      <c r="X63" s="444" t="str">
        <f t="shared" si="61"/>
        <v/>
      </c>
      <c r="Y63" s="444" t="str">
        <f t="shared" si="62"/>
        <v/>
      </c>
      <c r="Z63" s="444" t="str">
        <f t="shared" si="62"/>
        <v/>
      </c>
      <c r="AA63" s="444" t="str">
        <f t="shared" si="62"/>
        <v/>
      </c>
      <c r="AB63" s="444" t="str">
        <f t="shared" si="62"/>
        <v/>
      </c>
      <c r="AC63" s="444" t="str">
        <f t="shared" si="62"/>
        <v/>
      </c>
      <c r="AD63" s="444" t="str">
        <f t="shared" si="62"/>
        <v/>
      </c>
      <c r="AE63" s="444" t="str">
        <f t="shared" si="62"/>
        <v/>
      </c>
      <c r="AF63" s="444" t="str">
        <f t="shared" si="62"/>
        <v/>
      </c>
      <c r="AG63" s="444" t="str">
        <f t="shared" si="62"/>
        <v/>
      </c>
      <c r="AH63" s="444" t="str">
        <f t="shared" si="62"/>
        <v/>
      </c>
      <c r="AI63" s="444" t="str">
        <f t="shared" si="63"/>
        <v/>
      </c>
      <c r="AJ63" s="444" t="str">
        <f t="shared" si="63"/>
        <v/>
      </c>
      <c r="AK63" s="444" t="str">
        <f t="shared" si="63"/>
        <v/>
      </c>
      <c r="AL63" s="444" t="str">
        <f t="shared" si="63"/>
        <v/>
      </c>
      <c r="AM63" s="444" t="str">
        <f t="shared" si="63"/>
        <v/>
      </c>
      <c r="AN63" s="444" t="str">
        <f t="shared" si="63"/>
        <v/>
      </c>
      <c r="AO63" s="444" t="str">
        <f t="shared" si="63"/>
        <v/>
      </c>
      <c r="AP63" s="444" t="str">
        <f t="shared" si="63"/>
        <v/>
      </c>
      <c r="AQ63" s="444" t="str">
        <f t="shared" si="63"/>
        <v/>
      </c>
      <c r="AR63" s="444" t="str">
        <f t="shared" si="63"/>
        <v/>
      </c>
      <c r="AS63" s="444" t="str">
        <f t="shared" si="64"/>
        <v/>
      </c>
      <c r="AT63" s="444" t="str">
        <f t="shared" si="64"/>
        <v/>
      </c>
      <c r="AU63" s="444" t="str">
        <f t="shared" si="64"/>
        <v/>
      </c>
      <c r="AV63" s="444" t="str">
        <f t="shared" si="64"/>
        <v/>
      </c>
      <c r="AW63" s="444" t="str">
        <f t="shared" si="64"/>
        <v/>
      </c>
      <c r="AX63" s="444" t="str">
        <f t="shared" si="64"/>
        <v/>
      </c>
      <c r="AY63" s="444" t="str">
        <f t="shared" si="64"/>
        <v/>
      </c>
      <c r="AZ63" s="444" t="str">
        <f t="shared" si="64"/>
        <v/>
      </c>
      <c r="BA63" s="444" t="str">
        <f t="shared" si="64"/>
        <v/>
      </c>
      <c r="BB63" s="444" t="str">
        <f t="shared" si="64"/>
        <v/>
      </c>
      <c r="BC63" s="444" t="str">
        <f t="shared" si="65"/>
        <v/>
      </c>
      <c r="BD63" s="444" t="str">
        <f t="shared" si="65"/>
        <v/>
      </c>
      <c r="BE63" s="444" t="str">
        <f t="shared" si="65"/>
        <v/>
      </c>
      <c r="BF63" s="444" t="str">
        <f t="shared" si="65"/>
        <v/>
      </c>
      <c r="BG63" s="444" t="str">
        <f t="shared" si="65"/>
        <v/>
      </c>
      <c r="BH63" s="445" t="str">
        <f t="shared" si="65"/>
        <v/>
      </c>
      <c r="BI63" s="502"/>
      <c r="BJ63" s="474" t="str">
        <f t="shared" si="66"/>
        <v/>
      </c>
      <c r="BK63" s="475" t="str">
        <f t="shared" si="66"/>
        <v/>
      </c>
      <c r="BL63" s="475" t="str">
        <f t="shared" si="66"/>
        <v/>
      </c>
      <c r="BM63" s="475" t="str">
        <f t="shared" si="66"/>
        <v/>
      </c>
      <c r="BN63" s="475" t="str">
        <f t="shared" si="66"/>
        <v/>
      </c>
      <c r="BO63" s="475" t="str">
        <f t="shared" si="66"/>
        <v/>
      </c>
      <c r="BP63" s="475" t="str">
        <f t="shared" si="66"/>
        <v/>
      </c>
      <c r="BQ63" s="475" t="str">
        <f t="shared" si="66"/>
        <v/>
      </c>
      <c r="BR63" s="475" t="str">
        <f t="shared" si="66"/>
        <v/>
      </c>
      <c r="BS63" s="475" t="str">
        <f t="shared" si="66"/>
        <v/>
      </c>
      <c r="BT63" s="475" t="str">
        <f t="shared" si="67"/>
        <v/>
      </c>
      <c r="BU63" s="475" t="str">
        <f t="shared" si="67"/>
        <v/>
      </c>
      <c r="BV63" s="475" t="str">
        <f t="shared" si="67"/>
        <v/>
      </c>
      <c r="BW63" s="475" t="str">
        <f t="shared" si="67"/>
        <v/>
      </c>
      <c r="BX63" s="475" t="str">
        <f t="shared" si="67"/>
        <v/>
      </c>
      <c r="BY63" s="475" t="str">
        <f t="shared" si="67"/>
        <v/>
      </c>
      <c r="BZ63" s="475" t="str">
        <f t="shared" si="67"/>
        <v/>
      </c>
      <c r="CA63" s="475" t="str">
        <f t="shared" si="67"/>
        <v/>
      </c>
      <c r="CB63" s="475" t="str">
        <f t="shared" si="67"/>
        <v/>
      </c>
      <c r="CC63" s="475" t="str">
        <f t="shared" si="67"/>
        <v/>
      </c>
      <c r="CD63" s="475" t="str">
        <f t="shared" si="68"/>
        <v/>
      </c>
      <c r="CE63" s="475" t="str">
        <f t="shared" si="68"/>
        <v/>
      </c>
      <c r="CF63" s="475" t="str">
        <f t="shared" si="68"/>
        <v/>
      </c>
      <c r="CG63" s="475" t="str">
        <f t="shared" si="68"/>
        <v/>
      </c>
      <c r="CH63" s="475" t="str">
        <f t="shared" si="68"/>
        <v/>
      </c>
      <c r="CI63" s="475" t="str">
        <f t="shared" si="68"/>
        <v/>
      </c>
      <c r="CJ63" s="475" t="str">
        <f t="shared" si="68"/>
        <v/>
      </c>
      <c r="CK63" s="475" t="str">
        <f t="shared" si="68"/>
        <v/>
      </c>
      <c r="CL63" s="475" t="str">
        <f t="shared" si="68"/>
        <v/>
      </c>
      <c r="CM63" s="475" t="str">
        <f t="shared" si="68"/>
        <v/>
      </c>
      <c r="CN63" s="475" t="str">
        <f t="shared" si="69"/>
        <v/>
      </c>
      <c r="CO63" s="475" t="str">
        <f t="shared" si="69"/>
        <v/>
      </c>
      <c r="CP63" s="475" t="str">
        <f t="shared" si="69"/>
        <v/>
      </c>
      <c r="CQ63" s="475" t="str">
        <f t="shared" si="69"/>
        <v/>
      </c>
      <c r="CR63" s="475" t="str">
        <f t="shared" si="69"/>
        <v/>
      </c>
      <c r="CS63" s="475" t="str">
        <f t="shared" si="69"/>
        <v/>
      </c>
      <c r="CT63" s="475" t="str">
        <f t="shared" si="69"/>
        <v/>
      </c>
      <c r="CU63" s="475" t="str">
        <f t="shared" si="69"/>
        <v/>
      </c>
      <c r="CV63" s="475" t="str">
        <f t="shared" si="69"/>
        <v/>
      </c>
      <c r="CW63" s="475" t="str">
        <f t="shared" si="69"/>
        <v/>
      </c>
      <c r="CX63" s="475" t="str">
        <f t="shared" si="69"/>
        <v/>
      </c>
      <c r="CY63" s="475" t="str">
        <f t="shared" si="69"/>
        <v/>
      </c>
      <c r="CZ63" s="495" t="str">
        <f t="shared" si="69"/>
        <v/>
      </c>
      <c r="DA63" s="502"/>
      <c r="DB63" s="460"/>
      <c r="DC63" s="465"/>
      <c r="DD63" s="463"/>
      <c r="DE63" s="512"/>
      <c r="DF63" s="516"/>
      <c r="DG63" s="508"/>
      <c r="DH63" s="463"/>
      <c r="DI63" s="461"/>
      <c r="DJ63" s="461"/>
      <c r="DK63" s="461"/>
      <c r="DL63" s="464"/>
      <c r="DM63" s="466"/>
      <c r="DN63" s="502"/>
      <c r="DO63" s="460"/>
      <c r="DP63" s="464"/>
      <c r="DQ63" s="464"/>
      <c r="DR63" s="464"/>
      <c r="DS63" s="508"/>
      <c r="DT63" s="525"/>
      <c r="DU63" s="525"/>
      <c r="DV63" s="463"/>
      <c r="DW63" s="464"/>
      <c r="DX63" s="465"/>
      <c r="DY63" s="463"/>
      <c r="DZ63" s="464"/>
      <c r="EA63" s="465"/>
      <c r="EB63" s="463"/>
      <c r="EC63" s="465"/>
      <c r="ED63" s="462"/>
      <c r="EE63" s="502"/>
      <c r="EF63" s="463"/>
      <c r="EG63" s="461"/>
      <c r="EH63" s="464"/>
      <c r="EI63" s="464"/>
      <c r="EJ63" s="464"/>
      <c r="EK63" s="464"/>
      <c r="EL63" s="464"/>
      <c r="EM63" s="464"/>
      <c r="EN63" s="464"/>
      <c r="EO63" s="464"/>
      <c r="EP63" s="464"/>
      <c r="EQ63" s="464"/>
      <c r="ER63" s="464"/>
      <c r="ES63" s="464"/>
      <c r="ET63" s="464"/>
      <c r="EU63" s="464"/>
      <c r="EV63" s="464"/>
      <c r="EW63" s="465"/>
      <c r="EX63" s="465"/>
      <c r="EY63" s="502"/>
      <c r="EZ63" s="460"/>
      <c r="FA63" s="464"/>
      <c r="FB63" s="464"/>
      <c r="FC63" s="464"/>
      <c r="FD63" s="464"/>
      <c r="FE63" s="464"/>
      <c r="FF63" s="464"/>
      <c r="FG63" s="466"/>
    </row>
    <row r="64" spans="1:163">
      <c r="A64" s="467" t="s">
        <v>251</v>
      </c>
      <c r="B64" s="471" t="str">
        <f>IF(ISNUMBER(MATCH(A64, 'Pulldown Data'!W:W, 0))=TRUE, "Y", IF(ISNUMBER(MATCH(A64, 'Pulldown Data'!X:X, 0))=TRUE, "M", ""))</f>
        <v/>
      </c>
      <c r="C64" s="504"/>
      <c r="D64" s="502"/>
      <c r="E64" s="443" t="str">
        <f t="shared" si="60"/>
        <v/>
      </c>
      <c r="F64" s="444" t="str">
        <f t="shared" si="60"/>
        <v/>
      </c>
      <c r="G64" s="444" t="str">
        <f t="shared" si="60"/>
        <v/>
      </c>
      <c r="H64" s="444" t="str">
        <f t="shared" si="60"/>
        <v/>
      </c>
      <c r="I64" s="444" t="str">
        <f t="shared" si="60"/>
        <v/>
      </c>
      <c r="J64" s="444" t="str">
        <f t="shared" si="60"/>
        <v/>
      </c>
      <c r="K64" s="444" t="str">
        <f t="shared" si="60"/>
        <v/>
      </c>
      <c r="L64" s="444" t="str">
        <f t="shared" si="60"/>
        <v/>
      </c>
      <c r="M64" s="444" t="str">
        <f t="shared" si="60"/>
        <v/>
      </c>
      <c r="N64" s="444" t="str">
        <f t="shared" si="60"/>
        <v/>
      </c>
      <c r="O64" s="444" t="str">
        <f t="shared" si="61"/>
        <v/>
      </c>
      <c r="P64" s="444" t="str">
        <f t="shared" si="61"/>
        <v/>
      </c>
      <c r="Q64" s="444" t="str">
        <f t="shared" si="61"/>
        <v/>
      </c>
      <c r="R64" s="444" t="str">
        <f t="shared" si="61"/>
        <v/>
      </c>
      <c r="S64" s="444" t="str">
        <f t="shared" si="61"/>
        <v/>
      </c>
      <c r="T64" s="444" t="str">
        <f t="shared" si="61"/>
        <v/>
      </c>
      <c r="U64" s="444" t="str">
        <f t="shared" si="61"/>
        <v/>
      </c>
      <c r="V64" s="444" t="str">
        <f t="shared" si="61"/>
        <v/>
      </c>
      <c r="W64" s="444" t="str">
        <f t="shared" si="61"/>
        <v/>
      </c>
      <c r="X64" s="444" t="str">
        <f t="shared" si="61"/>
        <v/>
      </c>
      <c r="Y64" s="444" t="str">
        <f t="shared" si="62"/>
        <v/>
      </c>
      <c r="Z64" s="444" t="str">
        <f t="shared" si="62"/>
        <v/>
      </c>
      <c r="AA64" s="444" t="str">
        <f t="shared" si="62"/>
        <v/>
      </c>
      <c r="AB64" s="444" t="str">
        <f t="shared" si="62"/>
        <v/>
      </c>
      <c r="AC64" s="444" t="str">
        <f t="shared" si="62"/>
        <v/>
      </c>
      <c r="AD64" s="444" t="str">
        <f t="shared" si="62"/>
        <v/>
      </c>
      <c r="AE64" s="444" t="str">
        <f t="shared" si="62"/>
        <v/>
      </c>
      <c r="AF64" s="444" t="str">
        <f t="shared" si="62"/>
        <v/>
      </c>
      <c r="AG64" s="444" t="str">
        <f t="shared" si="62"/>
        <v/>
      </c>
      <c r="AH64" s="444" t="str">
        <f t="shared" si="62"/>
        <v/>
      </c>
      <c r="AI64" s="444" t="str">
        <f t="shared" si="63"/>
        <v/>
      </c>
      <c r="AJ64" s="444" t="str">
        <f t="shared" si="63"/>
        <v/>
      </c>
      <c r="AK64" s="444" t="str">
        <f t="shared" si="63"/>
        <v/>
      </c>
      <c r="AL64" s="444" t="str">
        <f t="shared" si="63"/>
        <v/>
      </c>
      <c r="AM64" s="444" t="str">
        <f t="shared" si="63"/>
        <v/>
      </c>
      <c r="AN64" s="444" t="str">
        <f t="shared" si="63"/>
        <v/>
      </c>
      <c r="AO64" s="444" t="str">
        <f t="shared" si="63"/>
        <v/>
      </c>
      <c r="AP64" s="444" t="str">
        <f t="shared" si="63"/>
        <v/>
      </c>
      <c r="AQ64" s="444" t="str">
        <f t="shared" si="63"/>
        <v/>
      </c>
      <c r="AR64" s="444" t="str">
        <f t="shared" si="63"/>
        <v/>
      </c>
      <c r="AS64" s="444" t="str">
        <f t="shared" si="64"/>
        <v/>
      </c>
      <c r="AT64" s="444" t="str">
        <f t="shared" si="64"/>
        <v/>
      </c>
      <c r="AU64" s="444" t="str">
        <f t="shared" si="64"/>
        <v/>
      </c>
      <c r="AV64" s="444" t="str">
        <f t="shared" si="64"/>
        <v/>
      </c>
      <c r="AW64" s="444" t="str">
        <f t="shared" si="64"/>
        <v/>
      </c>
      <c r="AX64" s="444" t="str">
        <f t="shared" si="64"/>
        <v/>
      </c>
      <c r="AY64" s="444" t="str">
        <f t="shared" si="64"/>
        <v/>
      </c>
      <c r="AZ64" s="444" t="str">
        <f t="shared" si="64"/>
        <v/>
      </c>
      <c r="BA64" s="444" t="str">
        <f t="shared" si="64"/>
        <v/>
      </c>
      <c r="BB64" s="444" t="str">
        <f t="shared" si="64"/>
        <v/>
      </c>
      <c r="BC64" s="444" t="str">
        <f t="shared" si="65"/>
        <v/>
      </c>
      <c r="BD64" s="444" t="str">
        <f t="shared" si="65"/>
        <v/>
      </c>
      <c r="BE64" s="444" t="str">
        <f t="shared" si="65"/>
        <v/>
      </c>
      <c r="BF64" s="444" t="str">
        <f t="shared" si="65"/>
        <v/>
      </c>
      <c r="BG64" s="444" t="str">
        <f t="shared" si="65"/>
        <v/>
      </c>
      <c r="BH64" s="445" t="str">
        <f t="shared" si="65"/>
        <v/>
      </c>
      <c r="BI64" s="502"/>
      <c r="BJ64" s="474" t="str">
        <f t="shared" si="66"/>
        <v/>
      </c>
      <c r="BK64" s="475" t="str">
        <f t="shared" si="66"/>
        <v/>
      </c>
      <c r="BL64" s="475" t="str">
        <f t="shared" si="66"/>
        <v/>
      </c>
      <c r="BM64" s="475" t="str">
        <f t="shared" si="66"/>
        <v/>
      </c>
      <c r="BN64" s="475" t="str">
        <f t="shared" si="66"/>
        <v/>
      </c>
      <c r="BO64" s="475" t="str">
        <f t="shared" si="66"/>
        <v/>
      </c>
      <c r="BP64" s="475" t="str">
        <f t="shared" si="66"/>
        <v/>
      </c>
      <c r="BQ64" s="475" t="str">
        <f t="shared" si="66"/>
        <v/>
      </c>
      <c r="BR64" s="475" t="str">
        <f t="shared" si="66"/>
        <v/>
      </c>
      <c r="BS64" s="475" t="str">
        <f t="shared" si="66"/>
        <v/>
      </c>
      <c r="BT64" s="475" t="str">
        <f t="shared" si="67"/>
        <v/>
      </c>
      <c r="BU64" s="475" t="str">
        <f t="shared" si="67"/>
        <v/>
      </c>
      <c r="BV64" s="475" t="str">
        <f t="shared" si="67"/>
        <v/>
      </c>
      <c r="BW64" s="475" t="str">
        <f t="shared" si="67"/>
        <v/>
      </c>
      <c r="BX64" s="475" t="str">
        <f t="shared" si="67"/>
        <v/>
      </c>
      <c r="BY64" s="475" t="str">
        <f t="shared" si="67"/>
        <v/>
      </c>
      <c r="BZ64" s="475" t="str">
        <f t="shared" si="67"/>
        <v/>
      </c>
      <c r="CA64" s="475" t="str">
        <f t="shared" si="67"/>
        <v/>
      </c>
      <c r="CB64" s="475" t="str">
        <f t="shared" si="67"/>
        <v/>
      </c>
      <c r="CC64" s="475" t="str">
        <f t="shared" si="67"/>
        <v/>
      </c>
      <c r="CD64" s="475" t="str">
        <f t="shared" si="68"/>
        <v/>
      </c>
      <c r="CE64" s="475" t="str">
        <f t="shared" si="68"/>
        <v/>
      </c>
      <c r="CF64" s="475" t="str">
        <f t="shared" si="68"/>
        <v/>
      </c>
      <c r="CG64" s="475" t="str">
        <f t="shared" si="68"/>
        <v/>
      </c>
      <c r="CH64" s="475" t="str">
        <f t="shared" si="68"/>
        <v/>
      </c>
      <c r="CI64" s="475" t="str">
        <f t="shared" si="68"/>
        <v/>
      </c>
      <c r="CJ64" s="475" t="str">
        <f t="shared" si="68"/>
        <v/>
      </c>
      <c r="CK64" s="475" t="str">
        <f t="shared" si="68"/>
        <v/>
      </c>
      <c r="CL64" s="475" t="str">
        <f t="shared" si="68"/>
        <v/>
      </c>
      <c r="CM64" s="475" t="str">
        <f t="shared" si="68"/>
        <v/>
      </c>
      <c r="CN64" s="475" t="str">
        <f t="shared" si="69"/>
        <v/>
      </c>
      <c r="CO64" s="475" t="str">
        <f t="shared" si="69"/>
        <v/>
      </c>
      <c r="CP64" s="475" t="str">
        <f t="shared" si="69"/>
        <v/>
      </c>
      <c r="CQ64" s="475" t="str">
        <f t="shared" si="69"/>
        <v/>
      </c>
      <c r="CR64" s="475" t="str">
        <f t="shared" si="69"/>
        <v/>
      </c>
      <c r="CS64" s="475" t="str">
        <f t="shared" si="69"/>
        <v/>
      </c>
      <c r="CT64" s="475" t="str">
        <f t="shared" si="69"/>
        <v/>
      </c>
      <c r="CU64" s="475" t="str">
        <f t="shared" si="69"/>
        <v/>
      </c>
      <c r="CV64" s="475" t="str">
        <f t="shared" si="69"/>
        <v/>
      </c>
      <c r="CW64" s="475" t="str">
        <f t="shared" si="69"/>
        <v/>
      </c>
      <c r="CX64" s="475" t="str">
        <f t="shared" si="69"/>
        <v/>
      </c>
      <c r="CY64" s="475" t="str">
        <f t="shared" si="69"/>
        <v/>
      </c>
      <c r="CZ64" s="495" t="str">
        <f t="shared" si="69"/>
        <v/>
      </c>
      <c r="DA64" s="502"/>
      <c r="DB64" s="460"/>
      <c r="DC64" s="465"/>
      <c r="DD64" s="463"/>
      <c r="DE64" s="512"/>
      <c r="DF64" s="516"/>
      <c r="DG64" s="508"/>
      <c r="DH64" s="463"/>
      <c r="DI64" s="461"/>
      <c r="DJ64" s="461"/>
      <c r="DK64" s="461"/>
      <c r="DL64" s="464"/>
      <c r="DM64" s="466"/>
      <c r="DN64" s="502"/>
      <c r="DO64" s="460"/>
      <c r="DP64" s="464"/>
      <c r="DQ64" s="464"/>
      <c r="DR64" s="464"/>
      <c r="DS64" s="508"/>
      <c r="DT64" s="525"/>
      <c r="DU64" s="525"/>
      <c r="DV64" s="463"/>
      <c r="DW64" s="464"/>
      <c r="DX64" s="465"/>
      <c r="DY64" s="463"/>
      <c r="DZ64" s="464"/>
      <c r="EA64" s="465"/>
      <c r="EB64" s="463"/>
      <c r="EC64" s="465"/>
      <c r="ED64" s="462"/>
      <c r="EE64" s="502"/>
      <c r="EF64" s="463"/>
      <c r="EG64" s="461"/>
      <c r="EH64" s="464"/>
      <c r="EI64" s="464"/>
      <c r="EJ64" s="464"/>
      <c r="EK64" s="464"/>
      <c r="EL64" s="464"/>
      <c r="EM64" s="464"/>
      <c r="EN64" s="464"/>
      <c r="EO64" s="464"/>
      <c r="EP64" s="464"/>
      <c r="EQ64" s="464"/>
      <c r="ER64" s="464"/>
      <c r="ES64" s="464"/>
      <c r="ET64" s="464"/>
      <c r="EU64" s="464"/>
      <c r="EV64" s="464"/>
      <c r="EW64" s="465"/>
      <c r="EX64" s="465"/>
      <c r="EY64" s="502"/>
      <c r="EZ64" s="460"/>
      <c r="FA64" s="464"/>
      <c r="FB64" s="464"/>
      <c r="FC64" s="464"/>
      <c r="FD64" s="464"/>
      <c r="FE64" s="464"/>
      <c r="FF64" s="464"/>
      <c r="FG64" s="466"/>
    </row>
    <row r="65" spans="1:163">
      <c r="A65" s="467" t="s">
        <v>252</v>
      </c>
      <c r="B65" s="471" t="str">
        <f>IF(ISNUMBER(MATCH(A65, 'Pulldown Data'!W:W, 0))=TRUE, "Y", IF(ISNUMBER(MATCH(A65, 'Pulldown Data'!X:X, 0))=TRUE, "M", ""))</f>
        <v/>
      </c>
      <c r="C65" s="504"/>
      <c r="D65" s="502"/>
      <c r="E65" s="443" t="str">
        <f t="shared" si="60"/>
        <v/>
      </c>
      <c r="F65" s="444" t="str">
        <f t="shared" si="60"/>
        <v/>
      </c>
      <c r="G65" s="444" t="str">
        <f t="shared" si="60"/>
        <v/>
      </c>
      <c r="H65" s="444" t="str">
        <f t="shared" si="60"/>
        <v/>
      </c>
      <c r="I65" s="444" t="str">
        <f t="shared" si="60"/>
        <v/>
      </c>
      <c r="J65" s="444" t="str">
        <f t="shared" si="60"/>
        <v/>
      </c>
      <c r="K65" s="444" t="str">
        <f t="shared" si="60"/>
        <v/>
      </c>
      <c r="L65" s="444" t="str">
        <f t="shared" si="60"/>
        <v/>
      </c>
      <c r="M65" s="444" t="str">
        <f t="shared" si="60"/>
        <v/>
      </c>
      <c r="N65" s="444" t="str">
        <f t="shared" si="60"/>
        <v/>
      </c>
      <c r="O65" s="444" t="str">
        <f t="shared" si="61"/>
        <v/>
      </c>
      <c r="P65" s="444" t="str">
        <f t="shared" si="61"/>
        <v/>
      </c>
      <c r="Q65" s="444" t="str">
        <f t="shared" si="61"/>
        <v/>
      </c>
      <c r="R65" s="444" t="str">
        <f t="shared" si="61"/>
        <v/>
      </c>
      <c r="S65" s="444" t="str">
        <f t="shared" si="61"/>
        <v/>
      </c>
      <c r="T65" s="444" t="str">
        <f t="shared" si="61"/>
        <v/>
      </c>
      <c r="U65" s="444" t="str">
        <f t="shared" si="61"/>
        <v/>
      </c>
      <c r="V65" s="444" t="str">
        <f t="shared" si="61"/>
        <v/>
      </c>
      <c r="W65" s="444" t="str">
        <f t="shared" si="61"/>
        <v/>
      </c>
      <c r="X65" s="444" t="str">
        <f t="shared" si="61"/>
        <v/>
      </c>
      <c r="Y65" s="444" t="str">
        <f t="shared" si="62"/>
        <v/>
      </c>
      <c r="Z65" s="444" t="str">
        <f t="shared" si="62"/>
        <v/>
      </c>
      <c r="AA65" s="444" t="str">
        <f t="shared" si="62"/>
        <v/>
      </c>
      <c r="AB65" s="444" t="str">
        <f t="shared" si="62"/>
        <v/>
      </c>
      <c r="AC65" s="444" t="str">
        <f t="shared" si="62"/>
        <v/>
      </c>
      <c r="AD65" s="444" t="str">
        <f t="shared" si="62"/>
        <v/>
      </c>
      <c r="AE65" s="444" t="str">
        <f t="shared" si="62"/>
        <v/>
      </c>
      <c r="AF65" s="444" t="str">
        <f t="shared" si="62"/>
        <v/>
      </c>
      <c r="AG65" s="444" t="str">
        <f t="shared" si="62"/>
        <v/>
      </c>
      <c r="AH65" s="444" t="str">
        <f t="shared" si="62"/>
        <v/>
      </c>
      <c r="AI65" s="444" t="str">
        <f t="shared" si="63"/>
        <v/>
      </c>
      <c r="AJ65" s="444" t="str">
        <f t="shared" si="63"/>
        <v/>
      </c>
      <c r="AK65" s="444" t="str">
        <f t="shared" si="63"/>
        <v/>
      </c>
      <c r="AL65" s="444" t="str">
        <f t="shared" si="63"/>
        <v/>
      </c>
      <c r="AM65" s="444" t="str">
        <f t="shared" si="63"/>
        <v/>
      </c>
      <c r="AN65" s="444" t="str">
        <f t="shared" si="63"/>
        <v/>
      </c>
      <c r="AO65" s="444" t="str">
        <f t="shared" si="63"/>
        <v/>
      </c>
      <c r="AP65" s="444" t="str">
        <f t="shared" si="63"/>
        <v/>
      </c>
      <c r="AQ65" s="444" t="str">
        <f t="shared" si="63"/>
        <v/>
      </c>
      <c r="AR65" s="444" t="str">
        <f t="shared" si="63"/>
        <v/>
      </c>
      <c r="AS65" s="444" t="str">
        <f t="shared" si="64"/>
        <v/>
      </c>
      <c r="AT65" s="444" t="str">
        <f t="shared" si="64"/>
        <v/>
      </c>
      <c r="AU65" s="444" t="str">
        <f t="shared" si="64"/>
        <v/>
      </c>
      <c r="AV65" s="444" t="str">
        <f t="shared" si="64"/>
        <v/>
      </c>
      <c r="AW65" s="444" t="str">
        <f t="shared" si="64"/>
        <v/>
      </c>
      <c r="AX65" s="444" t="str">
        <f t="shared" si="64"/>
        <v/>
      </c>
      <c r="AY65" s="444" t="str">
        <f t="shared" si="64"/>
        <v/>
      </c>
      <c r="AZ65" s="444" t="str">
        <f t="shared" si="64"/>
        <v/>
      </c>
      <c r="BA65" s="444" t="str">
        <f t="shared" si="64"/>
        <v/>
      </c>
      <c r="BB65" s="444" t="str">
        <f t="shared" si="64"/>
        <v/>
      </c>
      <c r="BC65" s="444" t="str">
        <f t="shared" si="65"/>
        <v/>
      </c>
      <c r="BD65" s="444" t="str">
        <f t="shared" si="65"/>
        <v/>
      </c>
      <c r="BE65" s="444" t="str">
        <f t="shared" si="65"/>
        <v/>
      </c>
      <c r="BF65" s="444" t="str">
        <f t="shared" si="65"/>
        <v/>
      </c>
      <c r="BG65" s="444" t="str">
        <f t="shared" si="65"/>
        <v/>
      </c>
      <c r="BH65" s="445" t="str">
        <f t="shared" si="65"/>
        <v/>
      </c>
      <c r="BI65" s="502"/>
      <c r="BJ65" s="474" t="str">
        <f t="shared" si="66"/>
        <v/>
      </c>
      <c r="BK65" s="475" t="str">
        <f t="shared" si="66"/>
        <v/>
      </c>
      <c r="BL65" s="475" t="str">
        <f t="shared" si="66"/>
        <v/>
      </c>
      <c r="BM65" s="475" t="str">
        <f t="shared" si="66"/>
        <v/>
      </c>
      <c r="BN65" s="475" t="str">
        <f t="shared" si="66"/>
        <v/>
      </c>
      <c r="BO65" s="475" t="str">
        <f t="shared" si="66"/>
        <v/>
      </c>
      <c r="BP65" s="475" t="str">
        <f t="shared" si="66"/>
        <v/>
      </c>
      <c r="BQ65" s="475" t="str">
        <f t="shared" si="66"/>
        <v/>
      </c>
      <c r="BR65" s="475" t="str">
        <f t="shared" si="66"/>
        <v/>
      </c>
      <c r="BS65" s="475" t="str">
        <f t="shared" si="66"/>
        <v/>
      </c>
      <c r="BT65" s="475" t="str">
        <f t="shared" si="67"/>
        <v/>
      </c>
      <c r="BU65" s="475" t="str">
        <f t="shared" si="67"/>
        <v/>
      </c>
      <c r="BV65" s="475" t="str">
        <f t="shared" si="67"/>
        <v/>
      </c>
      <c r="BW65" s="475" t="str">
        <f t="shared" si="67"/>
        <v/>
      </c>
      <c r="BX65" s="475" t="str">
        <f t="shared" si="67"/>
        <v/>
      </c>
      <c r="BY65" s="475" t="str">
        <f t="shared" si="67"/>
        <v/>
      </c>
      <c r="BZ65" s="475" t="str">
        <f t="shared" si="67"/>
        <v/>
      </c>
      <c r="CA65" s="475" t="str">
        <f t="shared" si="67"/>
        <v/>
      </c>
      <c r="CB65" s="475" t="str">
        <f t="shared" si="67"/>
        <v/>
      </c>
      <c r="CC65" s="475" t="str">
        <f t="shared" si="67"/>
        <v/>
      </c>
      <c r="CD65" s="475" t="str">
        <f t="shared" si="68"/>
        <v/>
      </c>
      <c r="CE65" s="475" t="str">
        <f t="shared" si="68"/>
        <v/>
      </c>
      <c r="CF65" s="475" t="str">
        <f t="shared" si="68"/>
        <v/>
      </c>
      <c r="CG65" s="475" t="str">
        <f t="shared" si="68"/>
        <v/>
      </c>
      <c r="CH65" s="475" t="str">
        <f t="shared" si="68"/>
        <v/>
      </c>
      <c r="CI65" s="475" t="str">
        <f t="shared" si="68"/>
        <v/>
      </c>
      <c r="CJ65" s="475" t="str">
        <f t="shared" si="68"/>
        <v/>
      </c>
      <c r="CK65" s="475" t="str">
        <f t="shared" si="68"/>
        <v/>
      </c>
      <c r="CL65" s="475" t="str">
        <f t="shared" si="68"/>
        <v/>
      </c>
      <c r="CM65" s="475" t="str">
        <f t="shared" si="68"/>
        <v/>
      </c>
      <c r="CN65" s="475" t="str">
        <f t="shared" si="69"/>
        <v/>
      </c>
      <c r="CO65" s="475" t="str">
        <f t="shared" si="69"/>
        <v/>
      </c>
      <c r="CP65" s="475" t="str">
        <f t="shared" si="69"/>
        <v/>
      </c>
      <c r="CQ65" s="475" t="str">
        <f t="shared" si="69"/>
        <v/>
      </c>
      <c r="CR65" s="475" t="str">
        <f t="shared" si="69"/>
        <v/>
      </c>
      <c r="CS65" s="475" t="str">
        <f t="shared" si="69"/>
        <v/>
      </c>
      <c r="CT65" s="475" t="str">
        <f t="shared" si="69"/>
        <v/>
      </c>
      <c r="CU65" s="475" t="str">
        <f t="shared" si="69"/>
        <v/>
      </c>
      <c r="CV65" s="475" t="str">
        <f t="shared" si="69"/>
        <v/>
      </c>
      <c r="CW65" s="475" t="str">
        <f t="shared" si="69"/>
        <v/>
      </c>
      <c r="CX65" s="475" t="str">
        <f t="shared" si="69"/>
        <v/>
      </c>
      <c r="CY65" s="475" t="str">
        <f t="shared" si="69"/>
        <v/>
      </c>
      <c r="CZ65" s="495" t="str">
        <f t="shared" si="69"/>
        <v/>
      </c>
      <c r="DA65" s="502"/>
      <c r="DB65" s="460"/>
      <c r="DC65" s="465"/>
      <c r="DD65" s="463"/>
      <c r="DE65" s="512"/>
      <c r="DF65" s="516"/>
      <c r="DG65" s="508"/>
      <c r="DH65" s="463"/>
      <c r="DI65" s="461"/>
      <c r="DJ65" s="461"/>
      <c r="DK65" s="461"/>
      <c r="DL65" s="464"/>
      <c r="DM65" s="466"/>
      <c r="DN65" s="502"/>
      <c r="DO65" s="460"/>
      <c r="DP65" s="464"/>
      <c r="DQ65" s="464"/>
      <c r="DR65" s="464"/>
      <c r="DS65" s="508"/>
      <c r="DT65" s="525"/>
      <c r="DU65" s="525"/>
      <c r="DV65" s="463"/>
      <c r="DW65" s="464"/>
      <c r="DX65" s="465"/>
      <c r="DY65" s="463"/>
      <c r="DZ65" s="464"/>
      <c r="EA65" s="465"/>
      <c r="EB65" s="463"/>
      <c r="EC65" s="465"/>
      <c r="ED65" s="462"/>
      <c r="EE65" s="502"/>
      <c r="EF65" s="463"/>
      <c r="EG65" s="461"/>
      <c r="EH65" s="464"/>
      <c r="EI65" s="464"/>
      <c r="EJ65" s="464"/>
      <c r="EK65" s="464"/>
      <c r="EL65" s="464"/>
      <c r="EM65" s="464"/>
      <c r="EN65" s="464"/>
      <c r="EO65" s="464"/>
      <c r="EP65" s="464"/>
      <c r="EQ65" s="464"/>
      <c r="ER65" s="464"/>
      <c r="ES65" s="464"/>
      <c r="ET65" s="464"/>
      <c r="EU65" s="464"/>
      <c r="EV65" s="464"/>
      <c r="EW65" s="465"/>
      <c r="EX65" s="465"/>
      <c r="EY65" s="502"/>
      <c r="EZ65" s="460"/>
      <c r="FA65" s="464"/>
      <c r="FB65" s="464"/>
      <c r="FC65" s="464"/>
      <c r="FD65" s="464"/>
      <c r="FE65" s="464"/>
      <c r="FF65" s="464"/>
      <c r="FG65" s="466"/>
    </row>
    <row r="66" spans="1:163">
      <c r="A66" s="467" t="s">
        <v>253</v>
      </c>
      <c r="B66" s="471" t="str">
        <f>IF(ISNUMBER(MATCH(A66, 'Pulldown Data'!W:W, 0))=TRUE, "Y", IF(ISNUMBER(MATCH(A66, 'Pulldown Data'!X:X, 0))=TRUE, "M", ""))</f>
        <v/>
      </c>
      <c r="C66" s="504"/>
      <c r="D66" s="502"/>
      <c r="E66" s="443" t="str">
        <f t="shared" si="60"/>
        <v/>
      </c>
      <c r="F66" s="444" t="str">
        <f t="shared" si="60"/>
        <v/>
      </c>
      <c r="G66" s="444" t="str">
        <f t="shared" si="60"/>
        <v/>
      </c>
      <c r="H66" s="444" t="str">
        <f t="shared" si="60"/>
        <v/>
      </c>
      <c r="I66" s="444" t="str">
        <f t="shared" si="60"/>
        <v/>
      </c>
      <c r="J66" s="444" t="str">
        <f t="shared" si="60"/>
        <v/>
      </c>
      <c r="K66" s="444" t="str">
        <f t="shared" si="60"/>
        <v/>
      </c>
      <c r="L66" s="444" t="str">
        <f t="shared" si="60"/>
        <v/>
      </c>
      <c r="M66" s="444" t="str">
        <f t="shared" si="60"/>
        <v/>
      </c>
      <c r="N66" s="444" t="str">
        <f t="shared" si="60"/>
        <v/>
      </c>
      <c r="O66" s="444" t="str">
        <f t="shared" si="61"/>
        <v/>
      </c>
      <c r="P66" s="444" t="str">
        <f t="shared" si="61"/>
        <v/>
      </c>
      <c r="Q66" s="444" t="str">
        <f t="shared" si="61"/>
        <v/>
      </c>
      <c r="R66" s="444" t="str">
        <f t="shared" si="61"/>
        <v/>
      </c>
      <c r="S66" s="444" t="str">
        <f t="shared" si="61"/>
        <v/>
      </c>
      <c r="T66" s="444" t="str">
        <f t="shared" si="61"/>
        <v/>
      </c>
      <c r="U66" s="444" t="str">
        <f t="shared" si="61"/>
        <v/>
      </c>
      <c r="V66" s="444" t="str">
        <f t="shared" si="61"/>
        <v/>
      </c>
      <c r="W66" s="444" t="str">
        <f t="shared" si="61"/>
        <v/>
      </c>
      <c r="X66" s="444" t="str">
        <f t="shared" si="61"/>
        <v/>
      </c>
      <c r="Y66" s="444" t="str">
        <f t="shared" si="62"/>
        <v/>
      </c>
      <c r="Z66" s="444" t="str">
        <f t="shared" si="62"/>
        <v/>
      </c>
      <c r="AA66" s="444" t="str">
        <f t="shared" si="62"/>
        <v/>
      </c>
      <c r="AB66" s="444" t="str">
        <f t="shared" si="62"/>
        <v/>
      </c>
      <c r="AC66" s="444" t="str">
        <f t="shared" si="62"/>
        <v/>
      </c>
      <c r="AD66" s="444" t="str">
        <f t="shared" si="62"/>
        <v/>
      </c>
      <c r="AE66" s="444" t="str">
        <f t="shared" si="62"/>
        <v/>
      </c>
      <c r="AF66" s="444" t="str">
        <f t="shared" si="62"/>
        <v/>
      </c>
      <c r="AG66" s="444" t="str">
        <f t="shared" si="62"/>
        <v/>
      </c>
      <c r="AH66" s="444" t="str">
        <f t="shared" si="62"/>
        <v/>
      </c>
      <c r="AI66" s="444" t="str">
        <f t="shared" si="63"/>
        <v/>
      </c>
      <c r="AJ66" s="444" t="str">
        <f t="shared" si="63"/>
        <v/>
      </c>
      <c r="AK66" s="444" t="str">
        <f t="shared" si="63"/>
        <v/>
      </c>
      <c r="AL66" s="444" t="str">
        <f t="shared" si="63"/>
        <v/>
      </c>
      <c r="AM66" s="444" t="str">
        <f t="shared" si="63"/>
        <v/>
      </c>
      <c r="AN66" s="444" t="str">
        <f t="shared" si="63"/>
        <v/>
      </c>
      <c r="AO66" s="444" t="str">
        <f t="shared" si="63"/>
        <v/>
      </c>
      <c r="AP66" s="444" t="str">
        <f t="shared" si="63"/>
        <v/>
      </c>
      <c r="AQ66" s="444" t="str">
        <f t="shared" si="63"/>
        <v/>
      </c>
      <c r="AR66" s="444" t="str">
        <f t="shared" si="63"/>
        <v/>
      </c>
      <c r="AS66" s="444" t="str">
        <f t="shared" si="64"/>
        <v/>
      </c>
      <c r="AT66" s="444" t="str">
        <f t="shared" si="64"/>
        <v/>
      </c>
      <c r="AU66" s="444" t="str">
        <f t="shared" si="64"/>
        <v/>
      </c>
      <c r="AV66" s="444" t="str">
        <f t="shared" si="64"/>
        <v/>
      </c>
      <c r="AW66" s="444" t="str">
        <f t="shared" si="64"/>
        <v/>
      </c>
      <c r="AX66" s="444" t="str">
        <f t="shared" si="64"/>
        <v/>
      </c>
      <c r="AY66" s="444" t="str">
        <f t="shared" si="64"/>
        <v/>
      </c>
      <c r="AZ66" s="444" t="str">
        <f t="shared" si="64"/>
        <v/>
      </c>
      <c r="BA66" s="444" t="str">
        <f t="shared" si="64"/>
        <v/>
      </c>
      <c r="BB66" s="444" t="str">
        <f t="shared" si="64"/>
        <v/>
      </c>
      <c r="BC66" s="444" t="str">
        <f t="shared" si="65"/>
        <v/>
      </c>
      <c r="BD66" s="444" t="str">
        <f t="shared" si="65"/>
        <v/>
      </c>
      <c r="BE66" s="444" t="str">
        <f t="shared" si="65"/>
        <v/>
      </c>
      <c r="BF66" s="444" t="str">
        <f t="shared" si="65"/>
        <v/>
      </c>
      <c r="BG66" s="444" t="str">
        <f t="shared" si="65"/>
        <v/>
      </c>
      <c r="BH66" s="445" t="str">
        <f t="shared" si="65"/>
        <v/>
      </c>
      <c r="BI66" s="502"/>
      <c r="BJ66" s="474" t="str">
        <f t="shared" si="66"/>
        <v/>
      </c>
      <c r="BK66" s="475" t="str">
        <f t="shared" si="66"/>
        <v/>
      </c>
      <c r="BL66" s="475" t="str">
        <f t="shared" si="66"/>
        <v/>
      </c>
      <c r="BM66" s="475" t="str">
        <f t="shared" si="66"/>
        <v/>
      </c>
      <c r="BN66" s="475" t="str">
        <f t="shared" si="66"/>
        <v/>
      </c>
      <c r="BO66" s="475" t="str">
        <f t="shared" si="66"/>
        <v/>
      </c>
      <c r="BP66" s="475" t="str">
        <f t="shared" si="66"/>
        <v/>
      </c>
      <c r="BQ66" s="475" t="str">
        <f t="shared" si="66"/>
        <v/>
      </c>
      <c r="BR66" s="475" t="str">
        <f t="shared" si="66"/>
        <v/>
      </c>
      <c r="BS66" s="475" t="str">
        <f t="shared" si="66"/>
        <v/>
      </c>
      <c r="BT66" s="475" t="str">
        <f t="shared" si="67"/>
        <v/>
      </c>
      <c r="BU66" s="475" t="str">
        <f t="shared" si="67"/>
        <v/>
      </c>
      <c r="BV66" s="475" t="str">
        <f t="shared" si="67"/>
        <v/>
      </c>
      <c r="BW66" s="475" t="str">
        <f t="shared" si="67"/>
        <v/>
      </c>
      <c r="BX66" s="475" t="str">
        <f t="shared" si="67"/>
        <v/>
      </c>
      <c r="BY66" s="475" t="str">
        <f t="shared" si="67"/>
        <v/>
      </c>
      <c r="BZ66" s="475" t="str">
        <f t="shared" si="67"/>
        <v/>
      </c>
      <c r="CA66" s="475" t="str">
        <f t="shared" si="67"/>
        <v/>
      </c>
      <c r="CB66" s="475" t="str">
        <f t="shared" si="67"/>
        <v/>
      </c>
      <c r="CC66" s="475" t="str">
        <f t="shared" si="67"/>
        <v/>
      </c>
      <c r="CD66" s="475" t="str">
        <f t="shared" si="68"/>
        <v/>
      </c>
      <c r="CE66" s="475" t="str">
        <f t="shared" si="68"/>
        <v/>
      </c>
      <c r="CF66" s="475" t="str">
        <f t="shared" si="68"/>
        <v/>
      </c>
      <c r="CG66" s="475" t="str">
        <f t="shared" si="68"/>
        <v/>
      </c>
      <c r="CH66" s="475" t="str">
        <f t="shared" si="68"/>
        <v/>
      </c>
      <c r="CI66" s="475" t="str">
        <f t="shared" si="68"/>
        <v/>
      </c>
      <c r="CJ66" s="475" t="str">
        <f t="shared" si="68"/>
        <v/>
      </c>
      <c r="CK66" s="475" t="str">
        <f t="shared" si="68"/>
        <v/>
      </c>
      <c r="CL66" s="475" t="str">
        <f t="shared" si="68"/>
        <v/>
      </c>
      <c r="CM66" s="475" t="str">
        <f t="shared" si="68"/>
        <v/>
      </c>
      <c r="CN66" s="475" t="str">
        <f t="shared" si="69"/>
        <v/>
      </c>
      <c r="CO66" s="475" t="str">
        <f t="shared" si="69"/>
        <v/>
      </c>
      <c r="CP66" s="475" t="str">
        <f t="shared" si="69"/>
        <v/>
      </c>
      <c r="CQ66" s="475" t="str">
        <f t="shared" si="69"/>
        <v/>
      </c>
      <c r="CR66" s="475" t="str">
        <f t="shared" si="69"/>
        <v/>
      </c>
      <c r="CS66" s="475" t="str">
        <f t="shared" si="69"/>
        <v/>
      </c>
      <c r="CT66" s="475" t="str">
        <f t="shared" si="69"/>
        <v/>
      </c>
      <c r="CU66" s="475" t="str">
        <f t="shared" si="69"/>
        <v/>
      </c>
      <c r="CV66" s="475" t="str">
        <f t="shared" si="69"/>
        <v/>
      </c>
      <c r="CW66" s="475" t="str">
        <f t="shared" si="69"/>
        <v/>
      </c>
      <c r="CX66" s="475" t="str">
        <f t="shared" si="69"/>
        <v/>
      </c>
      <c r="CY66" s="475" t="str">
        <f t="shared" si="69"/>
        <v/>
      </c>
      <c r="CZ66" s="495" t="str">
        <f t="shared" si="69"/>
        <v/>
      </c>
      <c r="DA66" s="502"/>
      <c r="DB66" s="460"/>
      <c r="DC66" s="465"/>
      <c r="DD66" s="463"/>
      <c r="DE66" s="512"/>
      <c r="DF66" s="516"/>
      <c r="DG66" s="508"/>
      <c r="DH66" s="463"/>
      <c r="DI66" s="461"/>
      <c r="DJ66" s="461"/>
      <c r="DK66" s="461"/>
      <c r="DL66" s="464"/>
      <c r="DM66" s="466"/>
      <c r="DN66" s="502"/>
      <c r="DO66" s="460"/>
      <c r="DP66" s="464"/>
      <c r="DQ66" s="464"/>
      <c r="DR66" s="464"/>
      <c r="DS66" s="508"/>
      <c r="DT66" s="525"/>
      <c r="DU66" s="525"/>
      <c r="DV66" s="463"/>
      <c r="DW66" s="464"/>
      <c r="DX66" s="465"/>
      <c r="DY66" s="463"/>
      <c r="DZ66" s="464"/>
      <c r="EA66" s="465"/>
      <c r="EB66" s="463"/>
      <c r="EC66" s="465"/>
      <c r="ED66" s="462"/>
      <c r="EE66" s="502"/>
      <c r="EF66" s="463"/>
      <c r="EG66" s="461"/>
      <c r="EH66" s="464"/>
      <c r="EI66" s="464"/>
      <c r="EJ66" s="464"/>
      <c r="EK66" s="464"/>
      <c r="EL66" s="464"/>
      <c r="EM66" s="464"/>
      <c r="EN66" s="464"/>
      <c r="EO66" s="464"/>
      <c r="EP66" s="464"/>
      <c r="EQ66" s="464"/>
      <c r="ER66" s="464"/>
      <c r="ES66" s="464"/>
      <c r="ET66" s="464"/>
      <c r="EU66" s="464"/>
      <c r="EV66" s="464"/>
      <c r="EW66" s="465"/>
      <c r="EX66" s="465"/>
      <c r="EY66" s="502"/>
      <c r="EZ66" s="460"/>
      <c r="FA66" s="464"/>
      <c r="FB66" s="464"/>
      <c r="FC66" s="464"/>
      <c r="FD66" s="464"/>
      <c r="FE66" s="464"/>
      <c r="FF66" s="464"/>
      <c r="FG66" s="466"/>
    </row>
    <row r="67" spans="1:163">
      <c r="A67" s="467" t="s">
        <v>254</v>
      </c>
      <c r="B67" s="471" t="str">
        <f>IF(ISNUMBER(MATCH(A67, 'Pulldown Data'!W:W, 0))=TRUE, "Y", IF(ISNUMBER(MATCH(A67, 'Pulldown Data'!X:X, 0))=TRUE, "M", ""))</f>
        <v/>
      </c>
      <c r="C67" s="504"/>
      <c r="D67" s="502"/>
      <c r="E67" s="443" t="str">
        <f t="shared" si="60"/>
        <v/>
      </c>
      <c r="F67" s="444" t="str">
        <f t="shared" si="60"/>
        <v/>
      </c>
      <c r="G67" s="444" t="str">
        <f t="shared" si="60"/>
        <v/>
      </c>
      <c r="H67" s="444" t="str">
        <f t="shared" si="60"/>
        <v/>
      </c>
      <c r="I67" s="444" t="str">
        <f t="shared" si="60"/>
        <v/>
      </c>
      <c r="J67" s="444" t="str">
        <f t="shared" si="60"/>
        <v/>
      </c>
      <c r="K67" s="444" t="str">
        <f t="shared" si="60"/>
        <v/>
      </c>
      <c r="L67" s="444" t="str">
        <f t="shared" si="60"/>
        <v/>
      </c>
      <c r="M67" s="444" t="str">
        <f t="shared" si="60"/>
        <v/>
      </c>
      <c r="N67" s="444" t="str">
        <f t="shared" si="60"/>
        <v/>
      </c>
      <c r="O67" s="444" t="str">
        <f t="shared" si="61"/>
        <v/>
      </c>
      <c r="P67" s="444" t="str">
        <f t="shared" si="61"/>
        <v/>
      </c>
      <c r="Q67" s="444" t="str">
        <f t="shared" si="61"/>
        <v/>
      </c>
      <c r="R67" s="444" t="str">
        <f t="shared" si="61"/>
        <v/>
      </c>
      <c r="S67" s="444" t="str">
        <f t="shared" si="61"/>
        <v/>
      </c>
      <c r="T67" s="444" t="str">
        <f t="shared" si="61"/>
        <v/>
      </c>
      <c r="U67" s="444" t="str">
        <f t="shared" si="61"/>
        <v/>
      </c>
      <c r="V67" s="444" t="str">
        <f t="shared" si="61"/>
        <v/>
      </c>
      <c r="W67" s="444" t="str">
        <f t="shared" si="61"/>
        <v/>
      </c>
      <c r="X67" s="444" t="str">
        <f t="shared" si="61"/>
        <v/>
      </c>
      <c r="Y67" s="444" t="str">
        <f t="shared" si="62"/>
        <v/>
      </c>
      <c r="Z67" s="444" t="str">
        <f t="shared" si="62"/>
        <v/>
      </c>
      <c r="AA67" s="444" t="str">
        <f t="shared" si="62"/>
        <v/>
      </c>
      <c r="AB67" s="444" t="str">
        <f t="shared" si="62"/>
        <v/>
      </c>
      <c r="AC67" s="444" t="str">
        <f t="shared" si="62"/>
        <v/>
      </c>
      <c r="AD67" s="444" t="str">
        <f t="shared" si="62"/>
        <v/>
      </c>
      <c r="AE67" s="444" t="str">
        <f t="shared" si="62"/>
        <v/>
      </c>
      <c r="AF67" s="444" t="str">
        <f t="shared" si="62"/>
        <v/>
      </c>
      <c r="AG67" s="444" t="str">
        <f t="shared" si="62"/>
        <v/>
      </c>
      <c r="AH67" s="444" t="str">
        <f t="shared" si="62"/>
        <v/>
      </c>
      <c r="AI67" s="444" t="str">
        <f t="shared" si="63"/>
        <v/>
      </c>
      <c r="AJ67" s="444" t="str">
        <f t="shared" si="63"/>
        <v/>
      </c>
      <c r="AK67" s="444" t="str">
        <f t="shared" si="63"/>
        <v/>
      </c>
      <c r="AL67" s="444" t="str">
        <f t="shared" si="63"/>
        <v/>
      </c>
      <c r="AM67" s="444" t="str">
        <f t="shared" si="63"/>
        <v/>
      </c>
      <c r="AN67" s="444" t="str">
        <f t="shared" si="63"/>
        <v/>
      </c>
      <c r="AO67" s="444" t="str">
        <f t="shared" si="63"/>
        <v/>
      </c>
      <c r="AP67" s="444" t="str">
        <f t="shared" si="63"/>
        <v/>
      </c>
      <c r="AQ67" s="444" t="str">
        <f t="shared" si="63"/>
        <v/>
      </c>
      <c r="AR67" s="444" t="str">
        <f t="shared" si="63"/>
        <v/>
      </c>
      <c r="AS67" s="444" t="str">
        <f t="shared" si="64"/>
        <v/>
      </c>
      <c r="AT67" s="444" t="str">
        <f t="shared" si="64"/>
        <v/>
      </c>
      <c r="AU67" s="444" t="str">
        <f t="shared" si="64"/>
        <v/>
      </c>
      <c r="AV67" s="444" t="str">
        <f t="shared" si="64"/>
        <v/>
      </c>
      <c r="AW67" s="444" t="str">
        <f t="shared" si="64"/>
        <v/>
      </c>
      <c r="AX67" s="444" t="str">
        <f t="shared" si="64"/>
        <v/>
      </c>
      <c r="AY67" s="444" t="str">
        <f t="shared" si="64"/>
        <v/>
      </c>
      <c r="AZ67" s="444" t="str">
        <f t="shared" si="64"/>
        <v/>
      </c>
      <c r="BA67" s="444" t="str">
        <f t="shared" si="64"/>
        <v/>
      </c>
      <c r="BB67" s="444" t="str">
        <f t="shared" si="64"/>
        <v/>
      </c>
      <c r="BC67" s="444" t="str">
        <f t="shared" si="65"/>
        <v/>
      </c>
      <c r="BD67" s="444" t="str">
        <f t="shared" si="65"/>
        <v/>
      </c>
      <c r="BE67" s="444" t="str">
        <f t="shared" si="65"/>
        <v/>
      </c>
      <c r="BF67" s="444" t="str">
        <f t="shared" si="65"/>
        <v/>
      </c>
      <c r="BG67" s="444" t="str">
        <f t="shared" si="65"/>
        <v/>
      </c>
      <c r="BH67" s="445" t="str">
        <f t="shared" si="65"/>
        <v/>
      </c>
      <c r="BI67" s="502"/>
      <c r="BJ67" s="474" t="str">
        <f t="shared" si="66"/>
        <v/>
      </c>
      <c r="BK67" s="475" t="str">
        <f t="shared" si="66"/>
        <v/>
      </c>
      <c r="BL67" s="475" t="str">
        <f t="shared" si="66"/>
        <v/>
      </c>
      <c r="BM67" s="475" t="str">
        <f t="shared" si="66"/>
        <v/>
      </c>
      <c r="BN67" s="475" t="str">
        <f t="shared" si="66"/>
        <v/>
      </c>
      <c r="BO67" s="475" t="str">
        <f t="shared" si="66"/>
        <v/>
      </c>
      <c r="BP67" s="475" t="str">
        <f t="shared" si="66"/>
        <v/>
      </c>
      <c r="BQ67" s="475" t="str">
        <f t="shared" si="66"/>
        <v/>
      </c>
      <c r="BR67" s="475" t="str">
        <f t="shared" si="66"/>
        <v/>
      </c>
      <c r="BS67" s="475" t="str">
        <f t="shared" si="66"/>
        <v/>
      </c>
      <c r="BT67" s="475" t="str">
        <f t="shared" si="67"/>
        <v/>
      </c>
      <c r="BU67" s="475" t="str">
        <f t="shared" si="67"/>
        <v/>
      </c>
      <c r="BV67" s="475" t="str">
        <f t="shared" si="67"/>
        <v/>
      </c>
      <c r="BW67" s="475" t="str">
        <f t="shared" si="67"/>
        <v/>
      </c>
      <c r="BX67" s="475" t="str">
        <f t="shared" si="67"/>
        <v/>
      </c>
      <c r="BY67" s="475" t="str">
        <f t="shared" si="67"/>
        <v/>
      </c>
      <c r="BZ67" s="475" t="str">
        <f t="shared" si="67"/>
        <v/>
      </c>
      <c r="CA67" s="475" t="str">
        <f t="shared" si="67"/>
        <v/>
      </c>
      <c r="CB67" s="475" t="str">
        <f t="shared" si="67"/>
        <v/>
      </c>
      <c r="CC67" s="475" t="str">
        <f t="shared" si="67"/>
        <v/>
      </c>
      <c r="CD67" s="475" t="str">
        <f t="shared" si="68"/>
        <v/>
      </c>
      <c r="CE67" s="475" t="str">
        <f t="shared" si="68"/>
        <v/>
      </c>
      <c r="CF67" s="475" t="str">
        <f t="shared" si="68"/>
        <v/>
      </c>
      <c r="CG67" s="475" t="str">
        <f t="shared" si="68"/>
        <v/>
      </c>
      <c r="CH67" s="475" t="str">
        <f t="shared" si="68"/>
        <v/>
      </c>
      <c r="CI67" s="475" t="str">
        <f t="shared" si="68"/>
        <v/>
      </c>
      <c r="CJ67" s="475" t="str">
        <f t="shared" si="68"/>
        <v/>
      </c>
      <c r="CK67" s="475" t="str">
        <f t="shared" si="68"/>
        <v/>
      </c>
      <c r="CL67" s="475" t="str">
        <f t="shared" si="68"/>
        <v/>
      </c>
      <c r="CM67" s="475" t="str">
        <f t="shared" si="68"/>
        <v/>
      </c>
      <c r="CN67" s="475" t="str">
        <f t="shared" si="69"/>
        <v/>
      </c>
      <c r="CO67" s="475" t="str">
        <f t="shared" si="69"/>
        <v/>
      </c>
      <c r="CP67" s="475" t="str">
        <f t="shared" si="69"/>
        <v/>
      </c>
      <c r="CQ67" s="475" t="str">
        <f t="shared" si="69"/>
        <v/>
      </c>
      <c r="CR67" s="475" t="str">
        <f t="shared" si="69"/>
        <v/>
      </c>
      <c r="CS67" s="475" t="str">
        <f t="shared" si="69"/>
        <v/>
      </c>
      <c r="CT67" s="475" t="str">
        <f t="shared" si="69"/>
        <v/>
      </c>
      <c r="CU67" s="475" t="str">
        <f t="shared" si="69"/>
        <v/>
      </c>
      <c r="CV67" s="475" t="str">
        <f t="shared" si="69"/>
        <v/>
      </c>
      <c r="CW67" s="475" t="str">
        <f t="shared" si="69"/>
        <v/>
      </c>
      <c r="CX67" s="475" t="str">
        <f t="shared" si="69"/>
        <v/>
      </c>
      <c r="CY67" s="475" t="str">
        <f t="shared" si="69"/>
        <v/>
      </c>
      <c r="CZ67" s="495" t="str">
        <f t="shared" si="69"/>
        <v/>
      </c>
      <c r="DA67" s="502"/>
      <c r="DB67" s="460"/>
      <c r="DC67" s="465"/>
      <c r="DD67" s="463"/>
      <c r="DE67" s="512"/>
      <c r="DF67" s="516"/>
      <c r="DG67" s="508"/>
      <c r="DH67" s="463"/>
      <c r="DI67" s="461"/>
      <c r="DJ67" s="461"/>
      <c r="DK67" s="461"/>
      <c r="DL67" s="464"/>
      <c r="DM67" s="466"/>
      <c r="DN67" s="502"/>
      <c r="DO67" s="460"/>
      <c r="DP67" s="464"/>
      <c r="DQ67" s="464"/>
      <c r="DR67" s="464"/>
      <c r="DS67" s="508"/>
      <c r="DT67" s="525"/>
      <c r="DU67" s="525"/>
      <c r="DV67" s="463"/>
      <c r="DW67" s="464"/>
      <c r="DX67" s="465"/>
      <c r="DY67" s="463"/>
      <c r="DZ67" s="464"/>
      <c r="EA67" s="465"/>
      <c r="EB67" s="463"/>
      <c r="EC67" s="465"/>
      <c r="ED67" s="462"/>
      <c r="EE67" s="502"/>
      <c r="EF67" s="463"/>
      <c r="EG67" s="461"/>
      <c r="EH67" s="464"/>
      <c r="EI67" s="464"/>
      <c r="EJ67" s="464"/>
      <c r="EK67" s="464"/>
      <c r="EL67" s="464"/>
      <c r="EM67" s="464"/>
      <c r="EN67" s="464"/>
      <c r="EO67" s="464"/>
      <c r="EP67" s="464"/>
      <c r="EQ67" s="464"/>
      <c r="ER67" s="464"/>
      <c r="ES67" s="464"/>
      <c r="ET67" s="464"/>
      <c r="EU67" s="464"/>
      <c r="EV67" s="464"/>
      <c r="EW67" s="465"/>
      <c r="EX67" s="465"/>
      <c r="EY67" s="502"/>
      <c r="EZ67" s="460"/>
      <c r="FA67" s="464"/>
      <c r="FB67" s="464"/>
      <c r="FC67" s="464"/>
      <c r="FD67" s="464"/>
      <c r="FE67" s="464"/>
      <c r="FF67" s="464"/>
      <c r="FG67" s="466"/>
    </row>
    <row r="68" spans="1:163">
      <c r="A68" s="467" t="s">
        <v>255</v>
      </c>
      <c r="B68" s="471" t="str">
        <f>IF(ISNUMBER(MATCH(A68, 'Pulldown Data'!W:W, 0))=TRUE, "Y", IF(ISNUMBER(MATCH(A68, 'Pulldown Data'!X:X, 0))=TRUE, "M", ""))</f>
        <v/>
      </c>
      <c r="C68" s="504"/>
      <c r="D68" s="502"/>
      <c r="E68" s="443" t="str">
        <f t="shared" si="60"/>
        <v/>
      </c>
      <c r="F68" s="444" t="str">
        <f t="shared" si="60"/>
        <v/>
      </c>
      <c r="G68" s="444" t="str">
        <f t="shared" si="60"/>
        <v/>
      </c>
      <c r="H68" s="444" t="str">
        <f t="shared" si="60"/>
        <v/>
      </c>
      <c r="I68" s="444" t="str">
        <f t="shared" si="60"/>
        <v/>
      </c>
      <c r="J68" s="444" t="str">
        <f t="shared" si="60"/>
        <v/>
      </c>
      <c r="K68" s="444" t="str">
        <f t="shared" si="60"/>
        <v/>
      </c>
      <c r="L68" s="444" t="str">
        <f t="shared" si="60"/>
        <v/>
      </c>
      <c r="M68" s="444" t="str">
        <f t="shared" si="60"/>
        <v/>
      </c>
      <c r="N68" s="444" t="str">
        <f t="shared" si="60"/>
        <v/>
      </c>
      <c r="O68" s="444" t="str">
        <f t="shared" si="61"/>
        <v/>
      </c>
      <c r="P68" s="444" t="str">
        <f t="shared" si="61"/>
        <v/>
      </c>
      <c r="Q68" s="444" t="str">
        <f t="shared" si="61"/>
        <v/>
      </c>
      <c r="R68" s="444" t="str">
        <f t="shared" si="61"/>
        <v/>
      </c>
      <c r="S68" s="444" t="str">
        <f t="shared" si="61"/>
        <v/>
      </c>
      <c r="T68" s="444" t="str">
        <f t="shared" si="61"/>
        <v/>
      </c>
      <c r="U68" s="444" t="str">
        <f t="shared" si="61"/>
        <v/>
      </c>
      <c r="V68" s="444" t="str">
        <f t="shared" si="61"/>
        <v/>
      </c>
      <c r="W68" s="444" t="str">
        <f t="shared" si="61"/>
        <v/>
      </c>
      <c r="X68" s="444" t="str">
        <f t="shared" si="61"/>
        <v/>
      </c>
      <c r="Y68" s="444" t="str">
        <f t="shared" si="62"/>
        <v/>
      </c>
      <c r="Z68" s="444" t="str">
        <f t="shared" si="62"/>
        <v/>
      </c>
      <c r="AA68" s="444" t="str">
        <f t="shared" si="62"/>
        <v/>
      </c>
      <c r="AB68" s="444" t="str">
        <f t="shared" si="62"/>
        <v/>
      </c>
      <c r="AC68" s="444" t="str">
        <f t="shared" si="62"/>
        <v/>
      </c>
      <c r="AD68" s="444" t="str">
        <f t="shared" si="62"/>
        <v/>
      </c>
      <c r="AE68" s="444" t="str">
        <f t="shared" si="62"/>
        <v/>
      </c>
      <c r="AF68" s="444" t="str">
        <f t="shared" si="62"/>
        <v/>
      </c>
      <c r="AG68" s="444" t="str">
        <f t="shared" si="62"/>
        <v/>
      </c>
      <c r="AH68" s="444" t="str">
        <f t="shared" si="62"/>
        <v/>
      </c>
      <c r="AI68" s="444" t="str">
        <f t="shared" si="63"/>
        <v/>
      </c>
      <c r="AJ68" s="444" t="str">
        <f t="shared" si="63"/>
        <v/>
      </c>
      <c r="AK68" s="444" t="str">
        <f t="shared" si="63"/>
        <v/>
      </c>
      <c r="AL68" s="444" t="str">
        <f t="shared" si="63"/>
        <v/>
      </c>
      <c r="AM68" s="444" t="str">
        <f t="shared" si="63"/>
        <v/>
      </c>
      <c r="AN68" s="444" t="str">
        <f t="shared" si="63"/>
        <v/>
      </c>
      <c r="AO68" s="444" t="str">
        <f t="shared" si="63"/>
        <v/>
      </c>
      <c r="AP68" s="444" t="str">
        <f t="shared" si="63"/>
        <v/>
      </c>
      <c r="AQ68" s="444" t="str">
        <f t="shared" si="63"/>
        <v/>
      </c>
      <c r="AR68" s="444" t="str">
        <f t="shared" si="63"/>
        <v/>
      </c>
      <c r="AS68" s="444" t="str">
        <f t="shared" si="64"/>
        <v/>
      </c>
      <c r="AT68" s="444" t="str">
        <f t="shared" si="64"/>
        <v/>
      </c>
      <c r="AU68" s="444" t="str">
        <f t="shared" si="64"/>
        <v/>
      </c>
      <c r="AV68" s="444" t="str">
        <f t="shared" si="64"/>
        <v/>
      </c>
      <c r="AW68" s="444" t="str">
        <f t="shared" si="64"/>
        <v/>
      </c>
      <c r="AX68" s="444" t="str">
        <f t="shared" si="64"/>
        <v/>
      </c>
      <c r="AY68" s="444" t="str">
        <f t="shared" si="64"/>
        <v/>
      </c>
      <c r="AZ68" s="444" t="str">
        <f t="shared" si="64"/>
        <v/>
      </c>
      <c r="BA68" s="444" t="str">
        <f t="shared" si="64"/>
        <v/>
      </c>
      <c r="BB68" s="444" t="str">
        <f t="shared" si="64"/>
        <v/>
      </c>
      <c r="BC68" s="444" t="str">
        <f t="shared" si="65"/>
        <v/>
      </c>
      <c r="BD68" s="444" t="str">
        <f t="shared" si="65"/>
        <v/>
      </c>
      <c r="BE68" s="444" t="str">
        <f t="shared" si="65"/>
        <v/>
      </c>
      <c r="BF68" s="444" t="str">
        <f t="shared" si="65"/>
        <v/>
      </c>
      <c r="BG68" s="444" t="str">
        <f t="shared" si="65"/>
        <v/>
      </c>
      <c r="BH68" s="445" t="str">
        <f t="shared" si="65"/>
        <v/>
      </c>
      <c r="BI68" s="502"/>
      <c r="BJ68" s="474" t="str">
        <f t="shared" si="66"/>
        <v/>
      </c>
      <c r="BK68" s="475" t="str">
        <f t="shared" si="66"/>
        <v/>
      </c>
      <c r="BL68" s="475" t="str">
        <f t="shared" si="66"/>
        <v/>
      </c>
      <c r="BM68" s="475" t="str">
        <f t="shared" si="66"/>
        <v/>
      </c>
      <c r="BN68" s="475" t="str">
        <f t="shared" si="66"/>
        <v/>
      </c>
      <c r="BO68" s="475" t="str">
        <f t="shared" si="66"/>
        <v/>
      </c>
      <c r="BP68" s="475" t="str">
        <f t="shared" si="66"/>
        <v/>
      </c>
      <c r="BQ68" s="475" t="str">
        <f t="shared" si="66"/>
        <v/>
      </c>
      <c r="BR68" s="475" t="str">
        <f t="shared" si="66"/>
        <v/>
      </c>
      <c r="BS68" s="475" t="str">
        <f t="shared" si="66"/>
        <v/>
      </c>
      <c r="BT68" s="475" t="str">
        <f t="shared" si="67"/>
        <v/>
      </c>
      <c r="BU68" s="475" t="str">
        <f t="shared" si="67"/>
        <v/>
      </c>
      <c r="BV68" s="475" t="str">
        <f t="shared" si="67"/>
        <v/>
      </c>
      <c r="BW68" s="475" t="str">
        <f t="shared" si="67"/>
        <v/>
      </c>
      <c r="BX68" s="475" t="str">
        <f t="shared" si="67"/>
        <v/>
      </c>
      <c r="BY68" s="475" t="str">
        <f t="shared" si="67"/>
        <v/>
      </c>
      <c r="BZ68" s="475" t="str">
        <f t="shared" si="67"/>
        <v/>
      </c>
      <c r="CA68" s="475" t="str">
        <f t="shared" si="67"/>
        <v/>
      </c>
      <c r="CB68" s="475" t="str">
        <f t="shared" si="67"/>
        <v/>
      </c>
      <c r="CC68" s="475" t="str">
        <f t="shared" si="67"/>
        <v/>
      </c>
      <c r="CD68" s="475" t="str">
        <f t="shared" si="68"/>
        <v/>
      </c>
      <c r="CE68" s="475" t="str">
        <f t="shared" si="68"/>
        <v/>
      </c>
      <c r="CF68" s="475" t="str">
        <f t="shared" si="68"/>
        <v/>
      </c>
      <c r="CG68" s="475" t="str">
        <f t="shared" si="68"/>
        <v/>
      </c>
      <c r="CH68" s="475" t="str">
        <f t="shared" si="68"/>
        <v/>
      </c>
      <c r="CI68" s="475" t="str">
        <f t="shared" si="68"/>
        <v/>
      </c>
      <c r="CJ68" s="475" t="str">
        <f t="shared" si="68"/>
        <v/>
      </c>
      <c r="CK68" s="475" t="str">
        <f t="shared" si="68"/>
        <v/>
      </c>
      <c r="CL68" s="475" t="str">
        <f t="shared" si="68"/>
        <v/>
      </c>
      <c r="CM68" s="475" t="str">
        <f t="shared" si="68"/>
        <v/>
      </c>
      <c r="CN68" s="475" t="str">
        <f t="shared" si="69"/>
        <v/>
      </c>
      <c r="CO68" s="475" t="str">
        <f t="shared" si="69"/>
        <v/>
      </c>
      <c r="CP68" s="475" t="str">
        <f t="shared" si="69"/>
        <v/>
      </c>
      <c r="CQ68" s="475" t="str">
        <f t="shared" si="69"/>
        <v/>
      </c>
      <c r="CR68" s="475" t="str">
        <f t="shared" si="69"/>
        <v/>
      </c>
      <c r="CS68" s="475" t="str">
        <f t="shared" si="69"/>
        <v/>
      </c>
      <c r="CT68" s="475" t="str">
        <f t="shared" si="69"/>
        <v/>
      </c>
      <c r="CU68" s="475" t="str">
        <f t="shared" si="69"/>
        <v/>
      </c>
      <c r="CV68" s="475" t="str">
        <f t="shared" si="69"/>
        <v/>
      </c>
      <c r="CW68" s="475" t="str">
        <f t="shared" si="69"/>
        <v/>
      </c>
      <c r="CX68" s="475" t="str">
        <f t="shared" si="69"/>
        <v/>
      </c>
      <c r="CY68" s="475" t="str">
        <f t="shared" si="69"/>
        <v/>
      </c>
      <c r="CZ68" s="495" t="str">
        <f t="shared" si="69"/>
        <v/>
      </c>
      <c r="DA68" s="502"/>
      <c r="DB68" s="460"/>
      <c r="DC68" s="465"/>
      <c r="DD68" s="463"/>
      <c r="DE68" s="512"/>
      <c r="DF68" s="516"/>
      <c r="DG68" s="508"/>
      <c r="DH68" s="463"/>
      <c r="DI68" s="461"/>
      <c r="DJ68" s="461"/>
      <c r="DK68" s="461"/>
      <c r="DL68" s="464"/>
      <c r="DM68" s="466"/>
      <c r="DN68" s="502"/>
      <c r="DO68" s="460"/>
      <c r="DP68" s="464"/>
      <c r="DQ68" s="464"/>
      <c r="DR68" s="464"/>
      <c r="DS68" s="508"/>
      <c r="DT68" s="525"/>
      <c r="DU68" s="525"/>
      <c r="DV68" s="463"/>
      <c r="DW68" s="464"/>
      <c r="DX68" s="465"/>
      <c r="DY68" s="463"/>
      <c r="DZ68" s="464"/>
      <c r="EA68" s="465"/>
      <c r="EB68" s="463"/>
      <c r="EC68" s="465"/>
      <c r="ED68" s="462"/>
      <c r="EE68" s="502"/>
      <c r="EF68" s="463"/>
      <c r="EG68" s="461"/>
      <c r="EH68" s="464"/>
      <c r="EI68" s="464"/>
      <c r="EJ68" s="464"/>
      <c r="EK68" s="464"/>
      <c r="EL68" s="464"/>
      <c r="EM68" s="464"/>
      <c r="EN68" s="464"/>
      <c r="EO68" s="464"/>
      <c r="EP68" s="464"/>
      <c r="EQ68" s="464"/>
      <c r="ER68" s="464"/>
      <c r="ES68" s="464"/>
      <c r="ET68" s="464"/>
      <c r="EU68" s="464"/>
      <c r="EV68" s="464"/>
      <c r="EW68" s="465"/>
      <c r="EX68" s="465"/>
      <c r="EY68" s="502"/>
      <c r="EZ68" s="460"/>
      <c r="FA68" s="464"/>
      <c r="FB68" s="464"/>
      <c r="FC68" s="464"/>
      <c r="FD68" s="464"/>
      <c r="FE68" s="464"/>
      <c r="FF68" s="464"/>
      <c r="FG68" s="466"/>
    </row>
    <row r="69" spans="1:163">
      <c r="A69" s="467" t="s">
        <v>256</v>
      </c>
      <c r="B69" s="471" t="str">
        <f>IF(ISNUMBER(MATCH(A69, 'Pulldown Data'!W:W, 0))=TRUE, "Y", IF(ISNUMBER(MATCH(A69, 'Pulldown Data'!X:X, 0))=TRUE, "M", ""))</f>
        <v/>
      </c>
      <c r="C69" s="504"/>
      <c r="D69" s="502"/>
      <c r="E69" s="443" t="str">
        <f t="shared" si="60"/>
        <v/>
      </c>
      <c r="F69" s="444" t="str">
        <f t="shared" si="60"/>
        <v/>
      </c>
      <c r="G69" s="444" t="str">
        <f t="shared" si="60"/>
        <v/>
      </c>
      <c r="H69" s="444" t="str">
        <f t="shared" si="60"/>
        <v/>
      </c>
      <c r="I69" s="444" t="str">
        <f t="shared" si="60"/>
        <v/>
      </c>
      <c r="J69" s="444" t="str">
        <f t="shared" si="60"/>
        <v/>
      </c>
      <c r="K69" s="444" t="str">
        <f t="shared" si="60"/>
        <v/>
      </c>
      <c r="L69" s="444" t="str">
        <f t="shared" si="60"/>
        <v/>
      </c>
      <c r="M69" s="444" t="str">
        <f t="shared" si="60"/>
        <v/>
      </c>
      <c r="N69" s="444" t="str">
        <f t="shared" si="60"/>
        <v/>
      </c>
      <c r="O69" s="444" t="str">
        <f t="shared" si="61"/>
        <v/>
      </c>
      <c r="P69" s="444" t="str">
        <f t="shared" si="61"/>
        <v/>
      </c>
      <c r="Q69" s="444" t="str">
        <f t="shared" si="61"/>
        <v/>
      </c>
      <c r="R69" s="444" t="str">
        <f t="shared" si="61"/>
        <v/>
      </c>
      <c r="S69" s="444" t="str">
        <f t="shared" si="61"/>
        <v/>
      </c>
      <c r="T69" s="444" t="str">
        <f t="shared" si="61"/>
        <v/>
      </c>
      <c r="U69" s="444" t="str">
        <f t="shared" si="61"/>
        <v/>
      </c>
      <c r="V69" s="444" t="str">
        <f t="shared" si="61"/>
        <v/>
      </c>
      <c r="W69" s="444" t="str">
        <f t="shared" si="61"/>
        <v/>
      </c>
      <c r="X69" s="444" t="str">
        <f t="shared" si="61"/>
        <v/>
      </c>
      <c r="Y69" s="444" t="str">
        <f t="shared" si="62"/>
        <v/>
      </c>
      <c r="Z69" s="444" t="str">
        <f t="shared" si="62"/>
        <v/>
      </c>
      <c r="AA69" s="444" t="str">
        <f t="shared" si="62"/>
        <v/>
      </c>
      <c r="AB69" s="444" t="str">
        <f t="shared" si="62"/>
        <v/>
      </c>
      <c r="AC69" s="444" t="str">
        <f t="shared" si="62"/>
        <v/>
      </c>
      <c r="AD69" s="444" t="str">
        <f t="shared" si="62"/>
        <v/>
      </c>
      <c r="AE69" s="444" t="str">
        <f t="shared" si="62"/>
        <v/>
      </c>
      <c r="AF69" s="444" t="str">
        <f t="shared" si="62"/>
        <v/>
      </c>
      <c r="AG69" s="444" t="str">
        <f t="shared" si="62"/>
        <v/>
      </c>
      <c r="AH69" s="444" t="str">
        <f t="shared" si="62"/>
        <v/>
      </c>
      <c r="AI69" s="444" t="str">
        <f t="shared" si="63"/>
        <v/>
      </c>
      <c r="AJ69" s="444" t="str">
        <f t="shared" si="63"/>
        <v/>
      </c>
      <c r="AK69" s="444" t="str">
        <f t="shared" si="63"/>
        <v/>
      </c>
      <c r="AL69" s="444" t="str">
        <f t="shared" si="63"/>
        <v/>
      </c>
      <c r="AM69" s="444" t="str">
        <f t="shared" si="63"/>
        <v/>
      </c>
      <c r="AN69" s="444" t="str">
        <f t="shared" si="63"/>
        <v/>
      </c>
      <c r="AO69" s="444" t="str">
        <f t="shared" si="63"/>
        <v/>
      </c>
      <c r="AP69" s="444" t="str">
        <f t="shared" si="63"/>
        <v/>
      </c>
      <c r="AQ69" s="444" t="str">
        <f t="shared" si="63"/>
        <v/>
      </c>
      <c r="AR69" s="444" t="str">
        <f t="shared" si="63"/>
        <v/>
      </c>
      <c r="AS69" s="444" t="str">
        <f t="shared" si="64"/>
        <v/>
      </c>
      <c r="AT69" s="444" t="str">
        <f t="shared" si="64"/>
        <v/>
      </c>
      <c r="AU69" s="444" t="str">
        <f t="shared" si="64"/>
        <v/>
      </c>
      <c r="AV69" s="444" t="str">
        <f t="shared" si="64"/>
        <v/>
      </c>
      <c r="AW69" s="444" t="str">
        <f t="shared" si="64"/>
        <v/>
      </c>
      <c r="AX69" s="444" t="str">
        <f t="shared" si="64"/>
        <v/>
      </c>
      <c r="AY69" s="444" t="str">
        <f t="shared" si="64"/>
        <v/>
      </c>
      <c r="AZ69" s="444" t="str">
        <f t="shared" si="64"/>
        <v/>
      </c>
      <c r="BA69" s="444" t="str">
        <f t="shared" si="64"/>
        <v/>
      </c>
      <c r="BB69" s="444" t="str">
        <f t="shared" si="64"/>
        <v/>
      </c>
      <c r="BC69" s="444" t="str">
        <f t="shared" si="65"/>
        <v/>
      </c>
      <c r="BD69" s="444" t="str">
        <f t="shared" si="65"/>
        <v/>
      </c>
      <c r="BE69" s="444" t="str">
        <f t="shared" si="65"/>
        <v/>
      </c>
      <c r="BF69" s="444" t="str">
        <f t="shared" si="65"/>
        <v/>
      </c>
      <c r="BG69" s="444" t="str">
        <f t="shared" si="65"/>
        <v/>
      </c>
      <c r="BH69" s="445" t="str">
        <f t="shared" si="65"/>
        <v/>
      </c>
      <c r="BI69" s="502"/>
      <c r="BJ69" s="474" t="str">
        <f t="shared" si="66"/>
        <v/>
      </c>
      <c r="BK69" s="475" t="str">
        <f t="shared" si="66"/>
        <v/>
      </c>
      <c r="BL69" s="475" t="str">
        <f t="shared" si="66"/>
        <v/>
      </c>
      <c r="BM69" s="475" t="str">
        <f t="shared" si="66"/>
        <v/>
      </c>
      <c r="BN69" s="475" t="str">
        <f t="shared" si="66"/>
        <v/>
      </c>
      <c r="BO69" s="475" t="str">
        <f t="shared" si="66"/>
        <v/>
      </c>
      <c r="BP69" s="475" t="str">
        <f t="shared" si="66"/>
        <v/>
      </c>
      <c r="BQ69" s="475" t="str">
        <f t="shared" si="66"/>
        <v/>
      </c>
      <c r="BR69" s="475" t="str">
        <f t="shared" si="66"/>
        <v/>
      </c>
      <c r="BS69" s="475" t="str">
        <f t="shared" si="66"/>
        <v/>
      </c>
      <c r="BT69" s="475" t="str">
        <f t="shared" si="67"/>
        <v/>
      </c>
      <c r="BU69" s="475" t="str">
        <f t="shared" si="67"/>
        <v/>
      </c>
      <c r="BV69" s="475" t="str">
        <f t="shared" si="67"/>
        <v/>
      </c>
      <c r="BW69" s="475" t="str">
        <f t="shared" si="67"/>
        <v/>
      </c>
      <c r="BX69" s="475" t="str">
        <f t="shared" si="67"/>
        <v/>
      </c>
      <c r="BY69" s="475" t="str">
        <f t="shared" si="67"/>
        <v/>
      </c>
      <c r="BZ69" s="475" t="str">
        <f t="shared" si="67"/>
        <v/>
      </c>
      <c r="CA69" s="475" t="str">
        <f t="shared" si="67"/>
        <v/>
      </c>
      <c r="CB69" s="475" t="str">
        <f t="shared" si="67"/>
        <v/>
      </c>
      <c r="CC69" s="475" t="str">
        <f t="shared" si="67"/>
        <v/>
      </c>
      <c r="CD69" s="475" t="str">
        <f t="shared" si="68"/>
        <v/>
      </c>
      <c r="CE69" s="475" t="str">
        <f t="shared" si="68"/>
        <v/>
      </c>
      <c r="CF69" s="475" t="str">
        <f t="shared" si="68"/>
        <v/>
      </c>
      <c r="CG69" s="475" t="str">
        <f t="shared" si="68"/>
        <v/>
      </c>
      <c r="CH69" s="475" t="str">
        <f t="shared" si="68"/>
        <v/>
      </c>
      <c r="CI69" s="475" t="str">
        <f t="shared" si="68"/>
        <v/>
      </c>
      <c r="CJ69" s="475" t="str">
        <f t="shared" si="68"/>
        <v/>
      </c>
      <c r="CK69" s="475" t="str">
        <f t="shared" si="68"/>
        <v/>
      </c>
      <c r="CL69" s="475" t="str">
        <f t="shared" si="68"/>
        <v/>
      </c>
      <c r="CM69" s="475" t="str">
        <f t="shared" si="68"/>
        <v/>
      </c>
      <c r="CN69" s="475" t="str">
        <f t="shared" si="69"/>
        <v/>
      </c>
      <c r="CO69" s="475" t="str">
        <f t="shared" si="69"/>
        <v/>
      </c>
      <c r="CP69" s="475" t="str">
        <f t="shared" si="69"/>
        <v/>
      </c>
      <c r="CQ69" s="475" t="str">
        <f t="shared" si="69"/>
        <v/>
      </c>
      <c r="CR69" s="475" t="str">
        <f t="shared" si="69"/>
        <v/>
      </c>
      <c r="CS69" s="475" t="str">
        <f t="shared" si="69"/>
        <v/>
      </c>
      <c r="CT69" s="475" t="str">
        <f t="shared" si="69"/>
        <v/>
      </c>
      <c r="CU69" s="475" t="str">
        <f t="shared" si="69"/>
        <v/>
      </c>
      <c r="CV69" s="475" t="str">
        <f t="shared" si="69"/>
        <v/>
      </c>
      <c r="CW69" s="475" t="str">
        <f t="shared" si="69"/>
        <v/>
      </c>
      <c r="CX69" s="475" t="str">
        <f t="shared" si="69"/>
        <v/>
      </c>
      <c r="CY69" s="475" t="str">
        <f t="shared" si="69"/>
        <v/>
      </c>
      <c r="CZ69" s="495" t="str">
        <f t="shared" si="69"/>
        <v/>
      </c>
      <c r="DA69" s="502"/>
      <c r="DB69" s="460"/>
      <c r="DC69" s="465"/>
      <c r="DD69" s="463"/>
      <c r="DE69" s="512"/>
      <c r="DF69" s="516"/>
      <c r="DG69" s="508"/>
      <c r="DH69" s="463"/>
      <c r="DI69" s="461"/>
      <c r="DJ69" s="461"/>
      <c r="DK69" s="461"/>
      <c r="DL69" s="464"/>
      <c r="DM69" s="466"/>
      <c r="DN69" s="502"/>
      <c r="DO69" s="460"/>
      <c r="DP69" s="464"/>
      <c r="DQ69" s="464"/>
      <c r="DR69" s="464"/>
      <c r="DS69" s="508"/>
      <c r="DT69" s="525"/>
      <c r="DU69" s="525"/>
      <c r="DV69" s="463"/>
      <c r="DW69" s="464"/>
      <c r="DX69" s="465"/>
      <c r="DY69" s="463"/>
      <c r="DZ69" s="464"/>
      <c r="EA69" s="465"/>
      <c r="EB69" s="463"/>
      <c r="EC69" s="465"/>
      <c r="ED69" s="462"/>
      <c r="EE69" s="502"/>
      <c r="EF69" s="463"/>
      <c r="EG69" s="461"/>
      <c r="EH69" s="464"/>
      <c r="EI69" s="464"/>
      <c r="EJ69" s="464"/>
      <c r="EK69" s="464"/>
      <c r="EL69" s="464"/>
      <c r="EM69" s="464"/>
      <c r="EN69" s="464"/>
      <c r="EO69" s="464"/>
      <c r="EP69" s="464"/>
      <c r="EQ69" s="464"/>
      <c r="ER69" s="464"/>
      <c r="ES69" s="464"/>
      <c r="ET69" s="464"/>
      <c r="EU69" s="464"/>
      <c r="EV69" s="464"/>
      <c r="EW69" s="465"/>
      <c r="EX69" s="465"/>
      <c r="EY69" s="502"/>
      <c r="EZ69" s="460"/>
      <c r="FA69" s="464"/>
      <c r="FB69" s="464"/>
      <c r="FC69" s="464"/>
      <c r="FD69" s="464"/>
      <c r="FE69" s="464"/>
      <c r="FF69" s="464"/>
      <c r="FG69" s="466"/>
    </row>
    <row r="70" spans="1:163">
      <c r="A70" s="467" t="s">
        <v>257</v>
      </c>
      <c r="B70" s="471" t="str">
        <f>IF(ISNUMBER(MATCH(A70, 'Pulldown Data'!W:W, 0))=TRUE, "Y", IF(ISNUMBER(MATCH(A70, 'Pulldown Data'!X:X, 0))=TRUE, "M", ""))</f>
        <v/>
      </c>
      <c r="C70" s="504"/>
      <c r="D70" s="502"/>
      <c r="E70" s="443" t="str">
        <f t="shared" si="60"/>
        <v/>
      </c>
      <c r="F70" s="444" t="str">
        <f t="shared" si="60"/>
        <v/>
      </c>
      <c r="G70" s="444" t="str">
        <f t="shared" si="60"/>
        <v/>
      </c>
      <c r="H70" s="444" t="str">
        <f t="shared" si="60"/>
        <v/>
      </c>
      <c r="I70" s="444" t="str">
        <f t="shared" si="60"/>
        <v/>
      </c>
      <c r="J70" s="444" t="str">
        <f t="shared" si="60"/>
        <v/>
      </c>
      <c r="K70" s="444" t="str">
        <f t="shared" si="60"/>
        <v/>
      </c>
      <c r="L70" s="444" t="str">
        <f t="shared" si="60"/>
        <v/>
      </c>
      <c r="M70" s="444" t="str">
        <f t="shared" si="60"/>
        <v/>
      </c>
      <c r="N70" s="444" t="str">
        <f t="shared" si="60"/>
        <v/>
      </c>
      <c r="O70" s="444" t="str">
        <f t="shared" si="61"/>
        <v/>
      </c>
      <c r="P70" s="444" t="str">
        <f t="shared" si="61"/>
        <v/>
      </c>
      <c r="Q70" s="444" t="str">
        <f t="shared" si="61"/>
        <v/>
      </c>
      <c r="R70" s="444" t="str">
        <f t="shared" si="61"/>
        <v/>
      </c>
      <c r="S70" s="444" t="str">
        <f t="shared" si="61"/>
        <v/>
      </c>
      <c r="T70" s="444" t="str">
        <f t="shared" si="61"/>
        <v/>
      </c>
      <c r="U70" s="444" t="str">
        <f t="shared" si="61"/>
        <v/>
      </c>
      <c r="V70" s="444" t="str">
        <f t="shared" si="61"/>
        <v/>
      </c>
      <c r="W70" s="444" t="str">
        <f t="shared" si="61"/>
        <v/>
      </c>
      <c r="X70" s="444" t="str">
        <f t="shared" si="61"/>
        <v/>
      </c>
      <c r="Y70" s="444" t="str">
        <f t="shared" si="62"/>
        <v/>
      </c>
      <c r="Z70" s="444" t="str">
        <f t="shared" si="62"/>
        <v/>
      </c>
      <c r="AA70" s="444" t="str">
        <f t="shared" si="62"/>
        <v/>
      </c>
      <c r="AB70" s="444" t="str">
        <f t="shared" si="62"/>
        <v/>
      </c>
      <c r="AC70" s="444" t="str">
        <f t="shared" si="62"/>
        <v/>
      </c>
      <c r="AD70" s="444" t="str">
        <f t="shared" si="62"/>
        <v/>
      </c>
      <c r="AE70" s="444" t="str">
        <f t="shared" si="62"/>
        <v/>
      </c>
      <c r="AF70" s="444" t="str">
        <f t="shared" si="62"/>
        <v/>
      </c>
      <c r="AG70" s="444" t="str">
        <f t="shared" si="62"/>
        <v/>
      </c>
      <c r="AH70" s="444" t="str">
        <f t="shared" si="62"/>
        <v/>
      </c>
      <c r="AI70" s="444" t="str">
        <f t="shared" si="63"/>
        <v/>
      </c>
      <c r="AJ70" s="444" t="str">
        <f t="shared" si="63"/>
        <v/>
      </c>
      <c r="AK70" s="444" t="str">
        <f t="shared" si="63"/>
        <v/>
      </c>
      <c r="AL70" s="444" t="str">
        <f t="shared" si="63"/>
        <v/>
      </c>
      <c r="AM70" s="444" t="str">
        <f t="shared" si="63"/>
        <v/>
      </c>
      <c r="AN70" s="444" t="str">
        <f t="shared" si="63"/>
        <v/>
      </c>
      <c r="AO70" s="444" t="str">
        <f t="shared" si="63"/>
        <v/>
      </c>
      <c r="AP70" s="444" t="str">
        <f t="shared" si="63"/>
        <v/>
      </c>
      <c r="AQ70" s="444" t="str">
        <f t="shared" si="63"/>
        <v/>
      </c>
      <c r="AR70" s="444" t="str">
        <f t="shared" si="63"/>
        <v/>
      </c>
      <c r="AS70" s="444" t="str">
        <f t="shared" si="64"/>
        <v/>
      </c>
      <c r="AT70" s="444" t="str">
        <f t="shared" si="64"/>
        <v/>
      </c>
      <c r="AU70" s="444" t="str">
        <f t="shared" si="64"/>
        <v/>
      </c>
      <c r="AV70" s="444" t="str">
        <f t="shared" si="64"/>
        <v/>
      </c>
      <c r="AW70" s="444" t="str">
        <f t="shared" si="64"/>
        <v/>
      </c>
      <c r="AX70" s="444" t="str">
        <f t="shared" si="64"/>
        <v/>
      </c>
      <c r="AY70" s="444" t="str">
        <f t="shared" si="64"/>
        <v/>
      </c>
      <c r="AZ70" s="444" t="str">
        <f t="shared" si="64"/>
        <v/>
      </c>
      <c r="BA70" s="444" t="str">
        <f t="shared" si="64"/>
        <v/>
      </c>
      <c r="BB70" s="444" t="str">
        <f t="shared" si="64"/>
        <v/>
      </c>
      <c r="BC70" s="444" t="str">
        <f t="shared" si="65"/>
        <v/>
      </c>
      <c r="BD70" s="444" t="str">
        <f t="shared" si="65"/>
        <v/>
      </c>
      <c r="BE70" s="444" t="str">
        <f t="shared" si="65"/>
        <v/>
      </c>
      <c r="BF70" s="444" t="str">
        <f t="shared" si="65"/>
        <v/>
      </c>
      <c r="BG70" s="444" t="str">
        <f t="shared" si="65"/>
        <v/>
      </c>
      <c r="BH70" s="445" t="str">
        <f t="shared" si="65"/>
        <v/>
      </c>
      <c r="BI70" s="502"/>
      <c r="BJ70" s="474" t="str">
        <f t="shared" si="66"/>
        <v/>
      </c>
      <c r="BK70" s="475" t="str">
        <f t="shared" si="66"/>
        <v/>
      </c>
      <c r="BL70" s="475" t="str">
        <f t="shared" si="66"/>
        <v/>
      </c>
      <c r="BM70" s="475" t="str">
        <f t="shared" si="66"/>
        <v/>
      </c>
      <c r="BN70" s="475" t="str">
        <f t="shared" si="66"/>
        <v/>
      </c>
      <c r="BO70" s="475" t="str">
        <f t="shared" si="66"/>
        <v/>
      </c>
      <c r="BP70" s="475" t="str">
        <f t="shared" si="66"/>
        <v/>
      </c>
      <c r="BQ70" s="475" t="str">
        <f t="shared" si="66"/>
        <v/>
      </c>
      <c r="BR70" s="475" t="str">
        <f t="shared" si="66"/>
        <v/>
      </c>
      <c r="BS70" s="475" t="str">
        <f t="shared" si="66"/>
        <v/>
      </c>
      <c r="BT70" s="475" t="str">
        <f t="shared" si="67"/>
        <v/>
      </c>
      <c r="BU70" s="475" t="str">
        <f t="shared" si="67"/>
        <v/>
      </c>
      <c r="BV70" s="475" t="str">
        <f t="shared" si="67"/>
        <v/>
      </c>
      <c r="BW70" s="475" t="str">
        <f t="shared" si="67"/>
        <v/>
      </c>
      <c r="BX70" s="475" t="str">
        <f t="shared" si="67"/>
        <v/>
      </c>
      <c r="BY70" s="475" t="str">
        <f t="shared" si="67"/>
        <v/>
      </c>
      <c r="BZ70" s="475" t="str">
        <f t="shared" si="67"/>
        <v/>
      </c>
      <c r="CA70" s="475" t="str">
        <f t="shared" si="67"/>
        <v/>
      </c>
      <c r="CB70" s="475" t="str">
        <f t="shared" si="67"/>
        <v/>
      </c>
      <c r="CC70" s="475" t="str">
        <f t="shared" si="67"/>
        <v/>
      </c>
      <c r="CD70" s="475" t="str">
        <f t="shared" si="68"/>
        <v/>
      </c>
      <c r="CE70" s="475" t="str">
        <f t="shared" si="68"/>
        <v/>
      </c>
      <c r="CF70" s="475" t="str">
        <f t="shared" si="68"/>
        <v/>
      </c>
      <c r="CG70" s="475" t="str">
        <f t="shared" si="68"/>
        <v/>
      </c>
      <c r="CH70" s="475" t="str">
        <f t="shared" si="68"/>
        <v/>
      </c>
      <c r="CI70" s="475" t="str">
        <f t="shared" si="68"/>
        <v/>
      </c>
      <c r="CJ70" s="475" t="str">
        <f t="shared" si="68"/>
        <v/>
      </c>
      <c r="CK70" s="475" t="str">
        <f t="shared" si="68"/>
        <v/>
      </c>
      <c r="CL70" s="475" t="str">
        <f t="shared" si="68"/>
        <v/>
      </c>
      <c r="CM70" s="475" t="str">
        <f t="shared" si="68"/>
        <v/>
      </c>
      <c r="CN70" s="475" t="str">
        <f t="shared" si="69"/>
        <v/>
      </c>
      <c r="CO70" s="475" t="str">
        <f t="shared" si="69"/>
        <v/>
      </c>
      <c r="CP70" s="475" t="str">
        <f t="shared" si="69"/>
        <v/>
      </c>
      <c r="CQ70" s="475" t="str">
        <f t="shared" si="69"/>
        <v/>
      </c>
      <c r="CR70" s="475" t="str">
        <f t="shared" si="69"/>
        <v/>
      </c>
      <c r="CS70" s="475" t="str">
        <f t="shared" si="69"/>
        <v/>
      </c>
      <c r="CT70" s="475" t="str">
        <f t="shared" si="69"/>
        <v/>
      </c>
      <c r="CU70" s="475" t="str">
        <f t="shared" si="69"/>
        <v/>
      </c>
      <c r="CV70" s="475" t="str">
        <f t="shared" si="69"/>
        <v/>
      </c>
      <c r="CW70" s="475" t="str">
        <f t="shared" si="69"/>
        <v/>
      </c>
      <c r="CX70" s="475" t="str">
        <f t="shared" si="69"/>
        <v/>
      </c>
      <c r="CY70" s="475" t="str">
        <f t="shared" si="69"/>
        <v/>
      </c>
      <c r="CZ70" s="495" t="str">
        <f t="shared" si="69"/>
        <v/>
      </c>
      <c r="DA70" s="502"/>
      <c r="DB70" s="460"/>
      <c r="DC70" s="465"/>
      <c r="DD70" s="463"/>
      <c r="DE70" s="512"/>
      <c r="DF70" s="516"/>
      <c r="DG70" s="508"/>
      <c r="DH70" s="463"/>
      <c r="DI70" s="461"/>
      <c r="DJ70" s="461"/>
      <c r="DK70" s="461"/>
      <c r="DL70" s="464"/>
      <c r="DM70" s="466"/>
      <c r="DN70" s="502"/>
      <c r="DO70" s="460"/>
      <c r="DP70" s="464"/>
      <c r="DQ70" s="464"/>
      <c r="DR70" s="464"/>
      <c r="DS70" s="508"/>
      <c r="DT70" s="525"/>
      <c r="DU70" s="525"/>
      <c r="DV70" s="463"/>
      <c r="DW70" s="464"/>
      <c r="DX70" s="465"/>
      <c r="DY70" s="463"/>
      <c r="DZ70" s="464"/>
      <c r="EA70" s="465"/>
      <c r="EB70" s="463"/>
      <c r="EC70" s="465"/>
      <c r="ED70" s="462"/>
      <c r="EE70" s="502"/>
      <c r="EF70" s="463"/>
      <c r="EG70" s="461"/>
      <c r="EH70" s="464"/>
      <c r="EI70" s="464"/>
      <c r="EJ70" s="464"/>
      <c r="EK70" s="464"/>
      <c r="EL70" s="464"/>
      <c r="EM70" s="464"/>
      <c r="EN70" s="464"/>
      <c r="EO70" s="464"/>
      <c r="EP70" s="464"/>
      <c r="EQ70" s="464"/>
      <c r="ER70" s="464"/>
      <c r="ES70" s="464"/>
      <c r="ET70" s="464"/>
      <c r="EU70" s="464"/>
      <c r="EV70" s="464"/>
      <c r="EW70" s="465"/>
      <c r="EX70" s="465"/>
      <c r="EY70" s="502"/>
      <c r="EZ70" s="460"/>
      <c r="FA70" s="464"/>
      <c r="FB70" s="464"/>
      <c r="FC70" s="464"/>
      <c r="FD70" s="464"/>
      <c r="FE70" s="464"/>
      <c r="FF70" s="464"/>
      <c r="FG70" s="466"/>
    </row>
    <row r="71" spans="1:163">
      <c r="A71" s="467" t="s">
        <v>258</v>
      </c>
      <c r="B71" s="471" t="str">
        <f>IF(ISNUMBER(MATCH(A71, 'Pulldown Data'!W:W, 0))=TRUE, "Y", IF(ISNUMBER(MATCH(A71, 'Pulldown Data'!X:X, 0))=TRUE, "M", ""))</f>
        <v/>
      </c>
      <c r="C71" s="504"/>
      <c r="D71" s="502"/>
      <c r="E71" s="443" t="str">
        <f t="shared" si="60"/>
        <v/>
      </c>
      <c r="F71" s="444" t="str">
        <f t="shared" si="60"/>
        <v/>
      </c>
      <c r="G71" s="444" t="str">
        <f t="shared" si="60"/>
        <v/>
      </c>
      <c r="H71" s="444" t="str">
        <f t="shared" si="60"/>
        <v/>
      </c>
      <c r="I71" s="444" t="str">
        <f t="shared" si="60"/>
        <v/>
      </c>
      <c r="J71" s="444" t="str">
        <f t="shared" si="60"/>
        <v/>
      </c>
      <c r="K71" s="444" t="str">
        <f t="shared" si="60"/>
        <v/>
      </c>
      <c r="L71" s="444" t="str">
        <f t="shared" si="60"/>
        <v/>
      </c>
      <c r="M71" s="444" t="str">
        <f t="shared" si="60"/>
        <v/>
      </c>
      <c r="N71" s="444" t="str">
        <f t="shared" si="60"/>
        <v/>
      </c>
      <c r="O71" s="444" t="str">
        <f t="shared" si="61"/>
        <v/>
      </c>
      <c r="P71" s="444" t="str">
        <f t="shared" si="61"/>
        <v/>
      </c>
      <c r="Q71" s="444" t="str">
        <f t="shared" si="61"/>
        <v/>
      </c>
      <c r="R71" s="444" t="str">
        <f t="shared" si="61"/>
        <v/>
      </c>
      <c r="S71" s="444" t="str">
        <f t="shared" si="61"/>
        <v/>
      </c>
      <c r="T71" s="444" t="str">
        <f t="shared" si="61"/>
        <v/>
      </c>
      <c r="U71" s="444" t="str">
        <f t="shared" si="61"/>
        <v/>
      </c>
      <c r="V71" s="444" t="str">
        <f t="shared" si="61"/>
        <v/>
      </c>
      <c r="W71" s="444" t="str">
        <f t="shared" si="61"/>
        <v/>
      </c>
      <c r="X71" s="444" t="str">
        <f t="shared" si="61"/>
        <v/>
      </c>
      <c r="Y71" s="444" t="str">
        <f t="shared" si="62"/>
        <v/>
      </c>
      <c r="Z71" s="444" t="str">
        <f t="shared" si="62"/>
        <v/>
      </c>
      <c r="AA71" s="444" t="str">
        <f t="shared" si="62"/>
        <v/>
      </c>
      <c r="AB71" s="444" t="str">
        <f t="shared" si="62"/>
        <v/>
      </c>
      <c r="AC71" s="444" t="str">
        <f t="shared" si="62"/>
        <v/>
      </c>
      <c r="AD71" s="444" t="str">
        <f t="shared" si="62"/>
        <v/>
      </c>
      <c r="AE71" s="444" t="str">
        <f t="shared" si="62"/>
        <v/>
      </c>
      <c r="AF71" s="444" t="str">
        <f t="shared" si="62"/>
        <v/>
      </c>
      <c r="AG71" s="444" t="str">
        <f t="shared" si="62"/>
        <v/>
      </c>
      <c r="AH71" s="444" t="str">
        <f t="shared" si="62"/>
        <v/>
      </c>
      <c r="AI71" s="444" t="str">
        <f t="shared" si="63"/>
        <v/>
      </c>
      <c r="AJ71" s="444" t="str">
        <f t="shared" si="63"/>
        <v/>
      </c>
      <c r="AK71" s="444" t="str">
        <f t="shared" si="63"/>
        <v/>
      </c>
      <c r="AL71" s="444" t="str">
        <f t="shared" si="63"/>
        <v/>
      </c>
      <c r="AM71" s="444" t="str">
        <f t="shared" si="63"/>
        <v/>
      </c>
      <c r="AN71" s="444" t="str">
        <f t="shared" si="63"/>
        <v/>
      </c>
      <c r="AO71" s="444" t="str">
        <f t="shared" si="63"/>
        <v/>
      </c>
      <c r="AP71" s="444" t="str">
        <f t="shared" si="63"/>
        <v/>
      </c>
      <c r="AQ71" s="444" t="str">
        <f t="shared" si="63"/>
        <v/>
      </c>
      <c r="AR71" s="444" t="str">
        <f t="shared" si="63"/>
        <v/>
      </c>
      <c r="AS71" s="444" t="str">
        <f t="shared" si="64"/>
        <v/>
      </c>
      <c r="AT71" s="444" t="str">
        <f t="shared" si="64"/>
        <v/>
      </c>
      <c r="AU71" s="444" t="str">
        <f t="shared" si="64"/>
        <v/>
      </c>
      <c r="AV71" s="444" t="str">
        <f t="shared" si="64"/>
        <v/>
      </c>
      <c r="AW71" s="444" t="str">
        <f t="shared" si="64"/>
        <v/>
      </c>
      <c r="AX71" s="444" t="str">
        <f t="shared" si="64"/>
        <v/>
      </c>
      <c r="AY71" s="444" t="str">
        <f t="shared" si="64"/>
        <v/>
      </c>
      <c r="AZ71" s="444" t="str">
        <f t="shared" si="64"/>
        <v/>
      </c>
      <c r="BA71" s="444" t="str">
        <f t="shared" si="64"/>
        <v/>
      </c>
      <c r="BB71" s="444" t="str">
        <f t="shared" si="64"/>
        <v/>
      </c>
      <c r="BC71" s="444" t="str">
        <f t="shared" si="65"/>
        <v/>
      </c>
      <c r="BD71" s="444" t="str">
        <f t="shared" si="65"/>
        <v/>
      </c>
      <c r="BE71" s="444" t="str">
        <f t="shared" si="65"/>
        <v/>
      </c>
      <c r="BF71" s="444" t="str">
        <f t="shared" si="65"/>
        <v/>
      </c>
      <c r="BG71" s="444" t="str">
        <f t="shared" si="65"/>
        <v/>
      </c>
      <c r="BH71" s="445" t="str">
        <f t="shared" si="65"/>
        <v/>
      </c>
      <c r="BI71" s="502"/>
      <c r="BJ71" s="474" t="str">
        <f t="shared" si="66"/>
        <v/>
      </c>
      <c r="BK71" s="475" t="str">
        <f t="shared" si="66"/>
        <v/>
      </c>
      <c r="BL71" s="475" t="str">
        <f t="shared" si="66"/>
        <v/>
      </c>
      <c r="BM71" s="475" t="str">
        <f t="shared" si="66"/>
        <v/>
      </c>
      <c r="BN71" s="475" t="str">
        <f t="shared" si="66"/>
        <v/>
      </c>
      <c r="BO71" s="475" t="str">
        <f t="shared" si="66"/>
        <v/>
      </c>
      <c r="BP71" s="475" t="str">
        <f t="shared" si="66"/>
        <v/>
      </c>
      <c r="BQ71" s="475" t="str">
        <f t="shared" si="66"/>
        <v/>
      </c>
      <c r="BR71" s="475" t="str">
        <f t="shared" si="66"/>
        <v/>
      </c>
      <c r="BS71" s="475" t="str">
        <f t="shared" si="66"/>
        <v/>
      </c>
      <c r="BT71" s="475" t="str">
        <f t="shared" si="67"/>
        <v/>
      </c>
      <c r="BU71" s="475" t="str">
        <f t="shared" si="67"/>
        <v/>
      </c>
      <c r="BV71" s="475" t="str">
        <f t="shared" si="67"/>
        <v/>
      </c>
      <c r="BW71" s="475" t="str">
        <f t="shared" si="67"/>
        <v/>
      </c>
      <c r="BX71" s="475" t="str">
        <f t="shared" si="67"/>
        <v/>
      </c>
      <c r="BY71" s="475" t="str">
        <f t="shared" si="67"/>
        <v/>
      </c>
      <c r="BZ71" s="475" t="str">
        <f t="shared" si="67"/>
        <v/>
      </c>
      <c r="CA71" s="475" t="str">
        <f t="shared" si="67"/>
        <v/>
      </c>
      <c r="CB71" s="475" t="str">
        <f t="shared" si="67"/>
        <v/>
      </c>
      <c r="CC71" s="475" t="str">
        <f t="shared" si="67"/>
        <v/>
      </c>
      <c r="CD71" s="475" t="str">
        <f t="shared" si="68"/>
        <v/>
      </c>
      <c r="CE71" s="475" t="str">
        <f t="shared" si="68"/>
        <v/>
      </c>
      <c r="CF71" s="475" t="str">
        <f t="shared" si="68"/>
        <v/>
      </c>
      <c r="CG71" s="475" t="str">
        <f t="shared" si="68"/>
        <v/>
      </c>
      <c r="CH71" s="475" t="str">
        <f t="shared" si="68"/>
        <v/>
      </c>
      <c r="CI71" s="475" t="str">
        <f t="shared" si="68"/>
        <v/>
      </c>
      <c r="CJ71" s="475" t="str">
        <f t="shared" si="68"/>
        <v/>
      </c>
      <c r="CK71" s="475" t="str">
        <f t="shared" si="68"/>
        <v/>
      </c>
      <c r="CL71" s="475" t="str">
        <f t="shared" si="68"/>
        <v/>
      </c>
      <c r="CM71" s="475" t="str">
        <f t="shared" si="68"/>
        <v/>
      </c>
      <c r="CN71" s="475" t="str">
        <f t="shared" si="69"/>
        <v/>
      </c>
      <c r="CO71" s="475" t="str">
        <f t="shared" si="69"/>
        <v/>
      </c>
      <c r="CP71" s="475" t="str">
        <f t="shared" si="69"/>
        <v/>
      </c>
      <c r="CQ71" s="475" t="str">
        <f t="shared" si="69"/>
        <v/>
      </c>
      <c r="CR71" s="475" t="str">
        <f t="shared" si="69"/>
        <v/>
      </c>
      <c r="CS71" s="475" t="str">
        <f t="shared" si="69"/>
        <v/>
      </c>
      <c r="CT71" s="475" t="str">
        <f t="shared" si="69"/>
        <v/>
      </c>
      <c r="CU71" s="475" t="str">
        <f t="shared" si="69"/>
        <v/>
      </c>
      <c r="CV71" s="475" t="str">
        <f t="shared" si="69"/>
        <v/>
      </c>
      <c r="CW71" s="475" t="str">
        <f t="shared" si="69"/>
        <v/>
      </c>
      <c r="CX71" s="475" t="str">
        <f t="shared" si="69"/>
        <v/>
      </c>
      <c r="CY71" s="475" t="str">
        <f t="shared" si="69"/>
        <v/>
      </c>
      <c r="CZ71" s="495" t="str">
        <f t="shared" si="69"/>
        <v/>
      </c>
      <c r="DA71" s="502"/>
      <c r="DB71" s="460"/>
      <c r="DC71" s="465"/>
      <c r="DD71" s="463"/>
      <c r="DE71" s="512"/>
      <c r="DF71" s="516"/>
      <c r="DG71" s="508"/>
      <c r="DH71" s="463"/>
      <c r="DI71" s="461"/>
      <c r="DJ71" s="461"/>
      <c r="DK71" s="461"/>
      <c r="DL71" s="464"/>
      <c r="DM71" s="466"/>
      <c r="DN71" s="502"/>
      <c r="DO71" s="460"/>
      <c r="DP71" s="464"/>
      <c r="DQ71" s="464"/>
      <c r="DR71" s="464"/>
      <c r="DS71" s="508"/>
      <c r="DT71" s="525"/>
      <c r="DU71" s="525"/>
      <c r="DV71" s="463"/>
      <c r="DW71" s="464"/>
      <c r="DX71" s="465"/>
      <c r="DY71" s="463"/>
      <c r="DZ71" s="464"/>
      <c r="EA71" s="465"/>
      <c r="EB71" s="463"/>
      <c r="EC71" s="465"/>
      <c r="ED71" s="462"/>
      <c r="EE71" s="502"/>
      <c r="EF71" s="463"/>
      <c r="EG71" s="461"/>
      <c r="EH71" s="464"/>
      <c r="EI71" s="464"/>
      <c r="EJ71" s="464"/>
      <c r="EK71" s="464"/>
      <c r="EL71" s="464"/>
      <c r="EM71" s="464"/>
      <c r="EN71" s="464"/>
      <c r="EO71" s="464"/>
      <c r="EP71" s="464"/>
      <c r="EQ71" s="464"/>
      <c r="ER71" s="464"/>
      <c r="ES71" s="464"/>
      <c r="ET71" s="464"/>
      <c r="EU71" s="464"/>
      <c r="EV71" s="464"/>
      <c r="EW71" s="465"/>
      <c r="EX71" s="465"/>
      <c r="EY71" s="502"/>
      <c r="EZ71" s="460"/>
      <c r="FA71" s="464"/>
      <c r="FB71" s="464"/>
      <c r="FC71" s="464"/>
      <c r="FD71" s="464"/>
      <c r="FE71" s="464"/>
      <c r="FF71" s="464"/>
      <c r="FG71" s="466"/>
    </row>
    <row r="72" spans="1:163">
      <c r="A72" s="467" t="s">
        <v>259</v>
      </c>
      <c r="B72" s="471" t="str">
        <f>IF(ISNUMBER(MATCH(A72, 'Pulldown Data'!W:W, 0))=TRUE, "Y", IF(ISNUMBER(MATCH(A72, 'Pulldown Data'!X:X, 0))=TRUE, "M", ""))</f>
        <v/>
      </c>
      <c r="C72" s="504">
        <v>45630</v>
      </c>
      <c r="D72" s="502"/>
      <c r="E72" s="443" t="str">
        <f t="shared" ref="E72:N81" si="70" xml:space="preserve">
IFERROR(
_xlfn.IFNA(
   IF($B72="PLT",
      IF(INDEX(PRJGENVersions, MATCH(TRIM(E$1), PRJGENAlgosMapped, 0), MATCH($A72, PRJGENProjects, 0)), "YES", ""),
      IF(INDEX(RoadmapData, MATCH(TRIM(E$1), RoadmapDataFeatures, 0), MATCH($A72, RoadmapDataProjects, 0)) = "-", "-", INDEX(RoadmapData, MATCH(TRIM(E$1), RoadmapDataFeatures, 0), MATCH($A72, RoadmapDataProjects, 0)))),
""),
"")</f>
        <v>YES</v>
      </c>
      <c r="F72" s="444" t="str">
        <f t="shared" si="70"/>
        <v>NO</v>
      </c>
      <c r="G72" s="444" t="str">
        <f t="shared" si="70"/>
        <v>YES</v>
      </c>
      <c r="H72" s="444" t="str">
        <f t="shared" si="70"/>
        <v>YES</v>
      </c>
      <c r="I72" s="444" t="str">
        <f t="shared" si="70"/>
        <v>YES</v>
      </c>
      <c r="J72" s="444" t="str">
        <f t="shared" si="70"/>
        <v>YES</v>
      </c>
      <c r="K72" s="444" t="str">
        <f t="shared" si="70"/>
        <v>NO</v>
      </c>
      <c r="L72" s="444" t="str">
        <f t="shared" si="70"/>
        <v>NO</v>
      </c>
      <c r="M72" s="444" t="str">
        <f t="shared" si="70"/>
        <v>YES</v>
      </c>
      <c r="N72" s="444" t="str">
        <f t="shared" si="70"/>
        <v>YES</v>
      </c>
      <c r="O72" s="444" t="str">
        <f t="shared" ref="O72:X81" si="71" xml:space="preserve">
IFERROR(
_xlfn.IFNA(
   IF($B72="PLT",
      IF(INDEX(PRJGENVersions, MATCH(TRIM(O$1), PRJGENAlgosMapped, 0), MATCH($A72, PRJGENProjects, 0)), "YES", ""),
      IF(INDEX(RoadmapData, MATCH(TRIM(O$1), RoadmapDataFeatures, 0), MATCH($A72, RoadmapDataProjects, 0)) = "-", "-", INDEX(RoadmapData, MATCH(TRIM(O$1), RoadmapDataFeatures, 0), MATCH($A72, RoadmapDataProjects, 0)))),
""),
"")</f>
        <v>YES</v>
      </c>
      <c r="P72" s="444" t="str">
        <f t="shared" si="71"/>
        <v>YES</v>
      </c>
      <c r="Q72" s="444" t="str">
        <f t="shared" si="71"/>
        <v>YES</v>
      </c>
      <c r="R72" s="444" t="str">
        <f t="shared" si="71"/>
        <v>YES</v>
      </c>
      <c r="S72" s="444" t="str">
        <f t="shared" si="71"/>
        <v>YES</v>
      </c>
      <c r="T72" s="444" t="str">
        <f t="shared" si="71"/>
        <v>YES</v>
      </c>
      <c r="U72" s="444" t="str">
        <f t="shared" si="71"/>
        <v>YES</v>
      </c>
      <c r="V72" s="444" t="str">
        <f t="shared" si="71"/>
        <v>YES</v>
      </c>
      <c r="W72" s="444" t="str">
        <f t="shared" si="71"/>
        <v>NO</v>
      </c>
      <c r="X72" s="444" t="str">
        <f t="shared" si="71"/>
        <v>NO</v>
      </c>
      <c r="Y72" s="444" t="str">
        <f t="shared" ref="Y72:AH81" si="72" xml:space="preserve">
IFERROR(
_xlfn.IFNA(
   IF($B72="PLT",
      IF(INDEX(PRJGENVersions, MATCH(TRIM(Y$1), PRJGENAlgosMapped, 0), MATCH($A72, PRJGENProjects, 0)), "YES", ""),
      IF(INDEX(RoadmapData, MATCH(TRIM(Y$1), RoadmapDataFeatures, 0), MATCH($A72, RoadmapDataProjects, 0)) = "-", "-", INDEX(RoadmapData, MATCH(TRIM(Y$1), RoadmapDataFeatures, 0), MATCH($A72, RoadmapDataProjects, 0)))),
""),
"")</f>
        <v>NO</v>
      </c>
      <c r="Z72" s="444" t="str">
        <f t="shared" si="72"/>
        <v>NO</v>
      </c>
      <c r="AA72" s="444" t="str">
        <f t="shared" si="72"/>
        <v>NO</v>
      </c>
      <c r="AB72" s="444" t="str">
        <f t="shared" si="72"/>
        <v>NO</v>
      </c>
      <c r="AC72" s="444" t="str">
        <f t="shared" si="72"/>
        <v>NO</v>
      </c>
      <c r="AD72" s="444" t="str">
        <f t="shared" si="72"/>
        <v>NO</v>
      </c>
      <c r="AE72" s="444" t="str">
        <f t="shared" si="72"/>
        <v>NO</v>
      </c>
      <c r="AF72" s="444" t="str">
        <f t="shared" si="72"/>
        <v>YES</v>
      </c>
      <c r="AG72" s="444" t="str">
        <f t="shared" si="72"/>
        <v>YES</v>
      </c>
      <c r="AH72" s="444" t="str">
        <f t="shared" si="72"/>
        <v>YES</v>
      </c>
      <c r="AI72" s="444" t="str">
        <f t="shared" ref="AI72:AR81" si="73" xml:space="preserve">
IFERROR(
_xlfn.IFNA(
   IF($B72="PLT",
      IF(INDEX(PRJGENVersions, MATCH(TRIM(AI$1), PRJGENAlgosMapped, 0), MATCH($A72, PRJGENProjects, 0)), "YES", ""),
      IF(INDEX(RoadmapData, MATCH(TRIM(AI$1), RoadmapDataFeatures, 0), MATCH($A72, RoadmapDataProjects, 0)) = "-", "-", INDEX(RoadmapData, MATCH(TRIM(AI$1), RoadmapDataFeatures, 0), MATCH($A72, RoadmapDataProjects, 0)))),
""),
"")</f>
        <v>YES</v>
      </c>
      <c r="AJ72" s="444" t="str">
        <f t="shared" si="73"/>
        <v>YES</v>
      </c>
      <c r="AK72" s="444" t="str">
        <f t="shared" si="73"/>
        <v>NO</v>
      </c>
      <c r="AL72" s="444" t="str">
        <f t="shared" si="73"/>
        <v>NO</v>
      </c>
      <c r="AM72" s="444" t="str">
        <f t="shared" si="73"/>
        <v>NO</v>
      </c>
      <c r="AN72" s="444" t="str">
        <f t="shared" si="73"/>
        <v>NO</v>
      </c>
      <c r="AO72" s="444" t="str">
        <f t="shared" si="73"/>
        <v>NO</v>
      </c>
      <c r="AP72" s="444" t="str">
        <f t="shared" si="73"/>
        <v>DEP</v>
      </c>
      <c r="AQ72" s="444" t="str">
        <f t="shared" si="73"/>
        <v>DEP</v>
      </c>
      <c r="AR72" s="444" t="str">
        <f t="shared" si="73"/>
        <v>NO</v>
      </c>
      <c r="AS72" s="444" t="str">
        <f t="shared" ref="AS72:BB81" si="74" xml:space="preserve">
IFERROR(
_xlfn.IFNA(
   IF($B72="PLT",
      IF(INDEX(PRJGENVersions, MATCH(TRIM(AS$1), PRJGENAlgosMapped, 0), MATCH($A72, PRJGENProjects, 0)), "YES", ""),
      IF(INDEX(RoadmapData, MATCH(TRIM(AS$1), RoadmapDataFeatures, 0), MATCH($A72, RoadmapDataProjects, 0)) = "-", "-", INDEX(RoadmapData, MATCH(TRIM(AS$1), RoadmapDataFeatures, 0), MATCH($A72, RoadmapDataProjects, 0)))),
""),
"")</f>
        <v>NO</v>
      </c>
      <c r="AT72" s="444" t="str">
        <f t="shared" si="74"/>
        <v>DEP</v>
      </c>
      <c r="AU72" s="444" t="str">
        <f t="shared" si="74"/>
        <v>DEP</v>
      </c>
      <c r="AV72" s="444" t="str">
        <f t="shared" si="74"/>
        <v>DEP</v>
      </c>
      <c r="AW72" s="444" t="str">
        <f t="shared" si="74"/>
        <v>DEP</v>
      </c>
      <c r="AX72" s="444" t="str">
        <f t="shared" si="74"/>
        <v>DEP</v>
      </c>
      <c r="AY72" s="444" t="str">
        <f t="shared" si="74"/>
        <v>YES</v>
      </c>
      <c r="AZ72" s="444" t="str">
        <f t="shared" si="74"/>
        <v>DEP</v>
      </c>
      <c r="BA72" s="444" t="str">
        <f t="shared" si="74"/>
        <v>DEP</v>
      </c>
      <c r="BB72" s="444" t="str">
        <f t="shared" si="74"/>
        <v>NO</v>
      </c>
      <c r="BC72" s="444" t="str">
        <f t="shared" ref="BC72:BH81" si="75" xml:space="preserve">
IFERROR(
_xlfn.IFNA(
   IF($B72="PLT",
      IF(INDEX(PRJGENVersions, MATCH(TRIM(BC$1), PRJGENAlgosMapped, 0), MATCH($A72, PRJGENProjects, 0)), "YES", ""),
      IF(INDEX(RoadmapData, MATCH(TRIM(BC$1), RoadmapDataFeatures, 0), MATCH($A72, RoadmapDataProjects, 0)) = "-", "-", INDEX(RoadmapData, MATCH(TRIM(BC$1), RoadmapDataFeatures, 0), MATCH($A72, RoadmapDataProjects, 0)))),
""),
"")</f>
        <v>NO</v>
      </c>
      <c r="BD72" s="444" t="str">
        <f t="shared" si="75"/>
        <v>NO</v>
      </c>
      <c r="BE72" s="444" t="str">
        <f t="shared" si="75"/>
        <v>NO</v>
      </c>
      <c r="BF72" s="444" t="str">
        <f t="shared" si="75"/>
        <v>NO</v>
      </c>
      <c r="BG72" s="444" t="str">
        <f t="shared" si="75"/>
        <v>NO</v>
      </c>
      <c r="BH72" s="445" t="str">
        <f t="shared" si="75"/>
        <v>NO</v>
      </c>
      <c r="BI72" s="502"/>
      <c r="BJ72" s="474" t="str">
        <f t="shared" ref="BJ72:BS81" si="76">_xlfn.IFNA(IF(INDEX(RoadmapData, MATCH(TRIM(BJ$1), RoadmapDataFeatures, 0), MATCH($A72, RoadmapDataProjects, 0)) = "-", "-", INDEX(RoadmapData, MATCH(TRIM(BJ$1), RoadmapDataFeatures, 0), MATCH($A72, RoadmapDataProjects, 0))), "")</f>
        <v>YES</v>
      </c>
      <c r="BK72" s="475" t="str">
        <f t="shared" si="76"/>
        <v>YES</v>
      </c>
      <c r="BL72" s="475" t="str">
        <f t="shared" si="76"/>
        <v>NO</v>
      </c>
      <c r="BM72" s="475" t="str">
        <f t="shared" si="76"/>
        <v>NO</v>
      </c>
      <c r="BN72" s="475" t="str">
        <f t="shared" si="76"/>
        <v>NO</v>
      </c>
      <c r="BO72" s="475" t="str">
        <f t="shared" si="76"/>
        <v>YES</v>
      </c>
      <c r="BP72" s="475" t="str">
        <f t="shared" si="76"/>
        <v>YES</v>
      </c>
      <c r="BQ72" s="475" t="str">
        <f t="shared" si="76"/>
        <v>NO</v>
      </c>
      <c r="BR72" s="475" t="str">
        <f t="shared" si="76"/>
        <v>NO</v>
      </c>
      <c r="BS72" s="475" t="str">
        <f t="shared" si="76"/>
        <v>NO</v>
      </c>
      <c r="BT72" s="475" t="str">
        <f t="shared" ref="BT72:CC81" si="77">_xlfn.IFNA(IF(INDEX(RoadmapData, MATCH(TRIM(BT$1), RoadmapDataFeatures, 0), MATCH($A72, RoadmapDataProjects, 0)) = "-", "-", INDEX(RoadmapData, MATCH(TRIM(BT$1), RoadmapDataFeatures, 0), MATCH($A72, RoadmapDataProjects, 0))), "")</f>
        <v>NO</v>
      </c>
      <c r="BU72" s="475" t="str">
        <f t="shared" si="77"/>
        <v>NO</v>
      </c>
      <c r="BV72" s="475" t="str">
        <f t="shared" si="77"/>
        <v>NO</v>
      </c>
      <c r="BW72" s="475" t="str">
        <f t="shared" si="77"/>
        <v>NO</v>
      </c>
      <c r="BX72" s="475" t="str">
        <f t="shared" si="77"/>
        <v>NO</v>
      </c>
      <c r="BY72" s="475" t="str">
        <f t="shared" si="77"/>
        <v>NO</v>
      </c>
      <c r="BZ72" s="475" t="str">
        <f t="shared" si="77"/>
        <v>YES</v>
      </c>
      <c r="CA72" s="475" t="str">
        <f t="shared" si="77"/>
        <v>YES</v>
      </c>
      <c r="CB72" s="475" t="str">
        <f t="shared" si="77"/>
        <v>YES</v>
      </c>
      <c r="CC72" s="475" t="str">
        <f t="shared" si="77"/>
        <v>YES</v>
      </c>
      <c r="CD72" s="475" t="str">
        <f t="shared" ref="CD72:CM81" si="78">_xlfn.IFNA(IF(INDEX(RoadmapData, MATCH(TRIM(CD$1), RoadmapDataFeatures, 0), MATCH($A72, RoadmapDataProjects, 0)) = "-", "-", INDEX(RoadmapData, MATCH(TRIM(CD$1), RoadmapDataFeatures, 0), MATCH($A72, RoadmapDataProjects, 0))), "")</f>
        <v>NO</v>
      </c>
      <c r="CE72" s="475" t="str">
        <f t="shared" si="78"/>
        <v>NO</v>
      </c>
      <c r="CF72" s="475" t="str">
        <f t="shared" si="78"/>
        <v>YES</v>
      </c>
      <c r="CG72" s="475" t="str">
        <f t="shared" si="78"/>
        <v>NO</v>
      </c>
      <c r="CH72" s="475" t="str">
        <f t="shared" si="78"/>
        <v>NO</v>
      </c>
      <c r="CI72" s="475" t="str">
        <f t="shared" si="78"/>
        <v>NO</v>
      </c>
      <c r="CJ72" s="475" t="str">
        <f t="shared" si="78"/>
        <v>NO</v>
      </c>
      <c r="CK72" s="475" t="str">
        <f t="shared" si="78"/>
        <v>NO</v>
      </c>
      <c r="CL72" s="475" t="str">
        <f t="shared" si="78"/>
        <v>NO</v>
      </c>
      <c r="CM72" s="475" t="str">
        <f t="shared" si="78"/>
        <v>NO</v>
      </c>
      <c r="CN72" s="475" t="str">
        <f t="shared" ref="CN72:CZ81" si="79">_xlfn.IFNA(IF(INDEX(RoadmapData, MATCH(TRIM(CN$1), RoadmapDataFeatures, 0), MATCH($A72, RoadmapDataProjects, 0)) = "-", "-", INDEX(RoadmapData, MATCH(TRIM(CN$1), RoadmapDataFeatures, 0), MATCH($A72, RoadmapDataProjects, 0))), "")</f>
        <v>NO</v>
      </c>
      <c r="CO72" s="475" t="str">
        <f t="shared" si="79"/>
        <v>NO</v>
      </c>
      <c r="CP72" s="475" t="str">
        <f t="shared" si="79"/>
        <v>NO</v>
      </c>
      <c r="CQ72" s="475" t="str">
        <f t="shared" si="79"/>
        <v>NO</v>
      </c>
      <c r="CR72" s="475" t="str">
        <f t="shared" si="79"/>
        <v>NO</v>
      </c>
      <c r="CS72" s="475" t="str">
        <f t="shared" si="79"/>
        <v>NO</v>
      </c>
      <c r="CT72" s="475" t="str">
        <f t="shared" si="79"/>
        <v>NO</v>
      </c>
      <c r="CU72" s="475" t="str">
        <f t="shared" si="79"/>
        <v>NO</v>
      </c>
      <c r="CV72" s="475" t="str">
        <f t="shared" si="79"/>
        <v>NO</v>
      </c>
      <c r="CW72" s="475" t="str">
        <f t="shared" si="79"/>
        <v>NO</v>
      </c>
      <c r="CX72" s="475" t="str">
        <f t="shared" si="79"/>
        <v>NO</v>
      </c>
      <c r="CY72" s="475" t="str">
        <f t="shared" si="79"/>
        <v>NO</v>
      </c>
      <c r="CZ72" s="495" t="str">
        <f t="shared" si="79"/>
        <v>NO</v>
      </c>
      <c r="DA72" s="502"/>
      <c r="DB72" s="460"/>
      <c r="DC72" s="465"/>
      <c r="DD72" s="463"/>
      <c r="DE72" s="512"/>
      <c r="DF72" s="516"/>
      <c r="DG72" s="508"/>
      <c r="DH72" s="463"/>
      <c r="DI72" s="461"/>
      <c r="DJ72" s="461"/>
      <c r="DK72" s="461"/>
      <c r="DL72" s="464"/>
      <c r="DM72" s="466"/>
      <c r="DN72" s="502"/>
      <c r="DO72" s="460"/>
      <c r="DP72" s="464"/>
      <c r="DQ72" s="464"/>
      <c r="DR72" s="464"/>
      <c r="DS72" s="508"/>
      <c r="DT72" s="525"/>
      <c r="DU72" s="525"/>
      <c r="DV72" s="463"/>
      <c r="DW72" s="464"/>
      <c r="DX72" s="465"/>
      <c r="DY72" s="463"/>
      <c r="DZ72" s="464"/>
      <c r="EA72" s="465"/>
      <c r="EB72" s="463"/>
      <c r="EC72" s="465"/>
      <c r="ED72" s="462"/>
      <c r="EE72" s="502"/>
      <c r="EF72" s="463"/>
      <c r="EG72" s="461"/>
      <c r="EH72" s="464"/>
      <c r="EI72" s="464"/>
      <c r="EJ72" s="464"/>
      <c r="EK72" s="464"/>
      <c r="EL72" s="464"/>
      <c r="EM72" s="464"/>
      <c r="EN72" s="464"/>
      <c r="EO72" s="464"/>
      <c r="EP72" s="464"/>
      <c r="EQ72" s="464"/>
      <c r="ER72" s="464"/>
      <c r="ES72" s="464"/>
      <c r="ET72" s="464"/>
      <c r="EU72" s="464"/>
      <c r="EV72" s="464"/>
      <c r="EW72" s="465"/>
      <c r="EX72" s="465"/>
      <c r="EY72" s="502"/>
      <c r="EZ72" s="460"/>
      <c r="FA72" s="464"/>
      <c r="FB72" s="464"/>
      <c r="FC72" s="464"/>
      <c r="FD72" s="464"/>
      <c r="FE72" s="464"/>
      <c r="FF72" s="464"/>
      <c r="FG72" s="466"/>
    </row>
    <row r="73" spans="1:163">
      <c r="A73" s="467" t="s">
        <v>260</v>
      </c>
      <c r="B73" s="471" t="str">
        <f>IF(ISNUMBER(MATCH(A73, 'Pulldown Data'!W:W, 0))=TRUE, "Y", IF(ISNUMBER(MATCH(A73, 'Pulldown Data'!X:X, 0))=TRUE, "M", ""))</f>
        <v/>
      </c>
      <c r="C73" s="504"/>
      <c r="D73" s="502"/>
      <c r="E73" s="443" t="str">
        <f t="shared" si="70"/>
        <v/>
      </c>
      <c r="F73" s="444" t="str">
        <f t="shared" si="70"/>
        <v/>
      </c>
      <c r="G73" s="444" t="str">
        <f t="shared" si="70"/>
        <v/>
      </c>
      <c r="H73" s="444" t="str">
        <f t="shared" si="70"/>
        <v/>
      </c>
      <c r="I73" s="444" t="str">
        <f t="shared" si="70"/>
        <v/>
      </c>
      <c r="J73" s="444" t="str">
        <f t="shared" si="70"/>
        <v/>
      </c>
      <c r="K73" s="444" t="str">
        <f t="shared" si="70"/>
        <v/>
      </c>
      <c r="L73" s="444" t="str">
        <f t="shared" si="70"/>
        <v/>
      </c>
      <c r="M73" s="444" t="str">
        <f t="shared" si="70"/>
        <v/>
      </c>
      <c r="N73" s="444" t="str">
        <f t="shared" si="70"/>
        <v/>
      </c>
      <c r="O73" s="444" t="str">
        <f t="shared" si="71"/>
        <v/>
      </c>
      <c r="P73" s="444" t="str">
        <f t="shared" si="71"/>
        <v/>
      </c>
      <c r="Q73" s="444" t="str">
        <f t="shared" si="71"/>
        <v/>
      </c>
      <c r="R73" s="444" t="str">
        <f t="shared" si="71"/>
        <v/>
      </c>
      <c r="S73" s="444" t="str">
        <f t="shared" si="71"/>
        <v/>
      </c>
      <c r="T73" s="444" t="str">
        <f t="shared" si="71"/>
        <v/>
      </c>
      <c r="U73" s="444" t="str">
        <f t="shared" si="71"/>
        <v/>
      </c>
      <c r="V73" s="444" t="str">
        <f t="shared" si="71"/>
        <v/>
      </c>
      <c r="W73" s="444" t="str">
        <f t="shared" si="71"/>
        <v/>
      </c>
      <c r="X73" s="444" t="str">
        <f t="shared" si="71"/>
        <v/>
      </c>
      <c r="Y73" s="444" t="str">
        <f t="shared" si="72"/>
        <v/>
      </c>
      <c r="Z73" s="444" t="str">
        <f t="shared" si="72"/>
        <v/>
      </c>
      <c r="AA73" s="444" t="str">
        <f t="shared" si="72"/>
        <v/>
      </c>
      <c r="AB73" s="444" t="str">
        <f t="shared" si="72"/>
        <v/>
      </c>
      <c r="AC73" s="444" t="str">
        <f t="shared" si="72"/>
        <v/>
      </c>
      <c r="AD73" s="444" t="str">
        <f t="shared" si="72"/>
        <v/>
      </c>
      <c r="AE73" s="444" t="str">
        <f t="shared" si="72"/>
        <v/>
      </c>
      <c r="AF73" s="444" t="str">
        <f t="shared" si="72"/>
        <v/>
      </c>
      <c r="AG73" s="444" t="str">
        <f t="shared" si="72"/>
        <v/>
      </c>
      <c r="AH73" s="444" t="str">
        <f t="shared" si="72"/>
        <v/>
      </c>
      <c r="AI73" s="444" t="str">
        <f t="shared" si="73"/>
        <v/>
      </c>
      <c r="AJ73" s="444" t="str">
        <f t="shared" si="73"/>
        <v/>
      </c>
      <c r="AK73" s="444" t="str">
        <f t="shared" si="73"/>
        <v/>
      </c>
      <c r="AL73" s="444" t="str">
        <f t="shared" si="73"/>
        <v/>
      </c>
      <c r="AM73" s="444" t="str">
        <f t="shared" si="73"/>
        <v/>
      </c>
      <c r="AN73" s="444" t="str">
        <f t="shared" si="73"/>
        <v/>
      </c>
      <c r="AO73" s="444" t="str">
        <f t="shared" si="73"/>
        <v/>
      </c>
      <c r="AP73" s="444" t="str">
        <f t="shared" si="73"/>
        <v/>
      </c>
      <c r="AQ73" s="444" t="str">
        <f t="shared" si="73"/>
        <v/>
      </c>
      <c r="AR73" s="444" t="str">
        <f t="shared" si="73"/>
        <v/>
      </c>
      <c r="AS73" s="444" t="str">
        <f t="shared" si="74"/>
        <v/>
      </c>
      <c r="AT73" s="444" t="str">
        <f t="shared" si="74"/>
        <v/>
      </c>
      <c r="AU73" s="444" t="str">
        <f t="shared" si="74"/>
        <v/>
      </c>
      <c r="AV73" s="444" t="str">
        <f t="shared" si="74"/>
        <v/>
      </c>
      <c r="AW73" s="444" t="str">
        <f t="shared" si="74"/>
        <v/>
      </c>
      <c r="AX73" s="444" t="str">
        <f t="shared" si="74"/>
        <v/>
      </c>
      <c r="AY73" s="444" t="str">
        <f t="shared" si="74"/>
        <v/>
      </c>
      <c r="AZ73" s="444" t="str">
        <f t="shared" si="74"/>
        <v/>
      </c>
      <c r="BA73" s="444" t="str">
        <f t="shared" si="74"/>
        <v/>
      </c>
      <c r="BB73" s="444" t="str">
        <f t="shared" si="74"/>
        <v/>
      </c>
      <c r="BC73" s="444" t="str">
        <f t="shared" si="75"/>
        <v/>
      </c>
      <c r="BD73" s="444" t="str">
        <f t="shared" si="75"/>
        <v/>
      </c>
      <c r="BE73" s="444" t="str">
        <f t="shared" si="75"/>
        <v/>
      </c>
      <c r="BF73" s="444" t="str">
        <f t="shared" si="75"/>
        <v/>
      </c>
      <c r="BG73" s="444" t="str">
        <f t="shared" si="75"/>
        <v/>
      </c>
      <c r="BH73" s="445" t="str">
        <f t="shared" si="75"/>
        <v/>
      </c>
      <c r="BI73" s="502"/>
      <c r="BJ73" s="474" t="str">
        <f t="shared" si="76"/>
        <v/>
      </c>
      <c r="BK73" s="475" t="str">
        <f t="shared" si="76"/>
        <v/>
      </c>
      <c r="BL73" s="475" t="str">
        <f t="shared" si="76"/>
        <v/>
      </c>
      <c r="BM73" s="475" t="str">
        <f t="shared" si="76"/>
        <v/>
      </c>
      <c r="BN73" s="475" t="str">
        <f t="shared" si="76"/>
        <v/>
      </c>
      <c r="BO73" s="475" t="str">
        <f t="shared" si="76"/>
        <v/>
      </c>
      <c r="BP73" s="475" t="str">
        <f t="shared" si="76"/>
        <v/>
      </c>
      <c r="BQ73" s="475" t="str">
        <f t="shared" si="76"/>
        <v/>
      </c>
      <c r="BR73" s="475" t="str">
        <f t="shared" si="76"/>
        <v/>
      </c>
      <c r="BS73" s="475" t="str">
        <f t="shared" si="76"/>
        <v/>
      </c>
      <c r="BT73" s="475" t="str">
        <f t="shared" si="77"/>
        <v/>
      </c>
      <c r="BU73" s="475" t="str">
        <f t="shared" si="77"/>
        <v/>
      </c>
      <c r="BV73" s="475" t="str">
        <f t="shared" si="77"/>
        <v/>
      </c>
      <c r="BW73" s="475" t="str">
        <f t="shared" si="77"/>
        <v/>
      </c>
      <c r="BX73" s="475" t="str">
        <f t="shared" si="77"/>
        <v/>
      </c>
      <c r="BY73" s="475" t="str">
        <f t="shared" si="77"/>
        <v/>
      </c>
      <c r="BZ73" s="475" t="str">
        <f t="shared" si="77"/>
        <v/>
      </c>
      <c r="CA73" s="475" t="str">
        <f t="shared" si="77"/>
        <v/>
      </c>
      <c r="CB73" s="475" t="str">
        <f t="shared" si="77"/>
        <v/>
      </c>
      <c r="CC73" s="475" t="str">
        <f t="shared" si="77"/>
        <v/>
      </c>
      <c r="CD73" s="475" t="str">
        <f t="shared" si="78"/>
        <v/>
      </c>
      <c r="CE73" s="475" t="str">
        <f t="shared" si="78"/>
        <v/>
      </c>
      <c r="CF73" s="475" t="str">
        <f t="shared" si="78"/>
        <v/>
      </c>
      <c r="CG73" s="475" t="str">
        <f t="shared" si="78"/>
        <v/>
      </c>
      <c r="CH73" s="475" t="str">
        <f t="shared" si="78"/>
        <v/>
      </c>
      <c r="CI73" s="475" t="str">
        <f t="shared" si="78"/>
        <v/>
      </c>
      <c r="CJ73" s="475" t="str">
        <f t="shared" si="78"/>
        <v/>
      </c>
      <c r="CK73" s="475" t="str">
        <f t="shared" si="78"/>
        <v/>
      </c>
      <c r="CL73" s="475" t="str">
        <f t="shared" si="78"/>
        <v/>
      </c>
      <c r="CM73" s="475" t="str">
        <f t="shared" si="78"/>
        <v/>
      </c>
      <c r="CN73" s="475" t="str">
        <f t="shared" si="79"/>
        <v/>
      </c>
      <c r="CO73" s="475" t="str">
        <f t="shared" si="79"/>
        <v/>
      </c>
      <c r="CP73" s="475" t="str">
        <f t="shared" si="79"/>
        <v/>
      </c>
      <c r="CQ73" s="475" t="str">
        <f t="shared" si="79"/>
        <v/>
      </c>
      <c r="CR73" s="475" t="str">
        <f t="shared" si="79"/>
        <v/>
      </c>
      <c r="CS73" s="475" t="str">
        <f t="shared" si="79"/>
        <v/>
      </c>
      <c r="CT73" s="475" t="str">
        <f t="shared" si="79"/>
        <v/>
      </c>
      <c r="CU73" s="475" t="str">
        <f t="shared" si="79"/>
        <v/>
      </c>
      <c r="CV73" s="475" t="str">
        <f t="shared" si="79"/>
        <v/>
      </c>
      <c r="CW73" s="475" t="str">
        <f t="shared" si="79"/>
        <v/>
      </c>
      <c r="CX73" s="475" t="str">
        <f t="shared" si="79"/>
        <v/>
      </c>
      <c r="CY73" s="475" t="str">
        <f t="shared" si="79"/>
        <v/>
      </c>
      <c r="CZ73" s="495" t="str">
        <f t="shared" si="79"/>
        <v/>
      </c>
      <c r="DA73" s="502"/>
      <c r="DB73" s="460"/>
      <c r="DC73" s="465"/>
      <c r="DD73" s="463"/>
      <c r="DE73" s="512"/>
      <c r="DF73" s="516"/>
      <c r="DG73" s="508"/>
      <c r="DH73" s="463"/>
      <c r="DI73" s="461"/>
      <c r="DJ73" s="461"/>
      <c r="DK73" s="461"/>
      <c r="DL73" s="464"/>
      <c r="DM73" s="466"/>
      <c r="DN73" s="502"/>
      <c r="DO73" s="460"/>
      <c r="DP73" s="464"/>
      <c r="DQ73" s="464"/>
      <c r="DR73" s="464"/>
      <c r="DS73" s="508"/>
      <c r="DT73" s="525"/>
      <c r="DU73" s="525"/>
      <c r="DV73" s="463"/>
      <c r="DW73" s="464"/>
      <c r="DX73" s="465"/>
      <c r="DY73" s="463"/>
      <c r="DZ73" s="464"/>
      <c r="EA73" s="465"/>
      <c r="EB73" s="463"/>
      <c r="EC73" s="465"/>
      <c r="ED73" s="462"/>
      <c r="EE73" s="502"/>
      <c r="EF73" s="463"/>
      <c r="EG73" s="461"/>
      <c r="EH73" s="464"/>
      <c r="EI73" s="464"/>
      <c r="EJ73" s="464"/>
      <c r="EK73" s="464"/>
      <c r="EL73" s="464"/>
      <c r="EM73" s="464"/>
      <c r="EN73" s="464"/>
      <c r="EO73" s="464"/>
      <c r="EP73" s="464"/>
      <c r="EQ73" s="464"/>
      <c r="ER73" s="464"/>
      <c r="ES73" s="464"/>
      <c r="ET73" s="464"/>
      <c r="EU73" s="464"/>
      <c r="EV73" s="464"/>
      <c r="EW73" s="465"/>
      <c r="EX73" s="465"/>
      <c r="EY73" s="502"/>
      <c r="EZ73" s="460"/>
      <c r="FA73" s="464"/>
      <c r="FB73" s="464"/>
      <c r="FC73" s="464"/>
      <c r="FD73" s="464"/>
      <c r="FE73" s="464"/>
      <c r="FF73" s="464"/>
      <c r="FG73" s="466"/>
    </row>
    <row r="74" spans="1:163">
      <c r="A74" s="467" t="s">
        <v>261</v>
      </c>
      <c r="B74" s="471" t="str">
        <f>IF(ISNUMBER(MATCH(A74, 'Pulldown Data'!W:W, 0))=TRUE, "Y", IF(ISNUMBER(MATCH(A74, 'Pulldown Data'!X:X, 0))=TRUE, "M", ""))</f>
        <v/>
      </c>
      <c r="C74" s="504"/>
      <c r="D74" s="502"/>
      <c r="E74" s="443" t="str">
        <f t="shared" si="70"/>
        <v/>
      </c>
      <c r="F74" s="444" t="str">
        <f t="shared" si="70"/>
        <v/>
      </c>
      <c r="G74" s="444" t="str">
        <f t="shared" si="70"/>
        <v/>
      </c>
      <c r="H74" s="444" t="str">
        <f t="shared" si="70"/>
        <v/>
      </c>
      <c r="I74" s="444" t="str">
        <f t="shared" si="70"/>
        <v/>
      </c>
      <c r="J74" s="444" t="str">
        <f t="shared" si="70"/>
        <v/>
      </c>
      <c r="K74" s="444" t="str">
        <f t="shared" si="70"/>
        <v/>
      </c>
      <c r="L74" s="444" t="str">
        <f t="shared" si="70"/>
        <v/>
      </c>
      <c r="M74" s="444" t="str">
        <f t="shared" si="70"/>
        <v/>
      </c>
      <c r="N74" s="444" t="str">
        <f t="shared" si="70"/>
        <v/>
      </c>
      <c r="O74" s="444" t="str">
        <f t="shared" si="71"/>
        <v/>
      </c>
      <c r="P74" s="444" t="str">
        <f t="shared" si="71"/>
        <v/>
      </c>
      <c r="Q74" s="444" t="str">
        <f t="shared" si="71"/>
        <v/>
      </c>
      <c r="R74" s="444" t="str">
        <f t="shared" si="71"/>
        <v/>
      </c>
      <c r="S74" s="444" t="str">
        <f t="shared" si="71"/>
        <v/>
      </c>
      <c r="T74" s="444" t="str">
        <f t="shared" si="71"/>
        <v/>
      </c>
      <c r="U74" s="444" t="str">
        <f t="shared" si="71"/>
        <v/>
      </c>
      <c r="V74" s="444" t="str">
        <f t="shared" si="71"/>
        <v/>
      </c>
      <c r="W74" s="444" t="str">
        <f t="shared" si="71"/>
        <v/>
      </c>
      <c r="X74" s="444" t="str">
        <f t="shared" si="71"/>
        <v/>
      </c>
      <c r="Y74" s="444" t="str">
        <f t="shared" si="72"/>
        <v/>
      </c>
      <c r="Z74" s="444" t="str">
        <f t="shared" si="72"/>
        <v/>
      </c>
      <c r="AA74" s="444" t="str">
        <f t="shared" si="72"/>
        <v/>
      </c>
      <c r="AB74" s="444" t="str">
        <f t="shared" si="72"/>
        <v/>
      </c>
      <c r="AC74" s="444" t="str">
        <f t="shared" si="72"/>
        <v/>
      </c>
      <c r="AD74" s="444" t="str">
        <f t="shared" si="72"/>
        <v/>
      </c>
      <c r="AE74" s="444" t="str">
        <f t="shared" si="72"/>
        <v/>
      </c>
      <c r="AF74" s="444" t="str">
        <f t="shared" si="72"/>
        <v/>
      </c>
      <c r="AG74" s="444" t="str">
        <f t="shared" si="72"/>
        <v/>
      </c>
      <c r="AH74" s="444" t="str">
        <f t="shared" si="72"/>
        <v/>
      </c>
      <c r="AI74" s="444" t="str">
        <f t="shared" si="73"/>
        <v/>
      </c>
      <c r="AJ74" s="444" t="str">
        <f t="shared" si="73"/>
        <v/>
      </c>
      <c r="AK74" s="444" t="str">
        <f t="shared" si="73"/>
        <v/>
      </c>
      <c r="AL74" s="444" t="str">
        <f t="shared" si="73"/>
        <v/>
      </c>
      <c r="AM74" s="444" t="str">
        <f t="shared" si="73"/>
        <v/>
      </c>
      <c r="AN74" s="444" t="str">
        <f t="shared" si="73"/>
        <v/>
      </c>
      <c r="AO74" s="444" t="str">
        <f t="shared" si="73"/>
        <v/>
      </c>
      <c r="AP74" s="444" t="str">
        <f t="shared" si="73"/>
        <v/>
      </c>
      <c r="AQ74" s="444" t="str">
        <f t="shared" si="73"/>
        <v/>
      </c>
      <c r="AR74" s="444" t="str">
        <f t="shared" si="73"/>
        <v/>
      </c>
      <c r="AS74" s="444" t="str">
        <f t="shared" si="74"/>
        <v/>
      </c>
      <c r="AT74" s="444" t="str">
        <f t="shared" si="74"/>
        <v/>
      </c>
      <c r="AU74" s="444" t="str">
        <f t="shared" si="74"/>
        <v/>
      </c>
      <c r="AV74" s="444" t="str">
        <f t="shared" si="74"/>
        <v/>
      </c>
      <c r="AW74" s="444" t="str">
        <f t="shared" si="74"/>
        <v/>
      </c>
      <c r="AX74" s="444" t="str">
        <f t="shared" si="74"/>
        <v/>
      </c>
      <c r="AY74" s="444" t="str">
        <f t="shared" si="74"/>
        <v/>
      </c>
      <c r="AZ74" s="444" t="str">
        <f t="shared" si="74"/>
        <v/>
      </c>
      <c r="BA74" s="444" t="str">
        <f t="shared" si="74"/>
        <v/>
      </c>
      <c r="BB74" s="444" t="str">
        <f t="shared" si="74"/>
        <v/>
      </c>
      <c r="BC74" s="444" t="str">
        <f t="shared" si="75"/>
        <v/>
      </c>
      <c r="BD74" s="444" t="str">
        <f t="shared" si="75"/>
        <v/>
      </c>
      <c r="BE74" s="444" t="str">
        <f t="shared" si="75"/>
        <v/>
      </c>
      <c r="BF74" s="444" t="str">
        <f t="shared" si="75"/>
        <v/>
      </c>
      <c r="BG74" s="444" t="str">
        <f t="shared" si="75"/>
        <v/>
      </c>
      <c r="BH74" s="445" t="str">
        <f t="shared" si="75"/>
        <v/>
      </c>
      <c r="BI74" s="502"/>
      <c r="BJ74" s="474" t="str">
        <f t="shared" si="76"/>
        <v/>
      </c>
      <c r="BK74" s="475" t="str">
        <f t="shared" si="76"/>
        <v/>
      </c>
      <c r="BL74" s="475" t="str">
        <f t="shared" si="76"/>
        <v/>
      </c>
      <c r="BM74" s="475" t="str">
        <f t="shared" si="76"/>
        <v/>
      </c>
      <c r="BN74" s="475" t="str">
        <f t="shared" si="76"/>
        <v/>
      </c>
      <c r="BO74" s="475" t="str">
        <f t="shared" si="76"/>
        <v/>
      </c>
      <c r="BP74" s="475" t="str">
        <f t="shared" si="76"/>
        <v/>
      </c>
      <c r="BQ74" s="475" t="str">
        <f t="shared" si="76"/>
        <v/>
      </c>
      <c r="BR74" s="475" t="str">
        <f t="shared" si="76"/>
        <v/>
      </c>
      <c r="BS74" s="475" t="str">
        <f t="shared" si="76"/>
        <v/>
      </c>
      <c r="BT74" s="475" t="str">
        <f t="shared" si="77"/>
        <v/>
      </c>
      <c r="BU74" s="475" t="str">
        <f t="shared" si="77"/>
        <v/>
      </c>
      <c r="BV74" s="475" t="str">
        <f t="shared" si="77"/>
        <v/>
      </c>
      <c r="BW74" s="475" t="str">
        <f t="shared" si="77"/>
        <v/>
      </c>
      <c r="BX74" s="475" t="str">
        <f t="shared" si="77"/>
        <v/>
      </c>
      <c r="BY74" s="475" t="str">
        <f t="shared" si="77"/>
        <v/>
      </c>
      <c r="BZ74" s="475" t="str">
        <f t="shared" si="77"/>
        <v/>
      </c>
      <c r="CA74" s="475" t="str">
        <f t="shared" si="77"/>
        <v/>
      </c>
      <c r="CB74" s="475" t="str">
        <f t="shared" si="77"/>
        <v/>
      </c>
      <c r="CC74" s="475" t="str">
        <f t="shared" si="77"/>
        <v/>
      </c>
      <c r="CD74" s="475" t="str">
        <f t="shared" si="78"/>
        <v/>
      </c>
      <c r="CE74" s="475" t="str">
        <f t="shared" si="78"/>
        <v/>
      </c>
      <c r="CF74" s="475" t="str">
        <f t="shared" si="78"/>
        <v/>
      </c>
      <c r="CG74" s="475" t="str">
        <f t="shared" si="78"/>
        <v/>
      </c>
      <c r="CH74" s="475" t="str">
        <f t="shared" si="78"/>
        <v/>
      </c>
      <c r="CI74" s="475" t="str">
        <f t="shared" si="78"/>
        <v/>
      </c>
      <c r="CJ74" s="475" t="str">
        <f t="shared" si="78"/>
        <v/>
      </c>
      <c r="CK74" s="475" t="str">
        <f t="shared" si="78"/>
        <v/>
      </c>
      <c r="CL74" s="475" t="str">
        <f t="shared" si="78"/>
        <v/>
      </c>
      <c r="CM74" s="475" t="str">
        <f t="shared" si="78"/>
        <v/>
      </c>
      <c r="CN74" s="475" t="str">
        <f t="shared" si="79"/>
        <v/>
      </c>
      <c r="CO74" s="475" t="str">
        <f t="shared" si="79"/>
        <v/>
      </c>
      <c r="CP74" s="475" t="str">
        <f t="shared" si="79"/>
        <v/>
      </c>
      <c r="CQ74" s="475" t="str">
        <f t="shared" si="79"/>
        <v/>
      </c>
      <c r="CR74" s="475" t="str">
        <f t="shared" si="79"/>
        <v/>
      </c>
      <c r="CS74" s="475" t="str">
        <f t="shared" si="79"/>
        <v/>
      </c>
      <c r="CT74" s="475" t="str">
        <f t="shared" si="79"/>
        <v/>
      </c>
      <c r="CU74" s="475" t="str">
        <f t="shared" si="79"/>
        <v/>
      </c>
      <c r="CV74" s="475" t="str">
        <f t="shared" si="79"/>
        <v/>
      </c>
      <c r="CW74" s="475" t="str">
        <f t="shared" si="79"/>
        <v/>
      </c>
      <c r="CX74" s="475" t="str">
        <f t="shared" si="79"/>
        <v/>
      </c>
      <c r="CY74" s="475" t="str">
        <f t="shared" si="79"/>
        <v/>
      </c>
      <c r="CZ74" s="495" t="str">
        <f t="shared" si="79"/>
        <v/>
      </c>
      <c r="DA74" s="502"/>
      <c r="DB74" s="460"/>
      <c r="DC74" s="465"/>
      <c r="DD74" s="463"/>
      <c r="DE74" s="512"/>
      <c r="DF74" s="516"/>
      <c r="DG74" s="508"/>
      <c r="DH74" s="463"/>
      <c r="DI74" s="461"/>
      <c r="DJ74" s="461"/>
      <c r="DK74" s="461"/>
      <c r="DL74" s="464"/>
      <c r="DM74" s="466"/>
      <c r="DN74" s="502"/>
      <c r="DO74" s="460"/>
      <c r="DP74" s="464"/>
      <c r="DQ74" s="464"/>
      <c r="DR74" s="464"/>
      <c r="DS74" s="508"/>
      <c r="DT74" s="525"/>
      <c r="DU74" s="525"/>
      <c r="DV74" s="463"/>
      <c r="DW74" s="464"/>
      <c r="DX74" s="465"/>
      <c r="DY74" s="463"/>
      <c r="DZ74" s="464"/>
      <c r="EA74" s="465"/>
      <c r="EB74" s="463"/>
      <c r="EC74" s="465"/>
      <c r="ED74" s="462"/>
      <c r="EE74" s="502"/>
      <c r="EF74" s="463"/>
      <c r="EG74" s="461"/>
      <c r="EH74" s="464"/>
      <c r="EI74" s="464"/>
      <c r="EJ74" s="464"/>
      <c r="EK74" s="464"/>
      <c r="EL74" s="464"/>
      <c r="EM74" s="464"/>
      <c r="EN74" s="464"/>
      <c r="EO74" s="464"/>
      <c r="EP74" s="464"/>
      <c r="EQ74" s="464"/>
      <c r="ER74" s="464"/>
      <c r="ES74" s="464"/>
      <c r="ET74" s="464"/>
      <c r="EU74" s="464"/>
      <c r="EV74" s="464"/>
      <c r="EW74" s="465"/>
      <c r="EX74" s="465"/>
      <c r="EY74" s="502"/>
      <c r="EZ74" s="460"/>
      <c r="FA74" s="464"/>
      <c r="FB74" s="464"/>
      <c r="FC74" s="464"/>
      <c r="FD74" s="464"/>
      <c r="FE74" s="464"/>
      <c r="FF74" s="464"/>
      <c r="FG74" s="466"/>
    </row>
    <row r="75" spans="1:163">
      <c r="A75" s="467" t="s">
        <v>262</v>
      </c>
      <c r="B75" s="471" t="str">
        <f>IF(ISNUMBER(MATCH(A75, 'Pulldown Data'!W:W, 0))=TRUE, "Y", IF(ISNUMBER(MATCH(A75, 'Pulldown Data'!X:X, 0))=TRUE, "M", ""))</f>
        <v/>
      </c>
      <c r="C75" s="504"/>
      <c r="D75" s="502"/>
      <c r="E75" s="443" t="str">
        <f t="shared" si="70"/>
        <v/>
      </c>
      <c r="F75" s="444" t="str">
        <f t="shared" si="70"/>
        <v/>
      </c>
      <c r="G75" s="444" t="str">
        <f t="shared" si="70"/>
        <v/>
      </c>
      <c r="H75" s="444" t="str">
        <f t="shared" si="70"/>
        <v/>
      </c>
      <c r="I75" s="444" t="str">
        <f t="shared" si="70"/>
        <v/>
      </c>
      <c r="J75" s="444" t="str">
        <f t="shared" si="70"/>
        <v/>
      </c>
      <c r="K75" s="444" t="str">
        <f t="shared" si="70"/>
        <v/>
      </c>
      <c r="L75" s="444" t="str">
        <f t="shared" si="70"/>
        <v/>
      </c>
      <c r="M75" s="444" t="str">
        <f t="shared" si="70"/>
        <v/>
      </c>
      <c r="N75" s="444" t="str">
        <f t="shared" si="70"/>
        <v/>
      </c>
      <c r="O75" s="444" t="str">
        <f t="shared" si="71"/>
        <v/>
      </c>
      <c r="P75" s="444" t="str">
        <f t="shared" si="71"/>
        <v/>
      </c>
      <c r="Q75" s="444" t="str">
        <f t="shared" si="71"/>
        <v/>
      </c>
      <c r="R75" s="444" t="str">
        <f t="shared" si="71"/>
        <v/>
      </c>
      <c r="S75" s="444" t="str">
        <f t="shared" si="71"/>
        <v/>
      </c>
      <c r="T75" s="444" t="str">
        <f t="shared" si="71"/>
        <v/>
      </c>
      <c r="U75" s="444" t="str">
        <f t="shared" si="71"/>
        <v/>
      </c>
      <c r="V75" s="444" t="str">
        <f t="shared" si="71"/>
        <v/>
      </c>
      <c r="W75" s="444" t="str">
        <f t="shared" si="71"/>
        <v/>
      </c>
      <c r="X75" s="444" t="str">
        <f t="shared" si="71"/>
        <v/>
      </c>
      <c r="Y75" s="444" t="str">
        <f t="shared" si="72"/>
        <v/>
      </c>
      <c r="Z75" s="444" t="str">
        <f t="shared" si="72"/>
        <v/>
      </c>
      <c r="AA75" s="444" t="str">
        <f t="shared" si="72"/>
        <v/>
      </c>
      <c r="AB75" s="444" t="str">
        <f t="shared" si="72"/>
        <v/>
      </c>
      <c r="AC75" s="444" t="str">
        <f t="shared" si="72"/>
        <v/>
      </c>
      <c r="AD75" s="444" t="str">
        <f t="shared" si="72"/>
        <v/>
      </c>
      <c r="AE75" s="444" t="str">
        <f t="shared" si="72"/>
        <v/>
      </c>
      <c r="AF75" s="444" t="str">
        <f t="shared" si="72"/>
        <v/>
      </c>
      <c r="AG75" s="444" t="str">
        <f t="shared" si="72"/>
        <v/>
      </c>
      <c r="AH75" s="444" t="str">
        <f t="shared" si="72"/>
        <v/>
      </c>
      <c r="AI75" s="444" t="str">
        <f t="shared" si="73"/>
        <v/>
      </c>
      <c r="AJ75" s="444" t="str">
        <f t="shared" si="73"/>
        <v/>
      </c>
      <c r="AK75" s="444" t="str">
        <f t="shared" si="73"/>
        <v/>
      </c>
      <c r="AL75" s="444" t="str">
        <f t="shared" si="73"/>
        <v/>
      </c>
      <c r="AM75" s="444" t="str">
        <f t="shared" si="73"/>
        <v/>
      </c>
      <c r="AN75" s="444" t="str">
        <f t="shared" si="73"/>
        <v/>
      </c>
      <c r="AO75" s="444" t="str">
        <f t="shared" si="73"/>
        <v/>
      </c>
      <c r="AP75" s="444" t="str">
        <f t="shared" si="73"/>
        <v/>
      </c>
      <c r="AQ75" s="444" t="str">
        <f t="shared" si="73"/>
        <v/>
      </c>
      <c r="AR75" s="444" t="str">
        <f t="shared" si="73"/>
        <v/>
      </c>
      <c r="AS75" s="444" t="str">
        <f t="shared" si="74"/>
        <v/>
      </c>
      <c r="AT75" s="444" t="str">
        <f t="shared" si="74"/>
        <v/>
      </c>
      <c r="AU75" s="444" t="str">
        <f t="shared" si="74"/>
        <v/>
      </c>
      <c r="AV75" s="444" t="str">
        <f t="shared" si="74"/>
        <v/>
      </c>
      <c r="AW75" s="444" t="str">
        <f t="shared" si="74"/>
        <v/>
      </c>
      <c r="AX75" s="444" t="str">
        <f t="shared" si="74"/>
        <v/>
      </c>
      <c r="AY75" s="444" t="str">
        <f t="shared" si="74"/>
        <v/>
      </c>
      <c r="AZ75" s="444" t="str">
        <f t="shared" si="74"/>
        <v/>
      </c>
      <c r="BA75" s="444" t="str">
        <f t="shared" si="74"/>
        <v/>
      </c>
      <c r="BB75" s="444" t="str">
        <f t="shared" si="74"/>
        <v/>
      </c>
      <c r="BC75" s="444" t="str">
        <f t="shared" si="75"/>
        <v/>
      </c>
      <c r="BD75" s="444" t="str">
        <f t="shared" si="75"/>
        <v/>
      </c>
      <c r="BE75" s="444" t="str">
        <f t="shared" si="75"/>
        <v/>
      </c>
      <c r="BF75" s="444" t="str">
        <f t="shared" si="75"/>
        <v/>
      </c>
      <c r="BG75" s="444" t="str">
        <f t="shared" si="75"/>
        <v/>
      </c>
      <c r="BH75" s="445" t="str">
        <f t="shared" si="75"/>
        <v/>
      </c>
      <c r="BI75" s="502"/>
      <c r="BJ75" s="474" t="str">
        <f t="shared" si="76"/>
        <v/>
      </c>
      <c r="BK75" s="475" t="str">
        <f t="shared" si="76"/>
        <v/>
      </c>
      <c r="BL75" s="475" t="str">
        <f t="shared" si="76"/>
        <v/>
      </c>
      <c r="BM75" s="475" t="str">
        <f t="shared" si="76"/>
        <v/>
      </c>
      <c r="BN75" s="475" t="str">
        <f t="shared" si="76"/>
        <v/>
      </c>
      <c r="BO75" s="475" t="str">
        <f t="shared" si="76"/>
        <v/>
      </c>
      <c r="BP75" s="475" t="str">
        <f t="shared" si="76"/>
        <v/>
      </c>
      <c r="BQ75" s="475" t="str">
        <f t="shared" si="76"/>
        <v/>
      </c>
      <c r="BR75" s="475" t="str">
        <f t="shared" si="76"/>
        <v/>
      </c>
      <c r="BS75" s="475" t="str">
        <f t="shared" si="76"/>
        <v/>
      </c>
      <c r="BT75" s="475" t="str">
        <f t="shared" si="77"/>
        <v/>
      </c>
      <c r="BU75" s="475" t="str">
        <f t="shared" si="77"/>
        <v/>
      </c>
      <c r="BV75" s="475" t="str">
        <f t="shared" si="77"/>
        <v/>
      </c>
      <c r="BW75" s="475" t="str">
        <f t="shared" si="77"/>
        <v/>
      </c>
      <c r="BX75" s="475" t="str">
        <f t="shared" si="77"/>
        <v/>
      </c>
      <c r="BY75" s="475" t="str">
        <f t="shared" si="77"/>
        <v/>
      </c>
      <c r="BZ75" s="475" t="str">
        <f t="shared" si="77"/>
        <v/>
      </c>
      <c r="CA75" s="475" t="str">
        <f t="shared" si="77"/>
        <v/>
      </c>
      <c r="CB75" s="475" t="str">
        <f t="shared" si="77"/>
        <v/>
      </c>
      <c r="CC75" s="475" t="str">
        <f t="shared" si="77"/>
        <v/>
      </c>
      <c r="CD75" s="475" t="str">
        <f t="shared" si="78"/>
        <v/>
      </c>
      <c r="CE75" s="475" t="str">
        <f t="shared" si="78"/>
        <v/>
      </c>
      <c r="CF75" s="475" t="str">
        <f t="shared" si="78"/>
        <v/>
      </c>
      <c r="CG75" s="475" t="str">
        <f t="shared" si="78"/>
        <v/>
      </c>
      <c r="CH75" s="475" t="str">
        <f t="shared" si="78"/>
        <v/>
      </c>
      <c r="CI75" s="475" t="str">
        <f t="shared" si="78"/>
        <v/>
      </c>
      <c r="CJ75" s="475" t="str">
        <f t="shared" si="78"/>
        <v/>
      </c>
      <c r="CK75" s="475" t="str">
        <f t="shared" si="78"/>
        <v/>
      </c>
      <c r="CL75" s="475" t="str">
        <f t="shared" si="78"/>
        <v/>
      </c>
      <c r="CM75" s="475" t="str">
        <f t="shared" si="78"/>
        <v/>
      </c>
      <c r="CN75" s="475" t="str">
        <f t="shared" si="79"/>
        <v/>
      </c>
      <c r="CO75" s="475" t="str">
        <f t="shared" si="79"/>
        <v/>
      </c>
      <c r="CP75" s="475" t="str">
        <f t="shared" si="79"/>
        <v/>
      </c>
      <c r="CQ75" s="475" t="str">
        <f t="shared" si="79"/>
        <v/>
      </c>
      <c r="CR75" s="475" t="str">
        <f t="shared" si="79"/>
        <v/>
      </c>
      <c r="CS75" s="475" t="str">
        <f t="shared" si="79"/>
        <v/>
      </c>
      <c r="CT75" s="475" t="str">
        <f t="shared" si="79"/>
        <v/>
      </c>
      <c r="CU75" s="475" t="str">
        <f t="shared" si="79"/>
        <v/>
      </c>
      <c r="CV75" s="475" t="str">
        <f t="shared" si="79"/>
        <v/>
      </c>
      <c r="CW75" s="475" t="str">
        <f t="shared" si="79"/>
        <v/>
      </c>
      <c r="CX75" s="475" t="str">
        <f t="shared" si="79"/>
        <v/>
      </c>
      <c r="CY75" s="475" t="str">
        <f t="shared" si="79"/>
        <v/>
      </c>
      <c r="CZ75" s="495" t="str">
        <f t="shared" si="79"/>
        <v/>
      </c>
      <c r="DA75" s="502"/>
      <c r="DB75" s="460"/>
      <c r="DC75" s="465"/>
      <c r="DD75" s="463"/>
      <c r="DE75" s="512"/>
      <c r="DF75" s="516"/>
      <c r="DG75" s="508"/>
      <c r="DH75" s="463"/>
      <c r="DI75" s="461"/>
      <c r="DJ75" s="461"/>
      <c r="DK75" s="461"/>
      <c r="DL75" s="464"/>
      <c r="DM75" s="466"/>
      <c r="DN75" s="502"/>
      <c r="DO75" s="460"/>
      <c r="DP75" s="464"/>
      <c r="DQ75" s="464"/>
      <c r="DR75" s="464"/>
      <c r="DS75" s="508"/>
      <c r="DT75" s="525"/>
      <c r="DU75" s="525"/>
      <c r="DV75" s="463"/>
      <c r="DW75" s="464"/>
      <c r="DX75" s="465"/>
      <c r="DY75" s="463"/>
      <c r="DZ75" s="464"/>
      <c r="EA75" s="465"/>
      <c r="EB75" s="463"/>
      <c r="EC75" s="465"/>
      <c r="ED75" s="462"/>
      <c r="EE75" s="502"/>
      <c r="EF75" s="463"/>
      <c r="EG75" s="461"/>
      <c r="EH75" s="464"/>
      <c r="EI75" s="464"/>
      <c r="EJ75" s="464"/>
      <c r="EK75" s="464"/>
      <c r="EL75" s="464"/>
      <c r="EM75" s="464"/>
      <c r="EN75" s="464"/>
      <c r="EO75" s="464"/>
      <c r="EP75" s="464"/>
      <c r="EQ75" s="464"/>
      <c r="ER75" s="464"/>
      <c r="ES75" s="464"/>
      <c r="ET75" s="464"/>
      <c r="EU75" s="464"/>
      <c r="EV75" s="464"/>
      <c r="EW75" s="465"/>
      <c r="EX75" s="465"/>
      <c r="EY75" s="502"/>
      <c r="EZ75" s="460"/>
      <c r="FA75" s="464"/>
      <c r="FB75" s="464"/>
      <c r="FC75" s="464"/>
      <c r="FD75" s="464"/>
      <c r="FE75" s="464"/>
      <c r="FF75" s="464"/>
      <c r="FG75" s="466"/>
    </row>
    <row r="76" spans="1:163">
      <c r="A76" s="467" t="s">
        <v>263</v>
      </c>
      <c r="B76" s="471" t="str">
        <f>IF(ISNUMBER(MATCH(A76, 'Pulldown Data'!W:W, 0))=TRUE, "Y", IF(ISNUMBER(MATCH(A76, 'Pulldown Data'!X:X, 0))=TRUE, "M", ""))</f>
        <v/>
      </c>
      <c r="C76" s="504"/>
      <c r="D76" s="502"/>
      <c r="E76" s="443" t="str">
        <f t="shared" si="70"/>
        <v/>
      </c>
      <c r="F76" s="444" t="str">
        <f t="shared" si="70"/>
        <v/>
      </c>
      <c r="G76" s="444" t="str">
        <f t="shared" si="70"/>
        <v/>
      </c>
      <c r="H76" s="444" t="str">
        <f t="shared" si="70"/>
        <v/>
      </c>
      <c r="I76" s="444" t="str">
        <f t="shared" si="70"/>
        <v/>
      </c>
      <c r="J76" s="444" t="str">
        <f t="shared" si="70"/>
        <v/>
      </c>
      <c r="K76" s="444" t="str">
        <f t="shared" si="70"/>
        <v/>
      </c>
      <c r="L76" s="444" t="str">
        <f t="shared" si="70"/>
        <v/>
      </c>
      <c r="M76" s="444" t="str">
        <f t="shared" si="70"/>
        <v/>
      </c>
      <c r="N76" s="444" t="str">
        <f t="shared" si="70"/>
        <v/>
      </c>
      <c r="O76" s="444" t="str">
        <f t="shared" si="71"/>
        <v/>
      </c>
      <c r="P76" s="444" t="str">
        <f t="shared" si="71"/>
        <v/>
      </c>
      <c r="Q76" s="444" t="str">
        <f t="shared" si="71"/>
        <v/>
      </c>
      <c r="R76" s="444" t="str">
        <f t="shared" si="71"/>
        <v/>
      </c>
      <c r="S76" s="444" t="str">
        <f t="shared" si="71"/>
        <v/>
      </c>
      <c r="T76" s="444" t="str">
        <f t="shared" si="71"/>
        <v/>
      </c>
      <c r="U76" s="444" t="str">
        <f t="shared" si="71"/>
        <v/>
      </c>
      <c r="V76" s="444" t="str">
        <f t="shared" si="71"/>
        <v/>
      </c>
      <c r="W76" s="444" t="str">
        <f t="shared" si="71"/>
        <v/>
      </c>
      <c r="X76" s="444" t="str">
        <f t="shared" si="71"/>
        <v/>
      </c>
      <c r="Y76" s="444" t="str">
        <f t="shared" si="72"/>
        <v/>
      </c>
      <c r="Z76" s="444" t="str">
        <f t="shared" si="72"/>
        <v/>
      </c>
      <c r="AA76" s="444" t="str">
        <f t="shared" si="72"/>
        <v/>
      </c>
      <c r="AB76" s="444" t="str">
        <f t="shared" si="72"/>
        <v/>
      </c>
      <c r="AC76" s="444" t="str">
        <f t="shared" si="72"/>
        <v/>
      </c>
      <c r="AD76" s="444" t="str">
        <f t="shared" si="72"/>
        <v/>
      </c>
      <c r="AE76" s="444" t="str">
        <f t="shared" si="72"/>
        <v/>
      </c>
      <c r="AF76" s="444" t="str">
        <f t="shared" si="72"/>
        <v/>
      </c>
      <c r="AG76" s="444" t="str">
        <f t="shared" si="72"/>
        <v/>
      </c>
      <c r="AH76" s="444" t="str">
        <f t="shared" si="72"/>
        <v/>
      </c>
      <c r="AI76" s="444" t="str">
        <f t="shared" si="73"/>
        <v/>
      </c>
      <c r="AJ76" s="444" t="str">
        <f t="shared" si="73"/>
        <v/>
      </c>
      <c r="AK76" s="444" t="str">
        <f t="shared" si="73"/>
        <v/>
      </c>
      <c r="AL76" s="444" t="str">
        <f t="shared" si="73"/>
        <v/>
      </c>
      <c r="AM76" s="444" t="str">
        <f t="shared" si="73"/>
        <v/>
      </c>
      <c r="AN76" s="444" t="str">
        <f t="shared" si="73"/>
        <v/>
      </c>
      <c r="AO76" s="444" t="str">
        <f t="shared" si="73"/>
        <v/>
      </c>
      <c r="AP76" s="444" t="str">
        <f t="shared" si="73"/>
        <v/>
      </c>
      <c r="AQ76" s="444" t="str">
        <f t="shared" si="73"/>
        <v/>
      </c>
      <c r="AR76" s="444" t="str">
        <f t="shared" si="73"/>
        <v/>
      </c>
      <c r="AS76" s="444" t="str">
        <f t="shared" si="74"/>
        <v/>
      </c>
      <c r="AT76" s="444" t="str">
        <f t="shared" si="74"/>
        <v/>
      </c>
      <c r="AU76" s="444" t="str">
        <f t="shared" si="74"/>
        <v/>
      </c>
      <c r="AV76" s="444" t="str">
        <f t="shared" si="74"/>
        <v/>
      </c>
      <c r="AW76" s="444" t="str">
        <f t="shared" si="74"/>
        <v/>
      </c>
      <c r="AX76" s="444" t="str">
        <f t="shared" si="74"/>
        <v/>
      </c>
      <c r="AY76" s="444" t="str">
        <f t="shared" si="74"/>
        <v/>
      </c>
      <c r="AZ76" s="444" t="str">
        <f t="shared" si="74"/>
        <v/>
      </c>
      <c r="BA76" s="444" t="str">
        <f t="shared" si="74"/>
        <v/>
      </c>
      <c r="BB76" s="444" t="str">
        <f t="shared" si="74"/>
        <v/>
      </c>
      <c r="BC76" s="444" t="str">
        <f t="shared" si="75"/>
        <v/>
      </c>
      <c r="BD76" s="444" t="str">
        <f t="shared" si="75"/>
        <v/>
      </c>
      <c r="BE76" s="444" t="str">
        <f t="shared" si="75"/>
        <v/>
      </c>
      <c r="BF76" s="444" t="str">
        <f t="shared" si="75"/>
        <v/>
      </c>
      <c r="BG76" s="444" t="str">
        <f t="shared" si="75"/>
        <v/>
      </c>
      <c r="BH76" s="445" t="str">
        <f t="shared" si="75"/>
        <v/>
      </c>
      <c r="BI76" s="502"/>
      <c r="BJ76" s="474" t="str">
        <f t="shared" si="76"/>
        <v/>
      </c>
      <c r="BK76" s="475" t="str">
        <f t="shared" si="76"/>
        <v/>
      </c>
      <c r="BL76" s="475" t="str">
        <f t="shared" si="76"/>
        <v/>
      </c>
      <c r="BM76" s="475" t="str">
        <f t="shared" si="76"/>
        <v/>
      </c>
      <c r="BN76" s="475" t="str">
        <f t="shared" si="76"/>
        <v/>
      </c>
      <c r="BO76" s="475" t="str">
        <f t="shared" si="76"/>
        <v/>
      </c>
      <c r="BP76" s="475" t="str">
        <f t="shared" si="76"/>
        <v/>
      </c>
      <c r="BQ76" s="475" t="str">
        <f t="shared" si="76"/>
        <v/>
      </c>
      <c r="BR76" s="475" t="str">
        <f t="shared" si="76"/>
        <v/>
      </c>
      <c r="BS76" s="475" t="str">
        <f t="shared" si="76"/>
        <v/>
      </c>
      <c r="BT76" s="475" t="str">
        <f t="shared" si="77"/>
        <v/>
      </c>
      <c r="BU76" s="475" t="str">
        <f t="shared" si="77"/>
        <v/>
      </c>
      <c r="BV76" s="475" t="str">
        <f t="shared" si="77"/>
        <v/>
      </c>
      <c r="BW76" s="475" t="str">
        <f t="shared" si="77"/>
        <v/>
      </c>
      <c r="BX76" s="475" t="str">
        <f t="shared" si="77"/>
        <v/>
      </c>
      <c r="BY76" s="475" t="str">
        <f t="shared" si="77"/>
        <v/>
      </c>
      <c r="BZ76" s="475" t="str">
        <f t="shared" si="77"/>
        <v/>
      </c>
      <c r="CA76" s="475" t="str">
        <f t="shared" si="77"/>
        <v/>
      </c>
      <c r="CB76" s="475" t="str">
        <f t="shared" si="77"/>
        <v/>
      </c>
      <c r="CC76" s="475" t="str">
        <f t="shared" si="77"/>
        <v/>
      </c>
      <c r="CD76" s="475" t="str">
        <f t="shared" si="78"/>
        <v/>
      </c>
      <c r="CE76" s="475" t="str">
        <f t="shared" si="78"/>
        <v/>
      </c>
      <c r="CF76" s="475" t="str">
        <f t="shared" si="78"/>
        <v/>
      </c>
      <c r="CG76" s="475" t="str">
        <f t="shared" si="78"/>
        <v/>
      </c>
      <c r="CH76" s="475" t="str">
        <f t="shared" si="78"/>
        <v/>
      </c>
      <c r="CI76" s="475" t="str">
        <f t="shared" si="78"/>
        <v/>
      </c>
      <c r="CJ76" s="475" t="str">
        <f t="shared" si="78"/>
        <v/>
      </c>
      <c r="CK76" s="475" t="str">
        <f t="shared" si="78"/>
        <v/>
      </c>
      <c r="CL76" s="475" t="str">
        <f t="shared" si="78"/>
        <v/>
      </c>
      <c r="CM76" s="475" t="str">
        <f t="shared" si="78"/>
        <v/>
      </c>
      <c r="CN76" s="475" t="str">
        <f t="shared" si="79"/>
        <v/>
      </c>
      <c r="CO76" s="475" t="str">
        <f t="shared" si="79"/>
        <v/>
      </c>
      <c r="CP76" s="475" t="str">
        <f t="shared" si="79"/>
        <v/>
      </c>
      <c r="CQ76" s="475" t="str">
        <f t="shared" si="79"/>
        <v/>
      </c>
      <c r="CR76" s="475" t="str">
        <f t="shared" si="79"/>
        <v/>
      </c>
      <c r="CS76" s="475" t="str">
        <f t="shared" si="79"/>
        <v/>
      </c>
      <c r="CT76" s="475" t="str">
        <f t="shared" si="79"/>
        <v/>
      </c>
      <c r="CU76" s="475" t="str">
        <f t="shared" si="79"/>
        <v/>
      </c>
      <c r="CV76" s="475" t="str">
        <f t="shared" si="79"/>
        <v/>
      </c>
      <c r="CW76" s="475" t="str">
        <f t="shared" si="79"/>
        <v/>
      </c>
      <c r="CX76" s="475" t="str">
        <f t="shared" si="79"/>
        <v/>
      </c>
      <c r="CY76" s="475" t="str">
        <f t="shared" si="79"/>
        <v/>
      </c>
      <c r="CZ76" s="495" t="str">
        <f t="shared" si="79"/>
        <v/>
      </c>
      <c r="DA76" s="502"/>
      <c r="DB76" s="460"/>
      <c r="DC76" s="465"/>
      <c r="DD76" s="463"/>
      <c r="DE76" s="512"/>
      <c r="DF76" s="516"/>
      <c r="DG76" s="508"/>
      <c r="DH76" s="463"/>
      <c r="DI76" s="461"/>
      <c r="DJ76" s="461"/>
      <c r="DK76" s="461"/>
      <c r="DL76" s="464"/>
      <c r="DM76" s="466"/>
      <c r="DN76" s="502"/>
      <c r="DO76" s="460"/>
      <c r="DP76" s="464"/>
      <c r="DQ76" s="464"/>
      <c r="DR76" s="464"/>
      <c r="DS76" s="508"/>
      <c r="DT76" s="525"/>
      <c r="DU76" s="525"/>
      <c r="DV76" s="463"/>
      <c r="DW76" s="464"/>
      <c r="DX76" s="465"/>
      <c r="DY76" s="463"/>
      <c r="DZ76" s="464"/>
      <c r="EA76" s="465"/>
      <c r="EB76" s="463"/>
      <c r="EC76" s="465"/>
      <c r="ED76" s="462"/>
      <c r="EE76" s="502"/>
      <c r="EF76" s="463"/>
      <c r="EG76" s="461"/>
      <c r="EH76" s="464"/>
      <c r="EI76" s="464"/>
      <c r="EJ76" s="464"/>
      <c r="EK76" s="464"/>
      <c r="EL76" s="464"/>
      <c r="EM76" s="464"/>
      <c r="EN76" s="464"/>
      <c r="EO76" s="464"/>
      <c r="EP76" s="464"/>
      <c r="EQ76" s="464"/>
      <c r="ER76" s="464"/>
      <c r="ES76" s="464"/>
      <c r="ET76" s="464"/>
      <c r="EU76" s="464"/>
      <c r="EV76" s="464"/>
      <c r="EW76" s="465"/>
      <c r="EX76" s="465"/>
      <c r="EY76" s="502"/>
      <c r="EZ76" s="460"/>
      <c r="FA76" s="464"/>
      <c r="FB76" s="464"/>
      <c r="FC76" s="464"/>
      <c r="FD76" s="464"/>
      <c r="FE76" s="464"/>
      <c r="FF76" s="464"/>
      <c r="FG76" s="466"/>
    </row>
    <row r="77" spans="1:163">
      <c r="A77" s="467" t="s">
        <v>264</v>
      </c>
      <c r="B77" s="471" t="str">
        <f>IF(ISNUMBER(MATCH(A77, 'Pulldown Data'!W:W, 0))=TRUE, "Y", IF(ISNUMBER(MATCH(A77, 'Pulldown Data'!X:X, 0))=TRUE, "M", ""))</f>
        <v/>
      </c>
      <c r="C77" s="504">
        <v>45630</v>
      </c>
      <c r="D77" s="502"/>
      <c r="E77" s="443" t="str">
        <f t="shared" si="70"/>
        <v>NO</v>
      </c>
      <c r="F77" s="444" t="str">
        <f t="shared" si="70"/>
        <v>NO</v>
      </c>
      <c r="G77" s="444" t="str">
        <f t="shared" si="70"/>
        <v>YES</v>
      </c>
      <c r="H77" s="444" t="str">
        <f t="shared" si="70"/>
        <v>YES</v>
      </c>
      <c r="I77" s="444" t="str">
        <f t="shared" si="70"/>
        <v>YES</v>
      </c>
      <c r="J77" s="444" t="str">
        <f t="shared" si="70"/>
        <v>YES</v>
      </c>
      <c r="K77" s="444" t="str">
        <f t="shared" si="70"/>
        <v>NO</v>
      </c>
      <c r="L77" s="444" t="str">
        <f t="shared" si="70"/>
        <v>YES</v>
      </c>
      <c r="M77" s="444" t="str">
        <f t="shared" si="70"/>
        <v>NO</v>
      </c>
      <c r="N77" s="444" t="str">
        <f t="shared" si="70"/>
        <v>NO</v>
      </c>
      <c r="O77" s="444" t="str">
        <f t="shared" si="71"/>
        <v>NO</v>
      </c>
      <c r="P77" s="444" t="str">
        <f t="shared" si="71"/>
        <v>DEP</v>
      </c>
      <c r="Q77" s="444" t="str">
        <f t="shared" si="71"/>
        <v>DEP</v>
      </c>
      <c r="R77" s="444" t="str">
        <f t="shared" si="71"/>
        <v>DEP</v>
      </c>
      <c r="S77" s="444" t="str">
        <f t="shared" si="71"/>
        <v>DEP</v>
      </c>
      <c r="T77" s="444" t="str">
        <f t="shared" si="71"/>
        <v>DEP</v>
      </c>
      <c r="U77" s="444" t="str">
        <f t="shared" si="71"/>
        <v>YES</v>
      </c>
      <c r="V77" s="444" t="str">
        <f t="shared" si="71"/>
        <v>YES</v>
      </c>
      <c r="W77" s="444" t="str">
        <f t="shared" si="71"/>
        <v>NO</v>
      </c>
      <c r="X77" s="444" t="str">
        <f t="shared" si="71"/>
        <v>NO</v>
      </c>
      <c r="Y77" s="444" t="str">
        <f t="shared" si="72"/>
        <v>YES</v>
      </c>
      <c r="Z77" s="444" t="str">
        <f t="shared" si="72"/>
        <v>NO</v>
      </c>
      <c r="AA77" s="444" t="str">
        <f t="shared" si="72"/>
        <v>NO</v>
      </c>
      <c r="AB77" s="444" t="str">
        <f t="shared" si="72"/>
        <v>YES</v>
      </c>
      <c r="AC77" s="444" t="str">
        <f t="shared" si="72"/>
        <v>YES</v>
      </c>
      <c r="AD77" s="444" t="str">
        <f t="shared" si="72"/>
        <v>NO</v>
      </c>
      <c r="AE77" s="444" t="str">
        <f t="shared" si="72"/>
        <v>NO</v>
      </c>
      <c r="AF77" s="444" t="str">
        <f t="shared" si="72"/>
        <v>NO</v>
      </c>
      <c r="AG77" s="444" t="str">
        <f t="shared" si="72"/>
        <v>NO</v>
      </c>
      <c r="AH77" s="444" t="str">
        <f t="shared" si="72"/>
        <v>NO</v>
      </c>
      <c r="AI77" s="444" t="str">
        <f t="shared" si="73"/>
        <v>NO</v>
      </c>
      <c r="AJ77" s="444" t="str">
        <f t="shared" si="73"/>
        <v>NO</v>
      </c>
      <c r="AK77" s="444" t="str">
        <f t="shared" si="73"/>
        <v>NO</v>
      </c>
      <c r="AL77" s="444" t="str">
        <f t="shared" si="73"/>
        <v>YES</v>
      </c>
      <c r="AM77" s="444" t="str">
        <f t="shared" si="73"/>
        <v>NO</v>
      </c>
      <c r="AN77" s="444" t="str">
        <f t="shared" si="73"/>
        <v>NO</v>
      </c>
      <c r="AO77" s="444" t="str">
        <f t="shared" si="73"/>
        <v>NO</v>
      </c>
      <c r="AP77" s="444" t="str">
        <f t="shared" si="73"/>
        <v>NO</v>
      </c>
      <c r="AQ77" s="444" t="str">
        <f t="shared" si="73"/>
        <v>NO</v>
      </c>
      <c r="AR77" s="444" t="str">
        <f t="shared" si="73"/>
        <v>NO</v>
      </c>
      <c r="AS77" s="444" t="str">
        <f t="shared" si="74"/>
        <v>NO</v>
      </c>
      <c r="AT77" s="444" t="str">
        <f t="shared" si="74"/>
        <v>YES</v>
      </c>
      <c r="AU77" s="444" t="str">
        <f t="shared" si="74"/>
        <v>YES</v>
      </c>
      <c r="AV77" s="444" t="str">
        <f t="shared" si="74"/>
        <v>YES</v>
      </c>
      <c r="AW77" s="444" t="str">
        <f t="shared" si="74"/>
        <v>YES</v>
      </c>
      <c r="AX77" s="444" t="str">
        <f t="shared" si="74"/>
        <v>DEP</v>
      </c>
      <c r="AY77" s="444" t="str">
        <f t="shared" si="74"/>
        <v>YES</v>
      </c>
      <c r="AZ77" s="444" t="str">
        <f t="shared" si="74"/>
        <v>YES</v>
      </c>
      <c r="BA77" s="444" t="str">
        <f t="shared" si="74"/>
        <v>NO</v>
      </c>
      <c r="BB77" s="444" t="str">
        <f t="shared" si="74"/>
        <v>NO</v>
      </c>
      <c r="BC77" s="444" t="str">
        <f t="shared" si="75"/>
        <v>NO</v>
      </c>
      <c r="BD77" s="444" t="str">
        <f t="shared" si="75"/>
        <v>YES</v>
      </c>
      <c r="BE77" s="444" t="str">
        <f t="shared" si="75"/>
        <v>NO</v>
      </c>
      <c r="BF77" s="444" t="str">
        <f t="shared" si="75"/>
        <v>YES</v>
      </c>
      <c r="BG77" s="444" t="str">
        <f t="shared" si="75"/>
        <v>NO</v>
      </c>
      <c r="BH77" s="445" t="str">
        <f t="shared" si="75"/>
        <v>NO</v>
      </c>
      <c r="BI77" s="502"/>
      <c r="BJ77" s="474" t="str">
        <f t="shared" si="76"/>
        <v>NO</v>
      </c>
      <c r="BK77" s="475" t="str">
        <f t="shared" si="76"/>
        <v>NO</v>
      </c>
      <c r="BL77" s="475" t="str">
        <f t="shared" si="76"/>
        <v>NO</v>
      </c>
      <c r="BM77" s="475" t="str">
        <f t="shared" si="76"/>
        <v>NO</v>
      </c>
      <c r="BN77" s="475" t="str">
        <f t="shared" si="76"/>
        <v>NO</v>
      </c>
      <c r="BO77" s="475" t="str">
        <f t="shared" si="76"/>
        <v>NO</v>
      </c>
      <c r="BP77" s="475" t="str">
        <f t="shared" si="76"/>
        <v>NO</v>
      </c>
      <c r="BQ77" s="475" t="str">
        <f t="shared" si="76"/>
        <v>NO</v>
      </c>
      <c r="BR77" s="475" t="str">
        <f t="shared" si="76"/>
        <v>NO</v>
      </c>
      <c r="BS77" s="475" t="str">
        <f t="shared" si="76"/>
        <v>NO</v>
      </c>
      <c r="BT77" s="475" t="str">
        <f t="shared" si="77"/>
        <v>NO</v>
      </c>
      <c r="BU77" s="475" t="str">
        <f t="shared" si="77"/>
        <v>NO</v>
      </c>
      <c r="BV77" s="475" t="str">
        <f t="shared" si="77"/>
        <v>NO</v>
      </c>
      <c r="BW77" s="475" t="str">
        <f t="shared" si="77"/>
        <v>NO</v>
      </c>
      <c r="BX77" s="475" t="str">
        <f t="shared" si="77"/>
        <v>NO</v>
      </c>
      <c r="BY77" s="475" t="str">
        <f t="shared" si="77"/>
        <v>NO</v>
      </c>
      <c r="BZ77" s="475" t="str">
        <f t="shared" si="77"/>
        <v>NO</v>
      </c>
      <c r="CA77" s="475" t="str">
        <f t="shared" si="77"/>
        <v>NO</v>
      </c>
      <c r="CB77" s="475" t="str">
        <f t="shared" si="77"/>
        <v>NO</v>
      </c>
      <c r="CC77" s="475" t="str">
        <f t="shared" si="77"/>
        <v>NO</v>
      </c>
      <c r="CD77" s="475" t="str">
        <f t="shared" si="78"/>
        <v>NO</v>
      </c>
      <c r="CE77" s="475" t="str">
        <f t="shared" si="78"/>
        <v>NO</v>
      </c>
      <c r="CF77" s="475" t="str">
        <f t="shared" si="78"/>
        <v>NO</v>
      </c>
      <c r="CG77" s="475" t="str">
        <f t="shared" si="78"/>
        <v>NO</v>
      </c>
      <c r="CH77" s="475" t="str">
        <f t="shared" si="78"/>
        <v>NO</v>
      </c>
      <c r="CI77" s="475" t="str">
        <f t="shared" si="78"/>
        <v>NO</v>
      </c>
      <c r="CJ77" s="475" t="str">
        <f t="shared" si="78"/>
        <v>NO</v>
      </c>
      <c r="CK77" s="475" t="str">
        <f t="shared" si="78"/>
        <v>NO</v>
      </c>
      <c r="CL77" s="475" t="str">
        <f t="shared" si="78"/>
        <v>NO</v>
      </c>
      <c r="CM77" s="475" t="str">
        <f t="shared" si="78"/>
        <v>NO</v>
      </c>
      <c r="CN77" s="475" t="str">
        <f t="shared" si="79"/>
        <v>NO</v>
      </c>
      <c r="CO77" s="475" t="str">
        <f t="shared" si="79"/>
        <v>NO</v>
      </c>
      <c r="CP77" s="475" t="str">
        <f t="shared" si="79"/>
        <v>NO</v>
      </c>
      <c r="CQ77" s="475" t="str">
        <f t="shared" si="79"/>
        <v>NO</v>
      </c>
      <c r="CR77" s="475" t="str">
        <f t="shared" si="79"/>
        <v>NO</v>
      </c>
      <c r="CS77" s="475" t="str">
        <f t="shared" si="79"/>
        <v>NO</v>
      </c>
      <c r="CT77" s="475" t="str">
        <f t="shared" si="79"/>
        <v>NO</v>
      </c>
      <c r="CU77" s="475" t="str">
        <f t="shared" si="79"/>
        <v>NO</v>
      </c>
      <c r="CV77" s="475" t="str">
        <f t="shared" si="79"/>
        <v>NO</v>
      </c>
      <c r="CW77" s="475" t="str">
        <f t="shared" si="79"/>
        <v>NO</v>
      </c>
      <c r="CX77" s="475" t="str">
        <f t="shared" si="79"/>
        <v>NO</v>
      </c>
      <c r="CY77" s="475" t="str">
        <f t="shared" si="79"/>
        <v>NO</v>
      </c>
      <c r="CZ77" s="495" t="str">
        <f t="shared" si="79"/>
        <v>NO</v>
      </c>
      <c r="DA77" s="502"/>
      <c r="DB77" s="460"/>
      <c r="DC77" s="465"/>
      <c r="DD77" s="463"/>
      <c r="DE77" s="512"/>
      <c r="DF77" s="516"/>
      <c r="DG77" s="508"/>
      <c r="DH77" s="463"/>
      <c r="DI77" s="461"/>
      <c r="DJ77" s="461"/>
      <c r="DK77" s="461"/>
      <c r="DL77" s="464"/>
      <c r="DM77" s="466"/>
      <c r="DN77" s="502"/>
      <c r="DO77" s="460"/>
      <c r="DP77" s="464"/>
      <c r="DQ77" s="464"/>
      <c r="DR77" s="464"/>
      <c r="DS77" s="508"/>
      <c r="DT77" s="525"/>
      <c r="DU77" s="525"/>
      <c r="DV77" s="463"/>
      <c r="DW77" s="464"/>
      <c r="DX77" s="465"/>
      <c r="DY77" s="463"/>
      <c r="DZ77" s="464"/>
      <c r="EA77" s="465"/>
      <c r="EB77" s="463"/>
      <c r="EC77" s="465"/>
      <c r="ED77" s="462"/>
      <c r="EE77" s="502"/>
      <c r="EF77" s="463"/>
      <c r="EG77" s="461"/>
      <c r="EH77" s="464"/>
      <c r="EI77" s="464"/>
      <c r="EJ77" s="464"/>
      <c r="EK77" s="464"/>
      <c r="EL77" s="464"/>
      <c r="EM77" s="464"/>
      <c r="EN77" s="464"/>
      <c r="EO77" s="464"/>
      <c r="EP77" s="464"/>
      <c r="EQ77" s="464"/>
      <c r="ER77" s="464"/>
      <c r="ES77" s="464"/>
      <c r="ET77" s="464"/>
      <c r="EU77" s="464"/>
      <c r="EV77" s="464"/>
      <c r="EW77" s="465"/>
      <c r="EX77" s="465"/>
      <c r="EY77" s="502"/>
      <c r="EZ77" s="460"/>
      <c r="FA77" s="464"/>
      <c r="FB77" s="464"/>
      <c r="FC77" s="464"/>
      <c r="FD77" s="464"/>
      <c r="FE77" s="464"/>
      <c r="FF77" s="464"/>
      <c r="FG77" s="466"/>
    </row>
    <row r="78" spans="1:163">
      <c r="A78" s="467" t="s">
        <v>265</v>
      </c>
      <c r="B78" s="472" t="str">
        <f>IF(ISNUMBER(MATCH(A78, 'Pulldown Data'!W:W, 0))=TRUE, "Y", IF(ISNUMBER(MATCH(A78, 'Pulldown Data'!X:X, 0))=TRUE, "M", ""))</f>
        <v/>
      </c>
      <c r="C78" s="505">
        <v>45630</v>
      </c>
      <c r="D78" s="502"/>
      <c r="E78" s="443" t="str">
        <f t="shared" si="70"/>
        <v>YES</v>
      </c>
      <c r="F78" s="444" t="str">
        <f t="shared" si="70"/>
        <v>NO</v>
      </c>
      <c r="G78" s="444" t="str">
        <f t="shared" si="70"/>
        <v>YES</v>
      </c>
      <c r="H78" s="444" t="str">
        <f t="shared" si="70"/>
        <v>YES</v>
      </c>
      <c r="I78" s="444" t="str">
        <f t="shared" si="70"/>
        <v>YES</v>
      </c>
      <c r="J78" s="444" t="str">
        <f t="shared" si="70"/>
        <v>YES</v>
      </c>
      <c r="K78" s="444" t="str">
        <f t="shared" si="70"/>
        <v>NO</v>
      </c>
      <c r="L78" s="444" t="str">
        <f t="shared" si="70"/>
        <v>YES</v>
      </c>
      <c r="M78" s="444" t="str">
        <f t="shared" si="70"/>
        <v>NO</v>
      </c>
      <c r="N78" s="444" t="str">
        <f t="shared" si="70"/>
        <v>NO</v>
      </c>
      <c r="O78" s="444" t="str">
        <f t="shared" si="71"/>
        <v>NO</v>
      </c>
      <c r="P78" s="444" t="str">
        <f t="shared" si="71"/>
        <v>YES</v>
      </c>
      <c r="Q78" s="444" t="str">
        <f t="shared" si="71"/>
        <v>NO</v>
      </c>
      <c r="R78" s="444" t="str">
        <f t="shared" si="71"/>
        <v>NO</v>
      </c>
      <c r="S78" s="444" t="str">
        <f t="shared" si="71"/>
        <v>NO</v>
      </c>
      <c r="T78" s="444" t="str">
        <f t="shared" si="71"/>
        <v>YES</v>
      </c>
      <c r="U78" s="444" t="str">
        <f t="shared" si="71"/>
        <v>YES</v>
      </c>
      <c r="V78" s="444" t="str">
        <f t="shared" si="71"/>
        <v>YES</v>
      </c>
      <c r="W78" s="444" t="str">
        <f t="shared" si="71"/>
        <v>NO</v>
      </c>
      <c r="X78" s="444" t="str">
        <f t="shared" si="71"/>
        <v>YES</v>
      </c>
      <c r="Y78" s="444" t="str">
        <f t="shared" si="72"/>
        <v>YES</v>
      </c>
      <c r="Z78" s="444" t="str">
        <f t="shared" si="72"/>
        <v>NO</v>
      </c>
      <c r="AA78" s="444" t="str">
        <f t="shared" si="72"/>
        <v>YES</v>
      </c>
      <c r="AB78" s="444" t="str">
        <f t="shared" si="72"/>
        <v>YES</v>
      </c>
      <c r="AC78" s="444" t="str">
        <f t="shared" si="72"/>
        <v>YES</v>
      </c>
      <c r="AD78" s="444" t="str">
        <f t="shared" si="72"/>
        <v>YES</v>
      </c>
      <c r="AE78" s="444" t="str">
        <f t="shared" si="72"/>
        <v>YES</v>
      </c>
      <c r="AF78" s="444" t="str">
        <f t="shared" si="72"/>
        <v>YES</v>
      </c>
      <c r="AG78" s="444" t="str">
        <f t="shared" si="72"/>
        <v>YES</v>
      </c>
      <c r="AH78" s="444" t="str">
        <f t="shared" si="72"/>
        <v>NO</v>
      </c>
      <c r="AI78" s="444" t="str">
        <f t="shared" si="73"/>
        <v>NO</v>
      </c>
      <c r="AJ78" s="444" t="str">
        <f t="shared" si="73"/>
        <v>YES</v>
      </c>
      <c r="AK78" s="444" t="str">
        <f t="shared" si="73"/>
        <v>NO</v>
      </c>
      <c r="AL78" s="444" t="str">
        <f t="shared" si="73"/>
        <v>NO</v>
      </c>
      <c r="AM78" s="444" t="str">
        <f t="shared" si="73"/>
        <v>YES</v>
      </c>
      <c r="AN78" s="444" t="str">
        <f t="shared" si="73"/>
        <v>NO</v>
      </c>
      <c r="AO78" s="444" t="str">
        <f t="shared" si="73"/>
        <v>YES</v>
      </c>
      <c r="AP78" s="444" t="str">
        <f t="shared" si="73"/>
        <v>NO</v>
      </c>
      <c r="AQ78" s="444" t="str">
        <f t="shared" si="73"/>
        <v>NO</v>
      </c>
      <c r="AR78" s="444" t="str">
        <f t="shared" si="73"/>
        <v>NO</v>
      </c>
      <c r="AS78" s="444" t="str">
        <f t="shared" si="74"/>
        <v>NO</v>
      </c>
      <c r="AT78" s="444" t="str">
        <f t="shared" si="74"/>
        <v>YES</v>
      </c>
      <c r="AU78" s="444" t="str">
        <f t="shared" si="74"/>
        <v>YES</v>
      </c>
      <c r="AV78" s="444" t="str">
        <f t="shared" si="74"/>
        <v>YES</v>
      </c>
      <c r="AW78" s="444" t="str">
        <f t="shared" si="74"/>
        <v>YES</v>
      </c>
      <c r="AX78" s="444" t="str">
        <f t="shared" si="74"/>
        <v>YES</v>
      </c>
      <c r="AY78" s="444" t="str">
        <f t="shared" si="74"/>
        <v>YES</v>
      </c>
      <c r="AZ78" s="444" t="str">
        <f t="shared" si="74"/>
        <v>DEP</v>
      </c>
      <c r="BA78" s="444" t="str">
        <f t="shared" si="74"/>
        <v>YES</v>
      </c>
      <c r="BB78" s="444" t="str">
        <f t="shared" si="74"/>
        <v>YES</v>
      </c>
      <c r="BC78" s="444" t="str">
        <f t="shared" si="75"/>
        <v>NO</v>
      </c>
      <c r="BD78" s="444" t="str">
        <f t="shared" si="75"/>
        <v>NO</v>
      </c>
      <c r="BE78" s="444" t="str">
        <f t="shared" si="75"/>
        <v>YES</v>
      </c>
      <c r="BF78" s="444" t="str">
        <f t="shared" si="75"/>
        <v>YES</v>
      </c>
      <c r="BG78" s="444" t="str">
        <f t="shared" si="75"/>
        <v>YES</v>
      </c>
      <c r="BH78" s="445" t="str">
        <f t="shared" si="75"/>
        <v>NO</v>
      </c>
      <c r="BI78" s="502"/>
      <c r="BJ78" s="474" t="str">
        <f t="shared" si="76"/>
        <v>NO</v>
      </c>
      <c r="BK78" s="475" t="str">
        <f t="shared" si="76"/>
        <v>NO</v>
      </c>
      <c r="BL78" s="475" t="str">
        <f t="shared" si="76"/>
        <v>NO</v>
      </c>
      <c r="BM78" s="475" t="str">
        <f t="shared" si="76"/>
        <v>NO</v>
      </c>
      <c r="BN78" s="475" t="str">
        <f t="shared" si="76"/>
        <v>NO</v>
      </c>
      <c r="BO78" s="475" t="str">
        <f t="shared" si="76"/>
        <v>NO</v>
      </c>
      <c r="BP78" s="475" t="str">
        <f t="shared" si="76"/>
        <v>NO</v>
      </c>
      <c r="BQ78" s="475" t="str">
        <f t="shared" si="76"/>
        <v>NO</v>
      </c>
      <c r="BR78" s="475" t="str">
        <f t="shared" si="76"/>
        <v>NO</v>
      </c>
      <c r="BS78" s="475" t="str">
        <f t="shared" si="76"/>
        <v>NO</v>
      </c>
      <c r="BT78" s="475" t="str">
        <f t="shared" si="77"/>
        <v>NO</v>
      </c>
      <c r="BU78" s="475" t="str">
        <f t="shared" si="77"/>
        <v>NO</v>
      </c>
      <c r="BV78" s="475" t="str">
        <f t="shared" si="77"/>
        <v>NO</v>
      </c>
      <c r="BW78" s="475" t="str">
        <f t="shared" si="77"/>
        <v>NO</v>
      </c>
      <c r="BX78" s="475" t="str">
        <f t="shared" si="77"/>
        <v>NO</v>
      </c>
      <c r="BY78" s="475" t="str">
        <f t="shared" si="77"/>
        <v>NO</v>
      </c>
      <c r="BZ78" s="475" t="str">
        <f t="shared" si="77"/>
        <v>NO</v>
      </c>
      <c r="CA78" s="475" t="str">
        <f t="shared" si="77"/>
        <v>NO</v>
      </c>
      <c r="CB78" s="475" t="str">
        <f t="shared" si="77"/>
        <v>NO</v>
      </c>
      <c r="CC78" s="475" t="str">
        <f t="shared" si="77"/>
        <v>NO</v>
      </c>
      <c r="CD78" s="475" t="str">
        <f t="shared" si="78"/>
        <v>NO</v>
      </c>
      <c r="CE78" s="475" t="str">
        <f t="shared" si="78"/>
        <v>NO</v>
      </c>
      <c r="CF78" s="475" t="str">
        <f t="shared" si="78"/>
        <v>NO</v>
      </c>
      <c r="CG78" s="475" t="str">
        <f t="shared" si="78"/>
        <v>NO</v>
      </c>
      <c r="CH78" s="475" t="str">
        <f t="shared" si="78"/>
        <v>NO</v>
      </c>
      <c r="CI78" s="475" t="str">
        <f t="shared" si="78"/>
        <v>NO</v>
      </c>
      <c r="CJ78" s="475" t="str">
        <f t="shared" si="78"/>
        <v>NO</v>
      </c>
      <c r="CK78" s="475" t="str">
        <f t="shared" si="78"/>
        <v>NO</v>
      </c>
      <c r="CL78" s="475" t="str">
        <f t="shared" si="78"/>
        <v>NO</v>
      </c>
      <c r="CM78" s="475" t="str">
        <f t="shared" si="78"/>
        <v>NO</v>
      </c>
      <c r="CN78" s="475" t="str">
        <f t="shared" si="79"/>
        <v>NO</v>
      </c>
      <c r="CO78" s="475" t="str">
        <f t="shared" si="79"/>
        <v>NO</v>
      </c>
      <c r="CP78" s="475" t="str">
        <f t="shared" si="79"/>
        <v>NO</v>
      </c>
      <c r="CQ78" s="475" t="str">
        <f t="shared" si="79"/>
        <v>NO</v>
      </c>
      <c r="CR78" s="475" t="str">
        <f t="shared" si="79"/>
        <v>NO</v>
      </c>
      <c r="CS78" s="475" t="str">
        <f t="shared" si="79"/>
        <v>NO</v>
      </c>
      <c r="CT78" s="475" t="str">
        <f t="shared" si="79"/>
        <v>NO</v>
      </c>
      <c r="CU78" s="475" t="str">
        <f t="shared" si="79"/>
        <v>NO</v>
      </c>
      <c r="CV78" s="475" t="str">
        <f t="shared" si="79"/>
        <v>NO</v>
      </c>
      <c r="CW78" s="475" t="str">
        <f t="shared" si="79"/>
        <v>NO</v>
      </c>
      <c r="CX78" s="475" t="str">
        <f t="shared" si="79"/>
        <v>NO</v>
      </c>
      <c r="CY78" s="475" t="str">
        <f t="shared" si="79"/>
        <v>NO</v>
      </c>
      <c r="CZ78" s="495" t="str">
        <f t="shared" si="79"/>
        <v>NO</v>
      </c>
      <c r="DA78" s="502"/>
      <c r="DB78" s="460"/>
      <c r="DC78" s="465"/>
      <c r="DD78" s="463"/>
      <c r="DE78" s="512"/>
      <c r="DF78" s="516"/>
      <c r="DG78" s="508"/>
      <c r="DH78" s="463"/>
      <c r="DI78" s="461"/>
      <c r="DJ78" s="461"/>
      <c r="DK78" s="461"/>
      <c r="DL78" s="464"/>
      <c r="DM78" s="466"/>
      <c r="DN78" s="502"/>
      <c r="DO78" s="460"/>
      <c r="DP78" s="464"/>
      <c r="DQ78" s="464"/>
      <c r="DR78" s="464"/>
      <c r="DS78" s="508"/>
      <c r="DT78" s="525"/>
      <c r="DU78" s="525"/>
      <c r="DV78" s="463"/>
      <c r="DW78" s="464"/>
      <c r="DX78" s="465"/>
      <c r="DY78" s="463"/>
      <c r="DZ78" s="464"/>
      <c r="EA78" s="465"/>
      <c r="EB78" s="463"/>
      <c r="EC78" s="465"/>
      <c r="ED78" s="462"/>
      <c r="EE78" s="502"/>
      <c r="EF78" s="463"/>
      <c r="EG78" s="461"/>
      <c r="EH78" s="464"/>
      <c r="EI78" s="464"/>
      <c r="EJ78" s="464"/>
      <c r="EK78" s="464"/>
      <c r="EL78" s="464"/>
      <c r="EM78" s="464"/>
      <c r="EN78" s="464"/>
      <c r="EO78" s="464"/>
      <c r="EP78" s="464"/>
      <c r="EQ78" s="464"/>
      <c r="ER78" s="464"/>
      <c r="ES78" s="464"/>
      <c r="ET78" s="464"/>
      <c r="EU78" s="464"/>
      <c r="EV78" s="464"/>
      <c r="EW78" s="465"/>
      <c r="EX78" s="465"/>
      <c r="EY78" s="502"/>
      <c r="EZ78" s="460"/>
      <c r="FA78" s="464"/>
      <c r="FB78" s="464"/>
      <c r="FC78" s="464"/>
      <c r="FD78" s="464"/>
      <c r="FE78" s="464"/>
      <c r="FF78" s="464"/>
      <c r="FG78" s="466"/>
    </row>
    <row r="79" spans="1:163">
      <c r="A79" s="467" t="s">
        <v>266</v>
      </c>
      <c r="B79" s="471" t="str">
        <f>IF(ISNUMBER(MATCH(A79, 'Pulldown Data'!W:W, 0))=TRUE, "Y", IF(ISNUMBER(MATCH(A79, 'Pulldown Data'!X:X, 0))=TRUE, "M", ""))</f>
        <v/>
      </c>
      <c r="C79" s="504"/>
      <c r="D79" s="502"/>
      <c r="E79" s="443" t="str">
        <f t="shared" si="70"/>
        <v/>
      </c>
      <c r="F79" s="444" t="str">
        <f t="shared" si="70"/>
        <v/>
      </c>
      <c r="G79" s="444" t="str">
        <f t="shared" si="70"/>
        <v/>
      </c>
      <c r="H79" s="444" t="str">
        <f t="shared" si="70"/>
        <v/>
      </c>
      <c r="I79" s="444" t="str">
        <f t="shared" si="70"/>
        <v/>
      </c>
      <c r="J79" s="444" t="str">
        <f t="shared" si="70"/>
        <v/>
      </c>
      <c r="K79" s="444" t="str">
        <f t="shared" si="70"/>
        <v/>
      </c>
      <c r="L79" s="444" t="str">
        <f t="shared" si="70"/>
        <v/>
      </c>
      <c r="M79" s="444" t="str">
        <f t="shared" si="70"/>
        <v/>
      </c>
      <c r="N79" s="444" t="str">
        <f t="shared" si="70"/>
        <v/>
      </c>
      <c r="O79" s="444" t="str">
        <f t="shared" si="71"/>
        <v/>
      </c>
      <c r="P79" s="444" t="str">
        <f t="shared" si="71"/>
        <v/>
      </c>
      <c r="Q79" s="444" t="str">
        <f t="shared" si="71"/>
        <v/>
      </c>
      <c r="R79" s="444" t="str">
        <f t="shared" si="71"/>
        <v/>
      </c>
      <c r="S79" s="444" t="str">
        <f t="shared" si="71"/>
        <v/>
      </c>
      <c r="T79" s="444" t="str">
        <f t="shared" si="71"/>
        <v/>
      </c>
      <c r="U79" s="444" t="str">
        <f t="shared" si="71"/>
        <v/>
      </c>
      <c r="V79" s="444" t="str">
        <f t="shared" si="71"/>
        <v/>
      </c>
      <c r="W79" s="444" t="str">
        <f t="shared" si="71"/>
        <v/>
      </c>
      <c r="X79" s="444" t="str">
        <f t="shared" si="71"/>
        <v/>
      </c>
      <c r="Y79" s="444" t="str">
        <f t="shared" si="72"/>
        <v/>
      </c>
      <c r="Z79" s="444" t="str">
        <f t="shared" si="72"/>
        <v/>
      </c>
      <c r="AA79" s="444" t="str">
        <f t="shared" si="72"/>
        <v/>
      </c>
      <c r="AB79" s="444" t="str">
        <f t="shared" si="72"/>
        <v/>
      </c>
      <c r="AC79" s="444" t="str">
        <f t="shared" si="72"/>
        <v/>
      </c>
      <c r="AD79" s="444" t="str">
        <f t="shared" si="72"/>
        <v/>
      </c>
      <c r="AE79" s="444" t="str">
        <f t="shared" si="72"/>
        <v/>
      </c>
      <c r="AF79" s="444" t="str">
        <f t="shared" si="72"/>
        <v/>
      </c>
      <c r="AG79" s="444" t="str">
        <f t="shared" si="72"/>
        <v/>
      </c>
      <c r="AH79" s="444" t="str">
        <f t="shared" si="72"/>
        <v/>
      </c>
      <c r="AI79" s="444" t="str">
        <f t="shared" si="73"/>
        <v/>
      </c>
      <c r="AJ79" s="444" t="str">
        <f t="shared" si="73"/>
        <v/>
      </c>
      <c r="AK79" s="444" t="str">
        <f t="shared" si="73"/>
        <v/>
      </c>
      <c r="AL79" s="444" t="str">
        <f t="shared" si="73"/>
        <v/>
      </c>
      <c r="AM79" s="444" t="str">
        <f t="shared" si="73"/>
        <v/>
      </c>
      <c r="AN79" s="444" t="str">
        <f t="shared" si="73"/>
        <v/>
      </c>
      <c r="AO79" s="444" t="str">
        <f t="shared" si="73"/>
        <v/>
      </c>
      <c r="AP79" s="444" t="str">
        <f t="shared" si="73"/>
        <v/>
      </c>
      <c r="AQ79" s="444" t="str">
        <f t="shared" si="73"/>
        <v/>
      </c>
      <c r="AR79" s="444" t="str">
        <f t="shared" si="73"/>
        <v/>
      </c>
      <c r="AS79" s="444" t="str">
        <f t="shared" si="74"/>
        <v/>
      </c>
      <c r="AT79" s="444" t="str">
        <f t="shared" si="74"/>
        <v/>
      </c>
      <c r="AU79" s="444" t="str">
        <f t="shared" si="74"/>
        <v/>
      </c>
      <c r="AV79" s="444" t="str">
        <f t="shared" si="74"/>
        <v/>
      </c>
      <c r="AW79" s="444" t="str">
        <f t="shared" si="74"/>
        <v/>
      </c>
      <c r="AX79" s="444" t="str">
        <f t="shared" si="74"/>
        <v/>
      </c>
      <c r="AY79" s="444" t="str">
        <f t="shared" si="74"/>
        <v/>
      </c>
      <c r="AZ79" s="444" t="str">
        <f t="shared" si="74"/>
        <v/>
      </c>
      <c r="BA79" s="444" t="str">
        <f t="shared" si="74"/>
        <v/>
      </c>
      <c r="BB79" s="444" t="str">
        <f t="shared" si="74"/>
        <v/>
      </c>
      <c r="BC79" s="444" t="str">
        <f t="shared" si="75"/>
        <v/>
      </c>
      <c r="BD79" s="444" t="str">
        <f t="shared" si="75"/>
        <v/>
      </c>
      <c r="BE79" s="444" t="str">
        <f t="shared" si="75"/>
        <v/>
      </c>
      <c r="BF79" s="444" t="str">
        <f t="shared" si="75"/>
        <v/>
      </c>
      <c r="BG79" s="444" t="str">
        <f t="shared" si="75"/>
        <v/>
      </c>
      <c r="BH79" s="445" t="str">
        <f t="shared" si="75"/>
        <v/>
      </c>
      <c r="BI79" s="502"/>
      <c r="BJ79" s="474" t="str">
        <f t="shared" si="76"/>
        <v/>
      </c>
      <c r="BK79" s="475" t="str">
        <f t="shared" si="76"/>
        <v/>
      </c>
      <c r="BL79" s="475" t="str">
        <f t="shared" si="76"/>
        <v/>
      </c>
      <c r="BM79" s="475" t="str">
        <f t="shared" si="76"/>
        <v/>
      </c>
      <c r="BN79" s="475" t="str">
        <f t="shared" si="76"/>
        <v/>
      </c>
      <c r="BO79" s="475" t="str">
        <f t="shared" si="76"/>
        <v/>
      </c>
      <c r="BP79" s="475" t="str">
        <f t="shared" si="76"/>
        <v/>
      </c>
      <c r="BQ79" s="475" t="str">
        <f t="shared" si="76"/>
        <v/>
      </c>
      <c r="BR79" s="475" t="str">
        <f t="shared" si="76"/>
        <v/>
      </c>
      <c r="BS79" s="475" t="str">
        <f t="shared" si="76"/>
        <v/>
      </c>
      <c r="BT79" s="475" t="str">
        <f t="shared" si="77"/>
        <v/>
      </c>
      <c r="BU79" s="475" t="str">
        <f t="shared" si="77"/>
        <v/>
      </c>
      <c r="BV79" s="475" t="str">
        <f t="shared" si="77"/>
        <v/>
      </c>
      <c r="BW79" s="475" t="str">
        <f t="shared" si="77"/>
        <v/>
      </c>
      <c r="BX79" s="475" t="str">
        <f t="shared" si="77"/>
        <v/>
      </c>
      <c r="BY79" s="475" t="str">
        <f t="shared" si="77"/>
        <v/>
      </c>
      <c r="BZ79" s="475" t="str">
        <f t="shared" si="77"/>
        <v/>
      </c>
      <c r="CA79" s="475" t="str">
        <f t="shared" si="77"/>
        <v/>
      </c>
      <c r="CB79" s="475" t="str">
        <f t="shared" si="77"/>
        <v/>
      </c>
      <c r="CC79" s="475" t="str">
        <f t="shared" si="77"/>
        <v/>
      </c>
      <c r="CD79" s="475" t="str">
        <f t="shared" si="78"/>
        <v/>
      </c>
      <c r="CE79" s="475" t="str">
        <f t="shared" si="78"/>
        <v/>
      </c>
      <c r="CF79" s="475" t="str">
        <f t="shared" si="78"/>
        <v/>
      </c>
      <c r="CG79" s="475" t="str">
        <f t="shared" si="78"/>
        <v/>
      </c>
      <c r="CH79" s="475" t="str">
        <f t="shared" si="78"/>
        <v/>
      </c>
      <c r="CI79" s="475" t="str">
        <f t="shared" si="78"/>
        <v/>
      </c>
      <c r="CJ79" s="475" t="str">
        <f t="shared" si="78"/>
        <v/>
      </c>
      <c r="CK79" s="475" t="str">
        <f t="shared" si="78"/>
        <v/>
      </c>
      <c r="CL79" s="475" t="str">
        <f t="shared" si="78"/>
        <v/>
      </c>
      <c r="CM79" s="475" t="str">
        <f t="shared" si="78"/>
        <v/>
      </c>
      <c r="CN79" s="475" t="str">
        <f t="shared" si="79"/>
        <v/>
      </c>
      <c r="CO79" s="475" t="str">
        <f t="shared" si="79"/>
        <v/>
      </c>
      <c r="CP79" s="475" t="str">
        <f t="shared" si="79"/>
        <v/>
      </c>
      <c r="CQ79" s="475" t="str">
        <f t="shared" si="79"/>
        <v/>
      </c>
      <c r="CR79" s="475" t="str">
        <f t="shared" si="79"/>
        <v/>
      </c>
      <c r="CS79" s="475" t="str">
        <f t="shared" si="79"/>
        <v/>
      </c>
      <c r="CT79" s="475" t="str">
        <f t="shared" si="79"/>
        <v/>
      </c>
      <c r="CU79" s="475" t="str">
        <f t="shared" si="79"/>
        <v/>
      </c>
      <c r="CV79" s="475" t="str">
        <f t="shared" si="79"/>
        <v/>
      </c>
      <c r="CW79" s="475" t="str">
        <f t="shared" si="79"/>
        <v/>
      </c>
      <c r="CX79" s="475" t="str">
        <f t="shared" si="79"/>
        <v/>
      </c>
      <c r="CY79" s="475" t="str">
        <f t="shared" si="79"/>
        <v/>
      </c>
      <c r="CZ79" s="495" t="str">
        <f t="shared" si="79"/>
        <v/>
      </c>
      <c r="DA79" s="502"/>
      <c r="DB79" s="460"/>
      <c r="DC79" s="465"/>
      <c r="DD79" s="463"/>
      <c r="DE79" s="512"/>
      <c r="DF79" s="516"/>
      <c r="DG79" s="508"/>
      <c r="DH79" s="463"/>
      <c r="DI79" s="461"/>
      <c r="DJ79" s="461"/>
      <c r="DK79" s="461"/>
      <c r="DL79" s="464"/>
      <c r="DM79" s="466"/>
      <c r="DN79" s="502"/>
      <c r="DO79" s="460"/>
      <c r="DP79" s="464"/>
      <c r="DQ79" s="464"/>
      <c r="DR79" s="464"/>
      <c r="DS79" s="508"/>
      <c r="DT79" s="525"/>
      <c r="DU79" s="525"/>
      <c r="DV79" s="463"/>
      <c r="DW79" s="464"/>
      <c r="DX79" s="465"/>
      <c r="DY79" s="463"/>
      <c r="DZ79" s="464"/>
      <c r="EA79" s="465"/>
      <c r="EB79" s="463"/>
      <c r="EC79" s="465"/>
      <c r="ED79" s="462"/>
      <c r="EE79" s="502"/>
      <c r="EF79" s="463"/>
      <c r="EG79" s="461"/>
      <c r="EH79" s="464"/>
      <c r="EI79" s="464"/>
      <c r="EJ79" s="464"/>
      <c r="EK79" s="464"/>
      <c r="EL79" s="464"/>
      <c r="EM79" s="464"/>
      <c r="EN79" s="464"/>
      <c r="EO79" s="464"/>
      <c r="EP79" s="464"/>
      <c r="EQ79" s="464"/>
      <c r="ER79" s="464"/>
      <c r="ES79" s="464"/>
      <c r="ET79" s="464"/>
      <c r="EU79" s="464"/>
      <c r="EV79" s="464"/>
      <c r="EW79" s="465"/>
      <c r="EX79" s="465"/>
      <c r="EY79" s="502"/>
      <c r="EZ79" s="460"/>
      <c r="FA79" s="464"/>
      <c r="FB79" s="464"/>
      <c r="FC79" s="464"/>
      <c r="FD79" s="464"/>
      <c r="FE79" s="464"/>
      <c r="FF79" s="464"/>
      <c r="FG79" s="466"/>
    </row>
    <row r="80" spans="1:163">
      <c r="A80" s="467" t="s">
        <v>267</v>
      </c>
      <c r="B80" s="471" t="str">
        <f>IF(ISNUMBER(MATCH(A80, 'Pulldown Data'!W:W, 0))=TRUE, "Y", IF(ISNUMBER(MATCH(A80, 'Pulldown Data'!X:X, 0))=TRUE, "M", ""))</f>
        <v/>
      </c>
      <c r="C80" s="504"/>
      <c r="D80" s="502"/>
      <c r="E80" s="443" t="str">
        <f t="shared" si="70"/>
        <v/>
      </c>
      <c r="F80" s="444" t="str">
        <f t="shared" si="70"/>
        <v/>
      </c>
      <c r="G80" s="444" t="str">
        <f t="shared" si="70"/>
        <v/>
      </c>
      <c r="H80" s="444" t="str">
        <f t="shared" si="70"/>
        <v/>
      </c>
      <c r="I80" s="444" t="str">
        <f t="shared" si="70"/>
        <v/>
      </c>
      <c r="J80" s="444" t="str">
        <f t="shared" si="70"/>
        <v/>
      </c>
      <c r="K80" s="444" t="str">
        <f t="shared" si="70"/>
        <v/>
      </c>
      <c r="L80" s="444" t="str">
        <f t="shared" si="70"/>
        <v/>
      </c>
      <c r="M80" s="444" t="str">
        <f t="shared" si="70"/>
        <v/>
      </c>
      <c r="N80" s="444" t="str">
        <f t="shared" si="70"/>
        <v/>
      </c>
      <c r="O80" s="444" t="str">
        <f t="shared" si="71"/>
        <v/>
      </c>
      <c r="P80" s="444" t="str">
        <f t="shared" si="71"/>
        <v/>
      </c>
      <c r="Q80" s="444" t="str">
        <f t="shared" si="71"/>
        <v/>
      </c>
      <c r="R80" s="444" t="str">
        <f t="shared" si="71"/>
        <v/>
      </c>
      <c r="S80" s="444" t="str">
        <f t="shared" si="71"/>
        <v/>
      </c>
      <c r="T80" s="444" t="str">
        <f t="shared" si="71"/>
        <v/>
      </c>
      <c r="U80" s="444" t="str">
        <f t="shared" si="71"/>
        <v/>
      </c>
      <c r="V80" s="444" t="str">
        <f t="shared" si="71"/>
        <v/>
      </c>
      <c r="W80" s="444" t="str">
        <f t="shared" si="71"/>
        <v/>
      </c>
      <c r="X80" s="444" t="str">
        <f t="shared" si="71"/>
        <v/>
      </c>
      <c r="Y80" s="444" t="str">
        <f t="shared" si="72"/>
        <v/>
      </c>
      <c r="Z80" s="444" t="str">
        <f t="shared" si="72"/>
        <v/>
      </c>
      <c r="AA80" s="444" t="str">
        <f t="shared" si="72"/>
        <v/>
      </c>
      <c r="AB80" s="444" t="str">
        <f t="shared" si="72"/>
        <v/>
      </c>
      <c r="AC80" s="444" t="str">
        <f t="shared" si="72"/>
        <v/>
      </c>
      <c r="AD80" s="444" t="str">
        <f t="shared" si="72"/>
        <v/>
      </c>
      <c r="AE80" s="444" t="str">
        <f t="shared" si="72"/>
        <v/>
      </c>
      <c r="AF80" s="444" t="str">
        <f t="shared" si="72"/>
        <v/>
      </c>
      <c r="AG80" s="444" t="str">
        <f t="shared" si="72"/>
        <v/>
      </c>
      <c r="AH80" s="444" t="str">
        <f t="shared" si="72"/>
        <v/>
      </c>
      <c r="AI80" s="444" t="str">
        <f t="shared" si="73"/>
        <v/>
      </c>
      <c r="AJ80" s="444" t="str">
        <f t="shared" si="73"/>
        <v/>
      </c>
      <c r="AK80" s="444" t="str">
        <f t="shared" si="73"/>
        <v/>
      </c>
      <c r="AL80" s="444" t="str">
        <f t="shared" si="73"/>
        <v/>
      </c>
      <c r="AM80" s="444" t="str">
        <f t="shared" si="73"/>
        <v/>
      </c>
      <c r="AN80" s="444" t="str">
        <f t="shared" si="73"/>
        <v/>
      </c>
      <c r="AO80" s="444" t="str">
        <f t="shared" si="73"/>
        <v/>
      </c>
      <c r="AP80" s="444" t="str">
        <f t="shared" si="73"/>
        <v/>
      </c>
      <c r="AQ80" s="444" t="str">
        <f t="shared" si="73"/>
        <v/>
      </c>
      <c r="AR80" s="444" t="str">
        <f t="shared" si="73"/>
        <v/>
      </c>
      <c r="AS80" s="444" t="str">
        <f t="shared" si="74"/>
        <v/>
      </c>
      <c r="AT80" s="444" t="str">
        <f t="shared" si="74"/>
        <v/>
      </c>
      <c r="AU80" s="444" t="str">
        <f t="shared" si="74"/>
        <v/>
      </c>
      <c r="AV80" s="444" t="str">
        <f t="shared" si="74"/>
        <v/>
      </c>
      <c r="AW80" s="444" t="str">
        <f t="shared" si="74"/>
        <v/>
      </c>
      <c r="AX80" s="444" t="str">
        <f t="shared" si="74"/>
        <v/>
      </c>
      <c r="AY80" s="444" t="str">
        <f t="shared" si="74"/>
        <v/>
      </c>
      <c r="AZ80" s="444" t="str">
        <f t="shared" si="74"/>
        <v/>
      </c>
      <c r="BA80" s="444" t="str">
        <f t="shared" si="74"/>
        <v/>
      </c>
      <c r="BB80" s="444" t="str">
        <f t="shared" si="74"/>
        <v/>
      </c>
      <c r="BC80" s="444" t="str">
        <f t="shared" si="75"/>
        <v/>
      </c>
      <c r="BD80" s="444" t="str">
        <f t="shared" si="75"/>
        <v/>
      </c>
      <c r="BE80" s="444" t="str">
        <f t="shared" si="75"/>
        <v/>
      </c>
      <c r="BF80" s="444" t="str">
        <f t="shared" si="75"/>
        <v/>
      </c>
      <c r="BG80" s="444" t="str">
        <f t="shared" si="75"/>
        <v/>
      </c>
      <c r="BH80" s="445" t="str">
        <f t="shared" si="75"/>
        <v/>
      </c>
      <c r="BI80" s="502"/>
      <c r="BJ80" s="474" t="str">
        <f t="shared" si="76"/>
        <v/>
      </c>
      <c r="BK80" s="475" t="str">
        <f t="shared" si="76"/>
        <v/>
      </c>
      <c r="BL80" s="475" t="str">
        <f t="shared" si="76"/>
        <v/>
      </c>
      <c r="BM80" s="475" t="str">
        <f t="shared" si="76"/>
        <v/>
      </c>
      <c r="BN80" s="475" t="str">
        <f t="shared" si="76"/>
        <v/>
      </c>
      <c r="BO80" s="475" t="str">
        <f t="shared" si="76"/>
        <v/>
      </c>
      <c r="BP80" s="475" t="str">
        <f t="shared" si="76"/>
        <v/>
      </c>
      <c r="BQ80" s="475" t="str">
        <f t="shared" si="76"/>
        <v/>
      </c>
      <c r="BR80" s="475" t="str">
        <f t="shared" si="76"/>
        <v/>
      </c>
      <c r="BS80" s="475" t="str">
        <f t="shared" si="76"/>
        <v/>
      </c>
      <c r="BT80" s="475" t="str">
        <f t="shared" si="77"/>
        <v/>
      </c>
      <c r="BU80" s="475" t="str">
        <f t="shared" si="77"/>
        <v/>
      </c>
      <c r="BV80" s="475" t="str">
        <f t="shared" si="77"/>
        <v/>
      </c>
      <c r="BW80" s="475" t="str">
        <f t="shared" si="77"/>
        <v/>
      </c>
      <c r="BX80" s="475" t="str">
        <f t="shared" si="77"/>
        <v/>
      </c>
      <c r="BY80" s="475" t="str">
        <f t="shared" si="77"/>
        <v/>
      </c>
      <c r="BZ80" s="475" t="str">
        <f t="shared" si="77"/>
        <v/>
      </c>
      <c r="CA80" s="475" t="str">
        <f t="shared" si="77"/>
        <v/>
      </c>
      <c r="CB80" s="475" t="str">
        <f t="shared" si="77"/>
        <v/>
      </c>
      <c r="CC80" s="475" t="str">
        <f t="shared" si="77"/>
        <v/>
      </c>
      <c r="CD80" s="475" t="str">
        <f t="shared" si="78"/>
        <v/>
      </c>
      <c r="CE80" s="475" t="str">
        <f t="shared" si="78"/>
        <v/>
      </c>
      <c r="CF80" s="475" t="str">
        <f t="shared" si="78"/>
        <v/>
      </c>
      <c r="CG80" s="475" t="str">
        <f t="shared" si="78"/>
        <v/>
      </c>
      <c r="CH80" s="475" t="str">
        <f t="shared" si="78"/>
        <v/>
      </c>
      <c r="CI80" s="475" t="str">
        <f t="shared" si="78"/>
        <v/>
      </c>
      <c r="CJ80" s="475" t="str">
        <f t="shared" si="78"/>
        <v/>
      </c>
      <c r="CK80" s="475" t="str">
        <f t="shared" si="78"/>
        <v/>
      </c>
      <c r="CL80" s="475" t="str">
        <f t="shared" si="78"/>
        <v/>
      </c>
      <c r="CM80" s="475" t="str">
        <f t="shared" si="78"/>
        <v/>
      </c>
      <c r="CN80" s="475" t="str">
        <f t="shared" si="79"/>
        <v/>
      </c>
      <c r="CO80" s="475" t="str">
        <f t="shared" si="79"/>
        <v/>
      </c>
      <c r="CP80" s="475" t="str">
        <f t="shared" si="79"/>
        <v/>
      </c>
      <c r="CQ80" s="475" t="str">
        <f t="shared" si="79"/>
        <v/>
      </c>
      <c r="CR80" s="475" t="str">
        <f t="shared" si="79"/>
        <v/>
      </c>
      <c r="CS80" s="475" t="str">
        <f t="shared" si="79"/>
        <v/>
      </c>
      <c r="CT80" s="475" t="str">
        <f t="shared" si="79"/>
        <v/>
      </c>
      <c r="CU80" s="475" t="str">
        <f t="shared" si="79"/>
        <v/>
      </c>
      <c r="CV80" s="475" t="str">
        <f t="shared" si="79"/>
        <v/>
      </c>
      <c r="CW80" s="475" t="str">
        <f t="shared" si="79"/>
        <v/>
      </c>
      <c r="CX80" s="475" t="str">
        <f t="shared" si="79"/>
        <v/>
      </c>
      <c r="CY80" s="475" t="str">
        <f t="shared" si="79"/>
        <v/>
      </c>
      <c r="CZ80" s="495" t="str">
        <f t="shared" si="79"/>
        <v/>
      </c>
      <c r="DA80" s="502"/>
      <c r="DB80" s="460"/>
      <c r="DC80" s="465"/>
      <c r="DD80" s="463"/>
      <c r="DE80" s="512"/>
      <c r="DF80" s="516"/>
      <c r="DG80" s="508"/>
      <c r="DH80" s="463"/>
      <c r="DI80" s="461"/>
      <c r="DJ80" s="461"/>
      <c r="DK80" s="461"/>
      <c r="DL80" s="464"/>
      <c r="DM80" s="466"/>
      <c r="DN80" s="502"/>
      <c r="DO80" s="460"/>
      <c r="DP80" s="464"/>
      <c r="DQ80" s="464"/>
      <c r="DR80" s="464"/>
      <c r="DS80" s="508"/>
      <c r="DT80" s="525"/>
      <c r="DU80" s="525"/>
      <c r="DV80" s="463"/>
      <c r="DW80" s="464"/>
      <c r="DX80" s="465"/>
      <c r="DY80" s="463"/>
      <c r="DZ80" s="464"/>
      <c r="EA80" s="465"/>
      <c r="EB80" s="463"/>
      <c r="EC80" s="465"/>
      <c r="ED80" s="462"/>
      <c r="EE80" s="502"/>
      <c r="EF80" s="463"/>
      <c r="EG80" s="461"/>
      <c r="EH80" s="464"/>
      <c r="EI80" s="464"/>
      <c r="EJ80" s="464"/>
      <c r="EK80" s="464"/>
      <c r="EL80" s="464"/>
      <c r="EM80" s="464"/>
      <c r="EN80" s="464"/>
      <c r="EO80" s="464"/>
      <c r="EP80" s="464"/>
      <c r="EQ80" s="464"/>
      <c r="ER80" s="464"/>
      <c r="ES80" s="464"/>
      <c r="ET80" s="464"/>
      <c r="EU80" s="464"/>
      <c r="EV80" s="464"/>
      <c r="EW80" s="465"/>
      <c r="EX80" s="465"/>
      <c r="EY80" s="502"/>
      <c r="EZ80" s="460"/>
      <c r="FA80" s="464"/>
      <c r="FB80" s="464"/>
      <c r="FC80" s="464"/>
      <c r="FD80" s="464"/>
      <c r="FE80" s="464"/>
      <c r="FF80" s="464"/>
      <c r="FG80" s="466"/>
    </row>
    <row r="81" spans="1:163">
      <c r="A81" s="467" t="s">
        <v>268</v>
      </c>
      <c r="B81" s="471" t="str">
        <f>IF(ISNUMBER(MATCH(A81, 'Pulldown Data'!W:W, 0))=TRUE, "Y", IF(ISNUMBER(MATCH(A81, 'Pulldown Data'!X:X, 0))=TRUE, "M", ""))</f>
        <v/>
      </c>
      <c r="C81" s="504"/>
      <c r="D81" s="502"/>
      <c r="E81" s="443" t="str">
        <f t="shared" si="70"/>
        <v/>
      </c>
      <c r="F81" s="444" t="str">
        <f t="shared" si="70"/>
        <v/>
      </c>
      <c r="G81" s="444" t="str">
        <f t="shared" si="70"/>
        <v/>
      </c>
      <c r="H81" s="444" t="str">
        <f t="shared" si="70"/>
        <v/>
      </c>
      <c r="I81" s="444" t="str">
        <f t="shared" si="70"/>
        <v/>
      </c>
      <c r="J81" s="444" t="str">
        <f t="shared" si="70"/>
        <v/>
      </c>
      <c r="K81" s="444" t="str">
        <f t="shared" si="70"/>
        <v/>
      </c>
      <c r="L81" s="444" t="str">
        <f t="shared" si="70"/>
        <v/>
      </c>
      <c r="M81" s="444" t="str">
        <f t="shared" si="70"/>
        <v/>
      </c>
      <c r="N81" s="444" t="str">
        <f t="shared" si="70"/>
        <v/>
      </c>
      <c r="O81" s="444" t="str">
        <f t="shared" si="71"/>
        <v/>
      </c>
      <c r="P81" s="444" t="str">
        <f t="shared" si="71"/>
        <v/>
      </c>
      <c r="Q81" s="444" t="str">
        <f t="shared" si="71"/>
        <v/>
      </c>
      <c r="R81" s="444" t="str">
        <f t="shared" si="71"/>
        <v/>
      </c>
      <c r="S81" s="444" t="str">
        <f t="shared" si="71"/>
        <v/>
      </c>
      <c r="T81" s="444" t="str">
        <f t="shared" si="71"/>
        <v/>
      </c>
      <c r="U81" s="444" t="str">
        <f t="shared" si="71"/>
        <v/>
      </c>
      <c r="V81" s="444" t="str">
        <f t="shared" si="71"/>
        <v/>
      </c>
      <c r="W81" s="444" t="str">
        <f t="shared" si="71"/>
        <v/>
      </c>
      <c r="X81" s="444" t="str">
        <f t="shared" si="71"/>
        <v/>
      </c>
      <c r="Y81" s="444" t="str">
        <f t="shared" si="72"/>
        <v/>
      </c>
      <c r="Z81" s="444" t="str">
        <f t="shared" si="72"/>
        <v/>
      </c>
      <c r="AA81" s="444" t="str">
        <f t="shared" si="72"/>
        <v/>
      </c>
      <c r="AB81" s="444" t="str">
        <f t="shared" si="72"/>
        <v/>
      </c>
      <c r="AC81" s="444" t="str">
        <f t="shared" si="72"/>
        <v/>
      </c>
      <c r="AD81" s="444" t="str">
        <f t="shared" si="72"/>
        <v/>
      </c>
      <c r="AE81" s="444" t="str">
        <f t="shared" si="72"/>
        <v/>
      </c>
      <c r="AF81" s="444" t="str">
        <f t="shared" si="72"/>
        <v/>
      </c>
      <c r="AG81" s="444" t="str">
        <f t="shared" si="72"/>
        <v/>
      </c>
      <c r="AH81" s="444" t="str">
        <f t="shared" si="72"/>
        <v/>
      </c>
      <c r="AI81" s="444" t="str">
        <f t="shared" si="73"/>
        <v/>
      </c>
      <c r="AJ81" s="444" t="str">
        <f t="shared" si="73"/>
        <v/>
      </c>
      <c r="AK81" s="444" t="str">
        <f t="shared" si="73"/>
        <v/>
      </c>
      <c r="AL81" s="444" t="str">
        <f t="shared" si="73"/>
        <v/>
      </c>
      <c r="AM81" s="444" t="str">
        <f t="shared" si="73"/>
        <v/>
      </c>
      <c r="AN81" s="444" t="str">
        <f t="shared" si="73"/>
        <v/>
      </c>
      <c r="AO81" s="444" t="str">
        <f t="shared" si="73"/>
        <v/>
      </c>
      <c r="AP81" s="444" t="str">
        <f t="shared" si="73"/>
        <v/>
      </c>
      <c r="AQ81" s="444" t="str">
        <f t="shared" si="73"/>
        <v/>
      </c>
      <c r="AR81" s="444" t="str">
        <f t="shared" si="73"/>
        <v/>
      </c>
      <c r="AS81" s="444" t="str">
        <f t="shared" si="74"/>
        <v/>
      </c>
      <c r="AT81" s="444" t="str">
        <f t="shared" si="74"/>
        <v/>
      </c>
      <c r="AU81" s="444" t="str">
        <f t="shared" si="74"/>
        <v/>
      </c>
      <c r="AV81" s="444" t="str">
        <f t="shared" si="74"/>
        <v/>
      </c>
      <c r="AW81" s="444" t="str">
        <f t="shared" si="74"/>
        <v/>
      </c>
      <c r="AX81" s="444" t="str">
        <f t="shared" si="74"/>
        <v/>
      </c>
      <c r="AY81" s="444" t="str">
        <f t="shared" si="74"/>
        <v/>
      </c>
      <c r="AZ81" s="444" t="str">
        <f t="shared" si="74"/>
        <v/>
      </c>
      <c r="BA81" s="444" t="str">
        <f t="shared" si="74"/>
        <v/>
      </c>
      <c r="BB81" s="444" t="str">
        <f t="shared" si="74"/>
        <v/>
      </c>
      <c r="BC81" s="444" t="str">
        <f t="shared" si="75"/>
        <v/>
      </c>
      <c r="BD81" s="444" t="str">
        <f t="shared" si="75"/>
        <v/>
      </c>
      <c r="BE81" s="444" t="str">
        <f t="shared" si="75"/>
        <v/>
      </c>
      <c r="BF81" s="444" t="str">
        <f t="shared" si="75"/>
        <v/>
      </c>
      <c r="BG81" s="444" t="str">
        <f t="shared" si="75"/>
        <v/>
      </c>
      <c r="BH81" s="445" t="str">
        <f t="shared" si="75"/>
        <v/>
      </c>
      <c r="BI81" s="502"/>
      <c r="BJ81" s="474" t="str">
        <f t="shared" si="76"/>
        <v/>
      </c>
      <c r="BK81" s="475" t="str">
        <f t="shared" si="76"/>
        <v/>
      </c>
      <c r="BL81" s="475" t="str">
        <f t="shared" si="76"/>
        <v/>
      </c>
      <c r="BM81" s="475" t="str">
        <f t="shared" si="76"/>
        <v/>
      </c>
      <c r="BN81" s="475" t="str">
        <f t="shared" si="76"/>
        <v/>
      </c>
      <c r="BO81" s="475" t="str">
        <f t="shared" si="76"/>
        <v/>
      </c>
      <c r="BP81" s="475" t="str">
        <f t="shared" si="76"/>
        <v/>
      </c>
      <c r="BQ81" s="475" t="str">
        <f t="shared" si="76"/>
        <v/>
      </c>
      <c r="BR81" s="475" t="str">
        <f t="shared" si="76"/>
        <v/>
      </c>
      <c r="BS81" s="475" t="str">
        <f t="shared" si="76"/>
        <v/>
      </c>
      <c r="BT81" s="475" t="str">
        <f t="shared" si="77"/>
        <v/>
      </c>
      <c r="BU81" s="475" t="str">
        <f t="shared" si="77"/>
        <v/>
      </c>
      <c r="BV81" s="475" t="str">
        <f t="shared" si="77"/>
        <v/>
      </c>
      <c r="BW81" s="475" t="str">
        <f t="shared" si="77"/>
        <v/>
      </c>
      <c r="BX81" s="475" t="str">
        <f t="shared" si="77"/>
        <v/>
      </c>
      <c r="BY81" s="475" t="str">
        <f t="shared" si="77"/>
        <v/>
      </c>
      <c r="BZ81" s="475" t="str">
        <f t="shared" si="77"/>
        <v/>
      </c>
      <c r="CA81" s="475" t="str">
        <f t="shared" si="77"/>
        <v/>
      </c>
      <c r="CB81" s="475" t="str">
        <f t="shared" si="77"/>
        <v/>
      </c>
      <c r="CC81" s="475" t="str">
        <f t="shared" si="77"/>
        <v/>
      </c>
      <c r="CD81" s="475" t="str">
        <f t="shared" si="78"/>
        <v/>
      </c>
      <c r="CE81" s="475" t="str">
        <f t="shared" si="78"/>
        <v/>
      </c>
      <c r="CF81" s="475" t="str">
        <f t="shared" si="78"/>
        <v/>
      </c>
      <c r="CG81" s="475" t="str">
        <f t="shared" si="78"/>
        <v/>
      </c>
      <c r="CH81" s="475" t="str">
        <f t="shared" si="78"/>
        <v/>
      </c>
      <c r="CI81" s="475" t="str">
        <f t="shared" si="78"/>
        <v/>
      </c>
      <c r="CJ81" s="475" t="str">
        <f t="shared" si="78"/>
        <v/>
      </c>
      <c r="CK81" s="475" t="str">
        <f t="shared" si="78"/>
        <v/>
      </c>
      <c r="CL81" s="475" t="str">
        <f t="shared" si="78"/>
        <v/>
      </c>
      <c r="CM81" s="475" t="str">
        <f t="shared" si="78"/>
        <v/>
      </c>
      <c r="CN81" s="475" t="str">
        <f t="shared" si="79"/>
        <v/>
      </c>
      <c r="CO81" s="475" t="str">
        <f t="shared" si="79"/>
        <v/>
      </c>
      <c r="CP81" s="475" t="str">
        <f t="shared" si="79"/>
        <v/>
      </c>
      <c r="CQ81" s="475" t="str">
        <f t="shared" si="79"/>
        <v/>
      </c>
      <c r="CR81" s="475" t="str">
        <f t="shared" si="79"/>
        <v/>
      </c>
      <c r="CS81" s="475" t="str">
        <f t="shared" si="79"/>
        <v/>
      </c>
      <c r="CT81" s="475" t="str">
        <f t="shared" si="79"/>
        <v/>
      </c>
      <c r="CU81" s="475" t="str">
        <f t="shared" si="79"/>
        <v/>
      </c>
      <c r="CV81" s="475" t="str">
        <f t="shared" si="79"/>
        <v/>
      </c>
      <c r="CW81" s="475" t="str">
        <f t="shared" si="79"/>
        <v/>
      </c>
      <c r="CX81" s="475" t="str">
        <f t="shared" si="79"/>
        <v/>
      </c>
      <c r="CY81" s="475" t="str">
        <f t="shared" si="79"/>
        <v/>
      </c>
      <c r="CZ81" s="495" t="str">
        <f t="shared" si="79"/>
        <v/>
      </c>
      <c r="DA81" s="502"/>
      <c r="DB81" s="460"/>
      <c r="DC81" s="465"/>
      <c r="DD81" s="463"/>
      <c r="DE81" s="512"/>
      <c r="DF81" s="516"/>
      <c r="DG81" s="508"/>
      <c r="DH81" s="463"/>
      <c r="DI81" s="461"/>
      <c r="DJ81" s="461"/>
      <c r="DK81" s="461"/>
      <c r="DL81" s="464"/>
      <c r="DM81" s="466"/>
      <c r="DN81" s="502"/>
      <c r="DO81" s="460"/>
      <c r="DP81" s="464"/>
      <c r="DQ81" s="464"/>
      <c r="DR81" s="464"/>
      <c r="DS81" s="508"/>
      <c r="DT81" s="525"/>
      <c r="DU81" s="525"/>
      <c r="DV81" s="463"/>
      <c r="DW81" s="464"/>
      <c r="DX81" s="465"/>
      <c r="DY81" s="463"/>
      <c r="DZ81" s="464"/>
      <c r="EA81" s="465"/>
      <c r="EB81" s="463"/>
      <c r="EC81" s="465"/>
      <c r="ED81" s="462"/>
      <c r="EE81" s="502"/>
      <c r="EF81" s="463"/>
      <c r="EG81" s="461"/>
      <c r="EH81" s="464"/>
      <c r="EI81" s="464"/>
      <c r="EJ81" s="464"/>
      <c r="EK81" s="464"/>
      <c r="EL81" s="464"/>
      <c r="EM81" s="464"/>
      <c r="EN81" s="464"/>
      <c r="EO81" s="464"/>
      <c r="EP81" s="464"/>
      <c r="EQ81" s="464"/>
      <c r="ER81" s="464"/>
      <c r="ES81" s="464"/>
      <c r="ET81" s="464"/>
      <c r="EU81" s="464"/>
      <c r="EV81" s="464"/>
      <c r="EW81" s="465"/>
      <c r="EX81" s="465"/>
      <c r="EY81" s="502"/>
      <c r="EZ81" s="460"/>
      <c r="FA81" s="464"/>
      <c r="FB81" s="464"/>
      <c r="FC81" s="464"/>
      <c r="FD81" s="464"/>
      <c r="FE81" s="464"/>
      <c r="FF81" s="464"/>
      <c r="FG81" s="466"/>
    </row>
    <row r="82" spans="1:163">
      <c r="A82" s="467" t="s">
        <v>269</v>
      </c>
      <c r="B82" s="471" t="str">
        <f>IF(ISNUMBER(MATCH(A82, 'Pulldown Data'!W:W, 0))=TRUE, "Y", IF(ISNUMBER(MATCH(A82, 'Pulldown Data'!X:X, 0))=TRUE, "M", ""))</f>
        <v/>
      </c>
      <c r="C82" s="504"/>
      <c r="D82" s="502"/>
      <c r="E82" s="443" t="str">
        <f t="shared" ref="E82:N91" si="80" xml:space="preserve">
IFERROR(
_xlfn.IFNA(
   IF($B82="PLT",
      IF(INDEX(PRJGENVersions, MATCH(TRIM(E$1), PRJGENAlgosMapped, 0), MATCH($A82, PRJGENProjects, 0)), "YES", ""),
      IF(INDEX(RoadmapData, MATCH(TRIM(E$1), RoadmapDataFeatures, 0), MATCH($A82, RoadmapDataProjects, 0)) = "-", "-", INDEX(RoadmapData, MATCH(TRIM(E$1), RoadmapDataFeatures, 0), MATCH($A82, RoadmapDataProjects, 0)))),
""),
"")</f>
        <v/>
      </c>
      <c r="F82" s="444" t="str">
        <f t="shared" si="80"/>
        <v/>
      </c>
      <c r="G82" s="444" t="str">
        <f t="shared" si="80"/>
        <v/>
      </c>
      <c r="H82" s="444" t="str">
        <f t="shared" si="80"/>
        <v/>
      </c>
      <c r="I82" s="444" t="str">
        <f t="shared" si="80"/>
        <v/>
      </c>
      <c r="J82" s="444" t="str">
        <f t="shared" si="80"/>
        <v/>
      </c>
      <c r="K82" s="444" t="str">
        <f t="shared" si="80"/>
        <v/>
      </c>
      <c r="L82" s="444" t="str">
        <f t="shared" si="80"/>
        <v/>
      </c>
      <c r="M82" s="444" t="str">
        <f t="shared" si="80"/>
        <v/>
      </c>
      <c r="N82" s="444" t="str">
        <f t="shared" si="80"/>
        <v/>
      </c>
      <c r="O82" s="444" t="str">
        <f t="shared" ref="O82:X91" si="81" xml:space="preserve">
IFERROR(
_xlfn.IFNA(
   IF($B82="PLT",
      IF(INDEX(PRJGENVersions, MATCH(TRIM(O$1), PRJGENAlgosMapped, 0), MATCH($A82, PRJGENProjects, 0)), "YES", ""),
      IF(INDEX(RoadmapData, MATCH(TRIM(O$1), RoadmapDataFeatures, 0), MATCH($A82, RoadmapDataProjects, 0)) = "-", "-", INDEX(RoadmapData, MATCH(TRIM(O$1), RoadmapDataFeatures, 0), MATCH($A82, RoadmapDataProjects, 0)))),
""),
"")</f>
        <v/>
      </c>
      <c r="P82" s="444" t="str">
        <f t="shared" si="81"/>
        <v/>
      </c>
      <c r="Q82" s="444" t="str">
        <f t="shared" si="81"/>
        <v/>
      </c>
      <c r="R82" s="444" t="str">
        <f t="shared" si="81"/>
        <v/>
      </c>
      <c r="S82" s="444" t="str">
        <f t="shared" si="81"/>
        <v/>
      </c>
      <c r="T82" s="444" t="str">
        <f t="shared" si="81"/>
        <v/>
      </c>
      <c r="U82" s="444" t="str">
        <f t="shared" si="81"/>
        <v/>
      </c>
      <c r="V82" s="444" t="str">
        <f t="shared" si="81"/>
        <v/>
      </c>
      <c r="W82" s="444" t="str">
        <f t="shared" si="81"/>
        <v/>
      </c>
      <c r="X82" s="444" t="str">
        <f t="shared" si="81"/>
        <v/>
      </c>
      <c r="Y82" s="444" t="str">
        <f t="shared" ref="Y82:AH91" si="82" xml:space="preserve">
IFERROR(
_xlfn.IFNA(
   IF($B82="PLT",
      IF(INDEX(PRJGENVersions, MATCH(TRIM(Y$1), PRJGENAlgosMapped, 0), MATCH($A82, PRJGENProjects, 0)), "YES", ""),
      IF(INDEX(RoadmapData, MATCH(TRIM(Y$1), RoadmapDataFeatures, 0), MATCH($A82, RoadmapDataProjects, 0)) = "-", "-", INDEX(RoadmapData, MATCH(TRIM(Y$1), RoadmapDataFeatures, 0), MATCH($A82, RoadmapDataProjects, 0)))),
""),
"")</f>
        <v/>
      </c>
      <c r="Z82" s="444" t="str">
        <f t="shared" si="82"/>
        <v/>
      </c>
      <c r="AA82" s="444" t="str">
        <f t="shared" si="82"/>
        <v/>
      </c>
      <c r="AB82" s="444" t="str">
        <f t="shared" si="82"/>
        <v/>
      </c>
      <c r="AC82" s="444" t="str">
        <f t="shared" si="82"/>
        <v/>
      </c>
      <c r="AD82" s="444" t="str">
        <f t="shared" si="82"/>
        <v/>
      </c>
      <c r="AE82" s="444" t="str">
        <f t="shared" si="82"/>
        <v/>
      </c>
      <c r="AF82" s="444" t="str">
        <f t="shared" si="82"/>
        <v/>
      </c>
      <c r="AG82" s="444" t="str">
        <f t="shared" si="82"/>
        <v/>
      </c>
      <c r="AH82" s="444" t="str">
        <f t="shared" si="82"/>
        <v/>
      </c>
      <c r="AI82" s="444" t="str">
        <f t="shared" ref="AI82:AR91" si="83" xml:space="preserve">
IFERROR(
_xlfn.IFNA(
   IF($B82="PLT",
      IF(INDEX(PRJGENVersions, MATCH(TRIM(AI$1), PRJGENAlgosMapped, 0), MATCH($A82, PRJGENProjects, 0)), "YES", ""),
      IF(INDEX(RoadmapData, MATCH(TRIM(AI$1), RoadmapDataFeatures, 0), MATCH($A82, RoadmapDataProjects, 0)) = "-", "-", INDEX(RoadmapData, MATCH(TRIM(AI$1), RoadmapDataFeatures, 0), MATCH($A82, RoadmapDataProjects, 0)))),
""),
"")</f>
        <v/>
      </c>
      <c r="AJ82" s="444" t="str">
        <f t="shared" si="83"/>
        <v/>
      </c>
      <c r="AK82" s="444" t="str">
        <f t="shared" si="83"/>
        <v/>
      </c>
      <c r="AL82" s="444" t="str">
        <f t="shared" si="83"/>
        <v/>
      </c>
      <c r="AM82" s="444" t="str">
        <f t="shared" si="83"/>
        <v/>
      </c>
      <c r="AN82" s="444" t="str">
        <f t="shared" si="83"/>
        <v/>
      </c>
      <c r="AO82" s="444" t="str">
        <f t="shared" si="83"/>
        <v/>
      </c>
      <c r="AP82" s="444" t="str">
        <f t="shared" si="83"/>
        <v/>
      </c>
      <c r="AQ82" s="444" t="str">
        <f t="shared" si="83"/>
        <v/>
      </c>
      <c r="AR82" s="444" t="str">
        <f t="shared" si="83"/>
        <v/>
      </c>
      <c r="AS82" s="444" t="str">
        <f t="shared" ref="AS82:BB91" si="84" xml:space="preserve">
IFERROR(
_xlfn.IFNA(
   IF($B82="PLT",
      IF(INDEX(PRJGENVersions, MATCH(TRIM(AS$1), PRJGENAlgosMapped, 0), MATCH($A82, PRJGENProjects, 0)), "YES", ""),
      IF(INDEX(RoadmapData, MATCH(TRIM(AS$1), RoadmapDataFeatures, 0), MATCH($A82, RoadmapDataProjects, 0)) = "-", "-", INDEX(RoadmapData, MATCH(TRIM(AS$1), RoadmapDataFeatures, 0), MATCH($A82, RoadmapDataProjects, 0)))),
""),
"")</f>
        <v/>
      </c>
      <c r="AT82" s="444" t="str">
        <f t="shared" si="84"/>
        <v/>
      </c>
      <c r="AU82" s="444" t="str">
        <f t="shared" si="84"/>
        <v/>
      </c>
      <c r="AV82" s="444" t="str">
        <f t="shared" si="84"/>
        <v/>
      </c>
      <c r="AW82" s="444" t="str">
        <f t="shared" si="84"/>
        <v/>
      </c>
      <c r="AX82" s="444" t="str">
        <f t="shared" si="84"/>
        <v/>
      </c>
      <c r="AY82" s="444" t="str">
        <f t="shared" si="84"/>
        <v/>
      </c>
      <c r="AZ82" s="444" t="str">
        <f t="shared" si="84"/>
        <v/>
      </c>
      <c r="BA82" s="444" t="str">
        <f t="shared" si="84"/>
        <v/>
      </c>
      <c r="BB82" s="444" t="str">
        <f t="shared" si="84"/>
        <v/>
      </c>
      <c r="BC82" s="444" t="str">
        <f t="shared" ref="BC82:BH91" si="85" xml:space="preserve">
IFERROR(
_xlfn.IFNA(
   IF($B82="PLT",
      IF(INDEX(PRJGENVersions, MATCH(TRIM(BC$1), PRJGENAlgosMapped, 0), MATCH($A82, PRJGENProjects, 0)), "YES", ""),
      IF(INDEX(RoadmapData, MATCH(TRIM(BC$1), RoadmapDataFeatures, 0), MATCH($A82, RoadmapDataProjects, 0)) = "-", "-", INDEX(RoadmapData, MATCH(TRIM(BC$1), RoadmapDataFeatures, 0), MATCH($A82, RoadmapDataProjects, 0)))),
""),
"")</f>
        <v/>
      </c>
      <c r="BD82" s="444" t="str">
        <f t="shared" si="85"/>
        <v/>
      </c>
      <c r="BE82" s="444" t="str">
        <f t="shared" si="85"/>
        <v/>
      </c>
      <c r="BF82" s="444" t="str">
        <f t="shared" si="85"/>
        <v/>
      </c>
      <c r="BG82" s="444" t="str">
        <f t="shared" si="85"/>
        <v/>
      </c>
      <c r="BH82" s="445" t="str">
        <f t="shared" si="85"/>
        <v/>
      </c>
      <c r="BI82" s="502"/>
      <c r="BJ82" s="474" t="str">
        <f t="shared" ref="BJ82:BS91" si="86">_xlfn.IFNA(IF(INDEX(RoadmapData, MATCH(TRIM(BJ$1), RoadmapDataFeatures, 0), MATCH($A82, RoadmapDataProjects, 0)) = "-", "-", INDEX(RoadmapData, MATCH(TRIM(BJ$1), RoadmapDataFeatures, 0), MATCH($A82, RoadmapDataProjects, 0))), "")</f>
        <v/>
      </c>
      <c r="BK82" s="475" t="str">
        <f t="shared" si="86"/>
        <v/>
      </c>
      <c r="BL82" s="475" t="str">
        <f t="shared" si="86"/>
        <v/>
      </c>
      <c r="BM82" s="475" t="str">
        <f t="shared" si="86"/>
        <v/>
      </c>
      <c r="BN82" s="475" t="str">
        <f t="shared" si="86"/>
        <v/>
      </c>
      <c r="BO82" s="475" t="str">
        <f t="shared" si="86"/>
        <v/>
      </c>
      <c r="BP82" s="475" t="str">
        <f t="shared" si="86"/>
        <v/>
      </c>
      <c r="BQ82" s="475" t="str">
        <f t="shared" si="86"/>
        <v/>
      </c>
      <c r="BR82" s="475" t="str">
        <f t="shared" si="86"/>
        <v/>
      </c>
      <c r="BS82" s="475" t="str">
        <f t="shared" si="86"/>
        <v/>
      </c>
      <c r="BT82" s="475" t="str">
        <f t="shared" ref="BT82:CC91" si="87">_xlfn.IFNA(IF(INDEX(RoadmapData, MATCH(TRIM(BT$1), RoadmapDataFeatures, 0), MATCH($A82, RoadmapDataProjects, 0)) = "-", "-", INDEX(RoadmapData, MATCH(TRIM(BT$1), RoadmapDataFeatures, 0), MATCH($A82, RoadmapDataProjects, 0))), "")</f>
        <v/>
      </c>
      <c r="BU82" s="475" t="str">
        <f t="shared" si="87"/>
        <v/>
      </c>
      <c r="BV82" s="475" t="str">
        <f t="shared" si="87"/>
        <v/>
      </c>
      <c r="BW82" s="475" t="str">
        <f t="shared" si="87"/>
        <v/>
      </c>
      <c r="BX82" s="475" t="str">
        <f t="shared" si="87"/>
        <v/>
      </c>
      <c r="BY82" s="475" t="str">
        <f t="shared" si="87"/>
        <v/>
      </c>
      <c r="BZ82" s="475" t="str">
        <f t="shared" si="87"/>
        <v/>
      </c>
      <c r="CA82" s="475" t="str">
        <f t="shared" si="87"/>
        <v/>
      </c>
      <c r="CB82" s="475" t="str">
        <f t="shared" si="87"/>
        <v/>
      </c>
      <c r="CC82" s="475" t="str">
        <f t="shared" si="87"/>
        <v/>
      </c>
      <c r="CD82" s="475" t="str">
        <f t="shared" ref="CD82:CM91" si="88">_xlfn.IFNA(IF(INDEX(RoadmapData, MATCH(TRIM(CD$1), RoadmapDataFeatures, 0), MATCH($A82, RoadmapDataProjects, 0)) = "-", "-", INDEX(RoadmapData, MATCH(TRIM(CD$1), RoadmapDataFeatures, 0), MATCH($A82, RoadmapDataProjects, 0))), "")</f>
        <v/>
      </c>
      <c r="CE82" s="475" t="str">
        <f t="shared" si="88"/>
        <v/>
      </c>
      <c r="CF82" s="475" t="str">
        <f t="shared" si="88"/>
        <v/>
      </c>
      <c r="CG82" s="475" t="str">
        <f t="shared" si="88"/>
        <v/>
      </c>
      <c r="CH82" s="475" t="str">
        <f t="shared" si="88"/>
        <v/>
      </c>
      <c r="CI82" s="475" t="str">
        <f t="shared" si="88"/>
        <v/>
      </c>
      <c r="CJ82" s="475" t="str">
        <f t="shared" si="88"/>
        <v/>
      </c>
      <c r="CK82" s="475" t="str">
        <f t="shared" si="88"/>
        <v/>
      </c>
      <c r="CL82" s="475" t="str">
        <f t="shared" si="88"/>
        <v/>
      </c>
      <c r="CM82" s="475" t="str">
        <f t="shared" si="88"/>
        <v/>
      </c>
      <c r="CN82" s="475" t="str">
        <f t="shared" ref="CN82:CZ91" si="89">_xlfn.IFNA(IF(INDEX(RoadmapData, MATCH(TRIM(CN$1), RoadmapDataFeatures, 0), MATCH($A82, RoadmapDataProjects, 0)) = "-", "-", INDEX(RoadmapData, MATCH(TRIM(CN$1), RoadmapDataFeatures, 0), MATCH($A82, RoadmapDataProjects, 0))), "")</f>
        <v/>
      </c>
      <c r="CO82" s="475" t="str">
        <f t="shared" si="89"/>
        <v/>
      </c>
      <c r="CP82" s="475" t="str">
        <f t="shared" si="89"/>
        <v/>
      </c>
      <c r="CQ82" s="475" t="str">
        <f t="shared" si="89"/>
        <v/>
      </c>
      <c r="CR82" s="475" t="str">
        <f t="shared" si="89"/>
        <v/>
      </c>
      <c r="CS82" s="475" t="str">
        <f t="shared" si="89"/>
        <v/>
      </c>
      <c r="CT82" s="475" t="str">
        <f t="shared" si="89"/>
        <v/>
      </c>
      <c r="CU82" s="475" t="str">
        <f t="shared" si="89"/>
        <v/>
      </c>
      <c r="CV82" s="475" t="str">
        <f t="shared" si="89"/>
        <v/>
      </c>
      <c r="CW82" s="475" t="str">
        <f t="shared" si="89"/>
        <v/>
      </c>
      <c r="CX82" s="475" t="str">
        <f t="shared" si="89"/>
        <v/>
      </c>
      <c r="CY82" s="475" t="str">
        <f t="shared" si="89"/>
        <v/>
      </c>
      <c r="CZ82" s="495" t="str">
        <f t="shared" si="89"/>
        <v/>
      </c>
      <c r="DA82" s="502"/>
      <c r="DB82" s="460"/>
      <c r="DC82" s="465"/>
      <c r="DD82" s="463"/>
      <c r="DE82" s="512"/>
      <c r="DF82" s="516"/>
      <c r="DG82" s="508"/>
      <c r="DH82" s="463"/>
      <c r="DI82" s="461"/>
      <c r="DJ82" s="461"/>
      <c r="DK82" s="461"/>
      <c r="DL82" s="464"/>
      <c r="DM82" s="466"/>
      <c r="DN82" s="502"/>
      <c r="DO82" s="460"/>
      <c r="DP82" s="464"/>
      <c r="DQ82" s="464"/>
      <c r="DR82" s="464"/>
      <c r="DS82" s="508"/>
      <c r="DT82" s="525"/>
      <c r="DU82" s="525"/>
      <c r="DV82" s="463"/>
      <c r="DW82" s="464"/>
      <c r="DX82" s="465"/>
      <c r="DY82" s="463"/>
      <c r="DZ82" s="464"/>
      <c r="EA82" s="465"/>
      <c r="EB82" s="463"/>
      <c r="EC82" s="465"/>
      <c r="ED82" s="462"/>
      <c r="EE82" s="502"/>
      <c r="EF82" s="463"/>
      <c r="EG82" s="461"/>
      <c r="EH82" s="464"/>
      <c r="EI82" s="464"/>
      <c r="EJ82" s="464"/>
      <c r="EK82" s="464"/>
      <c r="EL82" s="464"/>
      <c r="EM82" s="464"/>
      <c r="EN82" s="464"/>
      <c r="EO82" s="464"/>
      <c r="EP82" s="464"/>
      <c r="EQ82" s="464"/>
      <c r="ER82" s="464"/>
      <c r="ES82" s="464"/>
      <c r="ET82" s="464"/>
      <c r="EU82" s="464"/>
      <c r="EV82" s="464"/>
      <c r="EW82" s="465"/>
      <c r="EX82" s="465"/>
      <c r="EY82" s="502"/>
      <c r="EZ82" s="460"/>
      <c r="FA82" s="464"/>
      <c r="FB82" s="464"/>
      <c r="FC82" s="464"/>
      <c r="FD82" s="464"/>
      <c r="FE82" s="464"/>
      <c r="FF82" s="464"/>
      <c r="FG82" s="466"/>
    </row>
    <row r="83" spans="1:163">
      <c r="A83" s="467" t="s">
        <v>270</v>
      </c>
      <c r="B83" s="471" t="str">
        <f>IF(ISNUMBER(MATCH(A83, 'Pulldown Data'!W:W, 0))=TRUE, "Y", IF(ISNUMBER(MATCH(A83, 'Pulldown Data'!X:X, 0))=TRUE, "M", ""))</f>
        <v/>
      </c>
      <c r="C83" s="504"/>
      <c r="D83" s="502"/>
      <c r="E83" s="443" t="str">
        <f t="shared" si="80"/>
        <v/>
      </c>
      <c r="F83" s="444" t="str">
        <f t="shared" si="80"/>
        <v/>
      </c>
      <c r="G83" s="444" t="str">
        <f t="shared" si="80"/>
        <v/>
      </c>
      <c r="H83" s="444" t="str">
        <f t="shared" si="80"/>
        <v/>
      </c>
      <c r="I83" s="444" t="str">
        <f t="shared" si="80"/>
        <v/>
      </c>
      <c r="J83" s="444" t="str">
        <f t="shared" si="80"/>
        <v/>
      </c>
      <c r="K83" s="444" t="str">
        <f t="shared" si="80"/>
        <v/>
      </c>
      <c r="L83" s="444" t="str">
        <f t="shared" si="80"/>
        <v/>
      </c>
      <c r="M83" s="444" t="str">
        <f t="shared" si="80"/>
        <v/>
      </c>
      <c r="N83" s="444" t="str">
        <f t="shared" si="80"/>
        <v/>
      </c>
      <c r="O83" s="444" t="str">
        <f t="shared" si="81"/>
        <v/>
      </c>
      <c r="P83" s="444" t="str">
        <f t="shared" si="81"/>
        <v/>
      </c>
      <c r="Q83" s="444" t="str">
        <f t="shared" si="81"/>
        <v/>
      </c>
      <c r="R83" s="444" t="str">
        <f t="shared" si="81"/>
        <v/>
      </c>
      <c r="S83" s="444" t="str">
        <f t="shared" si="81"/>
        <v/>
      </c>
      <c r="T83" s="444" t="str">
        <f t="shared" si="81"/>
        <v/>
      </c>
      <c r="U83" s="444" t="str">
        <f t="shared" si="81"/>
        <v/>
      </c>
      <c r="V83" s="444" t="str">
        <f t="shared" si="81"/>
        <v/>
      </c>
      <c r="W83" s="444" t="str">
        <f t="shared" si="81"/>
        <v/>
      </c>
      <c r="X83" s="444" t="str">
        <f t="shared" si="81"/>
        <v/>
      </c>
      <c r="Y83" s="444" t="str">
        <f t="shared" si="82"/>
        <v/>
      </c>
      <c r="Z83" s="444" t="str">
        <f t="shared" si="82"/>
        <v/>
      </c>
      <c r="AA83" s="444" t="str">
        <f t="shared" si="82"/>
        <v/>
      </c>
      <c r="AB83" s="444" t="str">
        <f t="shared" si="82"/>
        <v/>
      </c>
      <c r="AC83" s="444" t="str">
        <f t="shared" si="82"/>
        <v/>
      </c>
      <c r="AD83" s="444" t="str">
        <f t="shared" si="82"/>
        <v/>
      </c>
      <c r="AE83" s="444" t="str">
        <f t="shared" si="82"/>
        <v/>
      </c>
      <c r="AF83" s="444" t="str">
        <f t="shared" si="82"/>
        <v/>
      </c>
      <c r="AG83" s="444" t="str">
        <f t="shared" si="82"/>
        <v/>
      </c>
      <c r="AH83" s="444" t="str">
        <f t="shared" si="82"/>
        <v/>
      </c>
      <c r="AI83" s="444" t="str">
        <f t="shared" si="83"/>
        <v/>
      </c>
      <c r="AJ83" s="444" t="str">
        <f t="shared" si="83"/>
        <v/>
      </c>
      <c r="AK83" s="444" t="str">
        <f t="shared" si="83"/>
        <v/>
      </c>
      <c r="AL83" s="444" t="str">
        <f t="shared" si="83"/>
        <v/>
      </c>
      <c r="AM83" s="444" t="str">
        <f t="shared" si="83"/>
        <v/>
      </c>
      <c r="AN83" s="444" t="str">
        <f t="shared" si="83"/>
        <v/>
      </c>
      <c r="AO83" s="444" t="str">
        <f t="shared" si="83"/>
        <v/>
      </c>
      <c r="AP83" s="444" t="str">
        <f t="shared" si="83"/>
        <v/>
      </c>
      <c r="AQ83" s="444" t="str">
        <f t="shared" si="83"/>
        <v/>
      </c>
      <c r="AR83" s="444" t="str">
        <f t="shared" si="83"/>
        <v/>
      </c>
      <c r="AS83" s="444" t="str">
        <f t="shared" si="84"/>
        <v/>
      </c>
      <c r="AT83" s="444" t="str">
        <f t="shared" si="84"/>
        <v/>
      </c>
      <c r="AU83" s="444" t="str">
        <f t="shared" si="84"/>
        <v/>
      </c>
      <c r="AV83" s="444" t="str">
        <f t="shared" si="84"/>
        <v/>
      </c>
      <c r="AW83" s="444" t="str">
        <f t="shared" si="84"/>
        <v/>
      </c>
      <c r="AX83" s="444" t="str">
        <f t="shared" si="84"/>
        <v/>
      </c>
      <c r="AY83" s="444" t="str">
        <f t="shared" si="84"/>
        <v/>
      </c>
      <c r="AZ83" s="444" t="str">
        <f t="shared" si="84"/>
        <v/>
      </c>
      <c r="BA83" s="444" t="str">
        <f t="shared" si="84"/>
        <v/>
      </c>
      <c r="BB83" s="444" t="str">
        <f t="shared" si="84"/>
        <v/>
      </c>
      <c r="BC83" s="444" t="str">
        <f t="shared" si="85"/>
        <v/>
      </c>
      <c r="BD83" s="444" t="str">
        <f t="shared" si="85"/>
        <v/>
      </c>
      <c r="BE83" s="444" t="str">
        <f t="shared" si="85"/>
        <v/>
      </c>
      <c r="BF83" s="444" t="str">
        <f t="shared" si="85"/>
        <v/>
      </c>
      <c r="BG83" s="444" t="str">
        <f t="shared" si="85"/>
        <v/>
      </c>
      <c r="BH83" s="445" t="str">
        <f t="shared" si="85"/>
        <v/>
      </c>
      <c r="BI83" s="502"/>
      <c r="BJ83" s="474" t="str">
        <f t="shared" si="86"/>
        <v/>
      </c>
      <c r="BK83" s="475" t="str">
        <f t="shared" si="86"/>
        <v/>
      </c>
      <c r="BL83" s="475" t="str">
        <f t="shared" si="86"/>
        <v/>
      </c>
      <c r="BM83" s="475" t="str">
        <f t="shared" si="86"/>
        <v/>
      </c>
      <c r="BN83" s="475" t="str">
        <f t="shared" si="86"/>
        <v/>
      </c>
      <c r="BO83" s="475" t="str">
        <f t="shared" si="86"/>
        <v/>
      </c>
      <c r="BP83" s="475" t="str">
        <f t="shared" si="86"/>
        <v/>
      </c>
      <c r="BQ83" s="475" t="str">
        <f t="shared" si="86"/>
        <v/>
      </c>
      <c r="BR83" s="475" t="str">
        <f t="shared" si="86"/>
        <v/>
      </c>
      <c r="BS83" s="475" t="str">
        <f t="shared" si="86"/>
        <v/>
      </c>
      <c r="BT83" s="475" t="str">
        <f t="shared" si="87"/>
        <v/>
      </c>
      <c r="BU83" s="475" t="str">
        <f t="shared" si="87"/>
        <v/>
      </c>
      <c r="BV83" s="475" t="str">
        <f t="shared" si="87"/>
        <v/>
      </c>
      <c r="BW83" s="475" t="str">
        <f t="shared" si="87"/>
        <v/>
      </c>
      <c r="BX83" s="475" t="str">
        <f t="shared" si="87"/>
        <v/>
      </c>
      <c r="BY83" s="475" t="str">
        <f t="shared" si="87"/>
        <v/>
      </c>
      <c r="BZ83" s="475" t="str">
        <f t="shared" si="87"/>
        <v/>
      </c>
      <c r="CA83" s="475" t="str">
        <f t="shared" si="87"/>
        <v/>
      </c>
      <c r="CB83" s="475" t="str">
        <f t="shared" si="87"/>
        <v/>
      </c>
      <c r="CC83" s="475" t="str">
        <f t="shared" si="87"/>
        <v/>
      </c>
      <c r="CD83" s="475" t="str">
        <f t="shared" si="88"/>
        <v/>
      </c>
      <c r="CE83" s="475" t="str">
        <f t="shared" si="88"/>
        <v/>
      </c>
      <c r="CF83" s="475" t="str">
        <f t="shared" si="88"/>
        <v/>
      </c>
      <c r="CG83" s="475" t="str">
        <f t="shared" si="88"/>
        <v/>
      </c>
      <c r="CH83" s="475" t="str">
        <f t="shared" si="88"/>
        <v/>
      </c>
      <c r="CI83" s="475" t="str">
        <f t="shared" si="88"/>
        <v/>
      </c>
      <c r="CJ83" s="475" t="str">
        <f t="shared" si="88"/>
        <v/>
      </c>
      <c r="CK83" s="475" t="str">
        <f t="shared" si="88"/>
        <v/>
      </c>
      <c r="CL83" s="475" t="str">
        <f t="shared" si="88"/>
        <v/>
      </c>
      <c r="CM83" s="475" t="str">
        <f t="shared" si="88"/>
        <v/>
      </c>
      <c r="CN83" s="475" t="str">
        <f t="shared" si="89"/>
        <v/>
      </c>
      <c r="CO83" s="475" t="str">
        <f t="shared" si="89"/>
        <v/>
      </c>
      <c r="CP83" s="475" t="str">
        <f t="shared" si="89"/>
        <v/>
      </c>
      <c r="CQ83" s="475" t="str">
        <f t="shared" si="89"/>
        <v/>
      </c>
      <c r="CR83" s="475" t="str">
        <f t="shared" si="89"/>
        <v/>
      </c>
      <c r="CS83" s="475" t="str">
        <f t="shared" si="89"/>
        <v/>
      </c>
      <c r="CT83" s="475" t="str">
        <f t="shared" si="89"/>
        <v/>
      </c>
      <c r="CU83" s="475" t="str">
        <f t="shared" si="89"/>
        <v/>
      </c>
      <c r="CV83" s="475" t="str">
        <f t="shared" si="89"/>
        <v/>
      </c>
      <c r="CW83" s="475" t="str">
        <f t="shared" si="89"/>
        <v/>
      </c>
      <c r="CX83" s="475" t="str">
        <f t="shared" si="89"/>
        <v/>
      </c>
      <c r="CY83" s="475" t="str">
        <f t="shared" si="89"/>
        <v/>
      </c>
      <c r="CZ83" s="495" t="str">
        <f t="shared" si="89"/>
        <v/>
      </c>
      <c r="DA83" s="502"/>
      <c r="DB83" s="460"/>
      <c r="DC83" s="465"/>
      <c r="DD83" s="463"/>
      <c r="DE83" s="512"/>
      <c r="DF83" s="516"/>
      <c r="DG83" s="508"/>
      <c r="DH83" s="463"/>
      <c r="DI83" s="461"/>
      <c r="DJ83" s="461"/>
      <c r="DK83" s="461"/>
      <c r="DL83" s="464"/>
      <c r="DM83" s="466"/>
      <c r="DN83" s="502"/>
      <c r="DO83" s="460"/>
      <c r="DP83" s="464"/>
      <c r="DQ83" s="464"/>
      <c r="DR83" s="464"/>
      <c r="DS83" s="508"/>
      <c r="DT83" s="525"/>
      <c r="DU83" s="525"/>
      <c r="DV83" s="463"/>
      <c r="DW83" s="464"/>
      <c r="DX83" s="465"/>
      <c r="DY83" s="463"/>
      <c r="DZ83" s="464"/>
      <c r="EA83" s="465"/>
      <c r="EB83" s="463"/>
      <c r="EC83" s="465"/>
      <c r="ED83" s="462"/>
      <c r="EE83" s="502"/>
      <c r="EF83" s="463"/>
      <c r="EG83" s="461"/>
      <c r="EH83" s="464"/>
      <c r="EI83" s="464"/>
      <c r="EJ83" s="464"/>
      <c r="EK83" s="464"/>
      <c r="EL83" s="464"/>
      <c r="EM83" s="464"/>
      <c r="EN83" s="464"/>
      <c r="EO83" s="464"/>
      <c r="EP83" s="464"/>
      <c r="EQ83" s="464"/>
      <c r="ER83" s="464"/>
      <c r="ES83" s="464"/>
      <c r="ET83" s="464"/>
      <c r="EU83" s="464"/>
      <c r="EV83" s="464"/>
      <c r="EW83" s="465"/>
      <c r="EX83" s="465"/>
      <c r="EY83" s="502"/>
      <c r="EZ83" s="460"/>
      <c r="FA83" s="464"/>
      <c r="FB83" s="464"/>
      <c r="FC83" s="464"/>
      <c r="FD83" s="464"/>
      <c r="FE83" s="464"/>
      <c r="FF83" s="464"/>
      <c r="FG83" s="466"/>
    </row>
    <row r="84" spans="1:163">
      <c r="A84" s="467" t="s">
        <v>271</v>
      </c>
      <c r="B84" s="471" t="str">
        <f>IF(ISNUMBER(MATCH(A84, 'Pulldown Data'!W:W, 0))=TRUE, "Y", IF(ISNUMBER(MATCH(A84, 'Pulldown Data'!X:X, 0))=TRUE, "M", ""))</f>
        <v/>
      </c>
      <c r="C84" s="504"/>
      <c r="D84" s="502"/>
      <c r="E84" s="443" t="str">
        <f t="shared" si="80"/>
        <v/>
      </c>
      <c r="F84" s="444" t="str">
        <f t="shared" si="80"/>
        <v/>
      </c>
      <c r="G84" s="444" t="str">
        <f t="shared" si="80"/>
        <v/>
      </c>
      <c r="H84" s="444" t="str">
        <f t="shared" si="80"/>
        <v/>
      </c>
      <c r="I84" s="444" t="str">
        <f t="shared" si="80"/>
        <v/>
      </c>
      <c r="J84" s="444" t="str">
        <f t="shared" si="80"/>
        <v/>
      </c>
      <c r="K84" s="444" t="str">
        <f t="shared" si="80"/>
        <v/>
      </c>
      <c r="L84" s="444" t="str">
        <f t="shared" si="80"/>
        <v/>
      </c>
      <c r="M84" s="444" t="str">
        <f t="shared" si="80"/>
        <v/>
      </c>
      <c r="N84" s="444" t="str">
        <f t="shared" si="80"/>
        <v/>
      </c>
      <c r="O84" s="444" t="str">
        <f t="shared" si="81"/>
        <v/>
      </c>
      <c r="P84" s="444" t="str">
        <f t="shared" si="81"/>
        <v/>
      </c>
      <c r="Q84" s="444" t="str">
        <f t="shared" si="81"/>
        <v/>
      </c>
      <c r="R84" s="444" t="str">
        <f t="shared" si="81"/>
        <v/>
      </c>
      <c r="S84" s="444" t="str">
        <f t="shared" si="81"/>
        <v/>
      </c>
      <c r="T84" s="444" t="str">
        <f t="shared" si="81"/>
        <v/>
      </c>
      <c r="U84" s="444" t="str">
        <f t="shared" si="81"/>
        <v/>
      </c>
      <c r="V84" s="444" t="str">
        <f t="shared" si="81"/>
        <v/>
      </c>
      <c r="W84" s="444" t="str">
        <f t="shared" si="81"/>
        <v/>
      </c>
      <c r="X84" s="444" t="str">
        <f t="shared" si="81"/>
        <v/>
      </c>
      <c r="Y84" s="444" t="str">
        <f t="shared" si="82"/>
        <v/>
      </c>
      <c r="Z84" s="444" t="str">
        <f t="shared" si="82"/>
        <v/>
      </c>
      <c r="AA84" s="444" t="str">
        <f t="shared" si="82"/>
        <v/>
      </c>
      <c r="AB84" s="444" t="str">
        <f t="shared" si="82"/>
        <v/>
      </c>
      <c r="AC84" s="444" t="str">
        <f t="shared" si="82"/>
        <v/>
      </c>
      <c r="AD84" s="444" t="str">
        <f t="shared" si="82"/>
        <v/>
      </c>
      <c r="AE84" s="444" t="str">
        <f t="shared" si="82"/>
        <v/>
      </c>
      <c r="AF84" s="444" t="str">
        <f t="shared" si="82"/>
        <v/>
      </c>
      <c r="AG84" s="444" t="str">
        <f t="shared" si="82"/>
        <v/>
      </c>
      <c r="AH84" s="444" t="str">
        <f t="shared" si="82"/>
        <v/>
      </c>
      <c r="AI84" s="444" t="str">
        <f t="shared" si="83"/>
        <v/>
      </c>
      <c r="AJ84" s="444" t="str">
        <f t="shared" si="83"/>
        <v/>
      </c>
      <c r="AK84" s="444" t="str">
        <f t="shared" si="83"/>
        <v/>
      </c>
      <c r="AL84" s="444" t="str">
        <f t="shared" si="83"/>
        <v/>
      </c>
      <c r="AM84" s="444" t="str">
        <f t="shared" si="83"/>
        <v/>
      </c>
      <c r="AN84" s="444" t="str">
        <f t="shared" si="83"/>
        <v/>
      </c>
      <c r="AO84" s="444" t="str">
        <f t="shared" si="83"/>
        <v/>
      </c>
      <c r="AP84" s="444" t="str">
        <f t="shared" si="83"/>
        <v/>
      </c>
      <c r="AQ84" s="444" t="str">
        <f t="shared" si="83"/>
        <v/>
      </c>
      <c r="AR84" s="444" t="str">
        <f t="shared" si="83"/>
        <v/>
      </c>
      <c r="AS84" s="444" t="str">
        <f t="shared" si="84"/>
        <v/>
      </c>
      <c r="AT84" s="444" t="str">
        <f t="shared" si="84"/>
        <v/>
      </c>
      <c r="AU84" s="444" t="str">
        <f t="shared" si="84"/>
        <v/>
      </c>
      <c r="AV84" s="444" t="str">
        <f t="shared" si="84"/>
        <v/>
      </c>
      <c r="AW84" s="444" t="str">
        <f t="shared" si="84"/>
        <v/>
      </c>
      <c r="AX84" s="444" t="str">
        <f t="shared" si="84"/>
        <v/>
      </c>
      <c r="AY84" s="444" t="str">
        <f t="shared" si="84"/>
        <v/>
      </c>
      <c r="AZ84" s="444" t="str">
        <f t="shared" si="84"/>
        <v/>
      </c>
      <c r="BA84" s="444" t="str">
        <f t="shared" si="84"/>
        <v/>
      </c>
      <c r="BB84" s="444" t="str">
        <f t="shared" si="84"/>
        <v/>
      </c>
      <c r="BC84" s="444" t="str">
        <f t="shared" si="85"/>
        <v/>
      </c>
      <c r="BD84" s="444" t="str">
        <f t="shared" si="85"/>
        <v/>
      </c>
      <c r="BE84" s="444" t="str">
        <f t="shared" si="85"/>
        <v/>
      </c>
      <c r="BF84" s="444" t="str">
        <f t="shared" si="85"/>
        <v/>
      </c>
      <c r="BG84" s="444" t="str">
        <f t="shared" si="85"/>
        <v/>
      </c>
      <c r="BH84" s="445" t="str">
        <f t="shared" si="85"/>
        <v/>
      </c>
      <c r="BI84" s="502"/>
      <c r="BJ84" s="474" t="str">
        <f t="shared" si="86"/>
        <v/>
      </c>
      <c r="BK84" s="475" t="str">
        <f t="shared" si="86"/>
        <v/>
      </c>
      <c r="BL84" s="475" t="str">
        <f t="shared" si="86"/>
        <v/>
      </c>
      <c r="BM84" s="475" t="str">
        <f t="shared" si="86"/>
        <v/>
      </c>
      <c r="BN84" s="475" t="str">
        <f t="shared" si="86"/>
        <v/>
      </c>
      <c r="BO84" s="475" t="str">
        <f t="shared" si="86"/>
        <v/>
      </c>
      <c r="BP84" s="475" t="str">
        <f t="shared" si="86"/>
        <v/>
      </c>
      <c r="BQ84" s="475" t="str">
        <f t="shared" si="86"/>
        <v/>
      </c>
      <c r="BR84" s="475" t="str">
        <f t="shared" si="86"/>
        <v/>
      </c>
      <c r="BS84" s="475" t="str">
        <f t="shared" si="86"/>
        <v/>
      </c>
      <c r="BT84" s="475" t="str">
        <f t="shared" si="87"/>
        <v/>
      </c>
      <c r="BU84" s="475" t="str">
        <f t="shared" si="87"/>
        <v/>
      </c>
      <c r="BV84" s="475" t="str">
        <f t="shared" si="87"/>
        <v/>
      </c>
      <c r="BW84" s="475" t="str">
        <f t="shared" si="87"/>
        <v/>
      </c>
      <c r="BX84" s="475" t="str">
        <f t="shared" si="87"/>
        <v/>
      </c>
      <c r="BY84" s="475" t="str">
        <f t="shared" si="87"/>
        <v/>
      </c>
      <c r="BZ84" s="475" t="str">
        <f t="shared" si="87"/>
        <v/>
      </c>
      <c r="CA84" s="475" t="str">
        <f t="shared" si="87"/>
        <v/>
      </c>
      <c r="CB84" s="475" t="str">
        <f t="shared" si="87"/>
        <v/>
      </c>
      <c r="CC84" s="475" t="str">
        <f t="shared" si="87"/>
        <v/>
      </c>
      <c r="CD84" s="475" t="str">
        <f t="shared" si="88"/>
        <v/>
      </c>
      <c r="CE84" s="475" t="str">
        <f t="shared" si="88"/>
        <v/>
      </c>
      <c r="CF84" s="475" t="str">
        <f t="shared" si="88"/>
        <v/>
      </c>
      <c r="CG84" s="475" t="str">
        <f t="shared" si="88"/>
        <v/>
      </c>
      <c r="CH84" s="475" t="str">
        <f t="shared" si="88"/>
        <v/>
      </c>
      <c r="CI84" s="475" t="str">
        <f t="shared" si="88"/>
        <v/>
      </c>
      <c r="CJ84" s="475" t="str">
        <f t="shared" si="88"/>
        <v/>
      </c>
      <c r="CK84" s="475" t="str">
        <f t="shared" si="88"/>
        <v/>
      </c>
      <c r="CL84" s="475" t="str">
        <f t="shared" si="88"/>
        <v/>
      </c>
      <c r="CM84" s="475" t="str">
        <f t="shared" si="88"/>
        <v/>
      </c>
      <c r="CN84" s="475" t="str">
        <f t="shared" si="89"/>
        <v/>
      </c>
      <c r="CO84" s="475" t="str">
        <f t="shared" si="89"/>
        <v/>
      </c>
      <c r="CP84" s="475" t="str">
        <f t="shared" si="89"/>
        <v/>
      </c>
      <c r="CQ84" s="475" t="str">
        <f t="shared" si="89"/>
        <v/>
      </c>
      <c r="CR84" s="475" t="str">
        <f t="shared" si="89"/>
        <v/>
      </c>
      <c r="CS84" s="475" t="str">
        <f t="shared" si="89"/>
        <v/>
      </c>
      <c r="CT84" s="475" t="str">
        <f t="shared" si="89"/>
        <v/>
      </c>
      <c r="CU84" s="475" t="str">
        <f t="shared" si="89"/>
        <v/>
      </c>
      <c r="CV84" s="475" t="str">
        <f t="shared" si="89"/>
        <v/>
      </c>
      <c r="CW84" s="475" t="str">
        <f t="shared" si="89"/>
        <v/>
      </c>
      <c r="CX84" s="475" t="str">
        <f t="shared" si="89"/>
        <v/>
      </c>
      <c r="CY84" s="475" t="str">
        <f t="shared" si="89"/>
        <v/>
      </c>
      <c r="CZ84" s="495" t="str">
        <f t="shared" si="89"/>
        <v/>
      </c>
      <c r="DA84" s="502"/>
      <c r="DB84" s="460"/>
      <c r="DC84" s="465"/>
      <c r="DD84" s="463"/>
      <c r="DE84" s="512"/>
      <c r="DF84" s="516"/>
      <c r="DG84" s="508"/>
      <c r="DH84" s="463"/>
      <c r="DI84" s="461"/>
      <c r="DJ84" s="461"/>
      <c r="DK84" s="461"/>
      <c r="DL84" s="464"/>
      <c r="DM84" s="466"/>
      <c r="DN84" s="502"/>
      <c r="DO84" s="460"/>
      <c r="DP84" s="464"/>
      <c r="DQ84" s="464"/>
      <c r="DR84" s="464"/>
      <c r="DS84" s="508"/>
      <c r="DT84" s="525"/>
      <c r="DU84" s="525"/>
      <c r="DV84" s="463"/>
      <c r="DW84" s="464"/>
      <c r="DX84" s="465"/>
      <c r="DY84" s="463"/>
      <c r="DZ84" s="464"/>
      <c r="EA84" s="465"/>
      <c r="EB84" s="463"/>
      <c r="EC84" s="465"/>
      <c r="ED84" s="462"/>
      <c r="EE84" s="502"/>
      <c r="EF84" s="463"/>
      <c r="EG84" s="461"/>
      <c r="EH84" s="464"/>
      <c r="EI84" s="464"/>
      <c r="EJ84" s="464"/>
      <c r="EK84" s="464"/>
      <c r="EL84" s="464"/>
      <c r="EM84" s="464"/>
      <c r="EN84" s="464"/>
      <c r="EO84" s="464"/>
      <c r="EP84" s="464"/>
      <c r="EQ84" s="464"/>
      <c r="ER84" s="464"/>
      <c r="ES84" s="464"/>
      <c r="ET84" s="464"/>
      <c r="EU84" s="464"/>
      <c r="EV84" s="464"/>
      <c r="EW84" s="465"/>
      <c r="EX84" s="465"/>
      <c r="EY84" s="502"/>
      <c r="EZ84" s="460"/>
      <c r="FA84" s="464"/>
      <c r="FB84" s="464"/>
      <c r="FC84" s="464"/>
      <c r="FD84" s="464"/>
      <c r="FE84" s="464"/>
      <c r="FF84" s="464"/>
      <c r="FG84" s="466"/>
    </row>
    <row r="85" spans="1:163">
      <c r="A85" s="467" t="s">
        <v>272</v>
      </c>
      <c r="B85" s="471" t="str">
        <f>IF(ISNUMBER(MATCH(A85, 'Pulldown Data'!W:W, 0))=TRUE, "Y", IF(ISNUMBER(MATCH(A85, 'Pulldown Data'!X:X, 0))=TRUE, "M", ""))</f>
        <v/>
      </c>
      <c r="C85" s="504"/>
      <c r="D85" s="502"/>
      <c r="E85" s="443" t="str">
        <f t="shared" si="80"/>
        <v/>
      </c>
      <c r="F85" s="444" t="str">
        <f t="shared" si="80"/>
        <v/>
      </c>
      <c r="G85" s="444" t="str">
        <f t="shared" si="80"/>
        <v/>
      </c>
      <c r="H85" s="444" t="str">
        <f t="shared" si="80"/>
        <v/>
      </c>
      <c r="I85" s="444" t="str">
        <f t="shared" si="80"/>
        <v/>
      </c>
      <c r="J85" s="444" t="str">
        <f t="shared" si="80"/>
        <v/>
      </c>
      <c r="K85" s="444" t="str">
        <f t="shared" si="80"/>
        <v/>
      </c>
      <c r="L85" s="444" t="str">
        <f t="shared" si="80"/>
        <v/>
      </c>
      <c r="M85" s="444" t="str">
        <f t="shared" si="80"/>
        <v/>
      </c>
      <c r="N85" s="444" t="str">
        <f t="shared" si="80"/>
        <v/>
      </c>
      <c r="O85" s="444" t="str">
        <f t="shared" si="81"/>
        <v/>
      </c>
      <c r="P85" s="444" t="str">
        <f t="shared" si="81"/>
        <v/>
      </c>
      <c r="Q85" s="444" t="str">
        <f t="shared" si="81"/>
        <v/>
      </c>
      <c r="R85" s="444" t="str">
        <f t="shared" si="81"/>
        <v/>
      </c>
      <c r="S85" s="444" t="str">
        <f t="shared" si="81"/>
        <v/>
      </c>
      <c r="T85" s="444" t="str">
        <f t="shared" si="81"/>
        <v/>
      </c>
      <c r="U85" s="444" t="str">
        <f t="shared" si="81"/>
        <v/>
      </c>
      <c r="V85" s="444" t="str">
        <f t="shared" si="81"/>
        <v/>
      </c>
      <c r="W85" s="444" t="str">
        <f t="shared" si="81"/>
        <v/>
      </c>
      <c r="X85" s="444" t="str">
        <f t="shared" si="81"/>
        <v/>
      </c>
      <c r="Y85" s="444" t="str">
        <f t="shared" si="82"/>
        <v/>
      </c>
      <c r="Z85" s="444" t="str">
        <f t="shared" si="82"/>
        <v/>
      </c>
      <c r="AA85" s="444" t="str">
        <f t="shared" si="82"/>
        <v/>
      </c>
      <c r="AB85" s="444" t="str">
        <f t="shared" si="82"/>
        <v/>
      </c>
      <c r="AC85" s="444" t="str">
        <f t="shared" si="82"/>
        <v/>
      </c>
      <c r="AD85" s="444" t="str">
        <f t="shared" si="82"/>
        <v/>
      </c>
      <c r="AE85" s="444" t="str">
        <f t="shared" si="82"/>
        <v/>
      </c>
      <c r="AF85" s="444" t="str">
        <f t="shared" si="82"/>
        <v/>
      </c>
      <c r="AG85" s="444" t="str">
        <f t="shared" si="82"/>
        <v/>
      </c>
      <c r="AH85" s="444" t="str">
        <f t="shared" si="82"/>
        <v/>
      </c>
      <c r="AI85" s="444" t="str">
        <f t="shared" si="83"/>
        <v/>
      </c>
      <c r="AJ85" s="444" t="str">
        <f t="shared" si="83"/>
        <v/>
      </c>
      <c r="AK85" s="444" t="str">
        <f t="shared" si="83"/>
        <v/>
      </c>
      <c r="AL85" s="444" t="str">
        <f t="shared" si="83"/>
        <v/>
      </c>
      <c r="AM85" s="444" t="str">
        <f t="shared" si="83"/>
        <v/>
      </c>
      <c r="AN85" s="444" t="str">
        <f t="shared" si="83"/>
        <v/>
      </c>
      <c r="AO85" s="444" t="str">
        <f t="shared" si="83"/>
        <v/>
      </c>
      <c r="AP85" s="444" t="str">
        <f t="shared" si="83"/>
        <v/>
      </c>
      <c r="AQ85" s="444" t="str">
        <f t="shared" si="83"/>
        <v/>
      </c>
      <c r="AR85" s="444" t="str">
        <f t="shared" si="83"/>
        <v/>
      </c>
      <c r="AS85" s="444" t="str">
        <f t="shared" si="84"/>
        <v/>
      </c>
      <c r="AT85" s="444" t="str">
        <f t="shared" si="84"/>
        <v/>
      </c>
      <c r="AU85" s="444" t="str">
        <f t="shared" si="84"/>
        <v/>
      </c>
      <c r="AV85" s="444" t="str">
        <f t="shared" si="84"/>
        <v/>
      </c>
      <c r="AW85" s="444" t="str">
        <f t="shared" si="84"/>
        <v/>
      </c>
      <c r="AX85" s="444" t="str">
        <f t="shared" si="84"/>
        <v/>
      </c>
      <c r="AY85" s="444" t="str">
        <f t="shared" si="84"/>
        <v/>
      </c>
      <c r="AZ85" s="444" t="str">
        <f t="shared" si="84"/>
        <v/>
      </c>
      <c r="BA85" s="444" t="str">
        <f t="shared" si="84"/>
        <v/>
      </c>
      <c r="BB85" s="444" t="str">
        <f t="shared" si="84"/>
        <v/>
      </c>
      <c r="BC85" s="444" t="str">
        <f t="shared" si="85"/>
        <v/>
      </c>
      <c r="BD85" s="444" t="str">
        <f t="shared" si="85"/>
        <v/>
      </c>
      <c r="BE85" s="444" t="str">
        <f t="shared" si="85"/>
        <v/>
      </c>
      <c r="BF85" s="444" t="str">
        <f t="shared" si="85"/>
        <v/>
      </c>
      <c r="BG85" s="444" t="str">
        <f t="shared" si="85"/>
        <v/>
      </c>
      <c r="BH85" s="445" t="str">
        <f t="shared" si="85"/>
        <v/>
      </c>
      <c r="BI85" s="502"/>
      <c r="BJ85" s="474" t="str">
        <f t="shared" si="86"/>
        <v/>
      </c>
      <c r="BK85" s="475" t="str">
        <f t="shared" si="86"/>
        <v/>
      </c>
      <c r="BL85" s="475" t="str">
        <f t="shared" si="86"/>
        <v/>
      </c>
      <c r="BM85" s="475" t="str">
        <f t="shared" si="86"/>
        <v/>
      </c>
      <c r="BN85" s="475" t="str">
        <f t="shared" si="86"/>
        <v/>
      </c>
      <c r="BO85" s="475" t="str">
        <f t="shared" si="86"/>
        <v/>
      </c>
      <c r="BP85" s="475" t="str">
        <f t="shared" si="86"/>
        <v/>
      </c>
      <c r="BQ85" s="475" t="str">
        <f t="shared" si="86"/>
        <v/>
      </c>
      <c r="BR85" s="475" t="str">
        <f t="shared" si="86"/>
        <v/>
      </c>
      <c r="BS85" s="475" t="str">
        <f t="shared" si="86"/>
        <v/>
      </c>
      <c r="BT85" s="475" t="str">
        <f t="shared" si="87"/>
        <v/>
      </c>
      <c r="BU85" s="475" t="str">
        <f t="shared" si="87"/>
        <v/>
      </c>
      <c r="BV85" s="475" t="str">
        <f t="shared" si="87"/>
        <v/>
      </c>
      <c r="BW85" s="475" t="str">
        <f t="shared" si="87"/>
        <v/>
      </c>
      <c r="BX85" s="475" t="str">
        <f t="shared" si="87"/>
        <v/>
      </c>
      <c r="BY85" s="475" t="str">
        <f t="shared" si="87"/>
        <v/>
      </c>
      <c r="BZ85" s="475" t="str">
        <f t="shared" si="87"/>
        <v/>
      </c>
      <c r="CA85" s="475" t="str">
        <f t="shared" si="87"/>
        <v/>
      </c>
      <c r="CB85" s="475" t="str">
        <f t="shared" si="87"/>
        <v/>
      </c>
      <c r="CC85" s="475" t="str">
        <f t="shared" si="87"/>
        <v/>
      </c>
      <c r="CD85" s="475" t="str">
        <f t="shared" si="88"/>
        <v/>
      </c>
      <c r="CE85" s="475" t="str">
        <f t="shared" si="88"/>
        <v/>
      </c>
      <c r="CF85" s="475" t="str">
        <f t="shared" si="88"/>
        <v/>
      </c>
      <c r="CG85" s="475" t="str">
        <f t="shared" si="88"/>
        <v/>
      </c>
      <c r="CH85" s="475" t="str">
        <f t="shared" si="88"/>
        <v/>
      </c>
      <c r="CI85" s="475" t="str">
        <f t="shared" si="88"/>
        <v/>
      </c>
      <c r="CJ85" s="475" t="str">
        <f t="shared" si="88"/>
        <v/>
      </c>
      <c r="CK85" s="475" t="str">
        <f t="shared" si="88"/>
        <v/>
      </c>
      <c r="CL85" s="475" t="str">
        <f t="shared" si="88"/>
        <v/>
      </c>
      <c r="CM85" s="475" t="str">
        <f t="shared" si="88"/>
        <v/>
      </c>
      <c r="CN85" s="475" t="str">
        <f t="shared" si="89"/>
        <v/>
      </c>
      <c r="CO85" s="475" t="str">
        <f t="shared" si="89"/>
        <v/>
      </c>
      <c r="CP85" s="475" t="str">
        <f t="shared" si="89"/>
        <v/>
      </c>
      <c r="CQ85" s="475" t="str">
        <f t="shared" si="89"/>
        <v/>
      </c>
      <c r="CR85" s="475" t="str">
        <f t="shared" si="89"/>
        <v/>
      </c>
      <c r="CS85" s="475" t="str">
        <f t="shared" si="89"/>
        <v/>
      </c>
      <c r="CT85" s="475" t="str">
        <f t="shared" si="89"/>
        <v/>
      </c>
      <c r="CU85" s="475" t="str">
        <f t="shared" si="89"/>
        <v/>
      </c>
      <c r="CV85" s="475" t="str">
        <f t="shared" si="89"/>
        <v/>
      </c>
      <c r="CW85" s="475" t="str">
        <f t="shared" si="89"/>
        <v/>
      </c>
      <c r="CX85" s="475" t="str">
        <f t="shared" si="89"/>
        <v/>
      </c>
      <c r="CY85" s="475" t="str">
        <f t="shared" si="89"/>
        <v/>
      </c>
      <c r="CZ85" s="495" t="str">
        <f t="shared" si="89"/>
        <v/>
      </c>
      <c r="DA85" s="502"/>
      <c r="DB85" s="460"/>
      <c r="DC85" s="465"/>
      <c r="DD85" s="463"/>
      <c r="DE85" s="512"/>
      <c r="DF85" s="516"/>
      <c r="DG85" s="508"/>
      <c r="DH85" s="463"/>
      <c r="DI85" s="461"/>
      <c r="DJ85" s="461"/>
      <c r="DK85" s="461"/>
      <c r="DL85" s="464"/>
      <c r="DM85" s="466"/>
      <c r="DN85" s="502"/>
      <c r="DO85" s="460"/>
      <c r="DP85" s="464"/>
      <c r="DQ85" s="464"/>
      <c r="DR85" s="464"/>
      <c r="DS85" s="508"/>
      <c r="DT85" s="525"/>
      <c r="DU85" s="525"/>
      <c r="DV85" s="463"/>
      <c r="DW85" s="464"/>
      <c r="DX85" s="465"/>
      <c r="DY85" s="463"/>
      <c r="DZ85" s="464"/>
      <c r="EA85" s="465"/>
      <c r="EB85" s="463"/>
      <c r="EC85" s="465"/>
      <c r="ED85" s="462"/>
      <c r="EE85" s="502"/>
      <c r="EF85" s="463"/>
      <c r="EG85" s="461"/>
      <c r="EH85" s="464"/>
      <c r="EI85" s="464"/>
      <c r="EJ85" s="464"/>
      <c r="EK85" s="464"/>
      <c r="EL85" s="464"/>
      <c r="EM85" s="464"/>
      <c r="EN85" s="464"/>
      <c r="EO85" s="464"/>
      <c r="EP85" s="464"/>
      <c r="EQ85" s="464"/>
      <c r="ER85" s="464"/>
      <c r="ES85" s="464"/>
      <c r="ET85" s="464"/>
      <c r="EU85" s="464"/>
      <c r="EV85" s="464"/>
      <c r="EW85" s="465"/>
      <c r="EX85" s="465"/>
      <c r="EY85" s="502"/>
      <c r="EZ85" s="460"/>
      <c r="FA85" s="464"/>
      <c r="FB85" s="464"/>
      <c r="FC85" s="464"/>
      <c r="FD85" s="464"/>
      <c r="FE85" s="464"/>
      <c r="FF85" s="464"/>
      <c r="FG85" s="466"/>
    </row>
    <row r="86" spans="1:163">
      <c r="A86" s="467" t="s">
        <v>273</v>
      </c>
      <c r="B86" s="471" t="str">
        <f>IF(ISNUMBER(MATCH(A86, 'Pulldown Data'!W:W, 0))=TRUE, "Y", IF(ISNUMBER(MATCH(A86, 'Pulldown Data'!X:X, 0))=TRUE, "M", ""))</f>
        <v/>
      </c>
      <c r="C86" s="504"/>
      <c r="D86" s="502"/>
      <c r="E86" s="443" t="str">
        <f t="shared" si="80"/>
        <v/>
      </c>
      <c r="F86" s="444" t="str">
        <f t="shared" si="80"/>
        <v/>
      </c>
      <c r="G86" s="444" t="str">
        <f t="shared" si="80"/>
        <v/>
      </c>
      <c r="H86" s="444" t="str">
        <f t="shared" si="80"/>
        <v/>
      </c>
      <c r="I86" s="444" t="str">
        <f t="shared" si="80"/>
        <v/>
      </c>
      <c r="J86" s="444" t="str">
        <f t="shared" si="80"/>
        <v/>
      </c>
      <c r="K86" s="444" t="str">
        <f t="shared" si="80"/>
        <v/>
      </c>
      <c r="L86" s="444" t="str">
        <f t="shared" si="80"/>
        <v/>
      </c>
      <c r="M86" s="444" t="str">
        <f t="shared" si="80"/>
        <v/>
      </c>
      <c r="N86" s="444" t="str">
        <f t="shared" si="80"/>
        <v/>
      </c>
      <c r="O86" s="444" t="str">
        <f t="shared" si="81"/>
        <v/>
      </c>
      <c r="P86" s="444" t="str">
        <f t="shared" si="81"/>
        <v/>
      </c>
      <c r="Q86" s="444" t="str">
        <f t="shared" si="81"/>
        <v/>
      </c>
      <c r="R86" s="444" t="str">
        <f t="shared" si="81"/>
        <v/>
      </c>
      <c r="S86" s="444" t="str">
        <f t="shared" si="81"/>
        <v/>
      </c>
      <c r="T86" s="444" t="str">
        <f t="shared" si="81"/>
        <v/>
      </c>
      <c r="U86" s="444" t="str">
        <f t="shared" si="81"/>
        <v/>
      </c>
      <c r="V86" s="444" t="str">
        <f t="shared" si="81"/>
        <v/>
      </c>
      <c r="W86" s="444" t="str">
        <f t="shared" si="81"/>
        <v/>
      </c>
      <c r="X86" s="444" t="str">
        <f t="shared" si="81"/>
        <v/>
      </c>
      <c r="Y86" s="444" t="str">
        <f t="shared" si="82"/>
        <v/>
      </c>
      <c r="Z86" s="444" t="str">
        <f t="shared" si="82"/>
        <v/>
      </c>
      <c r="AA86" s="444" t="str">
        <f t="shared" si="82"/>
        <v/>
      </c>
      <c r="AB86" s="444" t="str">
        <f t="shared" si="82"/>
        <v/>
      </c>
      <c r="AC86" s="444" t="str">
        <f t="shared" si="82"/>
        <v/>
      </c>
      <c r="AD86" s="444" t="str">
        <f t="shared" si="82"/>
        <v/>
      </c>
      <c r="AE86" s="444" t="str">
        <f t="shared" si="82"/>
        <v/>
      </c>
      <c r="AF86" s="444" t="str">
        <f t="shared" si="82"/>
        <v/>
      </c>
      <c r="AG86" s="444" t="str">
        <f t="shared" si="82"/>
        <v/>
      </c>
      <c r="AH86" s="444" t="str">
        <f t="shared" si="82"/>
        <v/>
      </c>
      <c r="AI86" s="444" t="str">
        <f t="shared" si="83"/>
        <v/>
      </c>
      <c r="AJ86" s="444" t="str">
        <f t="shared" si="83"/>
        <v/>
      </c>
      <c r="AK86" s="444" t="str">
        <f t="shared" si="83"/>
        <v/>
      </c>
      <c r="AL86" s="444" t="str">
        <f t="shared" si="83"/>
        <v/>
      </c>
      <c r="AM86" s="444" t="str">
        <f t="shared" si="83"/>
        <v/>
      </c>
      <c r="AN86" s="444" t="str">
        <f t="shared" si="83"/>
        <v/>
      </c>
      <c r="AO86" s="444" t="str">
        <f t="shared" si="83"/>
        <v/>
      </c>
      <c r="AP86" s="444" t="str">
        <f t="shared" si="83"/>
        <v/>
      </c>
      <c r="AQ86" s="444" t="str">
        <f t="shared" si="83"/>
        <v/>
      </c>
      <c r="AR86" s="444" t="str">
        <f t="shared" si="83"/>
        <v/>
      </c>
      <c r="AS86" s="444" t="str">
        <f t="shared" si="84"/>
        <v/>
      </c>
      <c r="AT86" s="444" t="str">
        <f t="shared" si="84"/>
        <v/>
      </c>
      <c r="AU86" s="444" t="str">
        <f t="shared" si="84"/>
        <v/>
      </c>
      <c r="AV86" s="444" t="str">
        <f t="shared" si="84"/>
        <v/>
      </c>
      <c r="AW86" s="444" t="str">
        <f t="shared" si="84"/>
        <v/>
      </c>
      <c r="AX86" s="444" t="str">
        <f t="shared" si="84"/>
        <v/>
      </c>
      <c r="AY86" s="444" t="str">
        <f t="shared" si="84"/>
        <v/>
      </c>
      <c r="AZ86" s="444" t="str">
        <f t="shared" si="84"/>
        <v/>
      </c>
      <c r="BA86" s="444" t="str">
        <f t="shared" si="84"/>
        <v/>
      </c>
      <c r="BB86" s="444" t="str">
        <f t="shared" si="84"/>
        <v/>
      </c>
      <c r="BC86" s="444" t="str">
        <f t="shared" si="85"/>
        <v/>
      </c>
      <c r="BD86" s="444" t="str">
        <f t="shared" si="85"/>
        <v/>
      </c>
      <c r="BE86" s="444" t="str">
        <f t="shared" si="85"/>
        <v/>
      </c>
      <c r="BF86" s="444" t="str">
        <f t="shared" si="85"/>
        <v/>
      </c>
      <c r="BG86" s="444" t="str">
        <f t="shared" si="85"/>
        <v/>
      </c>
      <c r="BH86" s="445" t="str">
        <f t="shared" si="85"/>
        <v/>
      </c>
      <c r="BI86" s="502"/>
      <c r="BJ86" s="474" t="str">
        <f t="shared" si="86"/>
        <v/>
      </c>
      <c r="BK86" s="475" t="str">
        <f t="shared" si="86"/>
        <v/>
      </c>
      <c r="BL86" s="475" t="str">
        <f t="shared" si="86"/>
        <v/>
      </c>
      <c r="BM86" s="475" t="str">
        <f t="shared" si="86"/>
        <v/>
      </c>
      <c r="BN86" s="475" t="str">
        <f t="shared" si="86"/>
        <v/>
      </c>
      <c r="BO86" s="475" t="str">
        <f t="shared" si="86"/>
        <v/>
      </c>
      <c r="BP86" s="475" t="str">
        <f t="shared" si="86"/>
        <v/>
      </c>
      <c r="BQ86" s="475" t="str">
        <f t="shared" si="86"/>
        <v/>
      </c>
      <c r="BR86" s="475" t="str">
        <f t="shared" si="86"/>
        <v/>
      </c>
      <c r="BS86" s="475" t="str">
        <f t="shared" si="86"/>
        <v/>
      </c>
      <c r="BT86" s="475" t="str">
        <f t="shared" si="87"/>
        <v/>
      </c>
      <c r="BU86" s="475" t="str">
        <f t="shared" si="87"/>
        <v/>
      </c>
      <c r="BV86" s="475" t="str">
        <f t="shared" si="87"/>
        <v/>
      </c>
      <c r="BW86" s="475" t="str">
        <f t="shared" si="87"/>
        <v/>
      </c>
      <c r="BX86" s="475" t="str">
        <f t="shared" si="87"/>
        <v/>
      </c>
      <c r="BY86" s="475" t="str">
        <f t="shared" si="87"/>
        <v/>
      </c>
      <c r="BZ86" s="475" t="str">
        <f t="shared" si="87"/>
        <v/>
      </c>
      <c r="CA86" s="475" t="str">
        <f t="shared" si="87"/>
        <v/>
      </c>
      <c r="CB86" s="475" t="str">
        <f t="shared" si="87"/>
        <v/>
      </c>
      <c r="CC86" s="475" t="str">
        <f t="shared" si="87"/>
        <v/>
      </c>
      <c r="CD86" s="475" t="str">
        <f t="shared" si="88"/>
        <v/>
      </c>
      <c r="CE86" s="475" t="str">
        <f t="shared" si="88"/>
        <v/>
      </c>
      <c r="CF86" s="475" t="str">
        <f t="shared" si="88"/>
        <v/>
      </c>
      <c r="CG86" s="475" t="str">
        <f t="shared" si="88"/>
        <v/>
      </c>
      <c r="CH86" s="475" t="str">
        <f t="shared" si="88"/>
        <v/>
      </c>
      <c r="CI86" s="475" t="str">
        <f t="shared" si="88"/>
        <v/>
      </c>
      <c r="CJ86" s="475" t="str">
        <f t="shared" si="88"/>
        <v/>
      </c>
      <c r="CK86" s="475" t="str">
        <f t="shared" si="88"/>
        <v/>
      </c>
      <c r="CL86" s="475" t="str">
        <f t="shared" si="88"/>
        <v/>
      </c>
      <c r="CM86" s="475" t="str">
        <f t="shared" si="88"/>
        <v/>
      </c>
      <c r="CN86" s="475" t="str">
        <f t="shared" si="89"/>
        <v/>
      </c>
      <c r="CO86" s="475" t="str">
        <f t="shared" si="89"/>
        <v/>
      </c>
      <c r="CP86" s="475" t="str">
        <f t="shared" si="89"/>
        <v/>
      </c>
      <c r="CQ86" s="475" t="str">
        <f t="shared" si="89"/>
        <v/>
      </c>
      <c r="CR86" s="475" t="str">
        <f t="shared" si="89"/>
        <v/>
      </c>
      <c r="CS86" s="475" t="str">
        <f t="shared" si="89"/>
        <v/>
      </c>
      <c r="CT86" s="475" t="str">
        <f t="shared" si="89"/>
        <v/>
      </c>
      <c r="CU86" s="475" t="str">
        <f t="shared" si="89"/>
        <v/>
      </c>
      <c r="CV86" s="475" t="str">
        <f t="shared" si="89"/>
        <v/>
      </c>
      <c r="CW86" s="475" t="str">
        <f t="shared" si="89"/>
        <v/>
      </c>
      <c r="CX86" s="475" t="str">
        <f t="shared" si="89"/>
        <v/>
      </c>
      <c r="CY86" s="475" t="str">
        <f t="shared" si="89"/>
        <v/>
      </c>
      <c r="CZ86" s="495" t="str">
        <f t="shared" si="89"/>
        <v/>
      </c>
      <c r="DA86" s="502"/>
      <c r="DB86" s="460"/>
      <c r="DC86" s="465"/>
      <c r="DD86" s="463"/>
      <c r="DE86" s="512"/>
      <c r="DF86" s="516"/>
      <c r="DG86" s="508"/>
      <c r="DH86" s="463"/>
      <c r="DI86" s="461"/>
      <c r="DJ86" s="461"/>
      <c r="DK86" s="461"/>
      <c r="DL86" s="464"/>
      <c r="DM86" s="466"/>
      <c r="DN86" s="502"/>
      <c r="DO86" s="460"/>
      <c r="DP86" s="464"/>
      <c r="DQ86" s="464"/>
      <c r="DR86" s="464"/>
      <c r="DS86" s="508"/>
      <c r="DT86" s="525"/>
      <c r="DU86" s="525"/>
      <c r="DV86" s="463"/>
      <c r="DW86" s="464"/>
      <c r="DX86" s="465"/>
      <c r="DY86" s="463"/>
      <c r="DZ86" s="464"/>
      <c r="EA86" s="465"/>
      <c r="EB86" s="463"/>
      <c r="EC86" s="465"/>
      <c r="ED86" s="462"/>
      <c r="EE86" s="502"/>
      <c r="EF86" s="463"/>
      <c r="EG86" s="461"/>
      <c r="EH86" s="464"/>
      <c r="EI86" s="464"/>
      <c r="EJ86" s="464"/>
      <c r="EK86" s="464"/>
      <c r="EL86" s="464"/>
      <c r="EM86" s="464"/>
      <c r="EN86" s="464"/>
      <c r="EO86" s="464"/>
      <c r="EP86" s="464"/>
      <c r="EQ86" s="464"/>
      <c r="ER86" s="464"/>
      <c r="ES86" s="464"/>
      <c r="ET86" s="464"/>
      <c r="EU86" s="464"/>
      <c r="EV86" s="464"/>
      <c r="EW86" s="465"/>
      <c r="EX86" s="465"/>
      <c r="EY86" s="502"/>
      <c r="EZ86" s="460"/>
      <c r="FA86" s="464"/>
      <c r="FB86" s="464"/>
      <c r="FC86" s="464"/>
      <c r="FD86" s="464"/>
      <c r="FE86" s="464"/>
      <c r="FF86" s="464"/>
      <c r="FG86" s="466"/>
    </row>
    <row r="87" spans="1:163">
      <c r="A87" s="467" t="s">
        <v>274</v>
      </c>
      <c r="B87" s="471" t="str">
        <f>IF(ISNUMBER(MATCH(A87, 'Pulldown Data'!W:W, 0))=TRUE, "Y", IF(ISNUMBER(MATCH(A87, 'Pulldown Data'!X:X, 0))=TRUE, "M", ""))</f>
        <v/>
      </c>
      <c r="C87" s="504">
        <v>45630</v>
      </c>
      <c r="D87" s="502"/>
      <c r="E87" s="443" t="str">
        <f t="shared" si="80"/>
        <v>YES</v>
      </c>
      <c r="F87" s="444" t="str">
        <f t="shared" si="80"/>
        <v>NO</v>
      </c>
      <c r="G87" s="444" t="str">
        <f t="shared" si="80"/>
        <v>YES</v>
      </c>
      <c r="H87" s="444" t="str">
        <f t="shared" si="80"/>
        <v>YES</v>
      </c>
      <c r="I87" s="444" t="str">
        <f t="shared" si="80"/>
        <v>YES</v>
      </c>
      <c r="J87" s="444" t="str">
        <f t="shared" si="80"/>
        <v>YES</v>
      </c>
      <c r="K87" s="444" t="str">
        <f t="shared" si="80"/>
        <v>NO</v>
      </c>
      <c r="L87" s="444" t="str">
        <f t="shared" si="80"/>
        <v>YES</v>
      </c>
      <c r="M87" s="444" t="str">
        <f t="shared" si="80"/>
        <v>NO</v>
      </c>
      <c r="N87" s="444" t="str">
        <f t="shared" si="80"/>
        <v>YES</v>
      </c>
      <c r="O87" s="444" t="str">
        <f t="shared" si="81"/>
        <v>YES</v>
      </c>
      <c r="P87" s="444" t="str">
        <f t="shared" si="81"/>
        <v>DEP</v>
      </c>
      <c r="Q87" s="444" t="str">
        <f t="shared" si="81"/>
        <v>DEP</v>
      </c>
      <c r="R87" s="444" t="str">
        <f t="shared" si="81"/>
        <v>DEP</v>
      </c>
      <c r="S87" s="444" t="str">
        <f t="shared" si="81"/>
        <v>DEP</v>
      </c>
      <c r="T87" s="444" t="str">
        <f t="shared" si="81"/>
        <v>YES</v>
      </c>
      <c r="U87" s="444" t="str">
        <f t="shared" si="81"/>
        <v>YES</v>
      </c>
      <c r="V87" s="444" t="str">
        <f t="shared" si="81"/>
        <v>YES</v>
      </c>
      <c r="W87" s="444" t="str">
        <f t="shared" si="81"/>
        <v>NO</v>
      </c>
      <c r="X87" s="444" t="str">
        <f t="shared" si="81"/>
        <v>YES</v>
      </c>
      <c r="Y87" s="444" t="str">
        <f t="shared" si="82"/>
        <v>YES</v>
      </c>
      <c r="Z87" s="444" t="str">
        <f t="shared" si="82"/>
        <v>YES</v>
      </c>
      <c r="AA87" s="444" t="str">
        <f t="shared" si="82"/>
        <v>NO</v>
      </c>
      <c r="AB87" s="444" t="str">
        <f t="shared" si="82"/>
        <v>NO</v>
      </c>
      <c r="AC87" s="444" t="str">
        <f t="shared" si="82"/>
        <v>YES</v>
      </c>
      <c r="AD87" s="444" t="str">
        <f t="shared" si="82"/>
        <v>NO</v>
      </c>
      <c r="AE87" s="444" t="str">
        <f t="shared" si="82"/>
        <v>NO</v>
      </c>
      <c r="AF87" s="444" t="str">
        <f t="shared" si="82"/>
        <v>NO</v>
      </c>
      <c r="AG87" s="444" t="str">
        <f t="shared" si="82"/>
        <v>NO</v>
      </c>
      <c r="AH87" s="444" t="str">
        <f t="shared" si="82"/>
        <v>NO</v>
      </c>
      <c r="AI87" s="444" t="str">
        <f t="shared" si="83"/>
        <v>NO</v>
      </c>
      <c r="AJ87" s="444" t="str">
        <f t="shared" si="83"/>
        <v>NO</v>
      </c>
      <c r="AK87" s="444" t="str">
        <f t="shared" si="83"/>
        <v>NO</v>
      </c>
      <c r="AL87" s="444" t="str">
        <f t="shared" si="83"/>
        <v>NO</v>
      </c>
      <c r="AM87" s="444" t="str">
        <f t="shared" si="83"/>
        <v>NO</v>
      </c>
      <c r="AN87" s="444" t="str">
        <f t="shared" si="83"/>
        <v>NO</v>
      </c>
      <c r="AO87" s="444" t="str">
        <f t="shared" si="83"/>
        <v>NO</v>
      </c>
      <c r="AP87" s="444" t="str">
        <f t="shared" si="83"/>
        <v>NO</v>
      </c>
      <c r="AQ87" s="444" t="str">
        <f t="shared" si="83"/>
        <v>YES</v>
      </c>
      <c r="AR87" s="444" t="str">
        <f t="shared" si="83"/>
        <v>NO</v>
      </c>
      <c r="AS87" s="444" t="str">
        <f t="shared" si="84"/>
        <v>NO</v>
      </c>
      <c r="AT87" s="444" t="str">
        <f t="shared" si="84"/>
        <v>YES</v>
      </c>
      <c r="AU87" s="444" t="str">
        <f t="shared" si="84"/>
        <v>YES</v>
      </c>
      <c r="AV87" s="444" t="str">
        <f t="shared" si="84"/>
        <v>YES</v>
      </c>
      <c r="AW87" s="444" t="str">
        <f t="shared" si="84"/>
        <v>DEP</v>
      </c>
      <c r="AX87" s="444" t="str">
        <f t="shared" si="84"/>
        <v>YES</v>
      </c>
      <c r="AY87" s="444" t="str">
        <f t="shared" si="84"/>
        <v>YES</v>
      </c>
      <c r="AZ87" s="444" t="str">
        <f t="shared" si="84"/>
        <v>DEP</v>
      </c>
      <c r="BA87" s="444" t="str">
        <f t="shared" si="84"/>
        <v>DEP</v>
      </c>
      <c r="BB87" s="444" t="str">
        <f t="shared" si="84"/>
        <v>DEP</v>
      </c>
      <c r="BC87" s="444" t="str">
        <f t="shared" si="85"/>
        <v>DEP</v>
      </c>
      <c r="BD87" s="444" t="str">
        <f t="shared" si="85"/>
        <v>NO</v>
      </c>
      <c r="BE87" s="444" t="str">
        <f t="shared" si="85"/>
        <v>NO</v>
      </c>
      <c r="BF87" s="444" t="str">
        <f t="shared" si="85"/>
        <v>YES</v>
      </c>
      <c r="BG87" s="444" t="str">
        <f t="shared" si="85"/>
        <v>NO</v>
      </c>
      <c r="BH87" s="445" t="str">
        <f t="shared" si="85"/>
        <v>YES</v>
      </c>
      <c r="BI87" s="502"/>
      <c r="BJ87" s="474" t="str">
        <f t="shared" si="86"/>
        <v>NO</v>
      </c>
      <c r="BK87" s="475" t="str">
        <f t="shared" si="86"/>
        <v>NO</v>
      </c>
      <c r="BL87" s="475" t="str">
        <f t="shared" si="86"/>
        <v>NO</v>
      </c>
      <c r="BM87" s="475" t="str">
        <f t="shared" si="86"/>
        <v>NO</v>
      </c>
      <c r="BN87" s="475" t="str">
        <f t="shared" si="86"/>
        <v>NO</v>
      </c>
      <c r="BO87" s="475" t="str">
        <f t="shared" si="86"/>
        <v>NO</v>
      </c>
      <c r="BP87" s="475" t="str">
        <f t="shared" si="86"/>
        <v>NO</v>
      </c>
      <c r="BQ87" s="475" t="str">
        <f t="shared" si="86"/>
        <v>NO</v>
      </c>
      <c r="BR87" s="475" t="str">
        <f t="shared" si="86"/>
        <v>NO</v>
      </c>
      <c r="BS87" s="475" t="str">
        <f t="shared" si="86"/>
        <v>NO</v>
      </c>
      <c r="BT87" s="475" t="str">
        <f t="shared" si="87"/>
        <v>NO</v>
      </c>
      <c r="BU87" s="475" t="str">
        <f t="shared" si="87"/>
        <v>NO</v>
      </c>
      <c r="BV87" s="475" t="str">
        <f t="shared" si="87"/>
        <v>NO</v>
      </c>
      <c r="BW87" s="475" t="str">
        <f t="shared" si="87"/>
        <v>NO</v>
      </c>
      <c r="BX87" s="475" t="str">
        <f t="shared" si="87"/>
        <v>NO</v>
      </c>
      <c r="BY87" s="475" t="str">
        <f t="shared" si="87"/>
        <v>NO</v>
      </c>
      <c r="BZ87" s="475" t="str">
        <f t="shared" si="87"/>
        <v>NO</v>
      </c>
      <c r="CA87" s="475" t="str">
        <f t="shared" si="87"/>
        <v>NO</v>
      </c>
      <c r="CB87" s="475" t="str">
        <f t="shared" si="87"/>
        <v>NO</v>
      </c>
      <c r="CC87" s="475" t="str">
        <f t="shared" si="87"/>
        <v>NO</v>
      </c>
      <c r="CD87" s="475" t="str">
        <f t="shared" si="88"/>
        <v>NO</v>
      </c>
      <c r="CE87" s="475" t="str">
        <f t="shared" si="88"/>
        <v>NO</v>
      </c>
      <c r="CF87" s="475" t="str">
        <f t="shared" si="88"/>
        <v>NO</v>
      </c>
      <c r="CG87" s="475" t="str">
        <f t="shared" si="88"/>
        <v>NO</v>
      </c>
      <c r="CH87" s="475" t="str">
        <f t="shared" si="88"/>
        <v>NO</v>
      </c>
      <c r="CI87" s="475" t="str">
        <f t="shared" si="88"/>
        <v>NO</v>
      </c>
      <c r="CJ87" s="475" t="str">
        <f t="shared" si="88"/>
        <v>NO</v>
      </c>
      <c r="CK87" s="475" t="str">
        <f t="shared" si="88"/>
        <v>YES</v>
      </c>
      <c r="CL87" s="475" t="str">
        <f t="shared" si="88"/>
        <v>YES</v>
      </c>
      <c r="CM87" s="475" t="str">
        <f t="shared" si="88"/>
        <v>NO</v>
      </c>
      <c r="CN87" s="475" t="str">
        <f t="shared" si="89"/>
        <v>NO</v>
      </c>
      <c r="CO87" s="475" t="str">
        <f t="shared" si="89"/>
        <v>NO</v>
      </c>
      <c r="CP87" s="475" t="str">
        <f t="shared" si="89"/>
        <v>NO</v>
      </c>
      <c r="CQ87" s="475" t="str">
        <f t="shared" si="89"/>
        <v>NO</v>
      </c>
      <c r="CR87" s="475" t="str">
        <f t="shared" si="89"/>
        <v>NO</v>
      </c>
      <c r="CS87" s="475" t="str">
        <f t="shared" si="89"/>
        <v>NO</v>
      </c>
      <c r="CT87" s="475" t="str">
        <f t="shared" si="89"/>
        <v>NO</v>
      </c>
      <c r="CU87" s="475" t="str">
        <f t="shared" si="89"/>
        <v>NO</v>
      </c>
      <c r="CV87" s="475" t="str">
        <f t="shared" si="89"/>
        <v>NO</v>
      </c>
      <c r="CW87" s="475" t="str">
        <f t="shared" si="89"/>
        <v>NO</v>
      </c>
      <c r="CX87" s="475" t="str">
        <f t="shared" si="89"/>
        <v>NO</v>
      </c>
      <c r="CY87" s="475" t="str">
        <f t="shared" si="89"/>
        <v>NO</v>
      </c>
      <c r="CZ87" s="495" t="str">
        <f t="shared" si="89"/>
        <v>NO</v>
      </c>
      <c r="DA87" s="502"/>
      <c r="DB87" s="460"/>
      <c r="DC87" s="465"/>
      <c r="DD87" s="463"/>
      <c r="DE87" s="512"/>
      <c r="DF87" s="516"/>
      <c r="DG87" s="508"/>
      <c r="DH87" s="463"/>
      <c r="DI87" s="461"/>
      <c r="DJ87" s="461"/>
      <c r="DK87" s="461"/>
      <c r="DL87" s="464"/>
      <c r="DM87" s="466"/>
      <c r="DN87" s="502"/>
      <c r="DO87" s="460"/>
      <c r="DP87" s="464"/>
      <c r="DQ87" s="464"/>
      <c r="DR87" s="464"/>
      <c r="DS87" s="508"/>
      <c r="DT87" s="525"/>
      <c r="DU87" s="525"/>
      <c r="DV87" s="463"/>
      <c r="DW87" s="464"/>
      <c r="DX87" s="465"/>
      <c r="DY87" s="463"/>
      <c r="DZ87" s="464"/>
      <c r="EA87" s="465"/>
      <c r="EB87" s="463"/>
      <c r="EC87" s="465"/>
      <c r="ED87" s="462"/>
      <c r="EE87" s="502"/>
      <c r="EF87" s="463"/>
      <c r="EG87" s="461"/>
      <c r="EH87" s="464"/>
      <c r="EI87" s="464"/>
      <c r="EJ87" s="464"/>
      <c r="EK87" s="464"/>
      <c r="EL87" s="464"/>
      <c r="EM87" s="464"/>
      <c r="EN87" s="464"/>
      <c r="EO87" s="464"/>
      <c r="EP87" s="464"/>
      <c r="EQ87" s="464"/>
      <c r="ER87" s="464"/>
      <c r="ES87" s="464"/>
      <c r="ET87" s="464"/>
      <c r="EU87" s="464"/>
      <c r="EV87" s="464"/>
      <c r="EW87" s="465"/>
      <c r="EX87" s="465"/>
      <c r="EY87" s="502"/>
      <c r="EZ87" s="460"/>
      <c r="FA87" s="464"/>
      <c r="FB87" s="464"/>
      <c r="FC87" s="464"/>
      <c r="FD87" s="464"/>
      <c r="FE87" s="464"/>
      <c r="FF87" s="464"/>
      <c r="FG87" s="466"/>
    </row>
    <row r="88" spans="1:163">
      <c r="A88" s="467" t="s">
        <v>275</v>
      </c>
      <c r="B88" s="471" t="str">
        <f>IF(ISNUMBER(MATCH(A88, 'Pulldown Data'!W:W, 0))=TRUE, "Y", IF(ISNUMBER(MATCH(A88, 'Pulldown Data'!X:X, 0))=TRUE, "M", ""))</f>
        <v/>
      </c>
      <c r="C88" s="504"/>
      <c r="D88" s="502"/>
      <c r="E88" s="443" t="str">
        <f t="shared" si="80"/>
        <v/>
      </c>
      <c r="F88" s="444" t="str">
        <f t="shared" si="80"/>
        <v/>
      </c>
      <c r="G88" s="444" t="str">
        <f t="shared" si="80"/>
        <v/>
      </c>
      <c r="H88" s="444" t="str">
        <f t="shared" si="80"/>
        <v/>
      </c>
      <c r="I88" s="444" t="str">
        <f t="shared" si="80"/>
        <v/>
      </c>
      <c r="J88" s="444" t="str">
        <f t="shared" si="80"/>
        <v/>
      </c>
      <c r="K88" s="444" t="str">
        <f t="shared" si="80"/>
        <v/>
      </c>
      <c r="L88" s="444" t="str">
        <f t="shared" si="80"/>
        <v/>
      </c>
      <c r="M88" s="444" t="str">
        <f t="shared" si="80"/>
        <v/>
      </c>
      <c r="N88" s="444" t="str">
        <f t="shared" si="80"/>
        <v/>
      </c>
      <c r="O88" s="444" t="str">
        <f t="shared" si="81"/>
        <v/>
      </c>
      <c r="P88" s="444" t="str">
        <f t="shared" si="81"/>
        <v/>
      </c>
      <c r="Q88" s="444" t="str">
        <f t="shared" si="81"/>
        <v/>
      </c>
      <c r="R88" s="444" t="str">
        <f t="shared" si="81"/>
        <v/>
      </c>
      <c r="S88" s="444" t="str">
        <f t="shared" si="81"/>
        <v/>
      </c>
      <c r="T88" s="444" t="str">
        <f t="shared" si="81"/>
        <v/>
      </c>
      <c r="U88" s="444" t="str">
        <f t="shared" si="81"/>
        <v/>
      </c>
      <c r="V88" s="444" t="str">
        <f t="shared" si="81"/>
        <v/>
      </c>
      <c r="W88" s="444" t="str">
        <f t="shared" si="81"/>
        <v/>
      </c>
      <c r="X88" s="444" t="str">
        <f t="shared" si="81"/>
        <v/>
      </c>
      <c r="Y88" s="444" t="str">
        <f t="shared" si="82"/>
        <v/>
      </c>
      <c r="Z88" s="444" t="str">
        <f t="shared" si="82"/>
        <v/>
      </c>
      <c r="AA88" s="444" t="str">
        <f t="shared" si="82"/>
        <v/>
      </c>
      <c r="AB88" s="444" t="str">
        <f t="shared" si="82"/>
        <v/>
      </c>
      <c r="AC88" s="444" t="str">
        <f t="shared" si="82"/>
        <v/>
      </c>
      <c r="AD88" s="444" t="str">
        <f t="shared" si="82"/>
        <v/>
      </c>
      <c r="AE88" s="444" t="str">
        <f t="shared" si="82"/>
        <v/>
      </c>
      <c r="AF88" s="444" t="str">
        <f t="shared" si="82"/>
        <v/>
      </c>
      <c r="AG88" s="444" t="str">
        <f t="shared" si="82"/>
        <v/>
      </c>
      <c r="AH88" s="444" t="str">
        <f t="shared" si="82"/>
        <v/>
      </c>
      <c r="AI88" s="444" t="str">
        <f t="shared" si="83"/>
        <v/>
      </c>
      <c r="AJ88" s="444" t="str">
        <f t="shared" si="83"/>
        <v/>
      </c>
      <c r="AK88" s="444" t="str">
        <f t="shared" si="83"/>
        <v/>
      </c>
      <c r="AL88" s="444" t="str">
        <f t="shared" si="83"/>
        <v/>
      </c>
      <c r="AM88" s="444" t="str">
        <f t="shared" si="83"/>
        <v/>
      </c>
      <c r="AN88" s="444" t="str">
        <f t="shared" si="83"/>
        <v/>
      </c>
      <c r="AO88" s="444" t="str">
        <f t="shared" si="83"/>
        <v/>
      </c>
      <c r="AP88" s="444" t="str">
        <f t="shared" si="83"/>
        <v/>
      </c>
      <c r="AQ88" s="444" t="str">
        <f t="shared" si="83"/>
        <v/>
      </c>
      <c r="AR88" s="444" t="str">
        <f t="shared" si="83"/>
        <v/>
      </c>
      <c r="AS88" s="444" t="str">
        <f t="shared" si="84"/>
        <v/>
      </c>
      <c r="AT88" s="444" t="str">
        <f t="shared" si="84"/>
        <v/>
      </c>
      <c r="AU88" s="444" t="str">
        <f t="shared" si="84"/>
        <v/>
      </c>
      <c r="AV88" s="444" t="str">
        <f t="shared" si="84"/>
        <v/>
      </c>
      <c r="AW88" s="444" t="str">
        <f t="shared" si="84"/>
        <v/>
      </c>
      <c r="AX88" s="444" t="str">
        <f t="shared" si="84"/>
        <v/>
      </c>
      <c r="AY88" s="444" t="str">
        <f t="shared" si="84"/>
        <v/>
      </c>
      <c r="AZ88" s="444" t="str">
        <f t="shared" si="84"/>
        <v/>
      </c>
      <c r="BA88" s="444" t="str">
        <f t="shared" si="84"/>
        <v/>
      </c>
      <c r="BB88" s="444" t="str">
        <f t="shared" si="84"/>
        <v/>
      </c>
      <c r="BC88" s="444" t="str">
        <f t="shared" si="85"/>
        <v/>
      </c>
      <c r="BD88" s="444" t="str">
        <f t="shared" si="85"/>
        <v/>
      </c>
      <c r="BE88" s="444" t="str">
        <f t="shared" si="85"/>
        <v/>
      </c>
      <c r="BF88" s="444" t="str">
        <f t="shared" si="85"/>
        <v/>
      </c>
      <c r="BG88" s="444" t="str">
        <f t="shared" si="85"/>
        <v/>
      </c>
      <c r="BH88" s="445" t="str">
        <f t="shared" si="85"/>
        <v/>
      </c>
      <c r="BI88" s="502"/>
      <c r="BJ88" s="474" t="str">
        <f t="shared" si="86"/>
        <v/>
      </c>
      <c r="BK88" s="475" t="str">
        <f t="shared" si="86"/>
        <v/>
      </c>
      <c r="BL88" s="475" t="str">
        <f t="shared" si="86"/>
        <v/>
      </c>
      <c r="BM88" s="475" t="str">
        <f t="shared" si="86"/>
        <v/>
      </c>
      <c r="BN88" s="475" t="str">
        <f t="shared" si="86"/>
        <v/>
      </c>
      <c r="BO88" s="475" t="str">
        <f t="shared" si="86"/>
        <v/>
      </c>
      <c r="BP88" s="475" t="str">
        <f t="shared" si="86"/>
        <v/>
      </c>
      <c r="BQ88" s="475" t="str">
        <f t="shared" si="86"/>
        <v/>
      </c>
      <c r="BR88" s="475" t="str">
        <f t="shared" si="86"/>
        <v/>
      </c>
      <c r="BS88" s="475" t="str">
        <f t="shared" si="86"/>
        <v/>
      </c>
      <c r="BT88" s="475" t="str">
        <f t="shared" si="87"/>
        <v/>
      </c>
      <c r="BU88" s="475" t="str">
        <f t="shared" si="87"/>
        <v/>
      </c>
      <c r="BV88" s="475" t="str">
        <f t="shared" si="87"/>
        <v/>
      </c>
      <c r="BW88" s="475" t="str">
        <f t="shared" si="87"/>
        <v/>
      </c>
      <c r="BX88" s="475" t="str">
        <f t="shared" si="87"/>
        <v/>
      </c>
      <c r="BY88" s="475" t="str">
        <f t="shared" si="87"/>
        <v/>
      </c>
      <c r="BZ88" s="475" t="str">
        <f t="shared" si="87"/>
        <v/>
      </c>
      <c r="CA88" s="475" t="str">
        <f t="shared" si="87"/>
        <v/>
      </c>
      <c r="CB88" s="475" t="str">
        <f t="shared" si="87"/>
        <v/>
      </c>
      <c r="CC88" s="475" t="str">
        <f t="shared" si="87"/>
        <v/>
      </c>
      <c r="CD88" s="475" t="str">
        <f t="shared" si="88"/>
        <v/>
      </c>
      <c r="CE88" s="475" t="str">
        <f t="shared" si="88"/>
        <v/>
      </c>
      <c r="CF88" s="475" t="str">
        <f t="shared" si="88"/>
        <v/>
      </c>
      <c r="CG88" s="475" t="str">
        <f t="shared" si="88"/>
        <v/>
      </c>
      <c r="CH88" s="475" t="str">
        <f t="shared" si="88"/>
        <v/>
      </c>
      <c r="CI88" s="475" t="str">
        <f t="shared" si="88"/>
        <v/>
      </c>
      <c r="CJ88" s="475" t="str">
        <f t="shared" si="88"/>
        <v/>
      </c>
      <c r="CK88" s="475" t="str">
        <f t="shared" si="88"/>
        <v/>
      </c>
      <c r="CL88" s="475" t="str">
        <f t="shared" si="88"/>
        <v/>
      </c>
      <c r="CM88" s="475" t="str">
        <f t="shared" si="88"/>
        <v/>
      </c>
      <c r="CN88" s="475" t="str">
        <f t="shared" si="89"/>
        <v/>
      </c>
      <c r="CO88" s="475" t="str">
        <f t="shared" si="89"/>
        <v/>
      </c>
      <c r="CP88" s="475" t="str">
        <f t="shared" si="89"/>
        <v/>
      </c>
      <c r="CQ88" s="475" t="str">
        <f t="shared" si="89"/>
        <v/>
      </c>
      <c r="CR88" s="475" t="str">
        <f t="shared" si="89"/>
        <v/>
      </c>
      <c r="CS88" s="475" t="str">
        <f t="shared" si="89"/>
        <v/>
      </c>
      <c r="CT88" s="475" t="str">
        <f t="shared" si="89"/>
        <v/>
      </c>
      <c r="CU88" s="475" t="str">
        <f t="shared" si="89"/>
        <v/>
      </c>
      <c r="CV88" s="475" t="str">
        <f t="shared" si="89"/>
        <v/>
      </c>
      <c r="CW88" s="475" t="str">
        <f t="shared" si="89"/>
        <v/>
      </c>
      <c r="CX88" s="475" t="str">
        <f t="shared" si="89"/>
        <v/>
      </c>
      <c r="CY88" s="475" t="str">
        <f t="shared" si="89"/>
        <v/>
      </c>
      <c r="CZ88" s="495" t="str">
        <f t="shared" si="89"/>
        <v/>
      </c>
      <c r="DA88" s="502"/>
      <c r="DB88" s="460"/>
      <c r="DC88" s="465"/>
      <c r="DD88" s="463"/>
      <c r="DE88" s="512"/>
      <c r="DF88" s="516"/>
      <c r="DG88" s="508"/>
      <c r="DH88" s="463"/>
      <c r="DI88" s="461"/>
      <c r="DJ88" s="461"/>
      <c r="DK88" s="461"/>
      <c r="DL88" s="464"/>
      <c r="DM88" s="466"/>
      <c r="DN88" s="502"/>
      <c r="DO88" s="460"/>
      <c r="DP88" s="464"/>
      <c r="DQ88" s="464"/>
      <c r="DR88" s="464"/>
      <c r="DS88" s="508"/>
      <c r="DT88" s="525"/>
      <c r="DU88" s="525"/>
      <c r="DV88" s="463"/>
      <c r="DW88" s="464"/>
      <c r="DX88" s="465"/>
      <c r="DY88" s="463"/>
      <c r="DZ88" s="464"/>
      <c r="EA88" s="465"/>
      <c r="EB88" s="463"/>
      <c r="EC88" s="465"/>
      <c r="ED88" s="462"/>
      <c r="EE88" s="502"/>
      <c r="EF88" s="463"/>
      <c r="EG88" s="461"/>
      <c r="EH88" s="464"/>
      <c r="EI88" s="464"/>
      <c r="EJ88" s="464"/>
      <c r="EK88" s="464"/>
      <c r="EL88" s="464"/>
      <c r="EM88" s="464"/>
      <c r="EN88" s="464"/>
      <c r="EO88" s="464"/>
      <c r="EP88" s="464"/>
      <c r="EQ88" s="464"/>
      <c r="ER88" s="464"/>
      <c r="ES88" s="464"/>
      <c r="ET88" s="464"/>
      <c r="EU88" s="464"/>
      <c r="EV88" s="464"/>
      <c r="EW88" s="465"/>
      <c r="EX88" s="465"/>
      <c r="EY88" s="502"/>
      <c r="EZ88" s="460"/>
      <c r="FA88" s="464"/>
      <c r="FB88" s="464"/>
      <c r="FC88" s="464"/>
      <c r="FD88" s="464"/>
      <c r="FE88" s="464"/>
      <c r="FF88" s="464"/>
      <c r="FG88" s="466"/>
    </row>
    <row r="89" spans="1:163">
      <c r="A89" s="467" t="s">
        <v>276</v>
      </c>
      <c r="B89" s="471" t="str">
        <f>IF(ISNUMBER(MATCH(A89, 'Pulldown Data'!W:W, 0))=TRUE, "Y", IF(ISNUMBER(MATCH(A89, 'Pulldown Data'!X:X, 0))=TRUE, "M", ""))</f>
        <v/>
      </c>
      <c r="C89" s="504">
        <v>45630</v>
      </c>
      <c r="D89" s="502"/>
      <c r="E89" s="443" t="str">
        <f t="shared" si="80"/>
        <v>NO</v>
      </c>
      <c r="F89" s="444" t="str">
        <f t="shared" si="80"/>
        <v>NO</v>
      </c>
      <c r="G89" s="444" t="str">
        <f t="shared" si="80"/>
        <v>YES</v>
      </c>
      <c r="H89" s="444" t="str">
        <f t="shared" si="80"/>
        <v>YES</v>
      </c>
      <c r="I89" s="444" t="str">
        <f t="shared" si="80"/>
        <v>NO</v>
      </c>
      <c r="J89" s="444" t="str">
        <f t="shared" si="80"/>
        <v>NO</v>
      </c>
      <c r="K89" s="444" t="str">
        <f t="shared" si="80"/>
        <v>NO</v>
      </c>
      <c r="L89" s="444" t="str">
        <f t="shared" si="80"/>
        <v>NO</v>
      </c>
      <c r="M89" s="444" t="str">
        <f t="shared" si="80"/>
        <v>NO</v>
      </c>
      <c r="N89" s="444" t="str">
        <f t="shared" si="80"/>
        <v>NO</v>
      </c>
      <c r="O89" s="444" t="str">
        <f t="shared" si="81"/>
        <v>NO</v>
      </c>
      <c r="P89" s="444" t="str">
        <f t="shared" si="81"/>
        <v>DEP</v>
      </c>
      <c r="Q89" s="444" t="str">
        <f t="shared" si="81"/>
        <v>DEP</v>
      </c>
      <c r="R89" s="444" t="str">
        <f t="shared" si="81"/>
        <v>DEP</v>
      </c>
      <c r="S89" s="444" t="str">
        <f t="shared" si="81"/>
        <v>DEP</v>
      </c>
      <c r="T89" s="444" t="str">
        <f t="shared" si="81"/>
        <v>DEP</v>
      </c>
      <c r="U89" s="444" t="str">
        <f t="shared" si="81"/>
        <v>NO</v>
      </c>
      <c r="V89" s="444" t="str">
        <f t="shared" si="81"/>
        <v>NO</v>
      </c>
      <c r="W89" s="444" t="str">
        <f t="shared" si="81"/>
        <v>YES</v>
      </c>
      <c r="X89" s="444" t="str">
        <f t="shared" si="81"/>
        <v>NO</v>
      </c>
      <c r="Y89" s="444" t="str">
        <f t="shared" si="82"/>
        <v>DEP</v>
      </c>
      <c r="Z89" s="444" t="str">
        <f t="shared" si="82"/>
        <v>NO</v>
      </c>
      <c r="AA89" s="444" t="str">
        <f t="shared" si="82"/>
        <v>NO</v>
      </c>
      <c r="AB89" s="444" t="str">
        <f t="shared" si="82"/>
        <v>NO</v>
      </c>
      <c r="AC89" s="444" t="str">
        <f t="shared" si="82"/>
        <v>NO</v>
      </c>
      <c r="AD89" s="444" t="str">
        <f t="shared" si="82"/>
        <v>NO</v>
      </c>
      <c r="AE89" s="444" t="str">
        <f t="shared" si="82"/>
        <v>NO</v>
      </c>
      <c r="AF89" s="444" t="str">
        <f t="shared" si="82"/>
        <v>NO</v>
      </c>
      <c r="AG89" s="444" t="str">
        <f t="shared" si="82"/>
        <v>NO</v>
      </c>
      <c r="AH89" s="444" t="str">
        <f t="shared" si="82"/>
        <v>NO</v>
      </c>
      <c r="AI89" s="444" t="str">
        <f t="shared" si="83"/>
        <v>NO</v>
      </c>
      <c r="AJ89" s="444" t="str">
        <f t="shared" si="83"/>
        <v>NO</v>
      </c>
      <c r="AK89" s="444" t="str">
        <f t="shared" si="83"/>
        <v>NO</v>
      </c>
      <c r="AL89" s="444" t="str">
        <f t="shared" si="83"/>
        <v>NO</v>
      </c>
      <c r="AM89" s="444" t="str">
        <f t="shared" si="83"/>
        <v>NO</v>
      </c>
      <c r="AN89" s="444" t="str">
        <f t="shared" si="83"/>
        <v>NO</v>
      </c>
      <c r="AO89" s="444" t="str">
        <f t="shared" si="83"/>
        <v>NO</v>
      </c>
      <c r="AP89" s="444" t="str">
        <f t="shared" si="83"/>
        <v>YES</v>
      </c>
      <c r="AQ89" s="444" t="str">
        <f t="shared" si="83"/>
        <v>NO</v>
      </c>
      <c r="AR89" s="444" t="str">
        <f t="shared" si="83"/>
        <v>NO</v>
      </c>
      <c r="AS89" s="444" t="str">
        <f t="shared" si="84"/>
        <v>NO</v>
      </c>
      <c r="AT89" s="444" t="str">
        <f t="shared" si="84"/>
        <v>DEP</v>
      </c>
      <c r="AU89" s="444" t="str">
        <f t="shared" si="84"/>
        <v>DEP</v>
      </c>
      <c r="AV89" s="444" t="str">
        <f t="shared" si="84"/>
        <v>DEP</v>
      </c>
      <c r="AW89" s="444" t="str">
        <f t="shared" si="84"/>
        <v>DEP</v>
      </c>
      <c r="AX89" s="444" t="str">
        <f t="shared" si="84"/>
        <v>DEP</v>
      </c>
      <c r="AY89" s="444" t="str">
        <f t="shared" si="84"/>
        <v>YES</v>
      </c>
      <c r="AZ89" s="444" t="str">
        <f t="shared" si="84"/>
        <v>DEP</v>
      </c>
      <c r="BA89" s="444" t="str">
        <f t="shared" si="84"/>
        <v>DEP</v>
      </c>
      <c r="BB89" s="444" t="str">
        <f t="shared" si="84"/>
        <v>NO</v>
      </c>
      <c r="BC89" s="444" t="str">
        <f t="shared" si="85"/>
        <v>NO</v>
      </c>
      <c r="BD89" s="444" t="str">
        <f t="shared" si="85"/>
        <v>NO</v>
      </c>
      <c r="BE89" s="444" t="str">
        <f t="shared" si="85"/>
        <v>NO</v>
      </c>
      <c r="BF89" s="444" t="str">
        <f t="shared" si="85"/>
        <v>NO</v>
      </c>
      <c r="BG89" s="444" t="str">
        <f t="shared" si="85"/>
        <v>NO</v>
      </c>
      <c r="BH89" s="445" t="str">
        <f t="shared" si="85"/>
        <v>NO</v>
      </c>
      <c r="BI89" s="502"/>
      <c r="BJ89" s="474" t="str">
        <f t="shared" si="86"/>
        <v>NO</v>
      </c>
      <c r="BK89" s="475" t="str">
        <f t="shared" si="86"/>
        <v>NO</v>
      </c>
      <c r="BL89" s="475" t="str">
        <f t="shared" si="86"/>
        <v>NO</v>
      </c>
      <c r="BM89" s="475" t="str">
        <f t="shared" si="86"/>
        <v>NO</v>
      </c>
      <c r="BN89" s="475" t="str">
        <f t="shared" si="86"/>
        <v>NO</v>
      </c>
      <c r="BO89" s="475" t="str">
        <f t="shared" si="86"/>
        <v>NO</v>
      </c>
      <c r="BP89" s="475" t="str">
        <f t="shared" si="86"/>
        <v>NO</v>
      </c>
      <c r="BQ89" s="475" t="str">
        <f t="shared" si="86"/>
        <v>NO</v>
      </c>
      <c r="BR89" s="475" t="str">
        <f t="shared" si="86"/>
        <v>NO</v>
      </c>
      <c r="BS89" s="475" t="str">
        <f t="shared" si="86"/>
        <v>NO</v>
      </c>
      <c r="BT89" s="475" t="str">
        <f t="shared" si="87"/>
        <v>NO</v>
      </c>
      <c r="BU89" s="475" t="str">
        <f t="shared" si="87"/>
        <v>NO</v>
      </c>
      <c r="BV89" s="475" t="str">
        <f t="shared" si="87"/>
        <v>NO</v>
      </c>
      <c r="BW89" s="475" t="str">
        <f t="shared" si="87"/>
        <v>NO</v>
      </c>
      <c r="BX89" s="475" t="str">
        <f t="shared" si="87"/>
        <v>NO</v>
      </c>
      <c r="BY89" s="475" t="str">
        <f t="shared" si="87"/>
        <v>NO</v>
      </c>
      <c r="BZ89" s="475" t="str">
        <f t="shared" si="87"/>
        <v>NO</v>
      </c>
      <c r="CA89" s="475" t="str">
        <f t="shared" si="87"/>
        <v>NO</v>
      </c>
      <c r="CB89" s="475" t="str">
        <f t="shared" si="87"/>
        <v>NO</v>
      </c>
      <c r="CC89" s="475" t="str">
        <f t="shared" si="87"/>
        <v>NO</v>
      </c>
      <c r="CD89" s="475" t="str">
        <f t="shared" si="88"/>
        <v>NO</v>
      </c>
      <c r="CE89" s="475" t="str">
        <f t="shared" si="88"/>
        <v>NO</v>
      </c>
      <c r="CF89" s="475" t="str">
        <f t="shared" si="88"/>
        <v>NO</v>
      </c>
      <c r="CG89" s="475" t="str">
        <f t="shared" si="88"/>
        <v>NO</v>
      </c>
      <c r="CH89" s="475" t="str">
        <f t="shared" si="88"/>
        <v>NO</v>
      </c>
      <c r="CI89" s="475" t="str">
        <f t="shared" si="88"/>
        <v>NO</v>
      </c>
      <c r="CJ89" s="475" t="str">
        <f t="shared" si="88"/>
        <v>NO</v>
      </c>
      <c r="CK89" s="475" t="str">
        <f t="shared" si="88"/>
        <v>NO</v>
      </c>
      <c r="CL89" s="475" t="str">
        <f t="shared" si="88"/>
        <v>NO</v>
      </c>
      <c r="CM89" s="475" t="str">
        <f t="shared" si="88"/>
        <v>NO</v>
      </c>
      <c r="CN89" s="475" t="str">
        <f t="shared" si="89"/>
        <v>NO</v>
      </c>
      <c r="CO89" s="475" t="str">
        <f t="shared" si="89"/>
        <v>NO</v>
      </c>
      <c r="CP89" s="475" t="str">
        <f t="shared" si="89"/>
        <v>NO</v>
      </c>
      <c r="CQ89" s="475" t="str">
        <f t="shared" si="89"/>
        <v>NO</v>
      </c>
      <c r="CR89" s="475" t="str">
        <f t="shared" si="89"/>
        <v>NO</v>
      </c>
      <c r="CS89" s="475" t="str">
        <f t="shared" si="89"/>
        <v>NO</v>
      </c>
      <c r="CT89" s="475" t="str">
        <f t="shared" si="89"/>
        <v>NO</v>
      </c>
      <c r="CU89" s="475" t="str">
        <f t="shared" si="89"/>
        <v>NO</v>
      </c>
      <c r="CV89" s="475" t="str">
        <f t="shared" si="89"/>
        <v>NO</v>
      </c>
      <c r="CW89" s="475" t="str">
        <f t="shared" si="89"/>
        <v>NO</v>
      </c>
      <c r="CX89" s="475" t="str">
        <f t="shared" si="89"/>
        <v>NO</v>
      </c>
      <c r="CY89" s="475" t="str">
        <f t="shared" si="89"/>
        <v>NO</v>
      </c>
      <c r="CZ89" s="495" t="str">
        <f t="shared" si="89"/>
        <v>NO</v>
      </c>
      <c r="DA89" s="502"/>
      <c r="DB89" s="460"/>
      <c r="DC89" s="465"/>
      <c r="DD89" s="463"/>
      <c r="DE89" s="512"/>
      <c r="DF89" s="516"/>
      <c r="DG89" s="508"/>
      <c r="DH89" s="463"/>
      <c r="DI89" s="461"/>
      <c r="DJ89" s="461"/>
      <c r="DK89" s="461"/>
      <c r="DL89" s="464"/>
      <c r="DM89" s="466"/>
      <c r="DN89" s="502"/>
      <c r="DO89" s="460"/>
      <c r="DP89" s="464"/>
      <c r="DQ89" s="464"/>
      <c r="DR89" s="464"/>
      <c r="DS89" s="508"/>
      <c r="DT89" s="525"/>
      <c r="DU89" s="525"/>
      <c r="DV89" s="463"/>
      <c r="DW89" s="464"/>
      <c r="DX89" s="465"/>
      <c r="DY89" s="463"/>
      <c r="DZ89" s="464"/>
      <c r="EA89" s="465"/>
      <c r="EB89" s="463"/>
      <c r="EC89" s="465"/>
      <c r="ED89" s="462"/>
      <c r="EE89" s="502"/>
      <c r="EF89" s="463"/>
      <c r="EG89" s="461"/>
      <c r="EH89" s="464"/>
      <c r="EI89" s="464"/>
      <c r="EJ89" s="464"/>
      <c r="EK89" s="464"/>
      <c r="EL89" s="464"/>
      <c r="EM89" s="464"/>
      <c r="EN89" s="464"/>
      <c r="EO89" s="464"/>
      <c r="EP89" s="464"/>
      <c r="EQ89" s="464"/>
      <c r="ER89" s="464"/>
      <c r="ES89" s="464"/>
      <c r="ET89" s="464"/>
      <c r="EU89" s="464"/>
      <c r="EV89" s="464"/>
      <c r="EW89" s="465"/>
      <c r="EX89" s="465"/>
      <c r="EY89" s="502"/>
      <c r="EZ89" s="460"/>
      <c r="FA89" s="464"/>
      <c r="FB89" s="464"/>
      <c r="FC89" s="464"/>
      <c r="FD89" s="464"/>
      <c r="FE89" s="464"/>
      <c r="FF89" s="464"/>
      <c r="FG89" s="466"/>
    </row>
    <row r="90" spans="1:163">
      <c r="A90" s="467" t="s">
        <v>277</v>
      </c>
      <c r="B90" s="471" t="str">
        <f>IF(ISNUMBER(MATCH(A90, 'Pulldown Data'!W:W, 0))=TRUE, "Y", IF(ISNUMBER(MATCH(A90, 'Pulldown Data'!X:X, 0))=TRUE, "M", ""))</f>
        <v/>
      </c>
      <c r="C90" s="504"/>
      <c r="D90" s="502"/>
      <c r="E90" s="443" t="str">
        <f t="shared" si="80"/>
        <v/>
      </c>
      <c r="F90" s="444" t="str">
        <f t="shared" si="80"/>
        <v/>
      </c>
      <c r="G90" s="444" t="str">
        <f t="shared" si="80"/>
        <v/>
      </c>
      <c r="H90" s="444" t="str">
        <f t="shared" si="80"/>
        <v/>
      </c>
      <c r="I90" s="444" t="str">
        <f t="shared" si="80"/>
        <v/>
      </c>
      <c r="J90" s="444" t="str">
        <f t="shared" si="80"/>
        <v/>
      </c>
      <c r="K90" s="444" t="str">
        <f t="shared" si="80"/>
        <v/>
      </c>
      <c r="L90" s="444" t="str">
        <f t="shared" si="80"/>
        <v/>
      </c>
      <c r="M90" s="444" t="str">
        <f t="shared" si="80"/>
        <v/>
      </c>
      <c r="N90" s="444" t="str">
        <f t="shared" si="80"/>
        <v/>
      </c>
      <c r="O90" s="444" t="str">
        <f t="shared" si="81"/>
        <v/>
      </c>
      <c r="P90" s="444" t="str">
        <f t="shared" si="81"/>
        <v/>
      </c>
      <c r="Q90" s="444" t="str">
        <f t="shared" si="81"/>
        <v/>
      </c>
      <c r="R90" s="444" t="str">
        <f t="shared" si="81"/>
        <v/>
      </c>
      <c r="S90" s="444" t="str">
        <f t="shared" si="81"/>
        <v/>
      </c>
      <c r="T90" s="444" t="str">
        <f t="shared" si="81"/>
        <v/>
      </c>
      <c r="U90" s="444" t="str">
        <f t="shared" si="81"/>
        <v/>
      </c>
      <c r="V90" s="444" t="str">
        <f t="shared" si="81"/>
        <v/>
      </c>
      <c r="W90" s="444" t="str">
        <f t="shared" si="81"/>
        <v/>
      </c>
      <c r="X90" s="444" t="str">
        <f t="shared" si="81"/>
        <v/>
      </c>
      <c r="Y90" s="444" t="str">
        <f t="shared" si="82"/>
        <v/>
      </c>
      <c r="Z90" s="444" t="str">
        <f t="shared" si="82"/>
        <v/>
      </c>
      <c r="AA90" s="444" t="str">
        <f t="shared" si="82"/>
        <v/>
      </c>
      <c r="AB90" s="444" t="str">
        <f t="shared" si="82"/>
        <v/>
      </c>
      <c r="AC90" s="444" t="str">
        <f t="shared" si="82"/>
        <v/>
      </c>
      <c r="AD90" s="444" t="str">
        <f t="shared" si="82"/>
        <v/>
      </c>
      <c r="AE90" s="444" t="str">
        <f t="shared" si="82"/>
        <v/>
      </c>
      <c r="AF90" s="444" t="str">
        <f t="shared" si="82"/>
        <v/>
      </c>
      <c r="AG90" s="444" t="str">
        <f t="shared" si="82"/>
        <v/>
      </c>
      <c r="AH90" s="444" t="str">
        <f t="shared" si="82"/>
        <v/>
      </c>
      <c r="AI90" s="444" t="str">
        <f t="shared" si="83"/>
        <v/>
      </c>
      <c r="AJ90" s="444" t="str">
        <f t="shared" si="83"/>
        <v/>
      </c>
      <c r="AK90" s="444" t="str">
        <f t="shared" si="83"/>
        <v/>
      </c>
      <c r="AL90" s="444" t="str">
        <f t="shared" si="83"/>
        <v/>
      </c>
      <c r="AM90" s="444" t="str">
        <f t="shared" si="83"/>
        <v/>
      </c>
      <c r="AN90" s="444" t="str">
        <f t="shared" si="83"/>
        <v/>
      </c>
      <c r="AO90" s="444" t="str">
        <f t="shared" si="83"/>
        <v/>
      </c>
      <c r="AP90" s="444" t="str">
        <f t="shared" si="83"/>
        <v/>
      </c>
      <c r="AQ90" s="444" t="str">
        <f t="shared" si="83"/>
        <v/>
      </c>
      <c r="AR90" s="444" t="str">
        <f t="shared" si="83"/>
        <v/>
      </c>
      <c r="AS90" s="444" t="str">
        <f t="shared" si="84"/>
        <v/>
      </c>
      <c r="AT90" s="444" t="str">
        <f t="shared" si="84"/>
        <v/>
      </c>
      <c r="AU90" s="444" t="str">
        <f t="shared" si="84"/>
        <v/>
      </c>
      <c r="AV90" s="444" t="str">
        <f t="shared" si="84"/>
        <v/>
      </c>
      <c r="AW90" s="444" t="str">
        <f t="shared" si="84"/>
        <v/>
      </c>
      <c r="AX90" s="444" t="str">
        <f t="shared" si="84"/>
        <v/>
      </c>
      <c r="AY90" s="444" t="str">
        <f t="shared" si="84"/>
        <v/>
      </c>
      <c r="AZ90" s="444" t="str">
        <f t="shared" si="84"/>
        <v/>
      </c>
      <c r="BA90" s="444" t="str">
        <f t="shared" si="84"/>
        <v/>
      </c>
      <c r="BB90" s="444" t="str">
        <f t="shared" si="84"/>
        <v/>
      </c>
      <c r="BC90" s="444" t="str">
        <f t="shared" si="85"/>
        <v/>
      </c>
      <c r="BD90" s="444" t="str">
        <f t="shared" si="85"/>
        <v/>
      </c>
      <c r="BE90" s="444" t="str">
        <f t="shared" si="85"/>
        <v/>
      </c>
      <c r="BF90" s="444" t="str">
        <f t="shared" si="85"/>
        <v/>
      </c>
      <c r="BG90" s="444" t="str">
        <f t="shared" si="85"/>
        <v/>
      </c>
      <c r="BH90" s="445" t="str">
        <f t="shared" si="85"/>
        <v/>
      </c>
      <c r="BI90" s="502"/>
      <c r="BJ90" s="474" t="str">
        <f t="shared" si="86"/>
        <v/>
      </c>
      <c r="BK90" s="475" t="str">
        <f t="shared" si="86"/>
        <v/>
      </c>
      <c r="BL90" s="475" t="str">
        <f t="shared" si="86"/>
        <v/>
      </c>
      <c r="BM90" s="475" t="str">
        <f t="shared" si="86"/>
        <v/>
      </c>
      <c r="BN90" s="475" t="str">
        <f t="shared" si="86"/>
        <v/>
      </c>
      <c r="BO90" s="475" t="str">
        <f t="shared" si="86"/>
        <v/>
      </c>
      <c r="BP90" s="475" t="str">
        <f t="shared" si="86"/>
        <v/>
      </c>
      <c r="BQ90" s="475" t="str">
        <f t="shared" si="86"/>
        <v/>
      </c>
      <c r="BR90" s="475" t="str">
        <f t="shared" si="86"/>
        <v/>
      </c>
      <c r="BS90" s="475" t="str">
        <f t="shared" si="86"/>
        <v/>
      </c>
      <c r="BT90" s="475" t="str">
        <f t="shared" si="87"/>
        <v/>
      </c>
      <c r="BU90" s="475" t="str">
        <f t="shared" si="87"/>
        <v/>
      </c>
      <c r="BV90" s="475" t="str">
        <f t="shared" si="87"/>
        <v/>
      </c>
      <c r="BW90" s="475" t="str">
        <f t="shared" si="87"/>
        <v/>
      </c>
      <c r="BX90" s="475" t="str">
        <f t="shared" si="87"/>
        <v/>
      </c>
      <c r="BY90" s="475" t="str">
        <f t="shared" si="87"/>
        <v/>
      </c>
      <c r="BZ90" s="475" t="str">
        <f t="shared" si="87"/>
        <v/>
      </c>
      <c r="CA90" s="475" t="str">
        <f t="shared" si="87"/>
        <v/>
      </c>
      <c r="CB90" s="475" t="str">
        <f t="shared" si="87"/>
        <v/>
      </c>
      <c r="CC90" s="475" t="str">
        <f t="shared" si="87"/>
        <v/>
      </c>
      <c r="CD90" s="475" t="str">
        <f t="shared" si="88"/>
        <v/>
      </c>
      <c r="CE90" s="475" t="str">
        <f t="shared" si="88"/>
        <v/>
      </c>
      <c r="CF90" s="475" t="str">
        <f t="shared" si="88"/>
        <v/>
      </c>
      <c r="CG90" s="475" t="str">
        <f t="shared" si="88"/>
        <v/>
      </c>
      <c r="CH90" s="475" t="str">
        <f t="shared" si="88"/>
        <v/>
      </c>
      <c r="CI90" s="475" t="str">
        <f t="shared" si="88"/>
        <v/>
      </c>
      <c r="CJ90" s="475" t="str">
        <f t="shared" si="88"/>
        <v/>
      </c>
      <c r="CK90" s="475" t="str">
        <f t="shared" si="88"/>
        <v/>
      </c>
      <c r="CL90" s="475" t="str">
        <f t="shared" si="88"/>
        <v/>
      </c>
      <c r="CM90" s="475" t="str">
        <f t="shared" si="88"/>
        <v/>
      </c>
      <c r="CN90" s="475" t="str">
        <f t="shared" si="89"/>
        <v/>
      </c>
      <c r="CO90" s="475" t="str">
        <f t="shared" si="89"/>
        <v/>
      </c>
      <c r="CP90" s="475" t="str">
        <f t="shared" si="89"/>
        <v/>
      </c>
      <c r="CQ90" s="475" t="str">
        <f t="shared" si="89"/>
        <v/>
      </c>
      <c r="CR90" s="475" t="str">
        <f t="shared" si="89"/>
        <v/>
      </c>
      <c r="CS90" s="475" t="str">
        <f t="shared" si="89"/>
        <v/>
      </c>
      <c r="CT90" s="475" t="str">
        <f t="shared" si="89"/>
        <v/>
      </c>
      <c r="CU90" s="475" t="str">
        <f t="shared" si="89"/>
        <v/>
      </c>
      <c r="CV90" s="475" t="str">
        <f t="shared" si="89"/>
        <v/>
      </c>
      <c r="CW90" s="475" t="str">
        <f t="shared" si="89"/>
        <v/>
      </c>
      <c r="CX90" s="475" t="str">
        <f t="shared" si="89"/>
        <v/>
      </c>
      <c r="CY90" s="475" t="str">
        <f t="shared" si="89"/>
        <v/>
      </c>
      <c r="CZ90" s="495" t="str">
        <f t="shared" si="89"/>
        <v/>
      </c>
      <c r="DA90" s="502"/>
      <c r="DB90" s="460"/>
      <c r="DC90" s="465"/>
      <c r="DD90" s="463"/>
      <c r="DE90" s="512"/>
      <c r="DF90" s="516"/>
      <c r="DG90" s="508"/>
      <c r="DH90" s="463"/>
      <c r="DI90" s="461"/>
      <c r="DJ90" s="461"/>
      <c r="DK90" s="461"/>
      <c r="DL90" s="464"/>
      <c r="DM90" s="466"/>
      <c r="DN90" s="502"/>
      <c r="DO90" s="460"/>
      <c r="DP90" s="464"/>
      <c r="DQ90" s="464"/>
      <c r="DR90" s="464"/>
      <c r="DS90" s="508"/>
      <c r="DT90" s="525"/>
      <c r="DU90" s="525"/>
      <c r="DV90" s="463"/>
      <c r="DW90" s="464"/>
      <c r="DX90" s="465"/>
      <c r="DY90" s="463"/>
      <c r="DZ90" s="464"/>
      <c r="EA90" s="465"/>
      <c r="EB90" s="463"/>
      <c r="EC90" s="465"/>
      <c r="ED90" s="462"/>
      <c r="EE90" s="502"/>
      <c r="EF90" s="463"/>
      <c r="EG90" s="461"/>
      <c r="EH90" s="464"/>
      <c r="EI90" s="464"/>
      <c r="EJ90" s="464"/>
      <c r="EK90" s="464"/>
      <c r="EL90" s="464"/>
      <c r="EM90" s="464"/>
      <c r="EN90" s="464"/>
      <c r="EO90" s="464"/>
      <c r="EP90" s="464"/>
      <c r="EQ90" s="464"/>
      <c r="ER90" s="464"/>
      <c r="ES90" s="464"/>
      <c r="ET90" s="464"/>
      <c r="EU90" s="464"/>
      <c r="EV90" s="464"/>
      <c r="EW90" s="465"/>
      <c r="EX90" s="465"/>
      <c r="EY90" s="502"/>
      <c r="EZ90" s="460"/>
      <c r="FA90" s="464"/>
      <c r="FB90" s="464"/>
      <c r="FC90" s="464"/>
      <c r="FD90" s="464"/>
      <c r="FE90" s="464"/>
      <c r="FF90" s="464"/>
      <c r="FG90" s="466"/>
    </row>
    <row r="91" spans="1:163">
      <c r="A91" s="467" t="s">
        <v>278</v>
      </c>
      <c r="B91" s="471" t="str">
        <f>IF(ISNUMBER(MATCH(A91, 'Pulldown Data'!W:W, 0))=TRUE, "Y", IF(ISNUMBER(MATCH(A91, 'Pulldown Data'!X:X, 0))=TRUE, "M", ""))</f>
        <v/>
      </c>
      <c r="C91" s="504">
        <v>45630</v>
      </c>
      <c r="D91" s="502"/>
      <c r="E91" s="443" t="str">
        <f t="shared" si="80"/>
        <v>NO</v>
      </c>
      <c r="F91" s="444" t="str">
        <f t="shared" si="80"/>
        <v>NO</v>
      </c>
      <c r="G91" s="444" t="str">
        <f t="shared" si="80"/>
        <v>YES</v>
      </c>
      <c r="H91" s="444" t="str">
        <f t="shared" si="80"/>
        <v>YES</v>
      </c>
      <c r="I91" s="444" t="str">
        <f t="shared" si="80"/>
        <v>YES</v>
      </c>
      <c r="J91" s="444" t="str">
        <f t="shared" si="80"/>
        <v>YES</v>
      </c>
      <c r="K91" s="444" t="str">
        <f t="shared" si="80"/>
        <v>NO</v>
      </c>
      <c r="L91" s="444" t="str">
        <f t="shared" si="80"/>
        <v>YES</v>
      </c>
      <c r="M91" s="444" t="str">
        <f t="shared" si="80"/>
        <v>NO</v>
      </c>
      <c r="N91" s="444" t="str">
        <f t="shared" si="80"/>
        <v>NO</v>
      </c>
      <c r="O91" s="444" t="str">
        <f t="shared" si="81"/>
        <v>NO</v>
      </c>
      <c r="P91" s="444" t="str">
        <f t="shared" si="81"/>
        <v>DEP</v>
      </c>
      <c r="Q91" s="444" t="str">
        <f t="shared" si="81"/>
        <v>DEP</v>
      </c>
      <c r="R91" s="444" t="str">
        <f t="shared" si="81"/>
        <v>DEP</v>
      </c>
      <c r="S91" s="444" t="str">
        <f t="shared" si="81"/>
        <v>DEP</v>
      </c>
      <c r="T91" s="444" t="str">
        <f t="shared" si="81"/>
        <v>YES</v>
      </c>
      <c r="U91" s="444" t="str">
        <f t="shared" si="81"/>
        <v>YES</v>
      </c>
      <c r="V91" s="444" t="str">
        <f t="shared" si="81"/>
        <v>YES</v>
      </c>
      <c r="W91" s="444" t="str">
        <f t="shared" si="81"/>
        <v>YES</v>
      </c>
      <c r="X91" s="444" t="str">
        <f t="shared" si="81"/>
        <v>NO</v>
      </c>
      <c r="Y91" s="444" t="str">
        <f t="shared" si="82"/>
        <v>YES</v>
      </c>
      <c r="Z91" s="444" t="str">
        <f t="shared" si="82"/>
        <v>NO</v>
      </c>
      <c r="AA91" s="444" t="str">
        <f t="shared" si="82"/>
        <v>YES</v>
      </c>
      <c r="AB91" s="444" t="str">
        <f t="shared" si="82"/>
        <v>YES</v>
      </c>
      <c r="AC91" s="444" t="str">
        <f t="shared" si="82"/>
        <v>YES</v>
      </c>
      <c r="AD91" s="444" t="str">
        <f t="shared" si="82"/>
        <v>NO</v>
      </c>
      <c r="AE91" s="444" t="str">
        <f t="shared" si="82"/>
        <v>NO</v>
      </c>
      <c r="AF91" s="444" t="str">
        <f t="shared" si="82"/>
        <v>NO</v>
      </c>
      <c r="AG91" s="444" t="str">
        <f t="shared" si="82"/>
        <v>NO</v>
      </c>
      <c r="AH91" s="444" t="str">
        <f t="shared" si="82"/>
        <v>NO</v>
      </c>
      <c r="AI91" s="444" t="str">
        <f t="shared" si="83"/>
        <v>NO</v>
      </c>
      <c r="AJ91" s="444" t="str">
        <f t="shared" si="83"/>
        <v>YES</v>
      </c>
      <c r="AK91" s="444" t="str">
        <f t="shared" si="83"/>
        <v>NO</v>
      </c>
      <c r="AL91" s="444" t="str">
        <f t="shared" si="83"/>
        <v>DEP</v>
      </c>
      <c r="AM91" s="444" t="str">
        <f t="shared" si="83"/>
        <v>NO</v>
      </c>
      <c r="AN91" s="444" t="str">
        <f t="shared" si="83"/>
        <v>YES</v>
      </c>
      <c r="AO91" s="444" t="str">
        <f t="shared" si="83"/>
        <v>YES</v>
      </c>
      <c r="AP91" s="444" t="str">
        <f t="shared" si="83"/>
        <v>NO</v>
      </c>
      <c r="AQ91" s="444" t="str">
        <f t="shared" si="83"/>
        <v>NO</v>
      </c>
      <c r="AR91" s="444" t="str">
        <f t="shared" si="83"/>
        <v>NO</v>
      </c>
      <c r="AS91" s="444" t="str">
        <f t="shared" si="84"/>
        <v>NO</v>
      </c>
      <c r="AT91" s="444" t="str">
        <f t="shared" si="84"/>
        <v>YES</v>
      </c>
      <c r="AU91" s="444" t="str">
        <f t="shared" si="84"/>
        <v>YES</v>
      </c>
      <c r="AV91" s="444" t="str">
        <f t="shared" si="84"/>
        <v>YES</v>
      </c>
      <c r="AW91" s="444" t="str">
        <f t="shared" si="84"/>
        <v>YES</v>
      </c>
      <c r="AX91" s="444" t="str">
        <f t="shared" si="84"/>
        <v>DEP</v>
      </c>
      <c r="AY91" s="444" t="str">
        <f t="shared" si="84"/>
        <v>YES</v>
      </c>
      <c r="AZ91" s="444" t="str">
        <f t="shared" si="84"/>
        <v>DEP</v>
      </c>
      <c r="BA91" s="444" t="str">
        <f t="shared" si="84"/>
        <v>DEP</v>
      </c>
      <c r="BB91" s="444" t="str">
        <f t="shared" si="84"/>
        <v>NO</v>
      </c>
      <c r="BC91" s="444" t="str">
        <f t="shared" si="85"/>
        <v>NO</v>
      </c>
      <c r="BD91" s="444" t="str">
        <f t="shared" si="85"/>
        <v>NO</v>
      </c>
      <c r="BE91" s="444" t="str">
        <f t="shared" si="85"/>
        <v>NO</v>
      </c>
      <c r="BF91" s="444" t="str">
        <f t="shared" si="85"/>
        <v>YES</v>
      </c>
      <c r="BG91" s="444" t="str">
        <f t="shared" si="85"/>
        <v>NO</v>
      </c>
      <c r="BH91" s="445" t="str">
        <f t="shared" si="85"/>
        <v>NO</v>
      </c>
      <c r="BI91" s="502"/>
      <c r="BJ91" s="474" t="str">
        <f t="shared" si="86"/>
        <v>NO</v>
      </c>
      <c r="BK91" s="475" t="str">
        <f t="shared" si="86"/>
        <v>NO</v>
      </c>
      <c r="BL91" s="475" t="str">
        <f t="shared" si="86"/>
        <v>NO</v>
      </c>
      <c r="BM91" s="475" t="str">
        <f t="shared" si="86"/>
        <v>NO</v>
      </c>
      <c r="BN91" s="475" t="str">
        <f t="shared" si="86"/>
        <v>NO</v>
      </c>
      <c r="BO91" s="475" t="str">
        <f t="shared" si="86"/>
        <v>NO</v>
      </c>
      <c r="BP91" s="475" t="str">
        <f t="shared" si="86"/>
        <v>NO</v>
      </c>
      <c r="BQ91" s="475" t="str">
        <f t="shared" si="86"/>
        <v>NO</v>
      </c>
      <c r="BR91" s="475" t="str">
        <f t="shared" si="86"/>
        <v>NO</v>
      </c>
      <c r="BS91" s="475" t="str">
        <f t="shared" si="86"/>
        <v>NO</v>
      </c>
      <c r="BT91" s="475" t="str">
        <f t="shared" si="87"/>
        <v>NO</v>
      </c>
      <c r="BU91" s="475" t="str">
        <f t="shared" si="87"/>
        <v>NO</v>
      </c>
      <c r="BV91" s="475" t="str">
        <f t="shared" si="87"/>
        <v>NO</v>
      </c>
      <c r="BW91" s="475" t="str">
        <f t="shared" si="87"/>
        <v>NO</v>
      </c>
      <c r="BX91" s="475" t="str">
        <f t="shared" si="87"/>
        <v>NO</v>
      </c>
      <c r="BY91" s="475" t="str">
        <f t="shared" si="87"/>
        <v>NO</v>
      </c>
      <c r="BZ91" s="475" t="str">
        <f t="shared" si="87"/>
        <v>NO</v>
      </c>
      <c r="CA91" s="475" t="str">
        <f t="shared" si="87"/>
        <v>NO</v>
      </c>
      <c r="CB91" s="475" t="str">
        <f t="shared" si="87"/>
        <v>NO</v>
      </c>
      <c r="CC91" s="475" t="str">
        <f t="shared" si="87"/>
        <v>NO</v>
      </c>
      <c r="CD91" s="475" t="str">
        <f t="shared" si="88"/>
        <v>NO</v>
      </c>
      <c r="CE91" s="475" t="str">
        <f t="shared" si="88"/>
        <v>NO</v>
      </c>
      <c r="CF91" s="475" t="str">
        <f t="shared" si="88"/>
        <v>NO</v>
      </c>
      <c r="CG91" s="475" t="str">
        <f t="shared" si="88"/>
        <v>NO</v>
      </c>
      <c r="CH91" s="475" t="str">
        <f t="shared" si="88"/>
        <v>NO</v>
      </c>
      <c r="CI91" s="475" t="str">
        <f t="shared" si="88"/>
        <v>NO</v>
      </c>
      <c r="CJ91" s="475" t="str">
        <f t="shared" si="88"/>
        <v>NO</v>
      </c>
      <c r="CK91" s="475" t="str">
        <f t="shared" si="88"/>
        <v>NO</v>
      </c>
      <c r="CL91" s="475" t="str">
        <f t="shared" si="88"/>
        <v>NO</v>
      </c>
      <c r="CM91" s="475" t="str">
        <f t="shared" si="88"/>
        <v>NO</v>
      </c>
      <c r="CN91" s="475" t="str">
        <f t="shared" si="89"/>
        <v>NO</v>
      </c>
      <c r="CO91" s="475" t="str">
        <f t="shared" si="89"/>
        <v>NO</v>
      </c>
      <c r="CP91" s="475" t="str">
        <f t="shared" si="89"/>
        <v>NO</v>
      </c>
      <c r="CQ91" s="475" t="str">
        <f t="shared" si="89"/>
        <v>NO</v>
      </c>
      <c r="CR91" s="475" t="str">
        <f t="shared" si="89"/>
        <v>NO</v>
      </c>
      <c r="CS91" s="475" t="str">
        <f t="shared" si="89"/>
        <v>NO</v>
      </c>
      <c r="CT91" s="475" t="str">
        <f t="shared" si="89"/>
        <v>NO</v>
      </c>
      <c r="CU91" s="475" t="str">
        <f t="shared" si="89"/>
        <v>NO</v>
      </c>
      <c r="CV91" s="475" t="str">
        <f t="shared" si="89"/>
        <v>NO</v>
      </c>
      <c r="CW91" s="475" t="str">
        <f t="shared" si="89"/>
        <v>NO</v>
      </c>
      <c r="CX91" s="475" t="str">
        <f t="shared" si="89"/>
        <v>NO</v>
      </c>
      <c r="CY91" s="475" t="str">
        <f t="shared" si="89"/>
        <v>NO</v>
      </c>
      <c r="CZ91" s="495" t="str">
        <f t="shared" si="89"/>
        <v>NO</v>
      </c>
      <c r="DA91" s="502"/>
      <c r="DB91" s="460"/>
      <c r="DC91" s="465"/>
      <c r="DD91" s="463"/>
      <c r="DE91" s="512"/>
      <c r="DF91" s="516"/>
      <c r="DG91" s="508"/>
      <c r="DH91" s="463"/>
      <c r="DI91" s="461"/>
      <c r="DJ91" s="461"/>
      <c r="DK91" s="461"/>
      <c r="DL91" s="464"/>
      <c r="DM91" s="466"/>
      <c r="DN91" s="502"/>
      <c r="DO91" s="460"/>
      <c r="DP91" s="464"/>
      <c r="DQ91" s="464"/>
      <c r="DR91" s="464"/>
      <c r="DS91" s="508"/>
      <c r="DT91" s="525"/>
      <c r="DU91" s="525"/>
      <c r="DV91" s="463"/>
      <c r="DW91" s="464"/>
      <c r="DX91" s="465"/>
      <c r="DY91" s="463"/>
      <c r="DZ91" s="464"/>
      <c r="EA91" s="465"/>
      <c r="EB91" s="463"/>
      <c r="EC91" s="465"/>
      <c r="ED91" s="462"/>
      <c r="EE91" s="502"/>
      <c r="EF91" s="463"/>
      <c r="EG91" s="461"/>
      <c r="EH91" s="464"/>
      <c r="EI91" s="464"/>
      <c r="EJ91" s="464"/>
      <c r="EK91" s="464"/>
      <c r="EL91" s="464"/>
      <c r="EM91" s="464"/>
      <c r="EN91" s="464"/>
      <c r="EO91" s="464"/>
      <c r="EP91" s="464"/>
      <c r="EQ91" s="464"/>
      <c r="ER91" s="464"/>
      <c r="ES91" s="464"/>
      <c r="ET91" s="464"/>
      <c r="EU91" s="464"/>
      <c r="EV91" s="464"/>
      <c r="EW91" s="465"/>
      <c r="EX91" s="465"/>
      <c r="EY91" s="502"/>
      <c r="EZ91" s="460"/>
      <c r="FA91" s="464"/>
      <c r="FB91" s="464"/>
      <c r="FC91" s="464"/>
      <c r="FD91" s="464"/>
      <c r="FE91" s="464"/>
      <c r="FF91" s="464"/>
      <c r="FG91" s="466"/>
    </row>
    <row r="92" spans="1:163">
      <c r="A92" s="467" t="s">
        <v>279</v>
      </c>
      <c r="B92" s="471" t="str">
        <f>IF(ISNUMBER(MATCH(A92, 'Pulldown Data'!W:W, 0))=TRUE, "Y", IF(ISNUMBER(MATCH(A92, 'Pulldown Data'!X:X, 0))=TRUE, "M", ""))</f>
        <v/>
      </c>
      <c r="C92" s="504"/>
      <c r="D92" s="502"/>
      <c r="E92" s="443" t="str">
        <f t="shared" ref="E92:N101" si="90" xml:space="preserve">
IFERROR(
_xlfn.IFNA(
   IF($B92="PLT",
      IF(INDEX(PRJGENVersions, MATCH(TRIM(E$1), PRJGENAlgosMapped, 0), MATCH($A92, PRJGENProjects, 0)), "YES", ""),
      IF(INDEX(RoadmapData, MATCH(TRIM(E$1), RoadmapDataFeatures, 0), MATCH($A92, RoadmapDataProjects, 0)) = "-", "-", INDEX(RoadmapData, MATCH(TRIM(E$1), RoadmapDataFeatures, 0), MATCH($A92, RoadmapDataProjects, 0)))),
""),
"")</f>
        <v/>
      </c>
      <c r="F92" s="444" t="str">
        <f t="shared" si="90"/>
        <v/>
      </c>
      <c r="G92" s="444" t="str">
        <f t="shared" si="90"/>
        <v/>
      </c>
      <c r="H92" s="444" t="str">
        <f t="shared" si="90"/>
        <v/>
      </c>
      <c r="I92" s="444" t="str">
        <f t="shared" si="90"/>
        <v/>
      </c>
      <c r="J92" s="444" t="str">
        <f t="shared" si="90"/>
        <v/>
      </c>
      <c r="K92" s="444" t="str">
        <f t="shared" si="90"/>
        <v/>
      </c>
      <c r="L92" s="444" t="str">
        <f t="shared" si="90"/>
        <v/>
      </c>
      <c r="M92" s="444" t="str">
        <f t="shared" si="90"/>
        <v/>
      </c>
      <c r="N92" s="444" t="str">
        <f t="shared" si="90"/>
        <v/>
      </c>
      <c r="O92" s="444" t="str">
        <f t="shared" ref="O92:X101" si="91" xml:space="preserve">
IFERROR(
_xlfn.IFNA(
   IF($B92="PLT",
      IF(INDEX(PRJGENVersions, MATCH(TRIM(O$1), PRJGENAlgosMapped, 0), MATCH($A92, PRJGENProjects, 0)), "YES", ""),
      IF(INDEX(RoadmapData, MATCH(TRIM(O$1), RoadmapDataFeatures, 0), MATCH($A92, RoadmapDataProjects, 0)) = "-", "-", INDEX(RoadmapData, MATCH(TRIM(O$1), RoadmapDataFeatures, 0), MATCH($A92, RoadmapDataProjects, 0)))),
""),
"")</f>
        <v/>
      </c>
      <c r="P92" s="444" t="str">
        <f t="shared" si="91"/>
        <v/>
      </c>
      <c r="Q92" s="444" t="str">
        <f t="shared" si="91"/>
        <v/>
      </c>
      <c r="R92" s="444" t="str">
        <f t="shared" si="91"/>
        <v/>
      </c>
      <c r="S92" s="444" t="str">
        <f t="shared" si="91"/>
        <v/>
      </c>
      <c r="T92" s="444" t="str">
        <f t="shared" si="91"/>
        <v/>
      </c>
      <c r="U92" s="444" t="str">
        <f t="shared" si="91"/>
        <v/>
      </c>
      <c r="V92" s="444" t="str">
        <f t="shared" si="91"/>
        <v/>
      </c>
      <c r="W92" s="444" t="str">
        <f t="shared" si="91"/>
        <v/>
      </c>
      <c r="X92" s="444" t="str">
        <f t="shared" si="91"/>
        <v/>
      </c>
      <c r="Y92" s="444" t="str">
        <f t="shared" ref="Y92:AH101" si="92" xml:space="preserve">
IFERROR(
_xlfn.IFNA(
   IF($B92="PLT",
      IF(INDEX(PRJGENVersions, MATCH(TRIM(Y$1), PRJGENAlgosMapped, 0), MATCH($A92, PRJGENProjects, 0)), "YES", ""),
      IF(INDEX(RoadmapData, MATCH(TRIM(Y$1), RoadmapDataFeatures, 0), MATCH($A92, RoadmapDataProjects, 0)) = "-", "-", INDEX(RoadmapData, MATCH(TRIM(Y$1), RoadmapDataFeatures, 0), MATCH($A92, RoadmapDataProjects, 0)))),
""),
"")</f>
        <v/>
      </c>
      <c r="Z92" s="444" t="str">
        <f t="shared" si="92"/>
        <v/>
      </c>
      <c r="AA92" s="444" t="str">
        <f t="shared" si="92"/>
        <v/>
      </c>
      <c r="AB92" s="444" t="str">
        <f t="shared" si="92"/>
        <v/>
      </c>
      <c r="AC92" s="444" t="str">
        <f t="shared" si="92"/>
        <v/>
      </c>
      <c r="AD92" s="444" t="str">
        <f t="shared" si="92"/>
        <v/>
      </c>
      <c r="AE92" s="444" t="str">
        <f t="shared" si="92"/>
        <v/>
      </c>
      <c r="AF92" s="444" t="str">
        <f t="shared" si="92"/>
        <v/>
      </c>
      <c r="AG92" s="444" t="str">
        <f t="shared" si="92"/>
        <v/>
      </c>
      <c r="AH92" s="444" t="str">
        <f t="shared" si="92"/>
        <v/>
      </c>
      <c r="AI92" s="444" t="str">
        <f t="shared" ref="AI92:AR101" si="93" xml:space="preserve">
IFERROR(
_xlfn.IFNA(
   IF($B92="PLT",
      IF(INDEX(PRJGENVersions, MATCH(TRIM(AI$1), PRJGENAlgosMapped, 0), MATCH($A92, PRJGENProjects, 0)), "YES", ""),
      IF(INDEX(RoadmapData, MATCH(TRIM(AI$1), RoadmapDataFeatures, 0), MATCH($A92, RoadmapDataProjects, 0)) = "-", "-", INDEX(RoadmapData, MATCH(TRIM(AI$1), RoadmapDataFeatures, 0), MATCH($A92, RoadmapDataProjects, 0)))),
""),
"")</f>
        <v/>
      </c>
      <c r="AJ92" s="444" t="str">
        <f t="shared" si="93"/>
        <v/>
      </c>
      <c r="AK92" s="444" t="str">
        <f t="shared" si="93"/>
        <v/>
      </c>
      <c r="AL92" s="444" t="str">
        <f t="shared" si="93"/>
        <v/>
      </c>
      <c r="AM92" s="444" t="str">
        <f t="shared" si="93"/>
        <v/>
      </c>
      <c r="AN92" s="444" t="str">
        <f t="shared" si="93"/>
        <v/>
      </c>
      <c r="AO92" s="444" t="str">
        <f t="shared" si="93"/>
        <v/>
      </c>
      <c r="AP92" s="444" t="str">
        <f t="shared" si="93"/>
        <v/>
      </c>
      <c r="AQ92" s="444" t="str">
        <f t="shared" si="93"/>
        <v/>
      </c>
      <c r="AR92" s="444" t="str">
        <f t="shared" si="93"/>
        <v/>
      </c>
      <c r="AS92" s="444" t="str">
        <f t="shared" ref="AS92:BB101" si="94" xml:space="preserve">
IFERROR(
_xlfn.IFNA(
   IF($B92="PLT",
      IF(INDEX(PRJGENVersions, MATCH(TRIM(AS$1), PRJGENAlgosMapped, 0), MATCH($A92, PRJGENProjects, 0)), "YES", ""),
      IF(INDEX(RoadmapData, MATCH(TRIM(AS$1), RoadmapDataFeatures, 0), MATCH($A92, RoadmapDataProjects, 0)) = "-", "-", INDEX(RoadmapData, MATCH(TRIM(AS$1), RoadmapDataFeatures, 0), MATCH($A92, RoadmapDataProjects, 0)))),
""),
"")</f>
        <v/>
      </c>
      <c r="AT92" s="444" t="str">
        <f t="shared" si="94"/>
        <v/>
      </c>
      <c r="AU92" s="444" t="str">
        <f t="shared" si="94"/>
        <v/>
      </c>
      <c r="AV92" s="444" t="str">
        <f t="shared" si="94"/>
        <v/>
      </c>
      <c r="AW92" s="444" t="str">
        <f t="shared" si="94"/>
        <v/>
      </c>
      <c r="AX92" s="444" t="str">
        <f t="shared" si="94"/>
        <v/>
      </c>
      <c r="AY92" s="444" t="str">
        <f t="shared" si="94"/>
        <v/>
      </c>
      <c r="AZ92" s="444" t="str">
        <f t="shared" si="94"/>
        <v/>
      </c>
      <c r="BA92" s="444" t="str">
        <f t="shared" si="94"/>
        <v/>
      </c>
      <c r="BB92" s="444" t="str">
        <f t="shared" si="94"/>
        <v/>
      </c>
      <c r="BC92" s="444" t="str">
        <f t="shared" ref="BC92:BH101" si="95" xml:space="preserve">
IFERROR(
_xlfn.IFNA(
   IF($B92="PLT",
      IF(INDEX(PRJGENVersions, MATCH(TRIM(BC$1), PRJGENAlgosMapped, 0), MATCH($A92, PRJGENProjects, 0)), "YES", ""),
      IF(INDEX(RoadmapData, MATCH(TRIM(BC$1), RoadmapDataFeatures, 0), MATCH($A92, RoadmapDataProjects, 0)) = "-", "-", INDEX(RoadmapData, MATCH(TRIM(BC$1), RoadmapDataFeatures, 0), MATCH($A92, RoadmapDataProjects, 0)))),
""),
"")</f>
        <v/>
      </c>
      <c r="BD92" s="444" t="str">
        <f t="shared" si="95"/>
        <v/>
      </c>
      <c r="BE92" s="444" t="str">
        <f t="shared" si="95"/>
        <v/>
      </c>
      <c r="BF92" s="444" t="str">
        <f t="shared" si="95"/>
        <v/>
      </c>
      <c r="BG92" s="444" t="str">
        <f t="shared" si="95"/>
        <v/>
      </c>
      <c r="BH92" s="445" t="str">
        <f t="shared" si="95"/>
        <v/>
      </c>
      <c r="BI92" s="502"/>
      <c r="BJ92" s="474" t="str">
        <f t="shared" ref="BJ92:BS101" si="96">_xlfn.IFNA(IF(INDEX(RoadmapData, MATCH(TRIM(BJ$1), RoadmapDataFeatures, 0), MATCH($A92, RoadmapDataProjects, 0)) = "-", "-", INDEX(RoadmapData, MATCH(TRIM(BJ$1), RoadmapDataFeatures, 0), MATCH($A92, RoadmapDataProjects, 0))), "")</f>
        <v/>
      </c>
      <c r="BK92" s="475" t="str">
        <f t="shared" si="96"/>
        <v/>
      </c>
      <c r="BL92" s="475" t="str">
        <f t="shared" si="96"/>
        <v/>
      </c>
      <c r="BM92" s="475" t="str">
        <f t="shared" si="96"/>
        <v/>
      </c>
      <c r="BN92" s="475" t="str">
        <f t="shared" si="96"/>
        <v/>
      </c>
      <c r="BO92" s="475" t="str">
        <f t="shared" si="96"/>
        <v/>
      </c>
      <c r="BP92" s="475" t="str">
        <f t="shared" si="96"/>
        <v/>
      </c>
      <c r="BQ92" s="475" t="str">
        <f t="shared" si="96"/>
        <v/>
      </c>
      <c r="BR92" s="475" t="str">
        <f t="shared" si="96"/>
        <v/>
      </c>
      <c r="BS92" s="475" t="str">
        <f t="shared" si="96"/>
        <v/>
      </c>
      <c r="BT92" s="475" t="str">
        <f t="shared" ref="BT92:CC101" si="97">_xlfn.IFNA(IF(INDEX(RoadmapData, MATCH(TRIM(BT$1), RoadmapDataFeatures, 0), MATCH($A92, RoadmapDataProjects, 0)) = "-", "-", INDEX(RoadmapData, MATCH(TRIM(BT$1), RoadmapDataFeatures, 0), MATCH($A92, RoadmapDataProjects, 0))), "")</f>
        <v/>
      </c>
      <c r="BU92" s="475" t="str">
        <f t="shared" si="97"/>
        <v/>
      </c>
      <c r="BV92" s="475" t="str">
        <f t="shared" si="97"/>
        <v/>
      </c>
      <c r="BW92" s="475" t="str">
        <f t="shared" si="97"/>
        <v/>
      </c>
      <c r="BX92" s="475" t="str">
        <f t="shared" si="97"/>
        <v/>
      </c>
      <c r="BY92" s="475" t="str">
        <f t="shared" si="97"/>
        <v/>
      </c>
      <c r="BZ92" s="475" t="str">
        <f t="shared" si="97"/>
        <v/>
      </c>
      <c r="CA92" s="475" t="str">
        <f t="shared" si="97"/>
        <v/>
      </c>
      <c r="CB92" s="475" t="str">
        <f t="shared" si="97"/>
        <v/>
      </c>
      <c r="CC92" s="475" t="str">
        <f t="shared" si="97"/>
        <v/>
      </c>
      <c r="CD92" s="475" t="str">
        <f t="shared" ref="CD92:CM101" si="98">_xlfn.IFNA(IF(INDEX(RoadmapData, MATCH(TRIM(CD$1), RoadmapDataFeatures, 0), MATCH($A92, RoadmapDataProjects, 0)) = "-", "-", INDEX(RoadmapData, MATCH(TRIM(CD$1), RoadmapDataFeatures, 0), MATCH($A92, RoadmapDataProjects, 0))), "")</f>
        <v/>
      </c>
      <c r="CE92" s="475" t="str">
        <f t="shared" si="98"/>
        <v/>
      </c>
      <c r="CF92" s="475" t="str">
        <f t="shared" si="98"/>
        <v/>
      </c>
      <c r="CG92" s="475" t="str">
        <f t="shared" si="98"/>
        <v/>
      </c>
      <c r="CH92" s="475" t="str">
        <f t="shared" si="98"/>
        <v/>
      </c>
      <c r="CI92" s="475" t="str">
        <f t="shared" si="98"/>
        <v/>
      </c>
      <c r="CJ92" s="475" t="str">
        <f t="shared" si="98"/>
        <v/>
      </c>
      <c r="CK92" s="475" t="str">
        <f t="shared" si="98"/>
        <v/>
      </c>
      <c r="CL92" s="475" t="str">
        <f t="shared" si="98"/>
        <v/>
      </c>
      <c r="CM92" s="475" t="str">
        <f t="shared" si="98"/>
        <v/>
      </c>
      <c r="CN92" s="475" t="str">
        <f t="shared" ref="CN92:CZ101" si="99">_xlfn.IFNA(IF(INDEX(RoadmapData, MATCH(TRIM(CN$1), RoadmapDataFeatures, 0), MATCH($A92, RoadmapDataProjects, 0)) = "-", "-", INDEX(RoadmapData, MATCH(TRIM(CN$1), RoadmapDataFeatures, 0), MATCH($A92, RoadmapDataProjects, 0))), "")</f>
        <v/>
      </c>
      <c r="CO92" s="475" t="str">
        <f t="shared" si="99"/>
        <v/>
      </c>
      <c r="CP92" s="475" t="str">
        <f t="shared" si="99"/>
        <v/>
      </c>
      <c r="CQ92" s="475" t="str">
        <f t="shared" si="99"/>
        <v/>
      </c>
      <c r="CR92" s="475" t="str">
        <f t="shared" si="99"/>
        <v/>
      </c>
      <c r="CS92" s="475" t="str">
        <f t="shared" si="99"/>
        <v/>
      </c>
      <c r="CT92" s="475" t="str">
        <f t="shared" si="99"/>
        <v/>
      </c>
      <c r="CU92" s="475" t="str">
        <f t="shared" si="99"/>
        <v/>
      </c>
      <c r="CV92" s="475" t="str">
        <f t="shared" si="99"/>
        <v/>
      </c>
      <c r="CW92" s="475" t="str">
        <f t="shared" si="99"/>
        <v/>
      </c>
      <c r="CX92" s="475" t="str">
        <f t="shared" si="99"/>
        <v/>
      </c>
      <c r="CY92" s="475" t="str">
        <f t="shared" si="99"/>
        <v/>
      </c>
      <c r="CZ92" s="495" t="str">
        <f t="shared" si="99"/>
        <v/>
      </c>
      <c r="DA92" s="502"/>
      <c r="DB92" s="460"/>
      <c r="DC92" s="465"/>
      <c r="DD92" s="463"/>
      <c r="DE92" s="512"/>
      <c r="DF92" s="516"/>
      <c r="DG92" s="508"/>
      <c r="DH92" s="463"/>
      <c r="DI92" s="461"/>
      <c r="DJ92" s="461"/>
      <c r="DK92" s="461"/>
      <c r="DL92" s="464"/>
      <c r="DM92" s="466"/>
      <c r="DN92" s="502"/>
      <c r="DO92" s="460"/>
      <c r="DP92" s="464"/>
      <c r="DQ92" s="464"/>
      <c r="DR92" s="464"/>
      <c r="DS92" s="508"/>
      <c r="DT92" s="525"/>
      <c r="DU92" s="525"/>
      <c r="DV92" s="463"/>
      <c r="DW92" s="464"/>
      <c r="DX92" s="465"/>
      <c r="DY92" s="463"/>
      <c r="DZ92" s="464"/>
      <c r="EA92" s="465"/>
      <c r="EB92" s="463"/>
      <c r="EC92" s="465"/>
      <c r="ED92" s="462"/>
      <c r="EE92" s="502"/>
      <c r="EF92" s="463"/>
      <c r="EG92" s="461"/>
      <c r="EH92" s="464"/>
      <c r="EI92" s="464"/>
      <c r="EJ92" s="464"/>
      <c r="EK92" s="464"/>
      <c r="EL92" s="464"/>
      <c r="EM92" s="464"/>
      <c r="EN92" s="464"/>
      <c r="EO92" s="464"/>
      <c r="EP92" s="464"/>
      <c r="EQ92" s="464"/>
      <c r="ER92" s="464"/>
      <c r="ES92" s="464"/>
      <c r="ET92" s="464"/>
      <c r="EU92" s="464"/>
      <c r="EV92" s="464"/>
      <c r="EW92" s="465"/>
      <c r="EX92" s="465"/>
      <c r="EY92" s="502"/>
      <c r="EZ92" s="460"/>
      <c r="FA92" s="464"/>
      <c r="FB92" s="464"/>
      <c r="FC92" s="464"/>
      <c r="FD92" s="464"/>
      <c r="FE92" s="464"/>
      <c r="FF92" s="464"/>
      <c r="FG92" s="466"/>
    </row>
    <row r="93" spans="1:163">
      <c r="A93" s="467" t="s">
        <v>280</v>
      </c>
      <c r="B93" s="471" t="str">
        <f>IF(ISNUMBER(MATCH(A93, 'Pulldown Data'!W:W, 0))=TRUE, "Y", IF(ISNUMBER(MATCH(A93, 'Pulldown Data'!X:X, 0))=TRUE, "M", ""))</f>
        <v/>
      </c>
      <c r="C93" s="504"/>
      <c r="D93" s="502"/>
      <c r="E93" s="443" t="str">
        <f t="shared" si="90"/>
        <v/>
      </c>
      <c r="F93" s="444" t="str">
        <f t="shared" si="90"/>
        <v/>
      </c>
      <c r="G93" s="444" t="str">
        <f t="shared" si="90"/>
        <v/>
      </c>
      <c r="H93" s="444" t="str">
        <f t="shared" si="90"/>
        <v/>
      </c>
      <c r="I93" s="444" t="str">
        <f t="shared" si="90"/>
        <v/>
      </c>
      <c r="J93" s="444" t="str">
        <f t="shared" si="90"/>
        <v/>
      </c>
      <c r="K93" s="444" t="str">
        <f t="shared" si="90"/>
        <v/>
      </c>
      <c r="L93" s="444" t="str">
        <f t="shared" si="90"/>
        <v/>
      </c>
      <c r="M93" s="444" t="str">
        <f t="shared" si="90"/>
        <v/>
      </c>
      <c r="N93" s="444" t="str">
        <f t="shared" si="90"/>
        <v/>
      </c>
      <c r="O93" s="444" t="str">
        <f t="shared" si="91"/>
        <v/>
      </c>
      <c r="P93" s="444" t="str">
        <f t="shared" si="91"/>
        <v/>
      </c>
      <c r="Q93" s="444" t="str">
        <f t="shared" si="91"/>
        <v/>
      </c>
      <c r="R93" s="444" t="str">
        <f t="shared" si="91"/>
        <v/>
      </c>
      <c r="S93" s="444" t="str">
        <f t="shared" si="91"/>
        <v/>
      </c>
      <c r="T93" s="444" t="str">
        <f t="shared" si="91"/>
        <v/>
      </c>
      <c r="U93" s="444" t="str">
        <f t="shared" si="91"/>
        <v/>
      </c>
      <c r="V93" s="444" t="str">
        <f t="shared" si="91"/>
        <v/>
      </c>
      <c r="W93" s="444" t="str">
        <f t="shared" si="91"/>
        <v/>
      </c>
      <c r="X93" s="444" t="str">
        <f t="shared" si="91"/>
        <v/>
      </c>
      <c r="Y93" s="444" t="str">
        <f t="shared" si="92"/>
        <v/>
      </c>
      <c r="Z93" s="444" t="str">
        <f t="shared" si="92"/>
        <v/>
      </c>
      <c r="AA93" s="444" t="str">
        <f t="shared" si="92"/>
        <v/>
      </c>
      <c r="AB93" s="444" t="str">
        <f t="shared" si="92"/>
        <v/>
      </c>
      <c r="AC93" s="444" t="str">
        <f t="shared" si="92"/>
        <v/>
      </c>
      <c r="AD93" s="444" t="str">
        <f t="shared" si="92"/>
        <v/>
      </c>
      <c r="AE93" s="444" t="str">
        <f t="shared" si="92"/>
        <v/>
      </c>
      <c r="AF93" s="444" t="str">
        <f t="shared" si="92"/>
        <v/>
      </c>
      <c r="AG93" s="444" t="str">
        <f t="shared" si="92"/>
        <v/>
      </c>
      <c r="AH93" s="444" t="str">
        <f t="shared" si="92"/>
        <v/>
      </c>
      <c r="AI93" s="444" t="str">
        <f t="shared" si="93"/>
        <v/>
      </c>
      <c r="AJ93" s="444" t="str">
        <f t="shared" si="93"/>
        <v/>
      </c>
      <c r="AK93" s="444" t="str">
        <f t="shared" si="93"/>
        <v/>
      </c>
      <c r="AL93" s="444" t="str">
        <f t="shared" si="93"/>
        <v/>
      </c>
      <c r="AM93" s="444" t="str">
        <f t="shared" si="93"/>
        <v/>
      </c>
      <c r="AN93" s="444" t="str">
        <f t="shared" si="93"/>
        <v/>
      </c>
      <c r="AO93" s="444" t="str">
        <f t="shared" si="93"/>
        <v/>
      </c>
      <c r="AP93" s="444" t="str">
        <f t="shared" si="93"/>
        <v/>
      </c>
      <c r="AQ93" s="444" t="str">
        <f t="shared" si="93"/>
        <v/>
      </c>
      <c r="AR93" s="444" t="str">
        <f t="shared" si="93"/>
        <v/>
      </c>
      <c r="AS93" s="444" t="str">
        <f t="shared" si="94"/>
        <v/>
      </c>
      <c r="AT93" s="444" t="str">
        <f t="shared" si="94"/>
        <v/>
      </c>
      <c r="AU93" s="444" t="str">
        <f t="shared" si="94"/>
        <v/>
      </c>
      <c r="AV93" s="444" t="str">
        <f t="shared" si="94"/>
        <v/>
      </c>
      <c r="AW93" s="444" t="str">
        <f t="shared" si="94"/>
        <v/>
      </c>
      <c r="AX93" s="444" t="str">
        <f t="shared" si="94"/>
        <v/>
      </c>
      <c r="AY93" s="444" t="str">
        <f t="shared" si="94"/>
        <v/>
      </c>
      <c r="AZ93" s="444" t="str">
        <f t="shared" si="94"/>
        <v/>
      </c>
      <c r="BA93" s="444" t="str">
        <f t="shared" si="94"/>
        <v/>
      </c>
      <c r="BB93" s="444" t="str">
        <f t="shared" si="94"/>
        <v/>
      </c>
      <c r="BC93" s="444" t="str">
        <f t="shared" si="95"/>
        <v/>
      </c>
      <c r="BD93" s="444" t="str">
        <f t="shared" si="95"/>
        <v/>
      </c>
      <c r="BE93" s="444" t="str">
        <f t="shared" si="95"/>
        <v/>
      </c>
      <c r="BF93" s="444" t="str">
        <f t="shared" si="95"/>
        <v/>
      </c>
      <c r="BG93" s="444" t="str">
        <f t="shared" si="95"/>
        <v/>
      </c>
      <c r="BH93" s="445" t="str">
        <f t="shared" si="95"/>
        <v/>
      </c>
      <c r="BI93" s="502"/>
      <c r="BJ93" s="474" t="str">
        <f t="shared" si="96"/>
        <v/>
      </c>
      <c r="BK93" s="475" t="str">
        <f t="shared" si="96"/>
        <v/>
      </c>
      <c r="BL93" s="475" t="str">
        <f t="shared" si="96"/>
        <v/>
      </c>
      <c r="BM93" s="475" t="str">
        <f t="shared" si="96"/>
        <v/>
      </c>
      <c r="BN93" s="475" t="str">
        <f t="shared" si="96"/>
        <v/>
      </c>
      <c r="BO93" s="475" t="str">
        <f t="shared" si="96"/>
        <v/>
      </c>
      <c r="BP93" s="475" t="str">
        <f t="shared" si="96"/>
        <v/>
      </c>
      <c r="BQ93" s="475" t="str">
        <f t="shared" si="96"/>
        <v/>
      </c>
      <c r="BR93" s="475" t="str">
        <f t="shared" si="96"/>
        <v/>
      </c>
      <c r="BS93" s="475" t="str">
        <f t="shared" si="96"/>
        <v/>
      </c>
      <c r="BT93" s="475" t="str">
        <f t="shared" si="97"/>
        <v/>
      </c>
      <c r="BU93" s="475" t="str">
        <f t="shared" si="97"/>
        <v/>
      </c>
      <c r="BV93" s="475" t="str">
        <f t="shared" si="97"/>
        <v/>
      </c>
      <c r="BW93" s="475" t="str">
        <f t="shared" si="97"/>
        <v/>
      </c>
      <c r="BX93" s="475" t="str">
        <f t="shared" si="97"/>
        <v/>
      </c>
      <c r="BY93" s="475" t="str">
        <f t="shared" si="97"/>
        <v/>
      </c>
      <c r="BZ93" s="475" t="str">
        <f t="shared" si="97"/>
        <v/>
      </c>
      <c r="CA93" s="475" t="str">
        <f t="shared" si="97"/>
        <v/>
      </c>
      <c r="CB93" s="475" t="str">
        <f t="shared" si="97"/>
        <v/>
      </c>
      <c r="CC93" s="475" t="str">
        <f t="shared" si="97"/>
        <v/>
      </c>
      <c r="CD93" s="475" t="str">
        <f t="shared" si="98"/>
        <v/>
      </c>
      <c r="CE93" s="475" t="str">
        <f t="shared" si="98"/>
        <v/>
      </c>
      <c r="CF93" s="475" t="str">
        <f t="shared" si="98"/>
        <v/>
      </c>
      <c r="CG93" s="475" t="str">
        <f t="shared" si="98"/>
        <v/>
      </c>
      <c r="CH93" s="475" t="str">
        <f t="shared" si="98"/>
        <v/>
      </c>
      <c r="CI93" s="475" t="str">
        <f t="shared" si="98"/>
        <v/>
      </c>
      <c r="CJ93" s="475" t="str">
        <f t="shared" si="98"/>
        <v/>
      </c>
      <c r="CK93" s="475" t="str">
        <f t="shared" si="98"/>
        <v/>
      </c>
      <c r="CL93" s="475" t="str">
        <f t="shared" si="98"/>
        <v/>
      </c>
      <c r="CM93" s="475" t="str">
        <f t="shared" si="98"/>
        <v/>
      </c>
      <c r="CN93" s="475" t="str">
        <f t="shared" si="99"/>
        <v/>
      </c>
      <c r="CO93" s="475" t="str">
        <f t="shared" si="99"/>
        <v/>
      </c>
      <c r="CP93" s="475" t="str">
        <f t="shared" si="99"/>
        <v/>
      </c>
      <c r="CQ93" s="475" t="str">
        <f t="shared" si="99"/>
        <v/>
      </c>
      <c r="CR93" s="475" t="str">
        <f t="shared" si="99"/>
        <v/>
      </c>
      <c r="CS93" s="475" t="str">
        <f t="shared" si="99"/>
        <v/>
      </c>
      <c r="CT93" s="475" t="str">
        <f t="shared" si="99"/>
        <v/>
      </c>
      <c r="CU93" s="475" t="str">
        <f t="shared" si="99"/>
        <v/>
      </c>
      <c r="CV93" s="475" t="str">
        <f t="shared" si="99"/>
        <v/>
      </c>
      <c r="CW93" s="475" t="str">
        <f t="shared" si="99"/>
        <v/>
      </c>
      <c r="CX93" s="475" t="str">
        <f t="shared" si="99"/>
        <v/>
      </c>
      <c r="CY93" s="475" t="str">
        <f t="shared" si="99"/>
        <v/>
      </c>
      <c r="CZ93" s="495" t="str">
        <f t="shared" si="99"/>
        <v/>
      </c>
      <c r="DA93" s="502"/>
      <c r="DB93" s="460"/>
      <c r="DC93" s="465"/>
      <c r="DD93" s="463"/>
      <c r="DE93" s="512"/>
      <c r="DF93" s="516"/>
      <c r="DG93" s="508"/>
      <c r="DH93" s="463"/>
      <c r="DI93" s="461"/>
      <c r="DJ93" s="461"/>
      <c r="DK93" s="461"/>
      <c r="DL93" s="464"/>
      <c r="DM93" s="466"/>
      <c r="DN93" s="502"/>
      <c r="DO93" s="460"/>
      <c r="DP93" s="464"/>
      <c r="DQ93" s="464"/>
      <c r="DR93" s="464"/>
      <c r="DS93" s="508"/>
      <c r="DT93" s="525"/>
      <c r="DU93" s="525"/>
      <c r="DV93" s="463"/>
      <c r="DW93" s="464"/>
      <c r="DX93" s="465"/>
      <c r="DY93" s="463"/>
      <c r="DZ93" s="464"/>
      <c r="EA93" s="465"/>
      <c r="EB93" s="463"/>
      <c r="EC93" s="465"/>
      <c r="ED93" s="462"/>
      <c r="EE93" s="502"/>
      <c r="EF93" s="463"/>
      <c r="EG93" s="461"/>
      <c r="EH93" s="464"/>
      <c r="EI93" s="464"/>
      <c r="EJ93" s="464"/>
      <c r="EK93" s="464"/>
      <c r="EL93" s="464"/>
      <c r="EM93" s="464"/>
      <c r="EN93" s="464"/>
      <c r="EO93" s="464"/>
      <c r="EP93" s="464"/>
      <c r="EQ93" s="464"/>
      <c r="ER93" s="464"/>
      <c r="ES93" s="464"/>
      <c r="ET93" s="464"/>
      <c r="EU93" s="464"/>
      <c r="EV93" s="464"/>
      <c r="EW93" s="465"/>
      <c r="EX93" s="465"/>
      <c r="EY93" s="502"/>
      <c r="EZ93" s="460"/>
      <c r="FA93" s="464"/>
      <c r="FB93" s="464"/>
      <c r="FC93" s="464"/>
      <c r="FD93" s="464"/>
      <c r="FE93" s="464"/>
      <c r="FF93" s="464"/>
      <c r="FG93" s="466"/>
    </row>
    <row r="94" spans="1:163">
      <c r="A94" s="467" t="s">
        <v>281</v>
      </c>
      <c r="B94" s="471" t="str">
        <f>IF(ISNUMBER(MATCH(A94, 'Pulldown Data'!W:W, 0))=TRUE, "Y", IF(ISNUMBER(MATCH(A94, 'Pulldown Data'!X:X, 0))=TRUE, "M", ""))</f>
        <v/>
      </c>
      <c r="C94" s="504"/>
      <c r="D94" s="502"/>
      <c r="E94" s="443" t="str">
        <f t="shared" si="90"/>
        <v/>
      </c>
      <c r="F94" s="444" t="str">
        <f t="shared" si="90"/>
        <v/>
      </c>
      <c r="G94" s="444" t="str">
        <f t="shared" si="90"/>
        <v/>
      </c>
      <c r="H94" s="444" t="str">
        <f t="shared" si="90"/>
        <v/>
      </c>
      <c r="I94" s="444" t="str">
        <f t="shared" si="90"/>
        <v/>
      </c>
      <c r="J94" s="444" t="str">
        <f t="shared" si="90"/>
        <v/>
      </c>
      <c r="K94" s="444" t="str">
        <f t="shared" si="90"/>
        <v/>
      </c>
      <c r="L94" s="444" t="str">
        <f t="shared" si="90"/>
        <v/>
      </c>
      <c r="M94" s="444" t="str">
        <f t="shared" si="90"/>
        <v/>
      </c>
      <c r="N94" s="444" t="str">
        <f t="shared" si="90"/>
        <v/>
      </c>
      <c r="O94" s="444" t="str">
        <f t="shared" si="91"/>
        <v/>
      </c>
      <c r="P94" s="444" t="str">
        <f t="shared" si="91"/>
        <v/>
      </c>
      <c r="Q94" s="444" t="str">
        <f t="shared" si="91"/>
        <v/>
      </c>
      <c r="R94" s="444" t="str">
        <f t="shared" si="91"/>
        <v/>
      </c>
      <c r="S94" s="444" t="str">
        <f t="shared" si="91"/>
        <v/>
      </c>
      <c r="T94" s="444" t="str">
        <f t="shared" si="91"/>
        <v/>
      </c>
      <c r="U94" s="444" t="str">
        <f t="shared" si="91"/>
        <v/>
      </c>
      <c r="V94" s="444" t="str">
        <f t="shared" si="91"/>
        <v/>
      </c>
      <c r="W94" s="444" t="str">
        <f t="shared" si="91"/>
        <v/>
      </c>
      <c r="X94" s="444" t="str">
        <f t="shared" si="91"/>
        <v/>
      </c>
      <c r="Y94" s="444" t="str">
        <f t="shared" si="92"/>
        <v/>
      </c>
      <c r="Z94" s="444" t="str">
        <f t="shared" si="92"/>
        <v/>
      </c>
      <c r="AA94" s="444" t="str">
        <f t="shared" si="92"/>
        <v/>
      </c>
      <c r="AB94" s="444" t="str">
        <f t="shared" si="92"/>
        <v/>
      </c>
      <c r="AC94" s="444" t="str">
        <f t="shared" si="92"/>
        <v/>
      </c>
      <c r="AD94" s="444" t="str">
        <f t="shared" si="92"/>
        <v/>
      </c>
      <c r="AE94" s="444" t="str">
        <f t="shared" si="92"/>
        <v/>
      </c>
      <c r="AF94" s="444" t="str">
        <f t="shared" si="92"/>
        <v/>
      </c>
      <c r="AG94" s="444" t="str">
        <f t="shared" si="92"/>
        <v/>
      </c>
      <c r="AH94" s="444" t="str">
        <f t="shared" si="92"/>
        <v/>
      </c>
      <c r="AI94" s="444" t="str">
        <f t="shared" si="93"/>
        <v/>
      </c>
      <c r="AJ94" s="444" t="str">
        <f t="shared" si="93"/>
        <v/>
      </c>
      <c r="AK94" s="444" t="str">
        <f t="shared" si="93"/>
        <v/>
      </c>
      <c r="AL94" s="444" t="str">
        <f t="shared" si="93"/>
        <v/>
      </c>
      <c r="AM94" s="444" t="str">
        <f t="shared" si="93"/>
        <v/>
      </c>
      <c r="AN94" s="444" t="str">
        <f t="shared" si="93"/>
        <v/>
      </c>
      <c r="AO94" s="444" t="str">
        <f t="shared" si="93"/>
        <v/>
      </c>
      <c r="AP94" s="444" t="str">
        <f t="shared" si="93"/>
        <v/>
      </c>
      <c r="AQ94" s="444" t="str">
        <f t="shared" si="93"/>
        <v/>
      </c>
      <c r="AR94" s="444" t="str">
        <f t="shared" si="93"/>
        <v/>
      </c>
      <c r="AS94" s="444" t="str">
        <f t="shared" si="94"/>
        <v/>
      </c>
      <c r="AT94" s="444" t="str">
        <f t="shared" si="94"/>
        <v/>
      </c>
      <c r="AU94" s="444" t="str">
        <f t="shared" si="94"/>
        <v/>
      </c>
      <c r="AV94" s="444" t="str">
        <f t="shared" si="94"/>
        <v/>
      </c>
      <c r="AW94" s="444" t="str">
        <f t="shared" si="94"/>
        <v/>
      </c>
      <c r="AX94" s="444" t="str">
        <f t="shared" si="94"/>
        <v/>
      </c>
      <c r="AY94" s="444" t="str">
        <f t="shared" si="94"/>
        <v/>
      </c>
      <c r="AZ94" s="444" t="str">
        <f t="shared" si="94"/>
        <v/>
      </c>
      <c r="BA94" s="444" t="str">
        <f t="shared" si="94"/>
        <v/>
      </c>
      <c r="BB94" s="444" t="str">
        <f t="shared" si="94"/>
        <v/>
      </c>
      <c r="BC94" s="444" t="str">
        <f t="shared" si="95"/>
        <v/>
      </c>
      <c r="BD94" s="444" t="str">
        <f t="shared" si="95"/>
        <v/>
      </c>
      <c r="BE94" s="444" t="str">
        <f t="shared" si="95"/>
        <v/>
      </c>
      <c r="BF94" s="444" t="str">
        <f t="shared" si="95"/>
        <v/>
      </c>
      <c r="BG94" s="444" t="str">
        <f t="shared" si="95"/>
        <v/>
      </c>
      <c r="BH94" s="445" t="str">
        <f t="shared" si="95"/>
        <v/>
      </c>
      <c r="BI94" s="502"/>
      <c r="BJ94" s="474" t="str">
        <f t="shared" si="96"/>
        <v/>
      </c>
      <c r="BK94" s="475" t="str">
        <f t="shared" si="96"/>
        <v/>
      </c>
      <c r="BL94" s="475" t="str">
        <f t="shared" si="96"/>
        <v/>
      </c>
      <c r="BM94" s="475" t="str">
        <f t="shared" si="96"/>
        <v/>
      </c>
      <c r="BN94" s="475" t="str">
        <f t="shared" si="96"/>
        <v/>
      </c>
      <c r="BO94" s="475" t="str">
        <f t="shared" si="96"/>
        <v/>
      </c>
      <c r="BP94" s="475" t="str">
        <f t="shared" si="96"/>
        <v/>
      </c>
      <c r="BQ94" s="475" t="str">
        <f t="shared" si="96"/>
        <v/>
      </c>
      <c r="BR94" s="475" t="str">
        <f t="shared" si="96"/>
        <v/>
      </c>
      <c r="BS94" s="475" t="str">
        <f t="shared" si="96"/>
        <v/>
      </c>
      <c r="BT94" s="475" t="str">
        <f t="shared" si="97"/>
        <v/>
      </c>
      <c r="BU94" s="475" t="str">
        <f t="shared" si="97"/>
        <v/>
      </c>
      <c r="BV94" s="475" t="str">
        <f t="shared" si="97"/>
        <v/>
      </c>
      <c r="BW94" s="475" t="str">
        <f t="shared" si="97"/>
        <v/>
      </c>
      <c r="BX94" s="475" t="str">
        <f t="shared" si="97"/>
        <v/>
      </c>
      <c r="BY94" s="475" t="str">
        <f t="shared" si="97"/>
        <v/>
      </c>
      <c r="BZ94" s="475" t="str">
        <f t="shared" si="97"/>
        <v/>
      </c>
      <c r="CA94" s="475" t="str">
        <f t="shared" si="97"/>
        <v/>
      </c>
      <c r="CB94" s="475" t="str">
        <f t="shared" si="97"/>
        <v/>
      </c>
      <c r="CC94" s="475" t="str">
        <f t="shared" si="97"/>
        <v/>
      </c>
      <c r="CD94" s="475" t="str">
        <f t="shared" si="98"/>
        <v/>
      </c>
      <c r="CE94" s="475" t="str">
        <f t="shared" si="98"/>
        <v/>
      </c>
      <c r="CF94" s="475" t="str">
        <f t="shared" si="98"/>
        <v/>
      </c>
      <c r="CG94" s="475" t="str">
        <f t="shared" si="98"/>
        <v/>
      </c>
      <c r="CH94" s="475" t="str">
        <f t="shared" si="98"/>
        <v/>
      </c>
      <c r="CI94" s="475" t="str">
        <f t="shared" si="98"/>
        <v/>
      </c>
      <c r="CJ94" s="475" t="str">
        <f t="shared" si="98"/>
        <v/>
      </c>
      <c r="CK94" s="475" t="str">
        <f t="shared" si="98"/>
        <v/>
      </c>
      <c r="CL94" s="475" t="str">
        <f t="shared" si="98"/>
        <v/>
      </c>
      <c r="CM94" s="475" t="str">
        <f t="shared" si="98"/>
        <v/>
      </c>
      <c r="CN94" s="475" t="str">
        <f t="shared" si="99"/>
        <v/>
      </c>
      <c r="CO94" s="475" t="str">
        <f t="shared" si="99"/>
        <v/>
      </c>
      <c r="CP94" s="475" t="str">
        <f t="shared" si="99"/>
        <v/>
      </c>
      <c r="CQ94" s="475" t="str">
        <f t="shared" si="99"/>
        <v/>
      </c>
      <c r="CR94" s="475" t="str">
        <f t="shared" si="99"/>
        <v/>
      </c>
      <c r="CS94" s="475" t="str">
        <f t="shared" si="99"/>
        <v/>
      </c>
      <c r="CT94" s="475" t="str">
        <f t="shared" si="99"/>
        <v/>
      </c>
      <c r="CU94" s="475" t="str">
        <f t="shared" si="99"/>
        <v/>
      </c>
      <c r="CV94" s="475" t="str">
        <f t="shared" si="99"/>
        <v/>
      </c>
      <c r="CW94" s="475" t="str">
        <f t="shared" si="99"/>
        <v/>
      </c>
      <c r="CX94" s="475" t="str">
        <f t="shared" si="99"/>
        <v/>
      </c>
      <c r="CY94" s="475" t="str">
        <f t="shared" si="99"/>
        <v/>
      </c>
      <c r="CZ94" s="495" t="str">
        <f t="shared" si="99"/>
        <v/>
      </c>
      <c r="DA94" s="502"/>
      <c r="DB94" s="460"/>
      <c r="DC94" s="465"/>
      <c r="DD94" s="463"/>
      <c r="DE94" s="512"/>
      <c r="DF94" s="516"/>
      <c r="DG94" s="508"/>
      <c r="DH94" s="463"/>
      <c r="DI94" s="461"/>
      <c r="DJ94" s="461"/>
      <c r="DK94" s="461"/>
      <c r="DL94" s="464"/>
      <c r="DM94" s="466"/>
      <c r="DN94" s="502"/>
      <c r="DO94" s="460"/>
      <c r="DP94" s="464"/>
      <c r="DQ94" s="464"/>
      <c r="DR94" s="464"/>
      <c r="DS94" s="508"/>
      <c r="DT94" s="525"/>
      <c r="DU94" s="525"/>
      <c r="DV94" s="463"/>
      <c r="DW94" s="464"/>
      <c r="DX94" s="465"/>
      <c r="DY94" s="463"/>
      <c r="DZ94" s="464"/>
      <c r="EA94" s="465"/>
      <c r="EB94" s="463"/>
      <c r="EC94" s="465"/>
      <c r="ED94" s="462"/>
      <c r="EE94" s="502"/>
      <c r="EF94" s="463"/>
      <c r="EG94" s="461"/>
      <c r="EH94" s="464"/>
      <c r="EI94" s="464"/>
      <c r="EJ94" s="464"/>
      <c r="EK94" s="464"/>
      <c r="EL94" s="464"/>
      <c r="EM94" s="464"/>
      <c r="EN94" s="464"/>
      <c r="EO94" s="464"/>
      <c r="EP94" s="464"/>
      <c r="EQ94" s="464"/>
      <c r="ER94" s="464"/>
      <c r="ES94" s="464"/>
      <c r="ET94" s="464"/>
      <c r="EU94" s="464"/>
      <c r="EV94" s="464"/>
      <c r="EW94" s="465"/>
      <c r="EX94" s="465"/>
      <c r="EY94" s="502"/>
      <c r="EZ94" s="460"/>
      <c r="FA94" s="464"/>
      <c r="FB94" s="464"/>
      <c r="FC94" s="464"/>
      <c r="FD94" s="464"/>
      <c r="FE94" s="464"/>
      <c r="FF94" s="464"/>
      <c r="FG94" s="466"/>
    </row>
    <row r="95" spans="1:163">
      <c r="A95" s="467" t="s">
        <v>282</v>
      </c>
      <c r="B95" s="471" t="str">
        <f>IF(ISNUMBER(MATCH(A95, 'Pulldown Data'!W:W, 0))=TRUE, "Y", IF(ISNUMBER(MATCH(A95, 'Pulldown Data'!X:X, 0))=TRUE, "M", ""))</f>
        <v/>
      </c>
      <c r="C95" s="504"/>
      <c r="D95" s="502"/>
      <c r="E95" s="443" t="str">
        <f t="shared" si="90"/>
        <v/>
      </c>
      <c r="F95" s="444" t="str">
        <f t="shared" si="90"/>
        <v/>
      </c>
      <c r="G95" s="444" t="str">
        <f t="shared" si="90"/>
        <v/>
      </c>
      <c r="H95" s="444" t="str">
        <f t="shared" si="90"/>
        <v/>
      </c>
      <c r="I95" s="444" t="str">
        <f t="shared" si="90"/>
        <v/>
      </c>
      <c r="J95" s="444" t="str">
        <f t="shared" si="90"/>
        <v/>
      </c>
      <c r="K95" s="444" t="str">
        <f t="shared" si="90"/>
        <v/>
      </c>
      <c r="L95" s="444" t="str">
        <f t="shared" si="90"/>
        <v/>
      </c>
      <c r="M95" s="444" t="str">
        <f t="shared" si="90"/>
        <v/>
      </c>
      <c r="N95" s="444" t="str">
        <f t="shared" si="90"/>
        <v/>
      </c>
      <c r="O95" s="444" t="str">
        <f t="shared" si="91"/>
        <v/>
      </c>
      <c r="P95" s="444" t="str">
        <f t="shared" si="91"/>
        <v/>
      </c>
      <c r="Q95" s="444" t="str">
        <f t="shared" si="91"/>
        <v/>
      </c>
      <c r="R95" s="444" t="str">
        <f t="shared" si="91"/>
        <v/>
      </c>
      <c r="S95" s="444" t="str">
        <f t="shared" si="91"/>
        <v/>
      </c>
      <c r="T95" s="444" t="str">
        <f t="shared" si="91"/>
        <v/>
      </c>
      <c r="U95" s="444" t="str">
        <f t="shared" si="91"/>
        <v/>
      </c>
      <c r="V95" s="444" t="str">
        <f t="shared" si="91"/>
        <v/>
      </c>
      <c r="W95" s="444" t="str">
        <f t="shared" si="91"/>
        <v/>
      </c>
      <c r="X95" s="444" t="str">
        <f t="shared" si="91"/>
        <v/>
      </c>
      <c r="Y95" s="444" t="str">
        <f t="shared" si="92"/>
        <v/>
      </c>
      <c r="Z95" s="444" t="str">
        <f t="shared" si="92"/>
        <v/>
      </c>
      <c r="AA95" s="444" t="str">
        <f t="shared" si="92"/>
        <v/>
      </c>
      <c r="AB95" s="444" t="str">
        <f t="shared" si="92"/>
        <v/>
      </c>
      <c r="AC95" s="444" t="str">
        <f t="shared" si="92"/>
        <v/>
      </c>
      <c r="AD95" s="444" t="str">
        <f t="shared" si="92"/>
        <v/>
      </c>
      <c r="AE95" s="444" t="str">
        <f t="shared" si="92"/>
        <v/>
      </c>
      <c r="AF95" s="444" t="str">
        <f t="shared" si="92"/>
        <v/>
      </c>
      <c r="AG95" s="444" t="str">
        <f t="shared" si="92"/>
        <v/>
      </c>
      <c r="AH95" s="444" t="str">
        <f t="shared" si="92"/>
        <v/>
      </c>
      <c r="AI95" s="444" t="str">
        <f t="shared" si="93"/>
        <v/>
      </c>
      <c r="AJ95" s="444" t="str">
        <f t="shared" si="93"/>
        <v/>
      </c>
      <c r="AK95" s="444" t="str">
        <f t="shared" si="93"/>
        <v/>
      </c>
      <c r="AL95" s="444" t="str">
        <f t="shared" si="93"/>
        <v/>
      </c>
      <c r="AM95" s="444" t="str">
        <f t="shared" si="93"/>
        <v/>
      </c>
      <c r="AN95" s="444" t="str">
        <f t="shared" si="93"/>
        <v/>
      </c>
      <c r="AO95" s="444" t="str">
        <f t="shared" si="93"/>
        <v/>
      </c>
      <c r="AP95" s="444" t="str">
        <f t="shared" si="93"/>
        <v/>
      </c>
      <c r="AQ95" s="444" t="str">
        <f t="shared" si="93"/>
        <v/>
      </c>
      <c r="AR95" s="444" t="str">
        <f t="shared" si="93"/>
        <v/>
      </c>
      <c r="AS95" s="444" t="str">
        <f t="shared" si="94"/>
        <v/>
      </c>
      <c r="AT95" s="444" t="str">
        <f t="shared" si="94"/>
        <v/>
      </c>
      <c r="AU95" s="444" t="str">
        <f t="shared" si="94"/>
        <v/>
      </c>
      <c r="AV95" s="444" t="str">
        <f t="shared" si="94"/>
        <v/>
      </c>
      <c r="AW95" s="444" t="str">
        <f t="shared" si="94"/>
        <v/>
      </c>
      <c r="AX95" s="444" t="str">
        <f t="shared" si="94"/>
        <v/>
      </c>
      <c r="AY95" s="444" t="str">
        <f t="shared" si="94"/>
        <v/>
      </c>
      <c r="AZ95" s="444" t="str">
        <f t="shared" si="94"/>
        <v/>
      </c>
      <c r="BA95" s="444" t="str">
        <f t="shared" si="94"/>
        <v/>
      </c>
      <c r="BB95" s="444" t="str">
        <f t="shared" si="94"/>
        <v/>
      </c>
      <c r="BC95" s="444" t="str">
        <f t="shared" si="95"/>
        <v/>
      </c>
      <c r="BD95" s="444" t="str">
        <f t="shared" si="95"/>
        <v/>
      </c>
      <c r="BE95" s="444" t="str">
        <f t="shared" si="95"/>
        <v/>
      </c>
      <c r="BF95" s="444" t="str">
        <f t="shared" si="95"/>
        <v/>
      </c>
      <c r="BG95" s="444" t="str">
        <f t="shared" si="95"/>
        <v/>
      </c>
      <c r="BH95" s="445" t="str">
        <f t="shared" si="95"/>
        <v/>
      </c>
      <c r="BI95" s="502"/>
      <c r="BJ95" s="474" t="str">
        <f t="shared" si="96"/>
        <v/>
      </c>
      <c r="BK95" s="475" t="str">
        <f t="shared" si="96"/>
        <v/>
      </c>
      <c r="BL95" s="475" t="str">
        <f t="shared" si="96"/>
        <v/>
      </c>
      <c r="BM95" s="475" t="str">
        <f t="shared" si="96"/>
        <v/>
      </c>
      <c r="BN95" s="475" t="str">
        <f t="shared" si="96"/>
        <v/>
      </c>
      <c r="BO95" s="475" t="str">
        <f t="shared" si="96"/>
        <v/>
      </c>
      <c r="BP95" s="475" t="str">
        <f t="shared" si="96"/>
        <v/>
      </c>
      <c r="BQ95" s="475" t="str">
        <f t="shared" si="96"/>
        <v/>
      </c>
      <c r="BR95" s="475" t="str">
        <f t="shared" si="96"/>
        <v/>
      </c>
      <c r="BS95" s="475" t="str">
        <f t="shared" si="96"/>
        <v/>
      </c>
      <c r="BT95" s="475" t="str">
        <f t="shared" si="97"/>
        <v/>
      </c>
      <c r="BU95" s="475" t="str">
        <f t="shared" si="97"/>
        <v/>
      </c>
      <c r="BV95" s="475" t="str">
        <f t="shared" si="97"/>
        <v/>
      </c>
      <c r="BW95" s="475" t="str">
        <f t="shared" si="97"/>
        <v/>
      </c>
      <c r="BX95" s="475" t="str">
        <f t="shared" si="97"/>
        <v/>
      </c>
      <c r="BY95" s="475" t="str">
        <f t="shared" si="97"/>
        <v/>
      </c>
      <c r="BZ95" s="475" t="str">
        <f t="shared" si="97"/>
        <v/>
      </c>
      <c r="CA95" s="475" t="str">
        <f t="shared" si="97"/>
        <v/>
      </c>
      <c r="CB95" s="475" t="str">
        <f t="shared" si="97"/>
        <v/>
      </c>
      <c r="CC95" s="475" t="str">
        <f t="shared" si="97"/>
        <v/>
      </c>
      <c r="CD95" s="475" t="str">
        <f t="shared" si="98"/>
        <v/>
      </c>
      <c r="CE95" s="475" t="str">
        <f t="shared" si="98"/>
        <v/>
      </c>
      <c r="CF95" s="475" t="str">
        <f t="shared" si="98"/>
        <v/>
      </c>
      <c r="CG95" s="475" t="str">
        <f t="shared" si="98"/>
        <v/>
      </c>
      <c r="CH95" s="475" t="str">
        <f t="shared" si="98"/>
        <v/>
      </c>
      <c r="CI95" s="475" t="str">
        <f t="shared" si="98"/>
        <v/>
      </c>
      <c r="CJ95" s="475" t="str">
        <f t="shared" si="98"/>
        <v/>
      </c>
      <c r="CK95" s="475" t="str">
        <f t="shared" si="98"/>
        <v/>
      </c>
      <c r="CL95" s="475" t="str">
        <f t="shared" si="98"/>
        <v/>
      </c>
      <c r="CM95" s="475" t="str">
        <f t="shared" si="98"/>
        <v/>
      </c>
      <c r="CN95" s="475" t="str">
        <f t="shared" si="99"/>
        <v/>
      </c>
      <c r="CO95" s="475" t="str">
        <f t="shared" si="99"/>
        <v/>
      </c>
      <c r="CP95" s="475" t="str">
        <f t="shared" si="99"/>
        <v/>
      </c>
      <c r="CQ95" s="475" t="str">
        <f t="shared" si="99"/>
        <v/>
      </c>
      <c r="CR95" s="475" t="str">
        <f t="shared" si="99"/>
        <v/>
      </c>
      <c r="CS95" s="475" t="str">
        <f t="shared" si="99"/>
        <v/>
      </c>
      <c r="CT95" s="475" t="str">
        <f t="shared" si="99"/>
        <v/>
      </c>
      <c r="CU95" s="475" t="str">
        <f t="shared" si="99"/>
        <v/>
      </c>
      <c r="CV95" s="475" t="str">
        <f t="shared" si="99"/>
        <v/>
      </c>
      <c r="CW95" s="475" t="str">
        <f t="shared" si="99"/>
        <v/>
      </c>
      <c r="CX95" s="475" t="str">
        <f t="shared" si="99"/>
        <v/>
      </c>
      <c r="CY95" s="475" t="str">
        <f t="shared" si="99"/>
        <v/>
      </c>
      <c r="CZ95" s="495" t="str">
        <f t="shared" si="99"/>
        <v/>
      </c>
      <c r="DA95" s="502"/>
      <c r="DB95" s="460"/>
      <c r="DC95" s="465"/>
      <c r="DD95" s="463"/>
      <c r="DE95" s="512"/>
      <c r="DF95" s="516"/>
      <c r="DG95" s="508"/>
      <c r="DH95" s="463"/>
      <c r="DI95" s="461"/>
      <c r="DJ95" s="461"/>
      <c r="DK95" s="461"/>
      <c r="DL95" s="464"/>
      <c r="DM95" s="466"/>
      <c r="DN95" s="502"/>
      <c r="DO95" s="460"/>
      <c r="DP95" s="464"/>
      <c r="DQ95" s="464"/>
      <c r="DR95" s="464"/>
      <c r="DS95" s="508"/>
      <c r="DT95" s="525"/>
      <c r="DU95" s="525"/>
      <c r="DV95" s="463"/>
      <c r="DW95" s="464"/>
      <c r="DX95" s="465"/>
      <c r="DY95" s="463"/>
      <c r="DZ95" s="464"/>
      <c r="EA95" s="465"/>
      <c r="EB95" s="463"/>
      <c r="EC95" s="465"/>
      <c r="ED95" s="462"/>
      <c r="EE95" s="502"/>
      <c r="EF95" s="463"/>
      <c r="EG95" s="461"/>
      <c r="EH95" s="464"/>
      <c r="EI95" s="464"/>
      <c r="EJ95" s="464"/>
      <c r="EK95" s="464"/>
      <c r="EL95" s="464"/>
      <c r="EM95" s="464"/>
      <c r="EN95" s="464"/>
      <c r="EO95" s="464"/>
      <c r="EP95" s="464"/>
      <c r="EQ95" s="464"/>
      <c r="ER95" s="464"/>
      <c r="ES95" s="464"/>
      <c r="ET95" s="464"/>
      <c r="EU95" s="464"/>
      <c r="EV95" s="464"/>
      <c r="EW95" s="465"/>
      <c r="EX95" s="465"/>
      <c r="EY95" s="502"/>
      <c r="EZ95" s="460"/>
      <c r="FA95" s="464"/>
      <c r="FB95" s="464"/>
      <c r="FC95" s="464"/>
      <c r="FD95" s="464"/>
      <c r="FE95" s="464"/>
      <c r="FF95" s="464"/>
      <c r="FG95" s="466"/>
    </row>
    <row r="96" spans="1:163">
      <c r="A96" s="467" t="s">
        <v>283</v>
      </c>
      <c r="B96" s="471" t="str">
        <f>IF(ISNUMBER(MATCH(A96, 'Pulldown Data'!W:W, 0))=TRUE, "Y", IF(ISNUMBER(MATCH(A96, 'Pulldown Data'!X:X, 0))=TRUE, "M", ""))</f>
        <v/>
      </c>
      <c r="C96" s="504"/>
      <c r="D96" s="502"/>
      <c r="E96" s="443" t="str">
        <f t="shared" si="90"/>
        <v/>
      </c>
      <c r="F96" s="444" t="str">
        <f t="shared" si="90"/>
        <v/>
      </c>
      <c r="G96" s="444" t="str">
        <f t="shared" si="90"/>
        <v/>
      </c>
      <c r="H96" s="444" t="str">
        <f t="shared" si="90"/>
        <v/>
      </c>
      <c r="I96" s="444" t="str">
        <f t="shared" si="90"/>
        <v/>
      </c>
      <c r="J96" s="444" t="str">
        <f t="shared" si="90"/>
        <v/>
      </c>
      <c r="K96" s="444" t="str">
        <f t="shared" si="90"/>
        <v/>
      </c>
      <c r="L96" s="444" t="str">
        <f t="shared" si="90"/>
        <v/>
      </c>
      <c r="M96" s="444" t="str">
        <f t="shared" si="90"/>
        <v/>
      </c>
      <c r="N96" s="444" t="str">
        <f t="shared" si="90"/>
        <v/>
      </c>
      <c r="O96" s="444" t="str">
        <f t="shared" si="91"/>
        <v/>
      </c>
      <c r="P96" s="444" t="str">
        <f t="shared" si="91"/>
        <v/>
      </c>
      <c r="Q96" s="444" t="str">
        <f t="shared" si="91"/>
        <v/>
      </c>
      <c r="R96" s="444" t="str">
        <f t="shared" si="91"/>
        <v/>
      </c>
      <c r="S96" s="444" t="str">
        <f t="shared" si="91"/>
        <v/>
      </c>
      <c r="T96" s="444" t="str">
        <f t="shared" si="91"/>
        <v/>
      </c>
      <c r="U96" s="444" t="str">
        <f t="shared" si="91"/>
        <v/>
      </c>
      <c r="V96" s="444" t="str">
        <f t="shared" si="91"/>
        <v/>
      </c>
      <c r="W96" s="444" t="str">
        <f t="shared" si="91"/>
        <v/>
      </c>
      <c r="X96" s="444" t="str">
        <f t="shared" si="91"/>
        <v/>
      </c>
      <c r="Y96" s="444" t="str">
        <f t="shared" si="92"/>
        <v/>
      </c>
      <c r="Z96" s="444" t="str">
        <f t="shared" si="92"/>
        <v/>
      </c>
      <c r="AA96" s="444" t="str">
        <f t="shared" si="92"/>
        <v/>
      </c>
      <c r="AB96" s="444" t="str">
        <f t="shared" si="92"/>
        <v/>
      </c>
      <c r="AC96" s="444" t="str">
        <f t="shared" si="92"/>
        <v/>
      </c>
      <c r="AD96" s="444" t="str">
        <f t="shared" si="92"/>
        <v/>
      </c>
      <c r="AE96" s="444" t="str">
        <f t="shared" si="92"/>
        <v/>
      </c>
      <c r="AF96" s="444" t="str">
        <f t="shared" si="92"/>
        <v/>
      </c>
      <c r="AG96" s="444" t="str">
        <f t="shared" si="92"/>
        <v/>
      </c>
      <c r="AH96" s="444" t="str">
        <f t="shared" si="92"/>
        <v/>
      </c>
      <c r="AI96" s="444" t="str">
        <f t="shared" si="93"/>
        <v/>
      </c>
      <c r="AJ96" s="444" t="str">
        <f t="shared" si="93"/>
        <v/>
      </c>
      <c r="AK96" s="444" t="str">
        <f t="shared" si="93"/>
        <v/>
      </c>
      <c r="AL96" s="444" t="str">
        <f t="shared" si="93"/>
        <v/>
      </c>
      <c r="AM96" s="444" t="str">
        <f t="shared" si="93"/>
        <v/>
      </c>
      <c r="AN96" s="444" t="str">
        <f t="shared" si="93"/>
        <v/>
      </c>
      <c r="AO96" s="444" t="str">
        <f t="shared" si="93"/>
        <v/>
      </c>
      <c r="AP96" s="444" t="str">
        <f t="shared" si="93"/>
        <v/>
      </c>
      <c r="AQ96" s="444" t="str">
        <f t="shared" si="93"/>
        <v/>
      </c>
      <c r="AR96" s="444" t="str">
        <f t="shared" si="93"/>
        <v/>
      </c>
      <c r="AS96" s="444" t="str">
        <f t="shared" si="94"/>
        <v/>
      </c>
      <c r="AT96" s="444" t="str">
        <f t="shared" si="94"/>
        <v/>
      </c>
      <c r="AU96" s="444" t="str">
        <f t="shared" si="94"/>
        <v/>
      </c>
      <c r="AV96" s="444" t="str">
        <f t="shared" si="94"/>
        <v/>
      </c>
      <c r="AW96" s="444" t="str">
        <f t="shared" si="94"/>
        <v/>
      </c>
      <c r="AX96" s="444" t="str">
        <f t="shared" si="94"/>
        <v/>
      </c>
      <c r="AY96" s="444" t="str">
        <f t="shared" si="94"/>
        <v/>
      </c>
      <c r="AZ96" s="444" t="str">
        <f t="shared" si="94"/>
        <v/>
      </c>
      <c r="BA96" s="444" t="str">
        <f t="shared" si="94"/>
        <v/>
      </c>
      <c r="BB96" s="444" t="str">
        <f t="shared" si="94"/>
        <v/>
      </c>
      <c r="BC96" s="444" t="str">
        <f t="shared" si="95"/>
        <v/>
      </c>
      <c r="BD96" s="444" t="str">
        <f t="shared" si="95"/>
        <v/>
      </c>
      <c r="BE96" s="444" t="str">
        <f t="shared" si="95"/>
        <v/>
      </c>
      <c r="BF96" s="444" t="str">
        <f t="shared" si="95"/>
        <v/>
      </c>
      <c r="BG96" s="444" t="str">
        <f t="shared" si="95"/>
        <v/>
      </c>
      <c r="BH96" s="445" t="str">
        <f t="shared" si="95"/>
        <v/>
      </c>
      <c r="BI96" s="502"/>
      <c r="BJ96" s="474" t="str">
        <f t="shared" si="96"/>
        <v/>
      </c>
      <c r="BK96" s="475" t="str">
        <f t="shared" si="96"/>
        <v/>
      </c>
      <c r="BL96" s="475" t="str">
        <f t="shared" si="96"/>
        <v/>
      </c>
      <c r="BM96" s="475" t="str">
        <f t="shared" si="96"/>
        <v/>
      </c>
      <c r="BN96" s="475" t="str">
        <f t="shared" si="96"/>
        <v/>
      </c>
      <c r="BO96" s="475" t="str">
        <f t="shared" si="96"/>
        <v/>
      </c>
      <c r="BP96" s="475" t="str">
        <f t="shared" si="96"/>
        <v/>
      </c>
      <c r="BQ96" s="475" t="str">
        <f t="shared" si="96"/>
        <v/>
      </c>
      <c r="BR96" s="475" t="str">
        <f t="shared" si="96"/>
        <v/>
      </c>
      <c r="BS96" s="475" t="str">
        <f t="shared" si="96"/>
        <v/>
      </c>
      <c r="BT96" s="475" t="str">
        <f t="shared" si="97"/>
        <v/>
      </c>
      <c r="BU96" s="475" t="str">
        <f t="shared" si="97"/>
        <v/>
      </c>
      <c r="BV96" s="475" t="str">
        <f t="shared" si="97"/>
        <v/>
      </c>
      <c r="BW96" s="475" t="str">
        <f t="shared" si="97"/>
        <v/>
      </c>
      <c r="BX96" s="475" t="str">
        <f t="shared" si="97"/>
        <v/>
      </c>
      <c r="BY96" s="475" t="str">
        <f t="shared" si="97"/>
        <v/>
      </c>
      <c r="BZ96" s="475" t="str">
        <f t="shared" si="97"/>
        <v/>
      </c>
      <c r="CA96" s="475" t="str">
        <f t="shared" si="97"/>
        <v/>
      </c>
      <c r="CB96" s="475" t="str">
        <f t="shared" si="97"/>
        <v/>
      </c>
      <c r="CC96" s="475" t="str">
        <f t="shared" si="97"/>
        <v/>
      </c>
      <c r="CD96" s="475" t="str">
        <f t="shared" si="98"/>
        <v/>
      </c>
      <c r="CE96" s="475" t="str">
        <f t="shared" si="98"/>
        <v/>
      </c>
      <c r="CF96" s="475" t="str">
        <f t="shared" si="98"/>
        <v/>
      </c>
      <c r="CG96" s="475" t="str">
        <f t="shared" si="98"/>
        <v/>
      </c>
      <c r="CH96" s="475" t="str">
        <f t="shared" si="98"/>
        <v/>
      </c>
      <c r="CI96" s="475" t="str">
        <f t="shared" si="98"/>
        <v/>
      </c>
      <c r="CJ96" s="475" t="str">
        <f t="shared" si="98"/>
        <v/>
      </c>
      <c r="CK96" s="475" t="str">
        <f t="shared" si="98"/>
        <v/>
      </c>
      <c r="CL96" s="475" t="str">
        <f t="shared" si="98"/>
        <v/>
      </c>
      <c r="CM96" s="475" t="str">
        <f t="shared" si="98"/>
        <v/>
      </c>
      <c r="CN96" s="475" t="str">
        <f t="shared" si="99"/>
        <v/>
      </c>
      <c r="CO96" s="475" t="str">
        <f t="shared" si="99"/>
        <v/>
      </c>
      <c r="CP96" s="475" t="str">
        <f t="shared" si="99"/>
        <v/>
      </c>
      <c r="CQ96" s="475" t="str">
        <f t="shared" si="99"/>
        <v/>
      </c>
      <c r="CR96" s="475" t="str">
        <f t="shared" si="99"/>
        <v/>
      </c>
      <c r="CS96" s="475" t="str">
        <f t="shared" si="99"/>
        <v/>
      </c>
      <c r="CT96" s="475" t="str">
        <f t="shared" si="99"/>
        <v/>
      </c>
      <c r="CU96" s="475" t="str">
        <f t="shared" si="99"/>
        <v/>
      </c>
      <c r="CV96" s="475" t="str">
        <f t="shared" si="99"/>
        <v/>
      </c>
      <c r="CW96" s="475" t="str">
        <f t="shared" si="99"/>
        <v/>
      </c>
      <c r="CX96" s="475" t="str">
        <f t="shared" si="99"/>
        <v/>
      </c>
      <c r="CY96" s="475" t="str">
        <f t="shared" si="99"/>
        <v/>
      </c>
      <c r="CZ96" s="495" t="str">
        <f t="shared" si="99"/>
        <v/>
      </c>
      <c r="DA96" s="502"/>
      <c r="DB96" s="460"/>
      <c r="DC96" s="465"/>
      <c r="DD96" s="463"/>
      <c r="DE96" s="512"/>
      <c r="DF96" s="516"/>
      <c r="DG96" s="508"/>
      <c r="DH96" s="463"/>
      <c r="DI96" s="461"/>
      <c r="DJ96" s="461"/>
      <c r="DK96" s="461"/>
      <c r="DL96" s="464"/>
      <c r="DM96" s="466"/>
      <c r="DN96" s="502"/>
      <c r="DO96" s="460"/>
      <c r="DP96" s="464"/>
      <c r="DQ96" s="464"/>
      <c r="DR96" s="464"/>
      <c r="DS96" s="508"/>
      <c r="DT96" s="525"/>
      <c r="DU96" s="525"/>
      <c r="DV96" s="463"/>
      <c r="DW96" s="464"/>
      <c r="DX96" s="465"/>
      <c r="DY96" s="463"/>
      <c r="DZ96" s="464"/>
      <c r="EA96" s="465"/>
      <c r="EB96" s="463"/>
      <c r="EC96" s="465"/>
      <c r="ED96" s="462"/>
      <c r="EE96" s="502"/>
      <c r="EF96" s="463"/>
      <c r="EG96" s="461"/>
      <c r="EH96" s="464"/>
      <c r="EI96" s="464"/>
      <c r="EJ96" s="464"/>
      <c r="EK96" s="464"/>
      <c r="EL96" s="464"/>
      <c r="EM96" s="464"/>
      <c r="EN96" s="464"/>
      <c r="EO96" s="464"/>
      <c r="EP96" s="464"/>
      <c r="EQ96" s="464"/>
      <c r="ER96" s="464"/>
      <c r="ES96" s="464"/>
      <c r="ET96" s="464"/>
      <c r="EU96" s="464"/>
      <c r="EV96" s="464"/>
      <c r="EW96" s="465"/>
      <c r="EX96" s="465"/>
      <c r="EY96" s="502"/>
      <c r="EZ96" s="460"/>
      <c r="FA96" s="464"/>
      <c r="FB96" s="464"/>
      <c r="FC96" s="464"/>
      <c r="FD96" s="464"/>
      <c r="FE96" s="464"/>
      <c r="FF96" s="464"/>
      <c r="FG96" s="466"/>
    </row>
    <row r="97" spans="1:163">
      <c r="A97" s="467" t="s">
        <v>284</v>
      </c>
      <c r="B97" s="471" t="str">
        <f>IF(ISNUMBER(MATCH(A97, 'Pulldown Data'!W:W, 0))=TRUE, "Y", IF(ISNUMBER(MATCH(A97, 'Pulldown Data'!X:X, 0))=TRUE, "M", ""))</f>
        <v/>
      </c>
      <c r="C97" s="504"/>
      <c r="D97" s="502"/>
      <c r="E97" s="443" t="str">
        <f t="shared" si="90"/>
        <v/>
      </c>
      <c r="F97" s="444" t="str">
        <f t="shared" si="90"/>
        <v/>
      </c>
      <c r="G97" s="444" t="str">
        <f t="shared" si="90"/>
        <v/>
      </c>
      <c r="H97" s="444" t="str">
        <f t="shared" si="90"/>
        <v/>
      </c>
      <c r="I97" s="444" t="str">
        <f t="shared" si="90"/>
        <v/>
      </c>
      <c r="J97" s="444" t="str">
        <f t="shared" si="90"/>
        <v/>
      </c>
      <c r="K97" s="444" t="str">
        <f t="shared" si="90"/>
        <v/>
      </c>
      <c r="L97" s="444" t="str">
        <f t="shared" si="90"/>
        <v/>
      </c>
      <c r="M97" s="444" t="str">
        <f t="shared" si="90"/>
        <v/>
      </c>
      <c r="N97" s="444" t="str">
        <f t="shared" si="90"/>
        <v/>
      </c>
      <c r="O97" s="444" t="str">
        <f t="shared" si="91"/>
        <v/>
      </c>
      <c r="P97" s="444" t="str">
        <f t="shared" si="91"/>
        <v/>
      </c>
      <c r="Q97" s="444" t="str">
        <f t="shared" si="91"/>
        <v/>
      </c>
      <c r="R97" s="444" t="str">
        <f t="shared" si="91"/>
        <v/>
      </c>
      <c r="S97" s="444" t="str">
        <f t="shared" si="91"/>
        <v/>
      </c>
      <c r="T97" s="444" t="str">
        <f t="shared" si="91"/>
        <v/>
      </c>
      <c r="U97" s="444" t="str">
        <f t="shared" si="91"/>
        <v/>
      </c>
      <c r="V97" s="444" t="str">
        <f t="shared" si="91"/>
        <v/>
      </c>
      <c r="W97" s="444" t="str">
        <f t="shared" si="91"/>
        <v/>
      </c>
      <c r="X97" s="444" t="str">
        <f t="shared" si="91"/>
        <v/>
      </c>
      <c r="Y97" s="444" t="str">
        <f t="shared" si="92"/>
        <v/>
      </c>
      <c r="Z97" s="444" t="str">
        <f t="shared" si="92"/>
        <v/>
      </c>
      <c r="AA97" s="444" t="str">
        <f t="shared" si="92"/>
        <v/>
      </c>
      <c r="AB97" s="444" t="str">
        <f t="shared" si="92"/>
        <v/>
      </c>
      <c r="AC97" s="444" t="str">
        <f t="shared" si="92"/>
        <v/>
      </c>
      <c r="AD97" s="444" t="str">
        <f t="shared" si="92"/>
        <v/>
      </c>
      <c r="AE97" s="444" t="str">
        <f t="shared" si="92"/>
        <v/>
      </c>
      <c r="AF97" s="444" t="str">
        <f t="shared" si="92"/>
        <v/>
      </c>
      <c r="AG97" s="444" t="str">
        <f t="shared" si="92"/>
        <v/>
      </c>
      <c r="AH97" s="444" t="str">
        <f t="shared" si="92"/>
        <v/>
      </c>
      <c r="AI97" s="444" t="str">
        <f t="shared" si="93"/>
        <v/>
      </c>
      <c r="AJ97" s="444" t="str">
        <f t="shared" si="93"/>
        <v/>
      </c>
      <c r="AK97" s="444" t="str">
        <f t="shared" si="93"/>
        <v/>
      </c>
      <c r="AL97" s="444" t="str">
        <f t="shared" si="93"/>
        <v/>
      </c>
      <c r="AM97" s="444" t="str">
        <f t="shared" si="93"/>
        <v/>
      </c>
      <c r="AN97" s="444" t="str">
        <f t="shared" si="93"/>
        <v/>
      </c>
      <c r="AO97" s="444" t="str">
        <f t="shared" si="93"/>
        <v/>
      </c>
      <c r="AP97" s="444" t="str">
        <f t="shared" si="93"/>
        <v/>
      </c>
      <c r="AQ97" s="444" t="str">
        <f t="shared" si="93"/>
        <v/>
      </c>
      <c r="AR97" s="444" t="str">
        <f t="shared" si="93"/>
        <v/>
      </c>
      <c r="AS97" s="444" t="str">
        <f t="shared" si="94"/>
        <v/>
      </c>
      <c r="AT97" s="444" t="str">
        <f t="shared" si="94"/>
        <v/>
      </c>
      <c r="AU97" s="444" t="str">
        <f t="shared" si="94"/>
        <v/>
      </c>
      <c r="AV97" s="444" t="str">
        <f t="shared" si="94"/>
        <v/>
      </c>
      <c r="AW97" s="444" t="str">
        <f t="shared" si="94"/>
        <v/>
      </c>
      <c r="AX97" s="444" t="str">
        <f t="shared" si="94"/>
        <v/>
      </c>
      <c r="AY97" s="444" t="str">
        <f t="shared" si="94"/>
        <v/>
      </c>
      <c r="AZ97" s="444" t="str">
        <f t="shared" si="94"/>
        <v/>
      </c>
      <c r="BA97" s="444" t="str">
        <f t="shared" si="94"/>
        <v/>
      </c>
      <c r="BB97" s="444" t="str">
        <f t="shared" si="94"/>
        <v/>
      </c>
      <c r="BC97" s="444" t="str">
        <f t="shared" si="95"/>
        <v/>
      </c>
      <c r="BD97" s="444" t="str">
        <f t="shared" si="95"/>
        <v/>
      </c>
      <c r="BE97" s="444" t="str">
        <f t="shared" si="95"/>
        <v/>
      </c>
      <c r="BF97" s="444" t="str">
        <f t="shared" si="95"/>
        <v/>
      </c>
      <c r="BG97" s="444" t="str">
        <f t="shared" si="95"/>
        <v/>
      </c>
      <c r="BH97" s="445" t="str">
        <f t="shared" si="95"/>
        <v/>
      </c>
      <c r="BI97" s="502"/>
      <c r="BJ97" s="474" t="str">
        <f t="shared" si="96"/>
        <v/>
      </c>
      <c r="BK97" s="475" t="str">
        <f t="shared" si="96"/>
        <v/>
      </c>
      <c r="BL97" s="475" t="str">
        <f t="shared" si="96"/>
        <v/>
      </c>
      <c r="BM97" s="475" t="str">
        <f t="shared" si="96"/>
        <v/>
      </c>
      <c r="BN97" s="475" t="str">
        <f t="shared" si="96"/>
        <v/>
      </c>
      <c r="BO97" s="475" t="str">
        <f t="shared" si="96"/>
        <v/>
      </c>
      <c r="BP97" s="475" t="str">
        <f t="shared" si="96"/>
        <v/>
      </c>
      <c r="BQ97" s="475" t="str">
        <f t="shared" si="96"/>
        <v/>
      </c>
      <c r="BR97" s="475" t="str">
        <f t="shared" si="96"/>
        <v/>
      </c>
      <c r="BS97" s="475" t="str">
        <f t="shared" si="96"/>
        <v/>
      </c>
      <c r="BT97" s="475" t="str">
        <f t="shared" si="97"/>
        <v/>
      </c>
      <c r="BU97" s="475" t="str">
        <f t="shared" si="97"/>
        <v/>
      </c>
      <c r="BV97" s="475" t="str">
        <f t="shared" si="97"/>
        <v/>
      </c>
      <c r="BW97" s="475" t="str">
        <f t="shared" si="97"/>
        <v/>
      </c>
      <c r="BX97" s="475" t="str">
        <f t="shared" si="97"/>
        <v/>
      </c>
      <c r="BY97" s="475" t="str">
        <f t="shared" si="97"/>
        <v/>
      </c>
      <c r="BZ97" s="475" t="str">
        <f t="shared" si="97"/>
        <v/>
      </c>
      <c r="CA97" s="475" t="str">
        <f t="shared" si="97"/>
        <v/>
      </c>
      <c r="CB97" s="475" t="str">
        <f t="shared" si="97"/>
        <v/>
      </c>
      <c r="CC97" s="475" t="str">
        <f t="shared" si="97"/>
        <v/>
      </c>
      <c r="CD97" s="475" t="str">
        <f t="shared" si="98"/>
        <v/>
      </c>
      <c r="CE97" s="475" t="str">
        <f t="shared" si="98"/>
        <v/>
      </c>
      <c r="CF97" s="475" t="str">
        <f t="shared" si="98"/>
        <v/>
      </c>
      <c r="CG97" s="475" t="str">
        <f t="shared" si="98"/>
        <v/>
      </c>
      <c r="CH97" s="475" t="str">
        <f t="shared" si="98"/>
        <v/>
      </c>
      <c r="CI97" s="475" t="str">
        <f t="shared" si="98"/>
        <v/>
      </c>
      <c r="CJ97" s="475" t="str">
        <f t="shared" si="98"/>
        <v/>
      </c>
      <c r="CK97" s="475" t="str">
        <f t="shared" si="98"/>
        <v/>
      </c>
      <c r="CL97" s="475" t="str">
        <f t="shared" si="98"/>
        <v/>
      </c>
      <c r="CM97" s="475" t="str">
        <f t="shared" si="98"/>
        <v/>
      </c>
      <c r="CN97" s="475" t="str">
        <f t="shared" si="99"/>
        <v/>
      </c>
      <c r="CO97" s="475" t="str">
        <f t="shared" si="99"/>
        <v/>
      </c>
      <c r="CP97" s="475" t="str">
        <f t="shared" si="99"/>
        <v/>
      </c>
      <c r="CQ97" s="475" t="str">
        <f t="shared" si="99"/>
        <v/>
      </c>
      <c r="CR97" s="475" t="str">
        <f t="shared" si="99"/>
        <v/>
      </c>
      <c r="CS97" s="475" t="str">
        <f t="shared" si="99"/>
        <v/>
      </c>
      <c r="CT97" s="475" t="str">
        <f t="shared" si="99"/>
        <v/>
      </c>
      <c r="CU97" s="475" t="str">
        <f t="shared" si="99"/>
        <v/>
      </c>
      <c r="CV97" s="475" t="str">
        <f t="shared" si="99"/>
        <v/>
      </c>
      <c r="CW97" s="475" t="str">
        <f t="shared" si="99"/>
        <v/>
      </c>
      <c r="CX97" s="475" t="str">
        <f t="shared" si="99"/>
        <v/>
      </c>
      <c r="CY97" s="475" t="str">
        <f t="shared" si="99"/>
        <v/>
      </c>
      <c r="CZ97" s="495" t="str">
        <f t="shared" si="99"/>
        <v/>
      </c>
      <c r="DA97" s="502"/>
      <c r="DB97" s="460"/>
      <c r="DC97" s="465"/>
      <c r="DD97" s="463"/>
      <c r="DE97" s="512"/>
      <c r="DF97" s="516"/>
      <c r="DG97" s="508"/>
      <c r="DH97" s="463"/>
      <c r="DI97" s="461"/>
      <c r="DJ97" s="461"/>
      <c r="DK97" s="461"/>
      <c r="DL97" s="464"/>
      <c r="DM97" s="466"/>
      <c r="DN97" s="502"/>
      <c r="DO97" s="460"/>
      <c r="DP97" s="464"/>
      <c r="DQ97" s="464"/>
      <c r="DR97" s="464"/>
      <c r="DS97" s="508"/>
      <c r="DT97" s="525"/>
      <c r="DU97" s="525"/>
      <c r="DV97" s="463"/>
      <c r="DW97" s="464"/>
      <c r="DX97" s="465"/>
      <c r="DY97" s="463"/>
      <c r="DZ97" s="464"/>
      <c r="EA97" s="465"/>
      <c r="EB97" s="463"/>
      <c r="EC97" s="465"/>
      <c r="ED97" s="462"/>
      <c r="EE97" s="502"/>
      <c r="EF97" s="463"/>
      <c r="EG97" s="461"/>
      <c r="EH97" s="464"/>
      <c r="EI97" s="464"/>
      <c r="EJ97" s="464"/>
      <c r="EK97" s="464"/>
      <c r="EL97" s="464"/>
      <c r="EM97" s="464"/>
      <c r="EN97" s="464"/>
      <c r="EO97" s="464"/>
      <c r="EP97" s="464"/>
      <c r="EQ97" s="464"/>
      <c r="ER97" s="464"/>
      <c r="ES97" s="464"/>
      <c r="ET97" s="464"/>
      <c r="EU97" s="464"/>
      <c r="EV97" s="464"/>
      <c r="EW97" s="465"/>
      <c r="EX97" s="465"/>
      <c r="EY97" s="502"/>
      <c r="EZ97" s="460"/>
      <c r="FA97" s="464"/>
      <c r="FB97" s="464"/>
      <c r="FC97" s="464"/>
      <c r="FD97" s="464"/>
      <c r="FE97" s="464"/>
      <c r="FF97" s="464"/>
      <c r="FG97" s="466"/>
    </row>
    <row r="98" spans="1:163">
      <c r="A98" s="467" t="s">
        <v>285</v>
      </c>
      <c r="B98" s="471" t="str">
        <f>IF(ISNUMBER(MATCH(A98, 'Pulldown Data'!W:W, 0))=TRUE, "Y", IF(ISNUMBER(MATCH(A98, 'Pulldown Data'!X:X, 0))=TRUE, "M", ""))</f>
        <v/>
      </c>
      <c r="C98" s="504"/>
      <c r="D98" s="502"/>
      <c r="E98" s="443" t="str">
        <f t="shared" si="90"/>
        <v/>
      </c>
      <c r="F98" s="444" t="str">
        <f t="shared" si="90"/>
        <v/>
      </c>
      <c r="G98" s="444" t="str">
        <f t="shared" si="90"/>
        <v/>
      </c>
      <c r="H98" s="444" t="str">
        <f t="shared" si="90"/>
        <v/>
      </c>
      <c r="I98" s="444" t="str">
        <f t="shared" si="90"/>
        <v/>
      </c>
      <c r="J98" s="444" t="str">
        <f t="shared" si="90"/>
        <v/>
      </c>
      <c r="K98" s="444" t="str">
        <f t="shared" si="90"/>
        <v/>
      </c>
      <c r="L98" s="444" t="str">
        <f t="shared" si="90"/>
        <v/>
      </c>
      <c r="M98" s="444" t="str">
        <f t="shared" si="90"/>
        <v/>
      </c>
      <c r="N98" s="444" t="str">
        <f t="shared" si="90"/>
        <v/>
      </c>
      <c r="O98" s="444" t="str">
        <f t="shared" si="91"/>
        <v/>
      </c>
      <c r="P98" s="444" t="str">
        <f t="shared" si="91"/>
        <v/>
      </c>
      <c r="Q98" s="444" t="str">
        <f t="shared" si="91"/>
        <v/>
      </c>
      <c r="R98" s="444" t="str">
        <f t="shared" si="91"/>
        <v/>
      </c>
      <c r="S98" s="444" t="str">
        <f t="shared" si="91"/>
        <v/>
      </c>
      <c r="T98" s="444" t="str">
        <f t="shared" si="91"/>
        <v/>
      </c>
      <c r="U98" s="444" t="str">
        <f t="shared" si="91"/>
        <v/>
      </c>
      <c r="V98" s="444" t="str">
        <f t="shared" si="91"/>
        <v/>
      </c>
      <c r="W98" s="444" t="str">
        <f t="shared" si="91"/>
        <v/>
      </c>
      <c r="X98" s="444" t="str">
        <f t="shared" si="91"/>
        <v/>
      </c>
      <c r="Y98" s="444" t="str">
        <f t="shared" si="92"/>
        <v/>
      </c>
      <c r="Z98" s="444" t="str">
        <f t="shared" si="92"/>
        <v/>
      </c>
      <c r="AA98" s="444" t="str">
        <f t="shared" si="92"/>
        <v/>
      </c>
      <c r="AB98" s="444" t="str">
        <f t="shared" si="92"/>
        <v/>
      </c>
      <c r="AC98" s="444" t="str">
        <f t="shared" si="92"/>
        <v/>
      </c>
      <c r="AD98" s="444" t="str">
        <f t="shared" si="92"/>
        <v/>
      </c>
      <c r="AE98" s="444" t="str">
        <f t="shared" si="92"/>
        <v/>
      </c>
      <c r="AF98" s="444" t="str">
        <f t="shared" si="92"/>
        <v/>
      </c>
      <c r="AG98" s="444" t="str">
        <f t="shared" si="92"/>
        <v/>
      </c>
      <c r="AH98" s="444" t="str">
        <f t="shared" si="92"/>
        <v/>
      </c>
      <c r="AI98" s="444" t="str">
        <f t="shared" si="93"/>
        <v/>
      </c>
      <c r="AJ98" s="444" t="str">
        <f t="shared" si="93"/>
        <v/>
      </c>
      <c r="AK98" s="444" t="str">
        <f t="shared" si="93"/>
        <v/>
      </c>
      <c r="AL98" s="444" t="str">
        <f t="shared" si="93"/>
        <v/>
      </c>
      <c r="AM98" s="444" t="str">
        <f t="shared" si="93"/>
        <v/>
      </c>
      <c r="AN98" s="444" t="str">
        <f t="shared" si="93"/>
        <v/>
      </c>
      <c r="AO98" s="444" t="str">
        <f t="shared" si="93"/>
        <v/>
      </c>
      <c r="AP98" s="444" t="str">
        <f t="shared" si="93"/>
        <v/>
      </c>
      <c r="AQ98" s="444" t="str">
        <f t="shared" si="93"/>
        <v/>
      </c>
      <c r="AR98" s="444" t="str">
        <f t="shared" si="93"/>
        <v/>
      </c>
      <c r="AS98" s="444" t="str">
        <f t="shared" si="94"/>
        <v/>
      </c>
      <c r="AT98" s="444" t="str">
        <f t="shared" si="94"/>
        <v/>
      </c>
      <c r="AU98" s="444" t="str">
        <f t="shared" si="94"/>
        <v/>
      </c>
      <c r="AV98" s="444" t="str">
        <f t="shared" si="94"/>
        <v/>
      </c>
      <c r="AW98" s="444" t="str">
        <f t="shared" si="94"/>
        <v/>
      </c>
      <c r="AX98" s="444" t="str">
        <f t="shared" si="94"/>
        <v/>
      </c>
      <c r="AY98" s="444" t="str">
        <f t="shared" si="94"/>
        <v/>
      </c>
      <c r="AZ98" s="444" t="str">
        <f t="shared" si="94"/>
        <v/>
      </c>
      <c r="BA98" s="444" t="str">
        <f t="shared" si="94"/>
        <v/>
      </c>
      <c r="BB98" s="444" t="str">
        <f t="shared" si="94"/>
        <v/>
      </c>
      <c r="BC98" s="444" t="str">
        <f t="shared" si="95"/>
        <v/>
      </c>
      <c r="BD98" s="444" t="str">
        <f t="shared" si="95"/>
        <v/>
      </c>
      <c r="BE98" s="444" t="str">
        <f t="shared" si="95"/>
        <v/>
      </c>
      <c r="BF98" s="444" t="str">
        <f t="shared" si="95"/>
        <v/>
      </c>
      <c r="BG98" s="444" t="str">
        <f t="shared" si="95"/>
        <v/>
      </c>
      <c r="BH98" s="445" t="str">
        <f t="shared" si="95"/>
        <v/>
      </c>
      <c r="BI98" s="502"/>
      <c r="BJ98" s="474" t="str">
        <f t="shared" si="96"/>
        <v/>
      </c>
      <c r="BK98" s="475" t="str">
        <f t="shared" si="96"/>
        <v/>
      </c>
      <c r="BL98" s="475" t="str">
        <f t="shared" si="96"/>
        <v/>
      </c>
      <c r="BM98" s="475" t="str">
        <f t="shared" si="96"/>
        <v/>
      </c>
      <c r="BN98" s="475" t="str">
        <f t="shared" si="96"/>
        <v/>
      </c>
      <c r="BO98" s="475" t="str">
        <f t="shared" si="96"/>
        <v/>
      </c>
      <c r="BP98" s="475" t="str">
        <f t="shared" si="96"/>
        <v/>
      </c>
      <c r="BQ98" s="475" t="str">
        <f t="shared" si="96"/>
        <v/>
      </c>
      <c r="BR98" s="475" t="str">
        <f t="shared" si="96"/>
        <v/>
      </c>
      <c r="BS98" s="475" t="str">
        <f t="shared" si="96"/>
        <v/>
      </c>
      <c r="BT98" s="475" t="str">
        <f t="shared" si="97"/>
        <v/>
      </c>
      <c r="BU98" s="475" t="str">
        <f t="shared" si="97"/>
        <v/>
      </c>
      <c r="BV98" s="475" t="str">
        <f t="shared" si="97"/>
        <v/>
      </c>
      <c r="BW98" s="475" t="str">
        <f t="shared" si="97"/>
        <v/>
      </c>
      <c r="BX98" s="475" t="str">
        <f t="shared" si="97"/>
        <v/>
      </c>
      <c r="BY98" s="475" t="str">
        <f t="shared" si="97"/>
        <v/>
      </c>
      <c r="BZ98" s="475" t="str">
        <f t="shared" si="97"/>
        <v/>
      </c>
      <c r="CA98" s="475" t="str">
        <f t="shared" si="97"/>
        <v/>
      </c>
      <c r="CB98" s="475" t="str">
        <f t="shared" si="97"/>
        <v/>
      </c>
      <c r="CC98" s="475" t="str">
        <f t="shared" si="97"/>
        <v/>
      </c>
      <c r="CD98" s="475" t="str">
        <f t="shared" si="98"/>
        <v/>
      </c>
      <c r="CE98" s="475" t="str">
        <f t="shared" si="98"/>
        <v/>
      </c>
      <c r="CF98" s="475" t="str">
        <f t="shared" si="98"/>
        <v/>
      </c>
      <c r="CG98" s="475" t="str">
        <f t="shared" si="98"/>
        <v/>
      </c>
      <c r="CH98" s="475" t="str">
        <f t="shared" si="98"/>
        <v/>
      </c>
      <c r="CI98" s="475" t="str">
        <f t="shared" si="98"/>
        <v/>
      </c>
      <c r="CJ98" s="475" t="str">
        <f t="shared" si="98"/>
        <v/>
      </c>
      <c r="CK98" s="475" t="str">
        <f t="shared" si="98"/>
        <v/>
      </c>
      <c r="CL98" s="475" t="str">
        <f t="shared" si="98"/>
        <v/>
      </c>
      <c r="CM98" s="475" t="str">
        <f t="shared" si="98"/>
        <v/>
      </c>
      <c r="CN98" s="475" t="str">
        <f t="shared" si="99"/>
        <v/>
      </c>
      <c r="CO98" s="475" t="str">
        <f t="shared" si="99"/>
        <v/>
      </c>
      <c r="CP98" s="475" t="str">
        <f t="shared" si="99"/>
        <v/>
      </c>
      <c r="CQ98" s="475" t="str">
        <f t="shared" si="99"/>
        <v/>
      </c>
      <c r="CR98" s="475" t="str">
        <f t="shared" si="99"/>
        <v/>
      </c>
      <c r="CS98" s="475" t="str">
        <f t="shared" si="99"/>
        <v/>
      </c>
      <c r="CT98" s="475" t="str">
        <f t="shared" si="99"/>
        <v/>
      </c>
      <c r="CU98" s="475" t="str">
        <f t="shared" si="99"/>
        <v/>
      </c>
      <c r="CV98" s="475" t="str">
        <f t="shared" si="99"/>
        <v/>
      </c>
      <c r="CW98" s="475" t="str">
        <f t="shared" si="99"/>
        <v/>
      </c>
      <c r="CX98" s="475" t="str">
        <f t="shared" si="99"/>
        <v/>
      </c>
      <c r="CY98" s="475" t="str">
        <f t="shared" si="99"/>
        <v/>
      </c>
      <c r="CZ98" s="495" t="str">
        <f t="shared" si="99"/>
        <v/>
      </c>
      <c r="DA98" s="502"/>
      <c r="DB98" s="460"/>
      <c r="DC98" s="465"/>
      <c r="DD98" s="463"/>
      <c r="DE98" s="512"/>
      <c r="DF98" s="516"/>
      <c r="DG98" s="508"/>
      <c r="DH98" s="463"/>
      <c r="DI98" s="461"/>
      <c r="DJ98" s="461"/>
      <c r="DK98" s="461"/>
      <c r="DL98" s="464"/>
      <c r="DM98" s="466"/>
      <c r="DN98" s="502"/>
      <c r="DO98" s="460"/>
      <c r="DP98" s="464"/>
      <c r="DQ98" s="464"/>
      <c r="DR98" s="464"/>
      <c r="DS98" s="508"/>
      <c r="DT98" s="525"/>
      <c r="DU98" s="525"/>
      <c r="DV98" s="463"/>
      <c r="DW98" s="464"/>
      <c r="DX98" s="465"/>
      <c r="DY98" s="463"/>
      <c r="DZ98" s="464"/>
      <c r="EA98" s="465"/>
      <c r="EB98" s="463"/>
      <c r="EC98" s="465"/>
      <c r="ED98" s="462"/>
      <c r="EE98" s="502"/>
      <c r="EF98" s="463"/>
      <c r="EG98" s="461"/>
      <c r="EH98" s="464"/>
      <c r="EI98" s="464"/>
      <c r="EJ98" s="464"/>
      <c r="EK98" s="464"/>
      <c r="EL98" s="464"/>
      <c r="EM98" s="464"/>
      <c r="EN98" s="464"/>
      <c r="EO98" s="464"/>
      <c r="EP98" s="464"/>
      <c r="EQ98" s="464"/>
      <c r="ER98" s="464"/>
      <c r="ES98" s="464"/>
      <c r="ET98" s="464"/>
      <c r="EU98" s="464"/>
      <c r="EV98" s="464"/>
      <c r="EW98" s="465"/>
      <c r="EX98" s="465"/>
      <c r="EY98" s="502"/>
      <c r="EZ98" s="460"/>
      <c r="FA98" s="464"/>
      <c r="FB98" s="464"/>
      <c r="FC98" s="464"/>
      <c r="FD98" s="464"/>
      <c r="FE98" s="464"/>
      <c r="FF98" s="464"/>
      <c r="FG98" s="466"/>
    </row>
    <row r="99" spans="1:163">
      <c r="A99" s="467" t="s">
        <v>286</v>
      </c>
      <c r="B99" s="471" t="str">
        <f>IF(ISNUMBER(MATCH(A99, 'Pulldown Data'!W:W, 0))=TRUE, "Y", IF(ISNUMBER(MATCH(A99, 'Pulldown Data'!X:X, 0))=TRUE, "M", ""))</f>
        <v/>
      </c>
      <c r="C99" s="504"/>
      <c r="D99" s="502"/>
      <c r="E99" s="443" t="str">
        <f t="shared" si="90"/>
        <v/>
      </c>
      <c r="F99" s="444" t="str">
        <f t="shared" si="90"/>
        <v/>
      </c>
      <c r="G99" s="444" t="str">
        <f t="shared" si="90"/>
        <v/>
      </c>
      <c r="H99" s="444" t="str">
        <f t="shared" si="90"/>
        <v/>
      </c>
      <c r="I99" s="444" t="str">
        <f t="shared" si="90"/>
        <v/>
      </c>
      <c r="J99" s="444" t="str">
        <f t="shared" si="90"/>
        <v/>
      </c>
      <c r="K99" s="444" t="str">
        <f t="shared" si="90"/>
        <v/>
      </c>
      <c r="L99" s="444" t="str">
        <f t="shared" si="90"/>
        <v/>
      </c>
      <c r="M99" s="444" t="str">
        <f t="shared" si="90"/>
        <v/>
      </c>
      <c r="N99" s="444" t="str">
        <f t="shared" si="90"/>
        <v/>
      </c>
      <c r="O99" s="444" t="str">
        <f t="shared" si="91"/>
        <v/>
      </c>
      <c r="P99" s="444" t="str">
        <f t="shared" si="91"/>
        <v/>
      </c>
      <c r="Q99" s="444" t="str">
        <f t="shared" si="91"/>
        <v/>
      </c>
      <c r="R99" s="444" t="str">
        <f t="shared" si="91"/>
        <v/>
      </c>
      <c r="S99" s="444" t="str">
        <f t="shared" si="91"/>
        <v/>
      </c>
      <c r="T99" s="444" t="str">
        <f t="shared" si="91"/>
        <v/>
      </c>
      <c r="U99" s="444" t="str">
        <f t="shared" si="91"/>
        <v/>
      </c>
      <c r="V99" s="444" t="str">
        <f t="shared" si="91"/>
        <v/>
      </c>
      <c r="W99" s="444" t="str">
        <f t="shared" si="91"/>
        <v/>
      </c>
      <c r="X99" s="444" t="str">
        <f t="shared" si="91"/>
        <v/>
      </c>
      <c r="Y99" s="444" t="str">
        <f t="shared" si="92"/>
        <v/>
      </c>
      <c r="Z99" s="444" t="str">
        <f t="shared" si="92"/>
        <v/>
      </c>
      <c r="AA99" s="444" t="str">
        <f t="shared" si="92"/>
        <v/>
      </c>
      <c r="AB99" s="444" t="str">
        <f t="shared" si="92"/>
        <v/>
      </c>
      <c r="AC99" s="444" t="str">
        <f t="shared" si="92"/>
        <v/>
      </c>
      <c r="AD99" s="444" t="str">
        <f t="shared" si="92"/>
        <v/>
      </c>
      <c r="AE99" s="444" t="str">
        <f t="shared" si="92"/>
        <v/>
      </c>
      <c r="AF99" s="444" t="str">
        <f t="shared" si="92"/>
        <v/>
      </c>
      <c r="AG99" s="444" t="str">
        <f t="shared" si="92"/>
        <v/>
      </c>
      <c r="AH99" s="444" t="str">
        <f t="shared" si="92"/>
        <v/>
      </c>
      <c r="AI99" s="444" t="str">
        <f t="shared" si="93"/>
        <v/>
      </c>
      <c r="AJ99" s="444" t="str">
        <f t="shared" si="93"/>
        <v/>
      </c>
      <c r="AK99" s="444" t="str">
        <f t="shared" si="93"/>
        <v/>
      </c>
      <c r="AL99" s="444" t="str">
        <f t="shared" si="93"/>
        <v/>
      </c>
      <c r="AM99" s="444" t="str">
        <f t="shared" si="93"/>
        <v/>
      </c>
      <c r="AN99" s="444" t="str">
        <f t="shared" si="93"/>
        <v/>
      </c>
      <c r="AO99" s="444" t="str">
        <f t="shared" si="93"/>
        <v/>
      </c>
      <c r="AP99" s="444" t="str">
        <f t="shared" si="93"/>
        <v/>
      </c>
      <c r="AQ99" s="444" t="str">
        <f t="shared" si="93"/>
        <v/>
      </c>
      <c r="AR99" s="444" t="str">
        <f t="shared" si="93"/>
        <v/>
      </c>
      <c r="AS99" s="444" t="str">
        <f t="shared" si="94"/>
        <v/>
      </c>
      <c r="AT99" s="444" t="str">
        <f t="shared" si="94"/>
        <v/>
      </c>
      <c r="AU99" s="444" t="str">
        <f t="shared" si="94"/>
        <v/>
      </c>
      <c r="AV99" s="444" t="str">
        <f t="shared" si="94"/>
        <v/>
      </c>
      <c r="AW99" s="444" t="str">
        <f t="shared" si="94"/>
        <v/>
      </c>
      <c r="AX99" s="444" t="str">
        <f t="shared" si="94"/>
        <v/>
      </c>
      <c r="AY99" s="444" t="str">
        <f t="shared" si="94"/>
        <v/>
      </c>
      <c r="AZ99" s="444" t="str">
        <f t="shared" si="94"/>
        <v/>
      </c>
      <c r="BA99" s="444" t="str">
        <f t="shared" si="94"/>
        <v/>
      </c>
      <c r="BB99" s="444" t="str">
        <f t="shared" si="94"/>
        <v/>
      </c>
      <c r="BC99" s="444" t="str">
        <f t="shared" si="95"/>
        <v/>
      </c>
      <c r="BD99" s="444" t="str">
        <f t="shared" si="95"/>
        <v/>
      </c>
      <c r="BE99" s="444" t="str">
        <f t="shared" si="95"/>
        <v/>
      </c>
      <c r="BF99" s="444" t="str">
        <f t="shared" si="95"/>
        <v/>
      </c>
      <c r="BG99" s="444" t="str">
        <f t="shared" si="95"/>
        <v/>
      </c>
      <c r="BH99" s="445" t="str">
        <f t="shared" si="95"/>
        <v/>
      </c>
      <c r="BI99" s="502"/>
      <c r="BJ99" s="474" t="str">
        <f t="shared" si="96"/>
        <v/>
      </c>
      <c r="BK99" s="475" t="str">
        <f t="shared" si="96"/>
        <v/>
      </c>
      <c r="BL99" s="475" t="str">
        <f t="shared" si="96"/>
        <v/>
      </c>
      <c r="BM99" s="475" t="str">
        <f t="shared" si="96"/>
        <v/>
      </c>
      <c r="BN99" s="475" t="str">
        <f t="shared" si="96"/>
        <v/>
      </c>
      <c r="BO99" s="475" t="str">
        <f t="shared" si="96"/>
        <v/>
      </c>
      <c r="BP99" s="475" t="str">
        <f t="shared" si="96"/>
        <v/>
      </c>
      <c r="BQ99" s="475" t="str">
        <f t="shared" si="96"/>
        <v/>
      </c>
      <c r="BR99" s="475" t="str">
        <f t="shared" si="96"/>
        <v/>
      </c>
      <c r="BS99" s="475" t="str">
        <f t="shared" si="96"/>
        <v/>
      </c>
      <c r="BT99" s="475" t="str">
        <f t="shared" si="97"/>
        <v/>
      </c>
      <c r="BU99" s="475" t="str">
        <f t="shared" si="97"/>
        <v/>
      </c>
      <c r="BV99" s="475" t="str">
        <f t="shared" si="97"/>
        <v/>
      </c>
      <c r="BW99" s="475" t="str">
        <f t="shared" si="97"/>
        <v/>
      </c>
      <c r="BX99" s="475" t="str">
        <f t="shared" si="97"/>
        <v/>
      </c>
      <c r="BY99" s="475" t="str">
        <f t="shared" si="97"/>
        <v/>
      </c>
      <c r="BZ99" s="475" t="str">
        <f t="shared" si="97"/>
        <v/>
      </c>
      <c r="CA99" s="475" t="str">
        <f t="shared" si="97"/>
        <v/>
      </c>
      <c r="CB99" s="475" t="str">
        <f t="shared" si="97"/>
        <v/>
      </c>
      <c r="CC99" s="475" t="str">
        <f t="shared" si="97"/>
        <v/>
      </c>
      <c r="CD99" s="475" t="str">
        <f t="shared" si="98"/>
        <v/>
      </c>
      <c r="CE99" s="475" t="str">
        <f t="shared" si="98"/>
        <v/>
      </c>
      <c r="CF99" s="475" t="str">
        <f t="shared" si="98"/>
        <v/>
      </c>
      <c r="CG99" s="475" t="str">
        <f t="shared" si="98"/>
        <v/>
      </c>
      <c r="CH99" s="475" t="str">
        <f t="shared" si="98"/>
        <v/>
      </c>
      <c r="CI99" s="475" t="str">
        <f t="shared" si="98"/>
        <v/>
      </c>
      <c r="CJ99" s="475" t="str">
        <f t="shared" si="98"/>
        <v/>
      </c>
      <c r="CK99" s="475" t="str">
        <f t="shared" si="98"/>
        <v/>
      </c>
      <c r="CL99" s="475" t="str">
        <f t="shared" si="98"/>
        <v/>
      </c>
      <c r="CM99" s="475" t="str">
        <f t="shared" si="98"/>
        <v/>
      </c>
      <c r="CN99" s="475" t="str">
        <f t="shared" si="99"/>
        <v/>
      </c>
      <c r="CO99" s="475" t="str">
        <f t="shared" si="99"/>
        <v/>
      </c>
      <c r="CP99" s="475" t="str">
        <f t="shared" si="99"/>
        <v/>
      </c>
      <c r="CQ99" s="475" t="str">
        <f t="shared" si="99"/>
        <v/>
      </c>
      <c r="CR99" s="475" t="str">
        <f t="shared" si="99"/>
        <v/>
      </c>
      <c r="CS99" s="475" t="str">
        <f t="shared" si="99"/>
        <v/>
      </c>
      <c r="CT99" s="475" t="str">
        <f t="shared" si="99"/>
        <v/>
      </c>
      <c r="CU99" s="475" t="str">
        <f t="shared" si="99"/>
        <v/>
      </c>
      <c r="CV99" s="475" t="str">
        <f t="shared" si="99"/>
        <v/>
      </c>
      <c r="CW99" s="475" t="str">
        <f t="shared" si="99"/>
        <v/>
      </c>
      <c r="CX99" s="475" t="str">
        <f t="shared" si="99"/>
        <v/>
      </c>
      <c r="CY99" s="475" t="str">
        <f t="shared" si="99"/>
        <v/>
      </c>
      <c r="CZ99" s="495" t="str">
        <f t="shared" si="99"/>
        <v/>
      </c>
      <c r="DA99" s="502"/>
      <c r="DB99" s="460"/>
      <c r="DC99" s="465"/>
      <c r="DD99" s="463"/>
      <c r="DE99" s="512"/>
      <c r="DF99" s="516"/>
      <c r="DG99" s="508"/>
      <c r="DH99" s="463"/>
      <c r="DI99" s="461"/>
      <c r="DJ99" s="461"/>
      <c r="DK99" s="461"/>
      <c r="DL99" s="464"/>
      <c r="DM99" s="466"/>
      <c r="DN99" s="502"/>
      <c r="DO99" s="460"/>
      <c r="DP99" s="464"/>
      <c r="DQ99" s="464"/>
      <c r="DR99" s="464"/>
      <c r="DS99" s="508"/>
      <c r="DT99" s="525"/>
      <c r="DU99" s="525"/>
      <c r="DV99" s="463"/>
      <c r="DW99" s="464"/>
      <c r="DX99" s="465"/>
      <c r="DY99" s="463"/>
      <c r="DZ99" s="464"/>
      <c r="EA99" s="465"/>
      <c r="EB99" s="463"/>
      <c r="EC99" s="465"/>
      <c r="ED99" s="462"/>
      <c r="EE99" s="502"/>
      <c r="EF99" s="463"/>
      <c r="EG99" s="461"/>
      <c r="EH99" s="464"/>
      <c r="EI99" s="464"/>
      <c r="EJ99" s="464"/>
      <c r="EK99" s="464"/>
      <c r="EL99" s="464"/>
      <c r="EM99" s="464"/>
      <c r="EN99" s="464"/>
      <c r="EO99" s="464"/>
      <c r="EP99" s="464"/>
      <c r="EQ99" s="464"/>
      <c r="ER99" s="464"/>
      <c r="ES99" s="464"/>
      <c r="ET99" s="464"/>
      <c r="EU99" s="464"/>
      <c r="EV99" s="464"/>
      <c r="EW99" s="465"/>
      <c r="EX99" s="465"/>
      <c r="EY99" s="502"/>
      <c r="EZ99" s="460"/>
      <c r="FA99" s="464"/>
      <c r="FB99" s="464"/>
      <c r="FC99" s="464"/>
      <c r="FD99" s="464"/>
      <c r="FE99" s="464"/>
      <c r="FF99" s="464"/>
      <c r="FG99" s="466"/>
    </row>
    <row r="100" spans="1:163">
      <c r="A100" s="467" t="s">
        <v>287</v>
      </c>
      <c r="B100" s="471" t="str">
        <f>IF(ISNUMBER(MATCH(A100, 'Pulldown Data'!W:W, 0))=TRUE, "Y", IF(ISNUMBER(MATCH(A100, 'Pulldown Data'!X:X, 0))=TRUE, "M", ""))</f>
        <v/>
      </c>
      <c r="C100" s="504">
        <v>45630</v>
      </c>
      <c r="D100" s="502"/>
      <c r="E100" s="443" t="str">
        <f t="shared" si="90"/>
        <v>NO</v>
      </c>
      <c r="F100" s="444" t="str">
        <f t="shared" si="90"/>
        <v>NO</v>
      </c>
      <c r="G100" s="444" t="str">
        <f t="shared" si="90"/>
        <v>YES</v>
      </c>
      <c r="H100" s="444" t="str">
        <f t="shared" si="90"/>
        <v>YES</v>
      </c>
      <c r="I100" s="444" t="str">
        <f t="shared" si="90"/>
        <v>YES</v>
      </c>
      <c r="J100" s="444" t="str">
        <f t="shared" si="90"/>
        <v>NO</v>
      </c>
      <c r="K100" s="444" t="str">
        <f t="shared" si="90"/>
        <v>YES</v>
      </c>
      <c r="L100" s="444" t="str">
        <f t="shared" si="90"/>
        <v>YES</v>
      </c>
      <c r="M100" s="444" t="str">
        <f t="shared" si="90"/>
        <v>YES</v>
      </c>
      <c r="N100" s="444" t="str">
        <f t="shared" si="90"/>
        <v>YES</v>
      </c>
      <c r="O100" s="444" t="str">
        <f t="shared" si="91"/>
        <v>YES</v>
      </c>
      <c r="P100" s="444" t="str">
        <f t="shared" si="91"/>
        <v>YES</v>
      </c>
      <c r="Q100" s="444" t="str">
        <f t="shared" si="91"/>
        <v>DEP</v>
      </c>
      <c r="R100" s="444" t="str">
        <f t="shared" si="91"/>
        <v>DEP</v>
      </c>
      <c r="S100" s="444" t="str">
        <f t="shared" si="91"/>
        <v>DEP</v>
      </c>
      <c r="T100" s="444" t="str">
        <f t="shared" si="91"/>
        <v>DEP</v>
      </c>
      <c r="U100" s="444" t="str">
        <f t="shared" si="91"/>
        <v>YES</v>
      </c>
      <c r="V100" s="444" t="str">
        <f t="shared" si="91"/>
        <v>YES</v>
      </c>
      <c r="W100" s="444" t="str">
        <f t="shared" si="91"/>
        <v>NO</v>
      </c>
      <c r="X100" s="444" t="str">
        <f t="shared" si="91"/>
        <v>YES</v>
      </c>
      <c r="Y100" s="444" t="str">
        <f t="shared" si="92"/>
        <v>NO</v>
      </c>
      <c r="Z100" s="444" t="str">
        <f t="shared" si="92"/>
        <v>YES</v>
      </c>
      <c r="AA100" s="444" t="str">
        <f t="shared" si="92"/>
        <v>NO</v>
      </c>
      <c r="AB100" s="444" t="str">
        <f t="shared" si="92"/>
        <v>NO</v>
      </c>
      <c r="AC100" s="444" t="str">
        <f t="shared" si="92"/>
        <v>NO</v>
      </c>
      <c r="AD100" s="444" t="str">
        <f t="shared" si="92"/>
        <v>YES</v>
      </c>
      <c r="AE100" s="444" t="str">
        <f t="shared" si="92"/>
        <v>NO</v>
      </c>
      <c r="AF100" s="444" t="str">
        <f t="shared" si="92"/>
        <v>YES</v>
      </c>
      <c r="AG100" s="444" t="str">
        <f t="shared" si="92"/>
        <v>YES</v>
      </c>
      <c r="AH100" s="444" t="str">
        <f t="shared" si="92"/>
        <v>YES</v>
      </c>
      <c r="AI100" s="444" t="str">
        <f t="shared" si="93"/>
        <v>YES</v>
      </c>
      <c r="AJ100" s="444" t="str">
        <f t="shared" si="93"/>
        <v>YES</v>
      </c>
      <c r="AK100" s="444" t="str">
        <f t="shared" si="93"/>
        <v>NO</v>
      </c>
      <c r="AL100" s="444" t="str">
        <f t="shared" si="93"/>
        <v>NO</v>
      </c>
      <c r="AM100" s="444" t="str">
        <f t="shared" si="93"/>
        <v>YES</v>
      </c>
      <c r="AN100" s="444" t="str">
        <f t="shared" si="93"/>
        <v>YES</v>
      </c>
      <c r="AO100" s="444" t="str">
        <f t="shared" si="93"/>
        <v>YES</v>
      </c>
      <c r="AP100" s="444" t="str">
        <f t="shared" si="93"/>
        <v>YES</v>
      </c>
      <c r="AQ100" s="444" t="str">
        <f t="shared" si="93"/>
        <v>NO</v>
      </c>
      <c r="AR100" s="444" t="str">
        <f t="shared" si="93"/>
        <v>DEP</v>
      </c>
      <c r="AS100" s="444" t="str">
        <f t="shared" si="94"/>
        <v>NO</v>
      </c>
      <c r="AT100" s="444" t="str">
        <f t="shared" si="94"/>
        <v>YES</v>
      </c>
      <c r="AU100" s="444" t="str">
        <f t="shared" si="94"/>
        <v>DEP</v>
      </c>
      <c r="AV100" s="444" t="str">
        <f t="shared" si="94"/>
        <v>YES</v>
      </c>
      <c r="AW100" s="444" t="str">
        <f t="shared" si="94"/>
        <v>DEP</v>
      </c>
      <c r="AX100" s="444" t="str">
        <f t="shared" si="94"/>
        <v>DEP</v>
      </c>
      <c r="AY100" s="444" t="str">
        <f t="shared" si="94"/>
        <v>YES</v>
      </c>
      <c r="AZ100" s="444" t="str">
        <f t="shared" si="94"/>
        <v>DEP</v>
      </c>
      <c r="BA100" s="444" t="str">
        <f t="shared" si="94"/>
        <v>YES</v>
      </c>
      <c r="BB100" s="444" t="str">
        <f t="shared" si="94"/>
        <v>DEP</v>
      </c>
      <c r="BC100" s="444" t="str">
        <f t="shared" si="95"/>
        <v>NO</v>
      </c>
      <c r="BD100" s="444" t="str">
        <f t="shared" si="95"/>
        <v>NO</v>
      </c>
      <c r="BE100" s="444" t="str">
        <f t="shared" si="95"/>
        <v>DEP</v>
      </c>
      <c r="BF100" s="444" t="str">
        <f t="shared" si="95"/>
        <v>DEP</v>
      </c>
      <c r="BG100" s="444" t="str">
        <f t="shared" si="95"/>
        <v>DEP</v>
      </c>
      <c r="BH100" s="445" t="str">
        <f t="shared" si="95"/>
        <v>NO</v>
      </c>
      <c r="BI100" s="502"/>
      <c r="BJ100" s="474" t="str">
        <f t="shared" si="96"/>
        <v>NO</v>
      </c>
      <c r="BK100" s="475" t="str">
        <f t="shared" si="96"/>
        <v>NO</v>
      </c>
      <c r="BL100" s="475" t="str">
        <f t="shared" si="96"/>
        <v>NO</v>
      </c>
      <c r="BM100" s="475" t="str">
        <f t="shared" si="96"/>
        <v>NO</v>
      </c>
      <c r="BN100" s="475" t="str">
        <f t="shared" si="96"/>
        <v>NO</v>
      </c>
      <c r="BO100" s="475" t="str">
        <f t="shared" si="96"/>
        <v>NO</v>
      </c>
      <c r="BP100" s="475" t="str">
        <f t="shared" si="96"/>
        <v>NO</v>
      </c>
      <c r="BQ100" s="475" t="str">
        <f t="shared" si="96"/>
        <v>NO</v>
      </c>
      <c r="BR100" s="475" t="str">
        <f t="shared" si="96"/>
        <v>NO</v>
      </c>
      <c r="BS100" s="475" t="str">
        <f t="shared" si="96"/>
        <v>NO</v>
      </c>
      <c r="BT100" s="475" t="str">
        <f t="shared" si="97"/>
        <v>NO</v>
      </c>
      <c r="BU100" s="475" t="str">
        <f t="shared" si="97"/>
        <v>YES</v>
      </c>
      <c r="BV100" s="475" t="str">
        <f t="shared" si="97"/>
        <v>YES</v>
      </c>
      <c r="BW100" s="475" t="str">
        <f t="shared" si="97"/>
        <v>NO</v>
      </c>
      <c r="BX100" s="475" t="str">
        <f t="shared" si="97"/>
        <v>NO</v>
      </c>
      <c r="BY100" s="475" t="str">
        <f t="shared" si="97"/>
        <v>NO</v>
      </c>
      <c r="BZ100" s="475" t="str">
        <f t="shared" si="97"/>
        <v>NO</v>
      </c>
      <c r="CA100" s="475" t="str">
        <f t="shared" si="97"/>
        <v>NO</v>
      </c>
      <c r="CB100" s="475" t="str">
        <f t="shared" si="97"/>
        <v>NO</v>
      </c>
      <c r="CC100" s="475" t="str">
        <f t="shared" si="97"/>
        <v>NO</v>
      </c>
      <c r="CD100" s="475" t="str">
        <f t="shared" si="98"/>
        <v>NO</v>
      </c>
      <c r="CE100" s="475" t="str">
        <f t="shared" si="98"/>
        <v>NO</v>
      </c>
      <c r="CF100" s="475" t="str">
        <f t="shared" si="98"/>
        <v>NO</v>
      </c>
      <c r="CG100" s="475" t="str">
        <f t="shared" si="98"/>
        <v>NO</v>
      </c>
      <c r="CH100" s="475" t="str">
        <f t="shared" si="98"/>
        <v>YES</v>
      </c>
      <c r="CI100" s="475" t="str">
        <f t="shared" si="98"/>
        <v>YES</v>
      </c>
      <c r="CJ100" s="475" t="str">
        <f t="shared" si="98"/>
        <v>YES</v>
      </c>
      <c r="CK100" s="475" t="str">
        <f t="shared" si="98"/>
        <v>NO</v>
      </c>
      <c r="CL100" s="475" t="str">
        <f t="shared" si="98"/>
        <v>NO</v>
      </c>
      <c r="CM100" s="475" t="str">
        <f t="shared" si="98"/>
        <v>NO</v>
      </c>
      <c r="CN100" s="475" t="str">
        <f t="shared" si="99"/>
        <v>NO</v>
      </c>
      <c r="CO100" s="475" t="str">
        <f t="shared" si="99"/>
        <v>NO</v>
      </c>
      <c r="CP100" s="475" t="str">
        <f t="shared" si="99"/>
        <v>NO</v>
      </c>
      <c r="CQ100" s="475" t="str">
        <f t="shared" si="99"/>
        <v>NO</v>
      </c>
      <c r="CR100" s="475" t="str">
        <f t="shared" si="99"/>
        <v>NO</v>
      </c>
      <c r="CS100" s="475" t="str">
        <f t="shared" si="99"/>
        <v>NO</v>
      </c>
      <c r="CT100" s="475" t="str">
        <f t="shared" si="99"/>
        <v>NO</v>
      </c>
      <c r="CU100" s="475" t="str">
        <f t="shared" si="99"/>
        <v>NO</v>
      </c>
      <c r="CV100" s="475" t="str">
        <f t="shared" si="99"/>
        <v>NO</v>
      </c>
      <c r="CW100" s="475" t="str">
        <f t="shared" si="99"/>
        <v>NO</v>
      </c>
      <c r="CX100" s="475" t="str">
        <f t="shared" si="99"/>
        <v>NO</v>
      </c>
      <c r="CY100" s="475" t="str">
        <f t="shared" si="99"/>
        <v>NO</v>
      </c>
      <c r="CZ100" s="495" t="str">
        <f t="shared" si="99"/>
        <v>NO</v>
      </c>
      <c r="DA100" s="502"/>
      <c r="DB100" s="460"/>
      <c r="DC100" s="465"/>
      <c r="DD100" s="463"/>
      <c r="DE100" s="512"/>
      <c r="DF100" s="516"/>
      <c r="DG100" s="508"/>
      <c r="DH100" s="463"/>
      <c r="DI100" s="461"/>
      <c r="DJ100" s="461"/>
      <c r="DK100" s="461"/>
      <c r="DL100" s="464"/>
      <c r="DM100" s="466"/>
      <c r="DN100" s="502"/>
      <c r="DO100" s="460"/>
      <c r="DP100" s="464"/>
      <c r="DQ100" s="464"/>
      <c r="DR100" s="464"/>
      <c r="DS100" s="508"/>
      <c r="DT100" s="525"/>
      <c r="DU100" s="525"/>
      <c r="DV100" s="463"/>
      <c r="DW100" s="464"/>
      <c r="DX100" s="465"/>
      <c r="DY100" s="463"/>
      <c r="DZ100" s="464"/>
      <c r="EA100" s="465"/>
      <c r="EB100" s="463"/>
      <c r="EC100" s="465"/>
      <c r="ED100" s="462"/>
      <c r="EE100" s="502"/>
      <c r="EF100" s="463"/>
      <c r="EG100" s="461"/>
      <c r="EH100" s="464"/>
      <c r="EI100" s="464"/>
      <c r="EJ100" s="464"/>
      <c r="EK100" s="464"/>
      <c r="EL100" s="464"/>
      <c r="EM100" s="464"/>
      <c r="EN100" s="464"/>
      <c r="EO100" s="464"/>
      <c r="EP100" s="464"/>
      <c r="EQ100" s="464"/>
      <c r="ER100" s="464"/>
      <c r="ES100" s="464"/>
      <c r="ET100" s="464"/>
      <c r="EU100" s="464"/>
      <c r="EV100" s="464"/>
      <c r="EW100" s="465"/>
      <c r="EX100" s="465"/>
      <c r="EY100" s="502"/>
      <c r="EZ100" s="460"/>
      <c r="FA100" s="464"/>
      <c r="FB100" s="464"/>
      <c r="FC100" s="464"/>
      <c r="FD100" s="464"/>
      <c r="FE100" s="464"/>
      <c r="FF100" s="464"/>
      <c r="FG100" s="466"/>
    </row>
    <row r="101" spans="1:163">
      <c r="A101" s="467" t="s">
        <v>288</v>
      </c>
      <c r="B101" s="471" t="str">
        <f>IF(ISNUMBER(MATCH(A101, 'Pulldown Data'!W:W, 0))=TRUE, "Y", IF(ISNUMBER(MATCH(A101, 'Pulldown Data'!X:X, 0))=TRUE, "M", ""))</f>
        <v/>
      </c>
      <c r="C101" s="504"/>
      <c r="D101" s="502"/>
      <c r="E101" s="443" t="str">
        <f t="shared" si="90"/>
        <v/>
      </c>
      <c r="F101" s="444" t="str">
        <f t="shared" si="90"/>
        <v/>
      </c>
      <c r="G101" s="444" t="str">
        <f t="shared" si="90"/>
        <v/>
      </c>
      <c r="H101" s="444" t="str">
        <f t="shared" si="90"/>
        <v/>
      </c>
      <c r="I101" s="444" t="str">
        <f t="shared" si="90"/>
        <v/>
      </c>
      <c r="J101" s="444" t="str">
        <f t="shared" si="90"/>
        <v/>
      </c>
      <c r="K101" s="444" t="str">
        <f t="shared" si="90"/>
        <v/>
      </c>
      <c r="L101" s="444" t="str">
        <f t="shared" si="90"/>
        <v/>
      </c>
      <c r="M101" s="444" t="str">
        <f t="shared" si="90"/>
        <v/>
      </c>
      <c r="N101" s="444" t="str">
        <f t="shared" si="90"/>
        <v/>
      </c>
      <c r="O101" s="444" t="str">
        <f t="shared" si="91"/>
        <v/>
      </c>
      <c r="P101" s="444" t="str">
        <f t="shared" si="91"/>
        <v/>
      </c>
      <c r="Q101" s="444" t="str">
        <f t="shared" si="91"/>
        <v/>
      </c>
      <c r="R101" s="444" t="str">
        <f t="shared" si="91"/>
        <v/>
      </c>
      <c r="S101" s="444" t="str">
        <f t="shared" si="91"/>
        <v/>
      </c>
      <c r="T101" s="444" t="str">
        <f t="shared" si="91"/>
        <v/>
      </c>
      <c r="U101" s="444" t="str">
        <f t="shared" si="91"/>
        <v/>
      </c>
      <c r="V101" s="444" t="str">
        <f t="shared" si="91"/>
        <v/>
      </c>
      <c r="W101" s="444" t="str">
        <f t="shared" si="91"/>
        <v/>
      </c>
      <c r="X101" s="444" t="str">
        <f t="shared" si="91"/>
        <v/>
      </c>
      <c r="Y101" s="444" t="str">
        <f t="shared" si="92"/>
        <v/>
      </c>
      <c r="Z101" s="444" t="str">
        <f t="shared" si="92"/>
        <v/>
      </c>
      <c r="AA101" s="444" t="str">
        <f t="shared" si="92"/>
        <v/>
      </c>
      <c r="AB101" s="444" t="str">
        <f t="shared" si="92"/>
        <v/>
      </c>
      <c r="AC101" s="444" t="str">
        <f t="shared" si="92"/>
        <v/>
      </c>
      <c r="AD101" s="444" t="str">
        <f t="shared" si="92"/>
        <v/>
      </c>
      <c r="AE101" s="444" t="str">
        <f t="shared" si="92"/>
        <v/>
      </c>
      <c r="AF101" s="444" t="str">
        <f t="shared" si="92"/>
        <v/>
      </c>
      <c r="AG101" s="444" t="str">
        <f t="shared" si="92"/>
        <v/>
      </c>
      <c r="AH101" s="444" t="str">
        <f t="shared" si="92"/>
        <v/>
      </c>
      <c r="AI101" s="444" t="str">
        <f t="shared" si="93"/>
        <v/>
      </c>
      <c r="AJ101" s="444" t="str">
        <f t="shared" si="93"/>
        <v/>
      </c>
      <c r="AK101" s="444" t="str">
        <f t="shared" si="93"/>
        <v/>
      </c>
      <c r="AL101" s="444" t="str">
        <f t="shared" si="93"/>
        <v/>
      </c>
      <c r="AM101" s="444" t="str">
        <f t="shared" si="93"/>
        <v/>
      </c>
      <c r="AN101" s="444" t="str">
        <f t="shared" si="93"/>
        <v/>
      </c>
      <c r="AO101" s="444" t="str">
        <f t="shared" si="93"/>
        <v/>
      </c>
      <c r="AP101" s="444" t="str">
        <f t="shared" si="93"/>
        <v/>
      </c>
      <c r="AQ101" s="444" t="str">
        <f t="shared" si="93"/>
        <v/>
      </c>
      <c r="AR101" s="444" t="str">
        <f t="shared" si="93"/>
        <v/>
      </c>
      <c r="AS101" s="444" t="str">
        <f t="shared" si="94"/>
        <v/>
      </c>
      <c r="AT101" s="444" t="str">
        <f t="shared" si="94"/>
        <v/>
      </c>
      <c r="AU101" s="444" t="str">
        <f t="shared" si="94"/>
        <v/>
      </c>
      <c r="AV101" s="444" t="str">
        <f t="shared" si="94"/>
        <v/>
      </c>
      <c r="AW101" s="444" t="str">
        <f t="shared" si="94"/>
        <v/>
      </c>
      <c r="AX101" s="444" t="str">
        <f t="shared" si="94"/>
        <v/>
      </c>
      <c r="AY101" s="444" t="str">
        <f t="shared" si="94"/>
        <v/>
      </c>
      <c r="AZ101" s="444" t="str">
        <f t="shared" si="94"/>
        <v/>
      </c>
      <c r="BA101" s="444" t="str">
        <f t="shared" si="94"/>
        <v/>
      </c>
      <c r="BB101" s="444" t="str">
        <f t="shared" si="94"/>
        <v/>
      </c>
      <c r="BC101" s="444" t="str">
        <f t="shared" si="95"/>
        <v/>
      </c>
      <c r="BD101" s="444" t="str">
        <f t="shared" si="95"/>
        <v/>
      </c>
      <c r="BE101" s="444" t="str">
        <f t="shared" si="95"/>
        <v/>
      </c>
      <c r="BF101" s="444" t="str">
        <f t="shared" si="95"/>
        <v/>
      </c>
      <c r="BG101" s="444" t="str">
        <f t="shared" si="95"/>
        <v/>
      </c>
      <c r="BH101" s="445" t="str">
        <f t="shared" si="95"/>
        <v/>
      </c>
      <c r="BI101" s="502"/>
      <c r="BJ101" s="474" t="str">
        <f t="shared" si="96"/>
        <v/>
      </c>
      <c r="BK101" s="475" t="str">
        <f t="shared" si="96"/>
        <v/>
      </c>
      <c r="BL101" s="475" t="str">
        <f t="shared" si="96"/>
        <v/>
      </c>
      <c r="BM101" s="475" t="str">
        <f t="shared" si="96"/>
        <v/>
      </c>
      <c r="BN101" s="475" t="str">
        <f t="shared" si="96"/>
        <v/>
      </c>
      <c r="BO101" s="475" t="str">
        <f t="shared" si="96"/>
        <v/>
      </c>
      <c r="BP101" s="475" t="str">
        <f t="shared" si="96"/>
        <v/>
      </c>
      <c r="BQ101" s="475" t="str">
        <f t="shared" si="96"/>
        <v/>
      </c>
      <c r="BR101" s="475" t="str">
        <f t="shared" si="96"/>
        <v/>
      </c>
      <c r="BS101" s="475" t="str">
        <f t="shared" si="96"/>
        <v/>
      </c>
      <c r="BT101" s="475" t="str">
        <f t="shared" si="97"/>
        <v/>
      </c>
      <c r="BU101" s="475" t="str">
        <f t="shared" si="97"/>
        <v/>
      </c>
      <c r="BV101" s="475" t="str">
        <f t="shared" si="97"/>
        <v/>
      </c>
      <c r="BW101" s="475" t="str">
        <f t="shared" si="97"/>
        <v/>
      </c>
      <c r="BX101" s="475" t="str">
        <f t="shared" si="97"/>
        <v/>
      </c>
      <c r="BY101" s="475" t="str">
        <f t="shared" si="97"/>
        <v/>
      </c>
      <c r="BZ101" s="475" t="str">
        <f t="shared" si="97"/>
        <v/>
      </c>
      <c r="CA101" s="475" t="str">
        <f t="shared" si="97"/>
        <v/>
      </c>
      <c r="CB101" s="475" t="str">
        <f t="shared" si="97"/>
        <v/>
      </c>
      <c r="CC101" s="475" t="str">
        <f t="shared" si="97"/>
        <v/>
      </c>
      <c r="CD101" s="475" t="str">
        <f t="shared" si="98"/>
        <v/>
      </c>
      <c r="CE101" s="475" t="str">
        <f t="shared" si="98"/>
        <v/>
      </c>
      <c r="CF101" s="475" t="str">
        <f t="shared" si="98"/>
        <v/>
      </c>
      <c r="CG101" s="475" t="str">
        <f t="shared" si="98"/>
        <v/>
      </c>
      <c r="CH101" s="475" t="str">
        <f t="shared" si="98"/>
        <v/>
      </c>
      <c r="CI101" s="475" t="str">
        <f t="shared" si="98"/>
        <v/>
      </c>
      <c r="CJ101" s="475" t="str">
        <f t="shared" si="98"/>
        <v/>
      </c>
      <c r="CK101" s="475" t="str">
        <f t="shared" si="98"/>
        <v/>
      </c>
      <c r="CL101" s="475" t="str">
        <f t="shared" si="98"/>
        <v/>
      </c>
      <c r="CM101" s="475" t="str">
        <f t="shared" si="98"/>
        <v/>
      </c>
      <c r="CN101" s="475" t="str">
        <f t="shared" si="99"/>
        <v/>
      </c>
      <c r="CO101" s="475" t="str">
        <f t="shared" si="99"/>
        <v/>
      </c>
      <c r="CP101" s="475" t="str">
        <f t="shared" si="99"/>
        <v/>
      </c>
      <c r="CQ101" s="475" t="str">
        <f t="shared" si="99"/>
        <v/>
      </c>
      <c r="CR101" s="475" t="str">
        <f t="shared" si="99"/>
        <v/>
      </c>
      <c r="CS101" s="475" t="str">
        <f t="shared" si="99"/>
        <v/>
      </c>
      <c r="CT101" s="475" t="str">
        <f t="shared" si="99"/>
        <v/>
      </c>
      <c r="CU101" s="475" t="str">
        <f t="shared" si="99"/>
        <v/>
      </c>
      <c r="CV101" s="475" t="str">
        <f t="shared" si="99"/>
        <v/>
      </c>
      <c r="CW101" s="475" t="str">
        <f t="shared" si="99"/>
        <v/>
      </c>
      <c r="CX101" s="475" t="str">
        <f t="shared" si="99"/>
        <v/>
      </c>
      <c r="CY101" s="475" t="str">
        <f t="shared" si="99"/>
        <v/>
      </c>
      <c r="CZ101" s="495" t="str">
        <f t="shared" si="99"/>
        <v/>
      </c>
      <c r="DA101" s="502"/>
      <c r="DB101" s="460"/>
      <c r="DC101" s="465"/>
      <c r="DD101" s="463"/>
      <c r="DE101" s="512"/>
      <c r="DF101" s="516"/>
      <c r="DG101" s="508"/>
      <c r="DH101" s="463"/>
      <c r="DI101" s="461"/>
      <c r="DJ101" s="461"/>
      <c r="DK101" s="461"/>
      <c r="DL101" s="464"/>
      <c r="DM101" s="466"/>
      <c r="DN101" s="502"/>
      <c r="DO101" s="460"/>
      <c r="DP101" s="464"/>
      <c r="DQ101" s="464"/>
      <c r="DR101" s="464"/>
      <c r="DS101" s="508"/>
      <c r="DT101" s="525"/>
      <c r="DU101" s="525"/>
      <c r="DV101" s="463"/>
      <c r="DW101" s="464"/>
      <c r="DX101" s="465"/>
      <c r="DY101" s="463"/>
      <c r="DZ101" s="464"/>
      <c r="EA101" s="465"/>
      <c r="EB101" s="463"/>
      <c r="EC101" s="465"/>
      <c r="ED101" s="462"/>
      <c r="EE101" s="502"/>
      <c r="EF101" s="463"/>
      <c r="EG101" s="461"/>
      <c r="EH101" s="464"/>
      <c r="EI101" s="464"/>
      <c r="EJ101" s="464"/>
      <c r="EK101" s="464"/>
      <c r="EL101" s="464"/>
      <c r="EM101" s="464"/>
      <c r="EN101" s="464"/>
      <c r="EO101" s="464"/>
      <c r="EP101" s="464"/>
      <c r="EQ101" s="464"/>
      <c r="ER101" s="464"/>
      <c r="ES101" s="464"/>
      <c r="ET101" s="464"/>
      <c r="EU101" s="464"/>
      <c r="EV101" s="464"/>
      <c r="EW101" s="465"/>
      <c r="EX101" s="465"/>
      <c r="EY101" s="502"/>
      <c r="EZ101" s="460"/>
      <c r="FA101" s="464"/>
      <c r="FB101" s="464"/>
      <c r="FC101" s="464"/>
      <c r="FD101" s="464"/>
      <c r="FE101" s="464"/>
      <c r="FF101" s="464"/>
      <c r="FG101" s="466"/>
    </row>
    <row r="102" spans="1:163">
      <c r="A102" s="467" t="s">
        <v>289</v>
      </c>
      <c r="B102" s="471" t="str">
        <f>IF(ISNUMBER(MATCH(A102, 'Pulldown Data'!W:W, 0))=TRUE, "Y", IF(ISNUMBER(MATCH(A102, 'Pulldown Data'!X:X, 0))=TRUE, "M", ""))</f>
        <v/>
      </c>
      <c r="C102" s="504"/>
      <c r="D102" s="502"/>
      <c r="E102" s="443" t="str">
        <f t="shared" ref="E102:N111" si="100" xml:space="preserve">
IFERROR(
_xlfn.IFNA(
   IF($B102="PLT",
      IF(INDEX(PRJGENVersions, MATCH(TRIM(E$1), PRJGENAlgosMapped, 0), MATCH($A102, PRJGENProjects, 0)), "YES", ""),
      IF(INDEX(RoadmapData, MATCH(TRIM(E$1), RoadmapDataFeatures, 0), MATCH($A102, RoadmapDataProjects, 0)) = "-", "-", INDEX(RoadmapData, MATCH(TRIM(E$1), RoadmapDataFeatures, 0), MATCH($A102, RoadmapDataProjects, 0)))),
""),
"")</f>
        <v/>
      </c>
      <c r="F102" s="444" t="str">
        <f t="shared" si="100"/>
        <v/>
      </c>
      <c r="G102" s="444" t="str">
        <f t="shared" si="100"/>
        <v/>
      </c>
      <c r="H102" s="444" t="str">
        <f t="shared" si="100"/>
        <v/>
      </c>
      <c r="I102" s="444" t="str">
        <f t="shared" si="100"/>
        <v/>
      </c>
      <c r="J102" s="444" t="str">
        <f t="shared" si="100"/>
        <v/>
      </c>
      <c r="K102" s="444" t="str">
        <f t="shared" si="100"/>
        <v/>
      </c>
      <c r="L102" s="444" t="str">
        <f t="shared" si="100"/>
        <v/>
      </c>
      <c r="M102" s="444" t="str">
        <f t="shared" si="100"/>
        <v/>
      </c>
      <c r="N102" s="444" t="str">
        <f t="shared" si="100"/>
        <v/>
      </c>
      <c r="O102" s="444" t="str">
        <f t="shared" ref="O102:X111" si="101" xml:space="preserve">
IFERROR(
_xlfn.IFNA(
   IF($B102="PLT",
      IF(INDEX(PRJGENVersions, MATCH(TRIM(O$1), PRJGENAlgosMapped, 0), MATCH($A102, PRJGENProjects, 0)), "YES", ""),
      IF(INDEX(RoadmapData, MATCH(TRIM(O$1), RoadmapDataFeatures, 0), MATCH($A102, RoadmapDataProjects, 0)) = "-", "-", INDEX(RoadmapData, MATCH(TRIM(O$1), RoadmapDataFeatures, 0), MATCH($A102, RoadmapDataProjects, 0)))),
""),
"")</f>
        <v/>
      </c>
      <c r="P102" s="444" t="str">
        <f t="shared" si="101"/>
        <v/>
      </c>
      <c r="Q102" s="444" t="str">
        <f t="shared" si="101"/>
        <v/>
      </c>
      <c r="R102" s="444" t="str">
        <f t="shared" si="101"/>
        <v/>
      </c>
      <c r="S102" s="444" t="str">
        <f t="shared" si="101"/>
        <v/>
      </c>
      <c r="T102" s="444" t="str">
        <f t="shared" si="101"/>
        <v/>
      </c>
      <c r="U102" s="444" t="str">
        <f t="shared" si="101"/>
        <v/>
      </c>
      <c r="V102" s="444" t="str">
        <f t="shared" si="101"/>
        <v/>
      </c>
      <c r="W102" s="444" t="str">
        <f t="shared" si="101"/>
        <v/>
      </c>
      <c r="X102" s="444" t="str">
        <f t="shared" si="101"/>
        <v/>
      </c>
      <c r="Y102" s="444" t="str">
        <f t="shared" ref="Y102:AH111" si="102" xml:space="preserve">
IFERROR(
_xlfn.IFNA(
   IF($B102="PLT",
      IF(INDEX(PRJGENVersions, MATCH(TRIM(Y$1), PRJGENAlgosMapped, 0), MATCH($A102, PRJGENProjects, 0)), "YES", ""),
      IF(INDEX(RoadmapData, MATCH(TRIM(Y$1), RoadmapDataFeatures, 0), MATCH($A102, RoadmapDataProjects, 0)) = "-", "-", INDEX(RoadmapData, MATCH(TRIM(Y$1), RoadmapDataFeatures, 0), MATCH($A102, RoadmapDataProjects, 0)))),
""),
"")</f>
        <v/>
      </c>
      <c r="Z102" s="444" t="str">
        <f t="shared" si="102"/>
        <v/>
      </c>
      <c r="AA102" s="444" t="str">
        <f t="shared" si="102"/>
        <v/>
      </c>
      <c r="AB102" s="444" t="str">
        <f t="shared" si="102"/>
        <v/>
      </c>
      <c r="AC102" s="444" t="str">
        <f t="shared" si="102"/>
        <v/>
      </c>
      <c r="AD102" s="444" t="str">
        <f t="shared" si="102"/>
        <v/>
      </c>
      <c r="AE102" s="444" t="str">
        <f t="shared" si="102"/>
        <v/>
      </c>
      <c r="AF102" s="444" t="str">
        <f t="shared" si="102"/>
        <v/>
      </c>
      <c r="AG102" s="444" t="str">
        <f t="shared" si="102"/>
        <v/>
      </c>
      <c r="AH102" s="444" t="str">
        <f t="shared" si="102"/>
        <v/>
      </c>
      <c r="AI102" s="444" t="str">
        <f t="shared" ref="AI102:AR111" si="103" xml:space="preserve">
IFERROR(
_xlfn.IFNA(
   IF($B102="PLT",
      IF(INDEX(PRJGENVersions, MATCH(TRIM(AI$1), PRJGENAlgosMapped, 0), MATCH($A102, PRJGENProjects, 0)), "YES", ""),
      IF(INDEX(RoadmapData, MATCH(TRIM(AI$1), RoadmapDataFeatures, 0), MATCH($A102, RoadmapDataProjects, 0)) = "-", "-", INDEX(RoadmapData, MATCH(TRIM(AI$1), RoadmapDataFeatures, 0), MATCH($A102, RoadmapDataProjects, 0)))),
""),
"")</f>
        <v/>
      </c>
      <c r="AJ102" s="444" t="str">
        <f t="shared" si="103"/>
        <v/>
      </c>
      <c r="AK102" s="444" t="str">
        <f t="shared" si="103"/>
        <v/>
      </c>
      <c r="AL102" s="444" t="str">
        <f t="shared" si="103"/>
        <v/>
      </c>
      <c r="AM102" s="444" t="str">
        <f t="shared" si="103"/>
        <v/>
      </c>
      <c r="AN102" s="444" t="str">
        <f t="shared" si="103"/>
        <v/>
      </c>
      <c r="AO102" s="444" t="str">
        <f t="shared" si="103"/>
        <v/>
      </c>
      <c r="AP102" s="444" t="str">
        <f t="shared" si="103"/>
        <v/>
      </c>
      <c r="AQ102" s="444" t="str">
        <f t="shared" si="103"/>
        <v/>
      </c>
      <c r="AR102" s="444" t="str">
        <f t="shared" si="103"/>
        <v/>
      </c>
      <c r="AS102" s="444" t="str">
        <f t="shared" ref="AS102:BB111" si="104" xml:space="preserve">
IFERROR(
_xlfn.IFNA(
   IF($B102="PLT",
      IF(INDEX(PRJGENVersions, MATCH(TRIM(AS$1), PRJGENAlgosMapped, 0), MATCH($A102, PRJGENProjects, 0)), "YES", ""),
      IF(INDEX(RoadmapData, MATCH(TRIM(AS$1), RoadmapDataFeatures, 0), MATCH($A102, RoadmapDataProjects, 0)) = "-", "-", INDEX(RoadmapData, MATCH(TRIM(AS$1), RoadmapDataFeatures, 0), MATCH($A102, RoadmapDataProjects, 0)))),
""),
"")</f>
        <v/>
      </c>
      <c r="AT102" s="444" t="str">
        <f t="shared" si="104"/>
        <v/>
      </c>
      <c r="AU102" s="444" t="str">
        <f t="shared" si="104"/>
        <v/>
      </c>
      <c r="AV102" s="444" t="str">
        <f t="shared" si="104"/>
        <v/>
      </c>
      <c r="AW102" s="444" t="str">
        <f t="shared" si="104"/>
        <v/>
      </c>
      <c r="AX102" s="444" t="str">
        <f t="shared" si="104"/>
        <v/>
      </c>
      <c r="AY102" s="444" t="str">
        <f t="shared" si="104"/>
        <v/>
      </c>
      <c r="AZ102" s="444" t="str">
        <f t="shared" si="104"/>
        <v/>
      </c>
      <c r="BA102" s="444" t="str">
        <f t="shared" si="104"/>
        <v/>
      </c>
      <c r="BB102" s="444" t="str">
        <f t="shared" si="104"/>
        <v/>
      </c>
      <c r="BC102" s="444" t="str">
        <f t="shared" ref="BC102:BH111" si="105" xml:space="preserve">
IFERROR(
_xlfn.IFNA(
   IF($B102="PLT",
      IF(INDEX(PRJGENVersions, MATCH(TRIM(BC$1), PRJGENAlgosMapped, 0), MATCH($A102, PRJGENProjects, 0)), "YES", ""),
      IF(INDEX(RoadmapData, MATCH(TRIM(BC$1), RoadmapDataFeatures, 0), MATCH($A102, RoadmapDataProjects, 0)) = "-", "-", INDEX(RoadmapData, MATCH(TRIM(BC$1), RoadmapDataFeatures, 0), MATCH($A102, RoadmapDataProjects, 0)))),
""),
"")</f>
        <v/>
      </c>
      <c r="BD102" s="444" t="str">
        <f t="shared" si="105"/>
        <v/>
      </c>
      <c r="BE102" s="444" t="str">
        <f t="shared" si="105"/>
        <v/>
      </c>
      <c r="BF102" s="444" t="str">
        <f t="shared" si="105"/>
        <v/>
      </c>
      <c r="BG102" s="444" t="str">
        <f t="shared" si="105"/>
        <v/>
      </c>
      <c r="BH102" s="445" t="str">
        <f t="shared" si="105"/>
        <v/>
      </c>
      <c r="BI102" s="502"/>
      <c r="BJ102" s="474" t="str">
        <f t="shared" ref="BJ102:BS111" si="106">_xlfn.IFNA(IF(INDEX(RoadmapData, MATCH(TRIM(BJ$1), RoadmapDataFeatures, 0), MATCH($A102, RoadmapDataProjects, 0)) = "-", "-", INDEX(RoadmapData, MATCH(TRIM(BJ$1), RoadmapDataFeatures, 0), MATCH($A102, RoadmapDataProjects, 0))), "")</f>
        <v/>
      </c>
      <c r="BK102" s="475" t="str">
        <f t="shared" si="106"/>
        <v/>
      </c>
      <c r="BL102" s="475" t="str">
        <f t="shared" si="106"/>
        <v/>
      </c>
      <c r="BM102" s="475" t="str">
        <f t="shared" si="106"/>
        <v/>
      </c>
      <c r="BN102" s="475" t="str">
        <f t="shared" si="106"/>
        <v/>
      </c>
      <c r="BO102" s="475" t="str">
        <f t="shared" si="106"/>
        <v/>
      </c>
      <c r="BP102" s="475" t="str">
        <f t="shared" si="106"/>
        <v/>
      </c>
      <c r="BQ102" s="475" t="str">
        <f t="shared" si="106"/>
        <v/>
      </c>
      <c r="BR102" s="475" t="str">
        <f t="shared" si="106"/>
        <v/>
      </c>
      <c r="BS102" s="475" t="str">
        <f t="shared" si="106"/>
        <v/>
      </c>
      <c r="BT102" s="475" t="str">
        <f t="shared" ref="BT102:CC111" si="107">_xlfn.IFNA(IF(INDEX(RoadmapData, MATCH(TRIM(BT$1), RoadmapDataFeatures, 0), MATCH($A102, RoadmapDataProjects, 0)) = "-", "-", INDEX(RoadmapData, MATCH(TRIM(BT$1), RoadmapDataFeatures, 0), MATCH($A102, RoadmapDataProjects, 0))), "")</f>
        <v/>
      </c>
      <c r="BU102" s="475" t="str">
        <f t="shared" si="107"/>
        <v/>
      </c>
      <c r="BV102" s="475" t="str">
        <f t="shared" si="107"/>
        <v/>
      </c>
      <c r="BW102" s="475" t="str">
        <f t="shared" si="107"/>
        <v/>
      </c>
      <c r="BX102" s="475" t="str">
        <f t="shared" si="107"/>
        <v/>
      </c>
      <c r="BY102" s="475" t="str">
        <f t="shared" si="107"/>
        <v/>
      </c>
      <c r="BZ102" s="475" t="str">
        <f t="shared" si="107"/>
        <v/>
      </c>
      <c r="CA102" s="475" t="str">
        <f t="shared" si="107"/>
        <v/>
      </c>
      <c r="CB102" s="475" t="str">
        <f t="shared" si="107"/>
        <v/>
      </c>
      <c r="CC102" s="475" t="str">
        <f t="shared" si="107"/>
        <v/>
      </c>
      <c r="CD102" s="475" t="str">
        <f t="shared" ref="CD102:CM111" si="108">_xlfn.IFNA(IF(INDEX(RoadmapData, MATCH(TRIM(CD$1), RoadmapDataFeatures, 0), MATCH($A102, RoadmapDataProjects, 0)) = "-", "-", INDEX(RoadmapData, MATCH(TRIM(CD$1), RoadmapDataFeatures, 0), MATCH($A102, RoadmapDataProjects, 0))), "")</f>
        <v/>
      </c>
      <c r="CE102" s="475" t="str">
        <f t="shared" si="108"/>
        <v/>
      </c>
      <c r="CF102" s="475" t="str">
        <f t="shared" si="108"/>
        <v/>
      </c>
      <c r="CG102" s="475" t="str">
        <f t="shared" si="108"/>
        <v/>
      </c>
      <c r="CH102" s="475" t="str">
        <f t="shared" si="108"/>
        <v/>
      </c>
      <c r="CI102" s="475" t="str">
        <f t="shared" si="108"/>
        <v/>
      </c>
      <c r="CJ102" s="475" t="str">
        <f t="shared" si="108"/>
        <v/>
      </c>
      <c r="CK102" s="475" t="str">
        <f t="shared" si="108"/>
        <v/>
      </c>
      <c r="CL102" s="475" t="str">
        <f t="shared" si="108"/>
        <v/>
      </c>
      <c r="CM102" s="475" t="str">
        <f t="shared" si="108"/>
        <v/>
      </c>
      <c r="CN102" s="475" t="str">
        <f t="shared" ref="CN102:CZ111" si="109">_xlfn.IFNA(IF(INDEX(RoadmapData, MATCH(TRIM(CN$1), RoadmapDataFeatures, 0), MATCH($A102, RoadmapDataProjects, 0)) = "-", "-", INDEX(RoadmapData, MATCH(TRIM(CN$1), RoadmapDataFeatures, 0), MATCH($A102, RoadmapDataProjects, 0))), "")</f>
        <v/>
      </c>
      <c r="CO102" s="475" t="str">
        <f t="shared" si="109"/>
        <v/>
      </c>
      <c r="CP102" s="475" t="str">
        <f t="shared" si="109"/>
        <v/>
      </c>
      <c r="CQ102" s="475" t="str">
        <f t="shared" si="109"/>
        <v/>
      </c>
      <c r="CR102" s="475" t="str">
        <f t="shared" si="109"/>
        <v/>
      </c>
      <c r="CS102" s="475" t="str">
        <f t="shared" si="109"/>
        <v/>
      </c>
      <c r="CT102" s="475" t="str">
        <f t="shared" si="109"/>
        <v/>
      </c>
      <c r="CU102" s="475" t="str">
        <f t="shared" si="109"/>
        <v/>
      </c>
      <c r="CV102" s="475" t="str">
        <f t="shared" si="109"/>
        <v/>
      </c>
      <c r="CW102" s="475" t="str">
        <f t="shared" si="109"/>
        <v/>
      </c>
      <c r="CX102" s="475" t="str">
        <f t="shared" si="109"/>
        <v/>
      </c>
      <c r="CY102" s="475" t="str">
        <f t="shared" si="109"/>
        <v/>
      </c>
      <c r="CZ102" s="495" t="str">
        <f t="shared" si="109"/>
        <v/>
      </c>
      <c r="DA102" s="502"/>
      <c r="DB102" s="460"/>
      <c r="DC102" s="465"/>
      <c r="DD102" s="463"/>
      <c r="DE102" s="512"/>
      <c r="DF102" s="516"/>
      <c r="DG102" s="508"/>
      <c r="DH102" s="463"/>
      <c r="DI102" s="461"/>
      <c r="DJ102" s="461"/>
      <c r="DK102" s="461"/>
      <c r="DL102" s="464"/>
      <c r="DM102" s="466"/>
      <c r="DN102" s="502"/>
      <c r="DO102" s="460"/>
      <c r="DP102" s="464"/>
      <c r="DQ102" s="464"/>
      <c r="DR102" s="464"/>
      <c r="DS102" s="508"/>
      <c r="DT102" s="525"/>
      <c r="DU102" s="525"/>
      <c r="DV102" s="463"/>
      <c r="DW102" s="464"/>
      <c r="DX102" s="465"/>
      <c r="DY102" s="463"/>
      <c r="DZ102" s="464"/>
      <c r="EA102" s="465"/>
      <c r="EB102" s="463"/>
      <c r="EC102" s="465"/>
      <c r="ED102" s="462"/>
      <c r="EE102" s="502"/>
      <c r="EF102" s="463"/>
      <c r="EG102" s="461"/>
      <c r="EH102" s="464"/>
      <c r="EI102" s="464"/>
      <c r="EJ102" s="464"/>
      <c r="EK102" s="464"/>
      <c r="EL102" s="464"/>
      <c r="EM102" s="464"/>
      <c r="EN102" s="464"/>
      <c r="EO102" s="464"/>
      <c r="EP102" s="464"/>
      <c r="EQ102" s="464"/>
      <c r="ER102" s="464"/>
      <c r="ES102" s="464"/>
      <c r="ET102" s="464"/>
      <c r="EU102" s="464"/>
      <c r="EV102" s="464"/>
      <c r="EW102" s="465"/>
      <c r="EX102" s="465"/>
      <c r="EY102" s="502"/>
      <c r="EZ102" s="460"/>
      <c r="FA102" s="464"/>
      <c r="FB102" s="464"/>
      <c r="FC102" s="464"/>
      <c r="FD102" s="464"/>
      <c r="FE102" s="464"/>
      <c r="FF102" s="464"/>
      <c r="FG102" s="466"/>
    </row>
    <row r="103" spans="1:163">
      <c r="A103" s="467" t="s">
        <v>290</v>
      </c>
      <c r="B103" s="471" t="str">
        <f>IF(ISNUMBER(MATCH(A103, 'Pulldown Data'!W:W, 0))=TRUE, "Y", IF(ISNUMBER(MATCH(A103, 'Pulldown Data'!X:X, 0))=TRUE, "M", ""))</f>
        <v/>
      </c>
      <c r="C103" s="504"/>
      <c r="D103" s="502"/>
      <c r="E103" s="443" t="str">
        <f t="shared" si="100"/>
        <v/>
      </c>
      <c r="F103" s="444" t="str">
        <f t="shared" si="100"/>
        <v/>
      </c>
      <c r="G103" s="444" t="str">
        <f t="shared" si="100"/>
        <v/>
      </c>
      <c r="H103" s="444" t="str">
        <f t="shared" si="100"/>
        <v/>
      </c>
      <c r="I103" s="444" t="str">
        <f t="shared" si="100"/>
        <v/>
      </c>
      <c r="J103" s="444" t="str">
        <f t="shared" si="100"/>
        <v/>
      </c>
      <c r="K103" s="444" t="str">
        <f t="shared" si="100"/>
        <v/>
      </c>
      <c r="L103" s="444" t="str">
        <f t="shared" si="100"/>
        <v/>
      </c>
      <c r="M103" s="444" t="str">
        <f t="shared" si="100"/>
        <v/>
      </c>
      <c r="N103" s="444" t="str">
        <f t="shared" si="100"/>
        <v/>
      </c>
      <c r="O103" s="444" t="str">
        <f t="shared" si="101"/>
        <v/>
      </c>
      <c r="P103" s="444" t="str">
        <f t="shared" si="101"/>
        <v/>
      </c>
      <c r="Q103" s="444" t="str">
        <f t="shared" si="101"/>
        <v/>
      </c>
      <c r="R103" s="444" t="str">
        <f t="shared" si="101"/>
        <v/>
      </c>
      <c r="S103" s="444" t="str">
        <f t="shared" si="101"/>
        <v/>
      </c>
      <c r="T103" s="444" t="str">
        <f t="shared" si="101"/>
        <v/>
      </c>
      <c r="U103" s="444" t="str">
        <f t="shared" si="101"/>
        <v/>
      </c>
      <c r="V103" s="444" t="str">
        <f t="shared" si="101"/>
        <v/>
      </c>
      <c r="W103" s="444" t="str">
        <f t="shared" si="101"/>
        <v/>
      </c>
      <c r="X103" s="444" t="str">
        <f t="shared" si="101"/>
        <v/>
      </c>
      <c r="Y103" s="444" t="str">
        <f t="shared" si="102"/>
        <v/>
      </c>
      <c r="Z103" s="444" t="str">
        <f t="shared" si="102"/>
        <v/>
      </c>
      <c r="AA103" s="444" t="str">
        <f t="shared" si="102"/>
        <v/>
      </c>
      <c r="AB103" s="444" t="str">
        <f t="shared" si="102"/>
        <v/>
      </c>
      <c r="AC103" s="444" t="str">
        <f t="shared" si="102"/>
        <v/>
      </c>
      <c r="AD103" s="444" t="str">
        <f t="shared" si="102"/>
        <v/>
      </c>
      <c r="AE103" s="444" t="str">
        <f t="shared" si="102"/>
        <v/>
      </c>
      <c r="AF103" s="444" t="str">
        <f t="shared" si="102"/>
        <v/>
      </c>
      <c r="AG103" s="444" t="str">
        <f t="shared" si="102"/>
        <v/>
      </c>
      <c r="AH103" s="444" t="str">
        <f t="shared" si="102"/>
        <v/>
      </c>
      <c r="AI103" s="444" t="str">
        <f t="shared" si="103"/>
        <v/>
      </c>
      <c r="AJ103" s="444" t="str">
        <f t="shared" si="103"/>
        <v/>
      </c>
      <c r="AK103" s="444" t="str">
        <f t="shared" si="103"/>
        <v/>
      </c>
      <c r="AL103" s="444" t="str">
        <f t="shared" si="103"/>
        <v/>
      </c>
      <c r="AM103" s="444" t="str">
        <f t="shared" si="103"/>
        <v/>
      </c>
      <c r="AN103" s="444" t="str">
        <f t="shared" si="103"/>
        <v/>
      </c>
      <c r="AO103" s="444" t="str">
        <f t="shared" si="103"/>
        <v/>
      </c>
      <c r="AP103" s="444" t="str">
        <f t="shared" si="103"/>
        <v/>
      </c>
      <c r="AQ103" s="444" t="str">
        <f t="shared" si="103"/>
        <v/>
      </c>
      <c r="AR103" s="444" t="str">
        <f t="shared" si="103"/>
        <v/>
      </c>
      <c r="AS103" s="444" t="str">
        <f t="shared" si="104"/>
        <v/>
      </c>
      <c r="AT103" s="444" t="str">
        <f t="shared" si="104"/>
        <v/>
      </c>
      <c r="AU103" s="444" t="str">
        <f t="shared" si="104"/>
        <v/>
      </c>
      <c r="AV103" s="444" t="str">
        <f t="shared" si="104"/>
        <v/>
      </c>
      <c r="AW103" s="444" t="str">
        <f t="shared" si="104"/>
        <v/>
      </c>
      <c r="AX103" s="444" t="str">
        <f t="shared" si="104"/>
        <v/>
      </c>
      <c r="AY103" s="444" t="str">
        <f t="shared" si="104"/>
        <v/>
      </c>
      <c r="AZ103" s="444" t="str">
        <f t="shared" si="104"/>
        <v/>
      </c>
      <c r="BA103" s="444" t="str">
        <f t="shared" si="104"/>
        <v/>
      </c>
      <c r="BB103" s="444" t="str">
        <f t="shared" si="104"/>
        <v/>
      </c>
      <c r="BC103" s="444" t="str">
        <f t="shared" si="105"/>
        <v/>
      </c>
      <c r="BD103" s="444" t="str">
        <f t="shared" si="105"/>
        <v/>
      </c>
      <c r="BE103" s="444" t="str">
        <f t="shared" si="105"/>
        <v/>
      </c>
      <c r="BF103" s="444" t="str">
        <f t="shared" si="105"/>
        <v/>
      </c>
      <c r="BG103" s="444" t="str">
        <f t="shared" si="105"/>
        <v/>
      </c>
      <c r="BH103" s="445" t="str">
        <f t="shared" si="105"/>
        <v/>
      </c>
      <c r="BI103" s="502"/>
      <c r="BJ103" s="474" t="str">
        <f t="shared" si="106"/>
        <v/>
      </c>
      <c r="BK103" s="475" t="str">
        <f t="shared" si="106"/>
        <v/>
      </c>
      <c r="BL103" s="475" t="str">
        <f t="shared" si="106"/>
        <v/>
      </c>
      <c r="BM103" s="475" t="str">
        <f t="shared" si="106"/>
        <v/>
      </c>
      <c r="BN103" s="475" t="str">
        <f t="shared" si="106"/>
        <v/>
      </c>
      <c r="BO103" s="475" t="str">
        <f t="shared" si="106"/>
        <v/>
      </c>
      <c r="BP103" s="475" t="str">
        <f t="shared" si="106"/>
        <v/>
      </c>
      <c r="BQ103" s="475" t="str">
        <f t="shared" si="106"/>
        <v/>
      </c>
      <c r="BR103" s="475" t="str">
        <f t="shared" si="106"/>
        <v/>
      </c>
      <c r="BS103" s="475" t="str">
        <f t="shared" si="106"/>
        <v/>
      </c>
      <c r="BT103" s="475" t="str">
        <f t="shared" si="107"/>
        <v/>
      </c>
      <c r="BU103" s="475" t="str">
        <f t="shared" si="107"/>
        <v/>
      </c>
      <c r="BV103" s="475" t="str">
        <f t="shared" si="107"/>
        <v/>
      </c>
      <c r="BW103" s="475" t="str">
        <f t="shared" si="107"/>
        <v/>
      </c>
      <c r="BX103" s="475" t="str">
        <f t="shared" si="107"/>
        <v/>
      </c>
      <c r="BY103" s="475" t="str">
        <f t="shared" si="107"/>
        <v/>
      </c>
      <c r="BZ103" s="475" t="str">
        <f t="shared" si="107"/>
        <v/>
      </c>
      <c r="CA103" s="475" t="str">
        <f t="shared" si="107"/>
        <v/>
      </c>
      <c r="CB103" s="475" t="str">
        <f t="shared" si="107"/>
        <v/>
      </c>
      <c r="CC103" s="475" t="str">
        <f t="shared" si="107"/>
        <v/>
      </c>
      <c r="CD103" s="475" t="str">
        <f t="shared" si="108"/>
        <v/>
      </c>
      <c r="CE103" s="475" t="str">
        <f t="shared" si="108"/>
        <v/>
      </c>
      <c r="CF103" s="475" t="str">
        <f t="shared" si="108"/>
        <v/>
      </c>
      <c r="CG103" s="475" t="str">
        <f t="shared" si="108"/>
        <v/>
      </c>
      <c r="CH103" s="475" t="str">
        <f t="shared" si="108"/>
        <v/>
      </c>
      <c r="CI103" s="475" t="str">
        <f t="shared" si="108"/>
        <v/>
      </c>
      <c r="CJ103" s="475" t="str">
        <f t="shared" si="108"/>
        <v/>
      </c>
      <c r="CK103" s="475" t="str">
        <f t="shared" si="108"/>
        <v/>
      </c>
      <c r="CL103" s="475" t="str">
        <f t="shared" si="108"/>
        <v/>
      </c>
      <c r="CM103" s="475" t="str">
        <f t="shared" si="108"/>
        <v/>
      </c>
      <c r="CN103" s="475" t="str">
        <f t="shared" si="109"/>
        <v/>
      </c>
      <c r="CO103" s="475" t="str">
        <f t="shared" si="109"/>
        <v/>
      </c>
      <c r="CP103" s="475" t="str">
        <f t="shared" si="109"/>
        <v/>
      </c>
      <c r="CQ103" s="475" t="str">
        <f t="shared" si="109"/>
        <v/>
      </c>
      <c r="CR103" s="475" t="str">
        <f t="shared" si="109"/>
        <v/>
      </c>
      <c r="CS103" s="475" t="str">
        <f t="shared" si="109"/>
        <v/>
      </c>
      <c r="CT103" s="475" t="str">
        <f t="shared" si="109"/>
        <v/>
      </c>
      <c r="CU103" s="475" t="str">
        <f t="shared" si="109"/>
        <v/>
      </c>
      <c r="CV103" s="475" t="str">
        <f t="shared" si="109"/>
        <v/>
      </c>
      <c r="CW103" s="475" t="str">
        <f t="shared" si="109"/>
        <v/>
      </c>
      <c r="CX103" s="475" t="str">
        <f t="shared" si="109"/>
        <v/>
      </c>
      <c r="CY103" s="475" t="str">
        <f t="shared" si="109"/>
        <v/>
      </c>
      <c r="CZ103" s="495" t="str">
        <f t="shared" si="109"/>
        <v/>
      </c>
      <c r="DA103" s="502"/>
      <c r="DB103" s="460"/>
      <c r="DC103" s="465"/>
      <c r="DD103" s="463"/>
      <c r="DE103" s="512"/>
      <c r="DF103" s="516"/>
      <c r="DG103" s="508"/>
      <c r="DH103" s="463"/>
      <c r="DI103" s="461"/>
      <c r="DJ103" s="461"/>
      <c r="DK103" s="461"/>
      <c r="DL103" s="464"/>
      <c r="DM103" s="466"/>
      <c r="DN103" s="502"/>
      <c r="DO103" s="460"/>
      <c r="DP103" s="464"/>
      <c r="DQ103" s="464"/>
      <c r="DR103" s="464"/>
      <c r="DS103" s="508"/>
      <c r="DT103" s="525"/>
      <c r="DU103" s="525"/>
      <c r="DV103" s="463"/>
      <c r="DW103" s="464"/>
      <c r="DX103" s="465"/>
      <c r="DY103" s="463"/>
      <c r="DZ103" s="464"/>
      <c r="EA103" s="465"/>
      <c r="EB103" s="463"/>
      <c r="EC103" s="465"/>
      <c r="ED103" s="462"/>
      <c r="EE103" s="502"/>
      <c r="EF103" s="463"/>
      <c r="EG103" s="461"/>
      <c r="EH103" s="464"/>
      <c r="EI103" s="464"/>
      <c r="EJ103" s="464"/>
      <c r="EK103" s="464"/>
      <c r="EL103" s="464"/>
      <c r="EM103" s="464"/>
      <c r="EN103" s="464"/>
      <c r="EO103" s="464"/>
      <c r="EP103" s="464"/>
      <c r="EQ103" s="464"/>
      <c r="ER103" s="464"/>
      <c r="ES103" s="464"/>
      <c r="ET103" s="464"/>
      <c r="EU103" s="464"/>
      <c r="EV103" s="464"/>
      <c r="EW103" s="465"/>
      <c r="EX103" s="465"/>
      <c r="EY103" s="502"/>
      <c r="EZ103" s="460"/>
      <c r="FA103" s="464"/>
      <c r="FB103" s="464"/>
      <c r="FC103" s="464"/>
      <c r="FD103" s="464"/>
      <c r="FE103" s="464"/>
      <c r="FF103" s="464"/>
      <c r="FG103" s="466"/>
    </row>
    <row r="104" spans="1:163">
      <c r="A104" s="467" t="s">
        <v>291</v>
      </c>
      <c r="B104" s="471" t="str">
        <f>IF(ISNUMBER(MATCH(A104, 'Pulldown Data'!W:W, 0))=TRUE, "Y", IF(ISNUMBER(MATCH(A104, 'Pulldown Data'!X:X, 0))=TRUE, "M", ""))</f>
        <v/>
      </c>
      <c r="C104" s="504"/>
      <c r="D104" s="502"/>
      <c r="E104" s="443" t="str">
        <f t="shared" si="100"/>
        <v/>
      </c>
      <c r="F104" s="444" t="str">
        <f t="shared" si="100"/>
        <v/>
      </c>
      <c r="G104" s="444" t="str">
        <f t="shared" si="100"/>
        <v/>
      </c>
      <c r="H104" s="444" t="str">
        <f t="shared" si="100"/>
        <v/>
      </c>
      <c r="I104" s="444" t="str">
        <f t="shared" si="100"/>
        <v/>
      </c>
      <c r="J104" s="444" t="str">
        <f t="shared" si="100"/>
        <v/>
      </c>
      <c r="K104" s="444" t="str">
        <f t="shared" si="100"/>
        <v/>
      </c>
      <c r="L104" s="444" t="str">
        <f t="shared" si="100"/>
        <v/>
      </c>
      <c r="M104" s="444" t="str">
        <f t="shared" si="100"/>
        <v/>
      </c>
      <c r="N104" s="444" t="str">
        <f t="shared" si="100"/>
        <v/>
      </c>
      <c r="O104" s="444" t="str">
        <f t="shared" si="101"/>
        <v/>
      </c>
      <c r="P104" s="444" t="str">
        <f t="shared" si="101"/>
        <v/>
      </c>
      <c r="Q104" s="444" t="str">
        <f t="shared" si="101"/>
        <v/>
      </c>
      <c r="R104" s="444" t="str">
        <f t="shared" si="101"/>
        <v/>
      </c>
      <c r="S104" s="444" t="str">
        <f t="shared" si="101"/>
        <v/>
      </c>
      <c r="T104" s="444" t="str">
        <f t="shared" si="101"/>
        <v/>
      </c>
      <c r="U104" s="444" t="str">
        <f t="shared" si="101"/>
        <v/>
      </c>
      <c r="V104" s="444" t="str">
        <f t="shared" si="101"/>
        <v/>
      </c>
      <c r="W104" s="444" t="str">
        <f t="shared" si="101"/>
        <v/>
      </c>
      <c r="X104" s="444" t="str">
        <f t="shared" si="101"/>
        <v/>
      </c>
      <c r="Y104" s="444" t="str">
        <f t="shared" si="102"/>
        <v/>
      </c>
      <c r="Z104" s="444" t="str">
        <f t="shared" si="102"/>
        <v/>
      </c>
      <c r="AA104" s="444" t="str">
        <f t="shared" si="102"/>
        <v/>
      </c>
      <c r="AB104" s="444" t="str">
        <f t="shared" si="102"/>
        <v/>
      </c>
      <c r="AC104" s="444" t="str">
        <f t="shared" si="102"/>
        <v/>
      </c>
      <c r="AD104" s="444" t="str">
        <f t="shared" si="102"/>
        <v/>
      </c>
      <c r="AE104" s="444" t="str">
        <f t="shared" si="102"/>
        <v/>
      </c>
      <c r="AF104" s="444" t="str">
        <f t="shared" si="102"/>
        <v/>
      </c>
      <c r="AG104" s="444" t="str">
        <f t="shared" si="102"/>
        <v/>
      </c>
      <c r="AH104" s="444" t="str">
        <f t="shared" si="102"/>
        <v/>
      </c>
      <c r="AI104" s="444" t="str">
        <f t="shared" si="103"/>
        <v/>
      </c>
      <c r="AJ104" s="444" t="str">
        <f t="shared" si="103"/>
        <v/>
      </c>
      <c r="AK104" s="444" t="str">
        <f t="shared" si="103"/>
        <v/>
      </c>
      <c r="AL104" s="444" t="str">
        <f t="shared" si="103"/>
        <v/>
      </c>
      <c r="AM104" s="444" t="str">
        <f t="shared" si="103"/>
        <v/>
      </c>
      <c r="AN104" s="444" t="str">
        <f t="shared" si="103"/>
        <v/>
      </c>
      <c r="AO104" s="444" t="str">
        <f t="shared" si="103"/>
        <v/>
      </c>
      <c r="AP104" s="444" t="str">
        <f t="shared" si="103"/>
        <v/>
      </c>
      <c r="AQ104" s="444" t="str">
        <f t="shared" si="103"/>
        <v/>
      </c>
      <c r="AR104" s="444" t="str">
        <f t="shared" si="103"/>
        <v/>
      </c>
      <c r="AS104" s="444" t="str">
        <f t="shared" si="104"/>
        <v/>
      </c>
      <c r="AT104" s="444" t="str">
        <f t="shared" si="104"/>
        <v/>
      </c>
      <c r="AU104" s="444" t="str">
        <f t="shared" si="104"/>
        <v/>
      </c>
      <c r="AV104" s="444" t="str">
        <f t="shared" si="104"/>
        <v/>
      </c>
      <c r="AW104" s="444" t="str">
        <f t="shared" si="104"/>
        <v/>
      </c>
      <c r="AX104" s="444" t="str">
        <f t="shared" si="104"/>
        <v/>
      </c>
      <c r="AY104" s="444" t="str">
        <f t="shared" si="104"/>
        <v/>
      </c>
      <c r="AZ104" s="444" t="str">
        <f t="shared" si="104"/>
        <v/>
      </c>
      <c r="BA104" s="444" t="str">
        <f t="shared" si="104"/>
        <v/>
      </c>
      <c r="BB104" s="444" t="str">
        <f t="shared" si="104"/>
        <v/>
      </c>
      <c r="BC104" s="444" t="str">
        <f t="shared" si="105"/>
        <v/>
      </c>
      <c r="BD104" s="444" t="str">
        <f t="shared" si="105"/>
        <v/>
      </c>
      <c r="BE104" s="444" t="str">
        <f t="shared" si="105"/>
        <v/>
      </c>
      <c r="BF104" s="444" t="str">
        <f t="shared" si="105"/>
        <v/>
      </c>
      <c r="BG104" s="444" t="str">
        <f t="shared" si="105"/>
        <v/>
      </c>
      <c r="BH104" s="445" t="str">
        <f t="shared" si="105"/>
        <v/>
      </c>
      <c r="BI104" s="502"/>
      <c r="BJ104" s="474" t="str">
        <f t="shared" si="106"/>
        <v/>
      </c>
      <c r="BK104" s="475" t="str">
        <f t="shared" si="106"/>
        <v/>
      </c>
      <c r="BL104" s="475" t="str">
        <f t="shared" si="106"/>
        <v/>
      </c>
      <c r="BM104" s="475" t="str">
        <f t="shared" si="106"/>
        <v/>
      </c>
      <c r="BN104" s="475" t="str">
        <f t="shared" si="106"/>
        <v/>
      </c>
      <c r="BO104" s="475" t="str">
        <f t="shared" si="106"/>
        <v/>
      </c>
      <c r="BP104" s="475" t="str">
        <f t="shared" si="106"/>
        <v/>
      </c>
      <c r="BQ104" s="475" t="str">
        <f t="shared" si="106"/>
        <v/>
      </c>
      <c r="BR104" s="475" t="str">
        <f t="shared" si="106"/>
        <v/>
      </c>
      <c r="BS104" s="475" t="str">
        <f t="shared" si="106"/>
        <v/>
      </c>
      <c r="BT104" s="475" t="str">
        <f t="shared" si="107"/>
        <v/>
      </c>
      <c r="BU104" s="475" t="str">
        <f t="shared" si="107"/>
        <v/>
      </c>
      <c r="BV104" s="475" t="str">
        <f t="shared" si="107"/>
        <v/>
      </c>
      <c r="BW104" s="475" t="str">
        <f t="shared" si="107"/>
        <v/>
      </c>
      <c r="BX104" s="475" t="str">
        <f t="shared" si="107"/>
        <v/>
      </c>
      <c r="BY104" s="475" t="str">
        <f t="shared" si="107"/>
        <v/>
      </c>
      <c r="BZ104" s="475" t="str">
        <f t="shared" si="107"/>
        <v/>
      </c>
      <c r="CA104" s="475" t="str">
        <f t="shared" si="107"/>
        <v/>
      </c>
      <c r="CB104" s="475" t="str">
        <f t="shared" si="107"/>
        <v/>
      </c>
      <c r="CC104" s="475" t="str">
        <f t="shared" si="107"/>
        <v/>
      </c>
      <c r="CD104" s="475" t="str">
        <f t="shared" si="108"/>
        <v/>
      </c>
      <c r="CE104" s="475" t="str">
        <f t="shared" si="108"/>
        <v/>
      </c>
      <c r="CF104" s="475" t="str">
        <f t="shared" si="108"/>
        <v/>
      </c>
      <c r="CG104" s="475" t="str">
        <f t="shared" si="108"/>
        <v/>
      </c>
      <c r="CH104" s="475" t="str">
        <f t="shared" si="108"/>
        <v/>
      </c>
      <c r="CI104" s="475" t="str">
        <f t="shared" si="108"/>
        <v/>
      </c>
      <c r="CJ104" s="475" t="str">
        <f t="shared" si="108"/>
        <v/>
      </c>
      <c r="CK104" s="475" t="str">
        <f t="shared" si="108"/>
        <v/>
      </c>
      <c r="CL104" s="475" t="str">
        <f t="shared" si="108"/>
        <v/>
      </c>
      <c r="CM104" s="475" t="str">
        <f t="shared" si="108"/>
        <v/>
      </c>
      <c r="CN104" s="475" t="str">
        <f t="shared" si="109"/>
        <v/>
      </c>
      <c r="CO104" s="475" t="str">
        <f t="shared" si="109"/>
        <v/>
      </c>
      <c r="CP104" s="475" t="str">
        <f t="shared" si="109"/>
        <v/>
      </c>
      <c r="CQ104" s="475" t="str">
        <f t="shared" si="109"/>
        <v/>
      </c>
      <c r="CR104" s="475" t="str">
        <f t="shared" si="109"/>
        <v/>
      </c>
      <c r="CS104" s="475" t="str">
        <f t="shared" si="109"/>
        <v/>
      </c>
      <c r="CT104" s="475" t="str">
        <f t="shared" si="109"/>
        <v/>
      </c>
      <c r="CU104" s="475" t="str">
        <f t="shared" si="109"/>
        <v/>
      </c>
      <c r="CV104" s="475" t="str">
        <f t="shared" si="109"/>
        <v/>
      </c>
      <c r="CW104" s="475" t="str">
        <f t="shared" si="109"/>
        <v/>
      </c>
      <c r="CX104" s="475" t="str">
        <f t="shared" si="109"/>
        <v/>
      </c>
      <c r="CY104" s="475" t="str">
        <f t="shared" si="109"/>
        <v/>
      </c>
      <c r="CZ104" s="495" t="str">
        <f t="shared" si="109"/>
        <v/>
      </c>
      <c r="DA104" s="502"/>
      <c r="DB104" s="460"/>
      <c r="DC104" s="465"/>
      <c r="DD104" s="463"/>
      <c r="DE104" s="512"/>
      <c r="DF104" s="516"/>
      <c r="DG104" s="508"/>
      <c r="DH104" s="463"/>
      <c r="DI104" s="461"/>
      <c r="DJ104" s="461"/>
      <c r="DK104" s="461"/>
      <c r="DL104" s="464"/>
      <c r="DM104" s="466"/>
      <c r="DN104" s="502"/>
      <c r="DO104" s="460"/>
      <c r="DP104" s="464"/>
      <c r="DQ104" s="464"/>
      <c r="DR104" s="464"/>
      <c r="DS104" s="508"/>
      <c r="DT104" s="525"/>
      <c r="DU104" s="525"/>
      <c r="DV104" s="463"/>
      <c r="DW104" s="464"/>
      <c r="DX104" s="465"/>
      <c r="DY104" s="463"/>
      <c r="DZ104" s="464"/>
      <c r="EA104" s="465"/>
      <c r="EB104" s="463"/>
      <c r="EC104" s="465"/>
      <c r="ED104" s="462"/>
      <c r="EE104" s="502"/>
      <c r="EF104" s="463"/>
      <c r="EG104" s="461"/>
      <c r="EH104" s="464"/>
      <c r="EI104" s="464"/>
      <c r="EJ104" s="464"/>
      <c r="EK104" s="464"/>
      <c r="EL104" s="464"/>
      <c r="EM104" s="464"/>
      <c r="EN104" s="464"/>
      <c r="EO104" s="464"/>
      <c r="EP104" s="464"/>
      <c r="EQ104" s="464"/>
      <c r="ER104" s="464"/>
      <c r="ES104" s="464"/>
      <c r="ET104" s="464"/>
      <c r="EU104" s="464"/>
      <c r="EV104" s="464"/>
      <c r="EW104" s="465"/>
      <c r="EX104" s="465"/>
      <c r="EY104" s="502"/>
      <c r="EZ104" s="460"/>
      <c r="FA104" s="464"/>
      <c r="FB104" s="464"/>
      <c r="FC104" s="464"/>
      <c r="FD104" s="464"/>
      <c r="FE104" s="464"/>
      <c r="FF104" s="464"/>
      <c r="FG104" s="466"/>
    </row>
    <row r="105" spans="1:163">
      <c r="A105" s="467" t="s">
        <v>292</v>
      </c>
      <c r="B105" s="471" t="str">
        <f>IF(ISNUMBER(MATCH(A105, 'Pulldown Data'!W:W, 0))=TRUE, "Y", IF(ISNUMBER(MATCH(A105, 'Pulldown Data'!X:X, 0))=TRUE, "M", ""))</f>
        <v/>
      </c>
      <c r="C105" s="504"/>
      <c r="D105" s="502"/>
      <c r="E105" s="443" t="str">
        <f t="shared" si="100"/>
        <v/>
      </c>
      <c r="F105" s="444" t="str">
        <f t="shared" si="100"/>
        <v/>
      </c>
      <c r="G105" s="444" t="str">
        <f t="shared" si="100"/>
        <v/>
      </c>
      <c r="H105" s="444" t="str">
        <f t="shared" si="100"/>
        <v/>
      </c>
      <c r="I105" s="444" t="str">
        <f t="shared" si="100"/>
        <v/>
      </c>
      <c r="J105" s="444" t="str">
        <f t="shared" si="100"/>
        <v/>
      </c>
      <c r="K105" s="444" t="str">
        <f t="shared" si="100"/>
        <v/>
      </c>
      <c r="L105" s="444" t="str">
        <f t="shared" si="100"/>
        <v/>
      </c>
      <c r="M105" s="444" t="str">
        <f t="shared" si="100"/>
        <v/>
      </c>
      <c r="N105" s="444" t="str">
        <f t="shared" si="100"/>
        <v/>
      </c>
      <c r="O105" s="444" t="str">
        <f t="shared" si="101"/>
        <v/>
      </c>
      <c r="P105" s="444" t="str">
        <f t="shared" si="101"/>
        <v/>
      </c>
      <c r="Q105" s="444" t="str">
        <f t="shared" si="101"/>
        <v/>
      </c>
      <c r="R105" s="444" t="str">
        <f t="shared" si="101"/>
        <v/>
      </c>
      <c r="S105" s="444" t="str">
        <f t="shared" si="101"/>
        <v/>
      </c>
      <c r="T105" s="444" t="str">
        <f t="shared" si="101"/>
        <v/>
      </c>
      <c r="U105" s="444" t="str">
        <f t="shared" si="101"/>
        <v/>
      </c>
      <c r="V105" s="444" t="str">
        <f t="shared" si="101"/>
        <v/>
      </c>
      <c r="W105" s="444" t="str">
        <f t="shared" si="101"/>
        <v/>
      </c>
      <c r="X105" s="444" t="str">
        <f t="shared" si="101"/>
        <v/>
      </c>
      <c r="Y105" s="444" t="str">
        <f t="shared" si="102"/>
        <v/>
      </c>
      <c r="Z105" s="444" t="str">
        <f t="shared" si="102"/>
        <v/>
      </c>
      <c r="AA105" s="444" t="str">
        <f t="shared" si="102"/>
        <v/>
      </c>
      <c r="AB105" s="444" t="str">
        <f t="shared" si="102"/>
        <v/>
      </c>
      <c r="AC105" s="444" t="str">
        <f t="shared" si="102"/>
        <v/>
      </c>
      <c r="AD105" s="444" t="str">
        <f t="shared" si="102"/>
        <v/>
      </c>
      <c r="AE105" s="444" t="str">
        <f t="shared" si="102"/>
        <v/>
      </c>
      <c r="AF105" s="444" t="str">
        <f t="shared" si="102"/>
        <v/>
      </c>
      <c r="AG105" s="444" t="str">
        <f t="shared" si="102"/>
        <v/>
      </c>
      <c r="AH105" s="444" t="str">
        <f t="shared" si="102"/>
        <v/>
      </c>
      <c r="AI105" s="444" t="str">
        <f t="shared" si="103"/>
        <v/>
      </c>
      <c r="AJ105" s="444" t="str">
        <f t="shared" si="103"/>
        <v/>
      </c>
      <c r="AK105" s="444" t="str">
        <f t="shared" si="103"/>
        <v/>
      </c>
      <c r="AL105" s="444" t="str">
        <f t="shared" si="103"/>
        <v/>
      </c>
      <c r="AM105" s="444" t="str">
        <f t="shared" si="103"/>
        <v/>
      </c>
      <c r="AN105" s="444" t="str">
        <f t="shared" si="103"/>
        <v/>
      </c>
      <c r="AO105" s="444" t="str">
        <f t="shared" si="103"/>
        <v/>
      </c>
      <c r="AP105" s="444" t="str">
        <f t="shared" si="103"/>
        <v/>
      </c>
      <c r="AQ105" s="444" t="str">
        <f t="shared" si="103"/>
        <v/>
      </c>
      <c r="AR105" s="444" t="str">
        <f t="shared" si="103"/>
        <v/>
      </c>
      <c r="AS105" s="444" t="str">
        <f t="shared" si="104"/>
        <v/>
      </c>
      <c r="AT105" s="444" t="str">
        <f t="shared" si="104"/>
        <v/>
      </c>
      <c r="AU105" s="444" t="str">
        <f t="shared" si="104"/>
        <v/>
      </c>
      <c r="AV105" s="444" t="str">
        <f t="shared" si="104"/>
        <v/>
      </c>
      <c r="AW105" s="444" t="str">
        <f t="shared" si="104"/>
        <v/>
      </c>
      <c r="AX105" s="444" t="str">
        <f t="shared" si="104"/>
        <v/>
      </c>
      <c r="AY105" s="444" t="str">
        <f t="shared" si="104"/>
        <v/>
      </c>
      <c r="AZ105" s="444" t="str">
        <f t="shared" si="104"/>
        <v/>
      </c>
      <c r="BA105" s="444" t="str">
        <f t="shared" si="104"/>
        <v/>
      </c>
      <c r="BB105" s="444" t="str">
        <f t="shared" si="104"/>
        <v/>
      </c>
      <c r="BC105" s="444" t="str">
        <f t="shared" si="105"/>
        <v/>
      </c>
      <c r="BD105" s="444" t="str">
        <f t="shared" si="105"/>
        <v/>
      </c>
      <c r="BE105" s="444" t="str">
        <f t="shared" si="105"/>
        <v/>
      </c>
      <c r="BF105" s="444" t="str">
        <f t="shared" si="105"/>
        <v/>
      </c>
      <c r="BG105" s="444" t="str">
        <f t="shared" si="105"/>
        <v/>
      </c>
      <c r="BH105" s="445" t="str">
        <f t="shared" si="105"/>
        <v/>
      </c>
      <c r="BI105" s="502"/>
      <c r="BJ105" s="474" t="str">
        <f t="shared" si="106"/>
        <v/>
      </c>
      <c r="BK105" s="475" t="str">
        <f t="shared" si="106"/>
        <v/>
      </c>
      <c r="BL105" s="475" t="str">
        <f t="shared" si="106"/>
        <v/>
      </c>
      <c r="BM105" s="475" t="str">
        <f t="shared" si="106"/>
        <v/>
      </c>
      <c r="BN105" s="475" t="str">
        <f t="shared" si="106"/>
        <v/>
      </c>
      <c r="BO105" s="475" t="str">
        <f t="shared" si="106"/>
        <v/>
      </c>
      <c r="BP105" s="475" t="str">
        <f t="shared" si="106"/>
        <v/>
      </c>
      <c r="BQ105" s="475" t="str">
        <f t="shared" si="106"/>
        <v/>
      </c>
      <c r="BR105" s="475" t="str">
        <f t="shared" si="106"/>
        <v/>
      </c>
      <c r="BS105" s="475" t="str">
        <f t="shared" si="106"/>
        <v/>
      </c>
      <c r="BT105" s="475" t="str">
        <f t="shared" si="107"/>
        <v/>
      </c>
      <c r="BU105" s="475" t="str">
        <f t="shared" si="107"/>
        <v/>
      </c>
      <c r="BV105" s="475" t="str">
        <f t="shared" si="107"/>
        <v/>
      </c>
      <c r="BW105" s="475" t="str">
        <f t="shared" si="107"/>
        <v/>
      </c>
      <c r="BX105" s="475" t="str">
        <f t="shared" si="107"/>
        <v/>
      </c>
      <c r="BY105" s="475" t="str">
        <f t="shared" si="107"/>
        <v/>
      </c>
      <c r="BZ105" s="475" t="str">
        <f t="shared" si="107"/>
        <v/>
      </c>
      <c r="CA105" s="475" t="str">
        <f t="shared" si="107"/>
        <v/>
      </c>
      <c r="CB105" s="475" t="str">
        <f t="shared" si="107"/>
        <v/>
      </c>
      <c r="CC105" s="475" t="str">
        <f t="shared" si="107"/>
        <v/>
      </c>
      <c r="CD105" s="475" t="str">
        <f t="shared" si="108"/>
        <v/>
      </c>
      <c r="CE105" s="475" t="str">
        <f t="shared" si="108"/>
        <v/>
      </c>
      <c r="CF105" s="475" t="str">
        <f t="shared" si="108"/>
        <v/>
      </c>
      <c r="CG105" s="475" t="str">
        <f t="shared" si="108"/>
        <v/>
      </c>
      <c r="CH105" s="475" t="str">
        <f t="shared" si="108"/>
        <v/>
      </c>
      <c r="CI105" s="475" t="str">
        <f t="shared" si="108"/>
        <v/>
      </c>
      <c r="CJ105" s="475" t="str">
        <f t="shared" si="108"/>
        <v/>
      </c>
      <c r="CK105" s="475" t="str">
        <f t="shared" si="108"/>
        <v/>
      </c>
      <c r="CL105" s="475" t="str">
        <f t="shared" si="108"/>
        <v/>
      </c>
      <c r="CM105" s="475" t="str">
        <f t="shared" si="108"/>
        <v/>
      </c>
      <c r="CN105" s="475" t="str">
        <f t="shared" si="109"/>
        <v/>
      </c>
      <c r="CO105" s="475" t="str">
        <f t="shared" si="109"/>
        <v/>
      </c>
      <c r="CP105" s="475" t="str">
        <f t="shared" si="109"/>
        <v/>
      </c>
      <c r="CQ105" s="475" t="str">
        <f t="shared" si="109"/>
        <v/>
      </c>
      <c r="CR105" s="475" t="str">
        <f t="shared" si="109"/>
        <v/>
      </c>
      <c r="CS105" s="475" t="str">
        <f t="shared" si="109"/>
        <v/>
      </c>
      <c r="CT105" s="475" t="str">
        <f t="shared" si="109"/>
        <v/>
      </c>
      <c r="CU105" s="475" t="str">
        <f t="shared" si="109"/>
        <v/>
      </c>
      <c r="CV105" s="475" t="str">
        <f t="shared" si="109"/>
        <v/>
      </c>
      <c r="CW105" s="475" t="str">
        <f t="shared" si="109"/>
        <v/>
      </c>
      <c r="CX105" s="475" t="str">
        <f t="shared" si="109"/>
        <v/>
      </c>
      <c r="CY105" s="475" t="str">
        <f t="shared" si="109"/>
        <v/>
      </c>
      <c r="CZ105" s="495" t="str">
        <f t="shared" si="109"/>
        <v/>
      </c>
      <c r="DA105" s="502"/>
      <c r="DB105" s="460"/>
      <c r="DC105" s="465"/>
      <c r="DD105" s="463"/>
      <c r="DE105" s="512"/>
      <c r="DF105" s="516"/>
      <c r="DG105" s="508"/>
      <c r="DH105" s="463"/>
      <c r="DI105" s="461"/>
      <c r="DJ105" s="461"/>
      <c r="DK105" s="461"/>
      <c r="DL105" s="464"/>
      <c r="DM105" s="466"/>
      <c r="DN105" s="502"/>
      <c r="DO105" s="460"/>
      <c r="DP105" s="464"/>
      <c r="DQ105" s="464"/>
      <c r="DR105" s="464"/>
      <c r="DS105" s="508"/>
      <c r="DT105" s="525"/>
      <c r="DU105" s="525"/>
      <c r="DV105" s="463"/>
      <c r="DW105" s="464"/>
      <c r="DX105" s="465"/>
      <c r="DY105" s="463"/>
      <c r="DZ105" s="464"/>
      <c r="EA105" s="465"/>
      <c r="EB105" s="463"/>
      <c r="EC105" s="465"/>
      <c r="ED105" s="462"/>
      <c r="EE105" s="502"/>
      <c r="EF105" s="463"/>
      <c r="EG105" s="461"/>
      <c r="EH105" s="464"/>
      <c r="EI105" s="464"/>
      <c r="EJ105" s="464"/>
      <c r="EK105" s="464"/>
      <c r="EL105" s="464"/>
      <c r="EM105" s="464"/>
      <c r="EN105" s="464"/>
      <c r="EO105" s="464"/>
      <c r="EP105" s="464"/>
      <c r="EQ105" s="464"/>
      <c r="ER105" s="464"/>
      <c r="ES105" s="464"/>
      <c r="ET105" s="464"/>
      <c r="EU105" s="464"/>
      <c r="EV105" s="464"/>
      <c r="EW105" s="465"/>
      <c r="EX105" s="465"/>
      <c r="EY105" s="502"/>
      <c r="EZ105" s="460"/>
      <c r="FA105" s="464"/>
      <c r="FB105" s="464"/>
      <c r="FC105" s="464"/>
      <c r="FD105" s="464"/>
      <c r="FE105" s="464"/>
      <c r="FF105" s="464"/>
      <c r="FG105" s="466"/>
    </row>
    <row r="106" spans="1:163">
      <c r="A106" s="467" t="s">
        <v>293</v>
      </c>
      <c r="B106" s="471" t="str">
        <f>IF(ISNUMBER(MATCH(A106, 'Pulldown Data'!W:W, 0))=TRUE, "Y", IF(ISNUMBER(MATCH(A106, 'Pulldown Data'!X:X, 0))=TRUE, "M", ""))</f>
        <v/>
      </c>
      <c r="C106" s="504"/>
      <c r="D106" s="502"/>
      <c r="E106" s="443" t="str">
        <f t="shared" si="100"/>
        <v/>
      </c>
      <c r="F106" s="444" t="str">
        <f t="shared" si="100"/>
        <v/>
      </c>
      <c r="G106" s="444" t="str">
        <f t="shared" si="100"/>
        <v/>
      </c>
      <c r="H106" s="444" t="str">
        <f t="shared" si="100"/>
        <v/>
      </c>
      <c r="I106" s="444" t="str">
        <f t="shared" si="100"/>
        <v/>
      </c>
      <c r="J106" s="444" t="str">
        <f t="shared" si="100"/>
        <v/>
      </c>
      <c r="K106" s="444" t="str">
        <f t="shared" si="100"/>
        <v/>
      </c>
      <c r="L106" s="444" t="str">
        <f t="shared" si="100"/>
        <v/>
      </c>
      <c r="M106" s="444" t="str">
        <f t="shared" si="100"/>
        <v/>
      </c>
      <c r="N106" s="444" t="str">
        <f t="shared" si="100"/>
        <v/>
      </c>
      <c r="O106" s="444" t="str">
        <f t="shared" si="101"/>
        <v/>
      </c>
      <c r="P106" s="444" t="str">
        <f t="shared" si="101"/>
        <v/>
      </c>
      <c r="Q106" s="444" t="str">
        <f t="shared" si="101"/>
        <v/>
      </c>
      <c r="R106" s="444" t="str">
        <f t="shared" si="101"/>
        <v/>
      </c>
      <c r="S106" s="444" t="str">
        <f t="shared" si="101"/>
        <v/>
      </c>
      <c r="T106" s="444" t="str">
        <f t="shared" si="101"/>
        <v/>
      </c>
      <c r="U106" s="444" t="str">
        <f t="shared" si="101"/>
        <v/>
      </c>
      <c r="V106" s="444" t="str">
        <f t="shared" si="101"/>
        <v/>
      </c>
      <c r="W106" s="444" t="str">
        <f t="shared" si="101"/>
        <v/>
      </c>
      <c r="X106" s="444" t="str">
        <f t="shared" si="101"/>
        <v/>
      </c>
      <c r="Y106" s="444" t="str">
        <f t="shared" si="102"/>
        <v/>
      </c>
      <c r="Z106" s="444" t="str">
        <f t="shared" si="102"/>
        <v/>
      </c>
      <c r="AA106" s="444" t="str">
        <f t="shared" si="102"/>
        <v/>
      </c>
      <c r="AB106" s="444" t="str">
        <f t="shared" si="102"/>
        <v/>
      </c>
      <c r="AC106" s="444" t="str">
        <f t="shared" si="102"/>
        <v/>
      </c>
      <c r="AD106" s="444" t="str">
        <f t="shared" si="102"/>
        <v/>
      </c>
      <c r="AE106" s="444" t="str">
        <f t="shared" si="102"/>
        <v/>
      </c>
      <c r="AF106" s="444" t="str">
        <f t="shared" si="102"/>
        <v/>
      </c>
      <c r="AG106" s="444" t="str">
        <f t="shared" si="102"/>
        <v/>
      </c>
      <c r="AH106" s="444" t="str">
        <f t="shared" si="102"/>
        <v/>
      </c>
      <c r="AI106" s="444" t="str">
        <f t="shared" si="103"/>
        <v/>
      </c>
      <c r="AJ106" s="444" t="str">
        <f t="shared" si="103"/>
        <v/>
      </c>
      <c r="AK106" s="444" t="str">
        <f t="shared" si="103"/>
        <v/>
      </c>
      <c r="AL106" s="444" t="str">
        <f t="shared" si="103"/>
        <v/>
      </c>
      <c r="AM106" s="444" t="str">
        <f t="shared" si="103"/>
        <v/>
      </c>
      <c r="AN106" s="444" t="str">
        <f t="shared" si="103"/>
        <v/>
      </c>
      <c r="AO106" s="444" t="str">
        <f t="shared" si="103"/>
        <v/>
      </c>
      <c r="AP106" s="444" t="str">
        <f t="shared" si="103"/>
        <v/>
      </c>
      <c r="AQ106" s="444" t="str">
        <f t="shared" si="103"/>
        <v/>
      </c>
      <c r="AR106" s="444" t="str">
        <f t="shared" si="103"/>
        <v/>
      </c>
      <c r="AS106" s="444" t="str">
        <f t="shared" si="104"/>
        <v/>
      </c>
      <c r="AT106" s="444" t="str">
        <f t="shared" si="104"/>
        <v/>
      </c>
      <c r="AU106" s="444" t="str">
        <f t="shared" si="104"/>
        <v/>
      </c>
      <c r="AV106" s="444" t="str">
        <f t="shared" si="104"/>
        <v/>
      </c>
      <c r="AW106" s="444" t="str">
        <f t="shared" si="104"/>
        <v/>
      </c>
      <c r="AX106" s="444" t="str">
        <f t="shared" si="104"/>
        <v/>
      </c>
      <c r="AY106" s="444" t="str">
        <f t="shared" si="104"/>
        <v/>
      </c>
      <c r="AZ106" s="444" t="str">
        <f t="shared" si="104"/>
        <v/>
      </c>
      <c r="BA106" s="444" t="str">
        <f t="shared" si="104"/>
        <v/>
      </c>
      <c r="BB106" s="444" t="str">
        <f t="shared" si="104"/>
        <v/>
      </c>
      <c r="BC106" s="444" t="str">
        <f t="shared" si="105"/>
        <v/>
      </c>
      <c r="BD106" s="444" t="str">
        <f t="shared" si="105"/>
        <v/>
      </c>
      <c r="BE106" s="444" t="str">
        <f t="shared" si="105"/>
        <v/>
      </c>
      <c r="BF106" s="444" t="str">
        <f t="shared" si="105"/>
        <v/>
      </c>
      <c r="BG106" s="444" t="str">
        <f t="shared" si="105"/>
        <v/>
      </c>
      <c r="BH106" s="445" t="str">
        <f t="shared" si="105"/>
        <v/>
      </c>
      <c r="BI106" s="502"/>
      <c r="BJ106" s="474" t="str">
        <f t="shared" si="106"/>
        <v/>
      </c>
      <c r="BK106" s="475" t="str">
        <f t="shared" si="106"/>
        <v/>
      </c>
      <c r="BL106" s="475" t="str">
        <f t="shared" si="106"/>
        <v/>
      </c>
      <c r="BM106" s="475" t="str">
        <f t="shared" si="106"/>
        <v/>
      </c>
      <c r="BN106" s="475" t="str">
        <f t="shared" si="106"/>
        <v/>
      </c>
      <c r="BO106" s="475" t="str">
        <f t="shared" si="106"/>
        <v/>
      </c>
      <c r="BP106" s="475" t="str">
        <f t="shared" si="106"/>
        <v/>
      </c>
      <c r="BQ106" s="475" t="str">
        <f t="shared" si="106"/>
        <v/>
      </c>
      <c r="BR106" s="475" t="str">
        <f t="shared" si="106"/>
        <v/>
      </c>
      <c r="BS106" s="475" t="str">
        <f t="shared" si="106"/>
        <v/>
      </c>
      <c r="BT106" s="475" t="str">
        <f t="shared" si="107"/>
        <v/>
      </c>
      <c r="BU106" s="475" t="str">
        <f t="shared" si="107"/>
        <v/>
      </c>
      <c r="BV106" s="475" t="str">
        <f t="shared" si="107"/>
        <v/>
      </c>
      <c r="BW106" s="475" t="str">
        <f t="shared" si="107"/>
        <v/>
      </c>
      <c r="BX106" s="475" t="str">
        <f t="shared" si="107"/>
        <v/>
      </c>
      <c r="BY106" s="475" t="str">
        <f t="shared" si="107"/>
        <v/>
      </c>
      <c r="BZ106" s="475" t="str">
        <f t="shared" si="107"/>
        <v/>
      </c>
      <c r="CA106" s="475" t="str">
        <f t="shared" si="107"/>
        <v/>
      </c>
      <c r="CB106" s="475" t="str">
        <f t="shared" si="107"/>
        <v/>
      </c>
      <c r="CC106" s="475" t="str">
        <f t="shared" si="107"/>
        <v/>
      </c>
      <c r="CD106" s="475" t="str">
        <f t="shared" si="108"/>
        <v/>
      </c>
      <c r="CE106" s="475" t="str">
        <f t="shared" si="108"/>
        <v/>
      </c>
      <c r="CF106" s="475" t="str">
        <f t="shared" si="108"/>
        <v/>
      </c>
      <c r="CG106" s="475" t="str">
        <f t="shared" si="108"/>
        <v/>
      </c>
      <c r="CH106" s="475" t="str">
        <f t="shared" si="108"/>
        <v/>
      </c>
      <c r="CI106" s="475" t="str">
        <f t="shared" si="108"/>
        <v/>
      </c>
      <c r="CJ106" s="475" t="str">
        <f t="shared" si="108"/>
        <v/>
      </c>
      <c r="CK106" s="475" t="str">
        <f t="shared" si="108"/>
        <v/>
      </c>
      <c r="CL106" s="475" t="str">
        <f t="shared" si="108"/>
        <v/>
      </c>
      <c r="CM106" s="475" t="str">
        <f t="shared" si="108"/>
        <v/>
      </c>
      <c r="CN106" s="475" t="str">
        <f t="shared" si="109"/>
        <v/>
      </c>
      <c r="CO106" s="475" t="str">
        <f t="shared" si="109"/>
        <v/>
      </c>
      <c r="CP106" s="475" t="str">
        <f t="shared" si="109"/>
        <v/>
      </c>
      <c r="CQ106" s="475" t="str">
        <f t="shared" si="109"/>
        <v/>
      </c>
      <c r="CR106" s="475" t="str">
        <f t="shared" si="109"/>
        <v/>
      </c>
      <c r="CS106" s="475" t="str">
        <f t="shared" si="109"/>
        <v/>
      </c>
      <c r="CT106" s="475" t="str">
        <f t="shared" si="109"/>
        <v/>
      </c>
      <c r="CU106" s="475" t="str">
        <f t="shared" si="109"/>
        <v/>
      </c>
      <c r="CV106" s="475" t="str">
        <f t="shared" si="109"/>
        <v/>
      </c>
      <c r="CW106" s="475" t="str">
        <f t="shared" si="109"/>
        <v/>
      </c>
      <c r="CX106" s="475" t="str">
        <f t="shared" si="109"/>
        <v/>
      </c>
      <c r="CY106" s="475" t="str">
        <f t="shared" si="109"/>
        <v/>
      </c>
      <c r="CZ106" s="495" t="str">
        <f t="shared" si="109"/>
        <v/>
      </c>
      <c r="DA106" s="502"/>
      <c r="DB106" s="460"/>
      <c r="DC106" s="465"/>
      <c r="DD106" s="463"/>
      <c r="DE106" s="512"/>
      <c r="DF106" s="516"/>
      <c r="DG106" s="508"/>
      <c r="DH106" s="463"/>
      <c r="DI106" s="461"/>
      <c r="DJ106" s="461"/>
      <c r="DK106" s="461"/>
      <c r="DL106" s="464"/>
      <c r="DM106" s="466"/>
      <c r="DN106" s="502"/>
      <c r="DO106" s="460"/>
      <c r="DP106" s="464"/>
      <c r="DQ106" s="464"/>
      <c r="DR106" s="464"/>
      <c r="DS106" s="508"/>
      <c r="DT106" s="525"/>
      <c r="DU106" s="525"/>
      <c r="DV106" s="463"/>
      <c r="DW106" s="464"/>
      <c r="DX106" s="465"/>
      <c r="DY106" s="463"/>
      <c r="DZ106" s="464"/>
      <c r="EA106" s="465"/>
      <c r="EB106" s="463"/>
      <c r="EC106" s="465"/>
      <c r="ED106" s="462"/>
      <c r="EE106" s="502"/>
      <c r="EF106" s="463"/>
      <c r="EG106" s="461"/>
      <c r="EH106" s="464"/>
      <c r="EI106" s="464"/>
      <c r="EJ106" s="464"/>
      <c r="EK106" s="464"/>
      <c r="EL106" s="464"/>
      <c r="EM106" s="464"/>
      <c r="EN106" s="464"/>
      <c r="EO106" s="464"/>
      <c r="EP106" s="464"/>
      <c r="EQ106" s="464"/>
      <c r="ER106" s="464"/>
      <c r="ES106" s="464"/>
      <c r="ET106" s="464"/>
      <c r="EU106" s="464"/>
      <c r="EV106" s="464"/>
      <c r="EW106" s="465"/>
      <c r="EX106" s="465"/>
      <c r="EY106" s="502"/>
      <c r="EZ106" s="460"/>
      <c r="FA106" s="464"/>
      <c r="FB106" s="464"/>
      <c r="FC106" s="464"/>
      <c r="FD106" s="464"/>
      <c r="FE106" s="464"/>
      <c r="FF106" s="464"/>
      <c r="FG106" s="466"/>
    </row>
    <row r="107" spans="1:163">
      <c r="A107" s="467" t="s">
        <v>294</v>
      </c>
      <c r="B107" s="471" t="str">
        <f>IF(ISNUMBER(MATCH(A107, 'Pulldown Data'!W:W, 0))=TRUE, "Y", IF(ISNUMBER(MATCH(A107, 'Pulldown Data'!X:X, 0))=TRUE, "M", ""))</f>
        <v/>
      </c>
      <c r="C107" s="504">
        <v>45630</v>
      </c>
      <c r="D107" s="502"/>
      <c r="E107" s="443" t="str">
        <f t="shared" si="100"/>
        <v>YES</v>
      </c>
      <c r="F107" s="444" t="str">
        <f t="shared" si="100"/>
        <v>NO</v>
      </c>
      <c r="G107" s="444" t="str">
        <f t="shared" si="100"/>
        <v>YES</v>
      </c>
      <c r="H107" s="444" t="str">
        <f t="shared" si="100"/>
        <v>YES</v>
      </c>
      <c r="I107" s="444" t="str">
        <f t="shared" si="100"/>
        <v>YES</v>
      </c>
      <c r="J107" s="444" t="str">
        <f t="shared" si="100"/>
        <v>YES</v>
      </c>
      <c r="K107" s="444" t="str">
        <f t="shared" si="100"/>
        <v>YES</v>
      </c>
      <c r="L107" s="444" t="str">
        <f t="shared" si="100"/>
        <v>YES</v>
      </c>
      <c r="M107" s="444" t="str">
        <f t="shared" si="100"/>
        <v>NO</v>
      </c>
      <c r="N107" s="444" t="str">
        <f t="shared" si="100"/>
        <v>YES</v>
      </c>
      <c r="O107" s="444" t="str">
        <f t="shared" si="101"/>
        <v>YES</v>
      </c>
      <c r="P107" s="444" t="str">
        <f t="shared" si="101"/>
        <v>DEP</v>
      </c>
      <c r="Q107" s="444" t="str">
        <f t="shared" si="101"/>
        <v>DEP</v>
      </c>
      <c r="R107" s="444" t="str">
        <f t="shared" si="101"/>
        <v>DEP</v>
      </c>
      <c r="S107" s="444" t="str">
        <f t="shared" si="101"/>
        <v>DEP</v>
      </c>
      <c r="T107" s="444" t="str">
        <f t="shared" si="101"/>
        <v>YES</v>
      </c>
      <c r="U107" s="444" t="str">
        <f t="shared" si="101"/>
        <v>YES</v>
      </c>
      <c r="V107" s="444" t="str">
        <f t="shared" si="101"/>
        <v>YES</v>
      </c>
      <c r="W107" s="444" t="str">
        <f t="shared" si="101"/>
        <v>YES</v>
      </c>
      <c r="X107" s="444" t="str">
        <f t="shared" si="101"/>
        <v>NO</v>
      </c>
      <c r="Y107" s="444" t="str">
        <f t="shared" si="102"/>
        <v>YES</v>
      </c>
      <c r="Z107" s="444" t="str">
        <f t="shared" si="102"/>
        <v>DEP</v>
      </c>
      <c r="AA107" s="444" t="str">
        <f t="shared" si="102"/>
        <v>YES</v>
      </c>
      <c r="AB107" s="444" t="str">
        <f t="shared" si="102"/>
        <v>NO</v>
      </c>
      <c r="AC107" s="444" t="str">
        <f t="shared" si="102"/>
        <v>YES</v>
      </c>
      <c r="AD107" s="444" t="str">
        <f t="shared" si="102"/>
        <v>YES</v>
      </c>
      <c r="AE107" s="444" t="str">
        <f t="shared" si="102"/>
        <v>YES</v>
      </c>
      <c r="AF107" s="444" t="str">
        <f t="shared" si="102"/>
        <v>YES</v>
      </c>
      <c r="AG107" s="444" t="str">
        <f t="shared" si="102"/>
        <v>YES</v>
      </c>
      <c r="AH107" s="444" t="str">
        <f t="shared" si="102"/>
        <v>YES</v>
      </c>
      <c r="AI107" s="444" t="str">
        <f t="shared" si="103"/>
        <v>YES</v>
      </c>
      <c r="AJ107" s="444" t="str">
        <f t="shared" si="103"/>
        <v>YES</v>
      </c>
      <c r="AK107" s="444" t="str">
        <f t="shared" si="103"/>
        <v>NO</v>
      </c>
      <c r="AL107" s="444" t="str">
        <f t="shared" si="103"/>
        <v>YES</v>
      </c>
      <c r="AM107" s="444" t="str">
        <f t="shared" si="103"/>
        <v>NO</v>
      </c>
      <c r="AN107" s="444" t="str">
        <f t="shared" si="103"/>
        <v>NO</v>
      </c>
      <c r="AO107" s="444" t="str">
        <f t="shared" si="103"/>
        <v>DEP</v>
      </c>
      <c r="AP107" s="444" t="str">
        <f t="shared" si="103"/>
        <v>YES</v>
      </c>
      <c r="AQ107" s="444" t="str">
        <f t="shared" si="103"/>
        <v>YES</v>
      </c>
      <c r="AR107" s="444" t="str">
        <f t="shared" si="103"/>
        <v>NO</v>
      </c>
      <c r="AS107" s="444" t="str">
        <f t="shared" si="104"/>
        <v>NO</v>
      </c>
      <c r="AT107" s="444" t="str">
        <f t="shared" si="104"/>
        <v>YES</v>
      </c>
      <c r="AU107" s="444" t="str">
        <f t="shared" si="104"/>
        <v>DEP</v>
      </c>
      <c r="AV107" s="444" t="str">
        <f t="shared" si="104"/>
        <v>YES</v>
      </c>
      <c r="AW107" s="444" t="str">
        <f t="shared" si="104"/>
        <v>DEP</v>
      </c>
      <c r="AX107" s="444" t="str">
        <f t="shared" si="104"/>
        <v>DEP</v>
      </c>
      <c r="AY107" s="444" t="str">
        <f t="shared" si="104"/>
        <v>YES</v>
      </c>
      <c r="AZ107" s="444" t="str">
        <f t="shared" si="104"/>
        <v>DEP</v>
      </c>
      <c r="BA107" s="444" t="str">
        <f t="shared" si="104"/>
        <v>DEP</v>
      </c>
      <c r="BB107" s="444" t="str">
        <f t="shared" si="104"/>
        <v>NO</v>
      </c>
      <c r="BC107" s="444" t="str">
        <f t="shared" si="105"/>
        <v>NO</v>
      </c>
      <c r="BD107" s="444" t="str">
        <f t="shared" si="105"/>
        <v>NO</v>
      </c>
      <c r="BE107" s="444" t="str">
        <f t="shared" si="105"/>
        <v>NO</v>
      </c>
      <c r="BF107" s="444" t="str">
        <f t="shared" si="105"/>
        <v>NO</v>
      </c>
      <c r="BG107" s="444" t="str">
        <f t="shared" si="105"/>
        <v>NO</v>
      </c>
      <c r="BH107" s="445" t="str">
        <f t="shared" si="105"/>
        <v>NO</v>
      </c>
      <c r="BI107" s="502"/>
      <c r="BJ107" s="474" t="str">
        <f t="shared" si="106"/>
        <v>NO</v>
      </c>
      <c r="BK107" s="475" t="str">
        <f t="shared" si="106"/>
        <v>NO</v>
      </c>
      <c r="BL107" s="475" t="str">
        <f t="shared" si="106"/>
        <v>NO</v>
      </c>
      <c r="BM107" s="475" t="str">
        <f t="shared" si="106"/>
        <v>NO</v>
      </c>
      <c r="BN107" s="475" t="str">
        <f t="shared" si="106"/>
        <v>NO</v>
      </c>
      <c r="BO107" s="475" t="str">
        <f t="shared" si="106"/>
        <v>NO</v>
      </c>
      <c r="BP107" s="475" t="str">
        <f t="shared" si="106"/>
        <v>NO</v>
      </c>
      <c r="BQ107" s="475" t="str">
        <f t="shared" si="106"/>
        <v>NO</v>
      </c>
      <c r="BR107" s="475" t="str">
        <f t="shared" si="106"/>
        <v>NO</v>
      </c>
      <c r="BS107" s="475" t="str">
        <f t="shared" si="106"/>
        <v>NO</v>
      </c>
      <c r="BT107" s="475" t="str">
        <f t="shared" si="107"/>
        <v>NO</v>
      </c>
      <c r="BU107" s="475" t="str">
        <f t="shared" si="107"/>
        <v>NO</v>
      </c>
      <c r="BV107" s="475" t="str">
        <f t="shared" si="107"/>
        <v>NO</v>
      </c>
      <c r="BW107" s="475" t="str">
        <f t="shared" si="107"/>
        <v>NO</v>
      </c>
      <c r="BX107" s="475" t="str">
        <f t="shared" si="107"/>
        <v>NO</v>
      </c>
      <c r="BY107" s="475" t="str">
        <f t="shared" si="107"/>
        <v>NO</v>
      </c>
      <c r="BZ107" s="475" t="str">
        <f t="shared" si="107"/>
        <v>NO</v>
      </c>
      <c r="CA107" s="475" t="str">
        <f t="shared" si="107"/>
        <v>NO</v>
      </c>
      <c r="CB107" s="475" t="str">
        <f t="shared" si="107"/>
        <v>NO</v>
      </c>
      <c r="CC107" s="475" t="str">
        <f t="shared" si="107"/>
        <v>NO</v>
      </c>
      <c r="CD107" s="475" t="str">
        <f t="shared" si="108"/>
        <v>NO</v>
      </c>
      <c r="CE107" s="475" t="str">
        <f t="shared" si="108"/>
        <v>NO</v>
      </c>
      <c r="CF107" s="475" t="str">
        <f t="shared" si="108"/>
        <v>NO</v>
      </c>
      <c r="CG107" s="475" t="str">
        <f t="shared" si="108"/>
        <v>NO</v>
      </c>
      <c r="CH107" s="475" t="str">
        <f t="shared" si="108"/>
        <v>NO</v>
      </c>
      <c r="CI107" s="475" t="str">
        <f t="shared" si="108"/>
        <v>NO</v>
      </c>
      <c r="CJ107" s="475" t="str">
        <f t="shared" si="108"/>
        <v>NO</v>
      </c>
      <c r="CK107" s="475" t="str">
        <f t="shared" si="108"/>
        <v>NO</v>
      </c>
      <c r="CL107" s="475" t="str">
        <f t="shared" si="108"/>
        <v>NO</v>
      </c>
      <c r="CM107" s="475" t="str">
        <f t="shared" si="108"/>
        <v>NO</v>
      </c>
      <c r="CN107" s="475" t="str">
        <f t="shared" si="109"/>
        <v>NO</v>
      </c>
      <c r="CO107" s="475" t="str">
        <f t="shared" si="109"/>
        <v>NO</v>
      </c>
      <c r="CP107" s="475" t="str">
        <f t="shared" si="109"/>
        <v>NO</v>
      </c>
      <c r="CQ107" s="475" t="str">
        <f t="shared" si="109"/>
        <v>NO</v>
      </c>
      <c r="CR107" s="475" t="str">
        <f t="shared" si="109"/>
        <v>NO</v>
      </c>
      <c r="CS107" s="475" t="str">
        <f t="shared" si="109"/>
        <v>NO</v>
      </c>
      <c r="CT107" s="475" t="str">
        <f t="shared" si="109"/>
        <v>NO</v>
      </c>
      <c r="CU107" s="475" t="str">
        <f t="shared" si="109"/>
        <v>NO</v>
      </c>
      <c r="CV107" s="475" t="str">
        <f t="shared" si="109"/>
        <v>NO</v>
      </c>
      <c r="CW107" s="475" t="str">
        <f t="shared" si="109"/>
        <v>NO</v>
      </c>
      <c r="CX107" s="475" t="str">
        <f t="shared" si="109"/>
        <v>NO</v>
      </c>
      <c r="CY107" s="475" t="str">
        <f t="shared" si="109"/>
        <v>NO</v>
      </c>
      <c r="CZ107" s="495" t="str">
        <f t="shared" si="109"/>
        <v>NO</v>
      </c>
      <c r="DA107" s="502"/>
      <c r="DB107" s="460"/>
      <c r="DC107" s="465"/>
      <c r="DD107" s="463"/>
      <c r="DE107" s="512"/>
      <c r="DF107" s="516"/>
      <c r="DG107" s="508"/>
      <c r="DH107" s="463"/>
      <c r="DI107" s="461"/>
      <c r="DJ107" s="461"/>
      <c r="DK107" s="461"/>
      <c r="DL107" s="464"/>
      <c r="DM107" s="466"/>
      <c r="DN107" s="502"/>
      <c r="DO107" s="460"/>
      <c r="DP107" s="464"/>
      <c r="DQ107" s="464"/>
      <c r="DR107" s="464"/>
      <c r="DS107" s="508"/>
      <c r="DT107" s="525"/>
      <c r="DU107" s="525"/>
      <c r="DV107" s="463"/>
      <c r="DW107" s="464"/>
      <c r="DX107" s="465"/>
      <c r="DY107" s="463"/>
      <c r="DZ107" s="464"/>
      <c r="EA107" s="465"/>
      <c r="EB107" s="463"/>
      <c r="EC107" s="465"/>
      <c r="ED107" s="462"/>
      <c r="EE107" s="502"/>
      <c r="EF107" s="463"/>
      <c r="EG107" s="461"/>
      <c r="EH107" s="464"/>
      <c r="EI107" s="464"/>
      <c r="EJ107" s="464"/>
      <c r="EK107" s="464"/>
      <c r="EL107" s="464"/>
      <c r="EM107" s="464"/>
      <c r="EN107" s="464"/>
      <c r="EO107" s="464"/>
      <c r="EP107" s="464"/>
      <c r="EQ107" s="464"/>
      <c r="ER107" s="464"/>
      <c r="ES107" s="464"/>
      <c r="ET107" s="464"/>
      <c r="EU107" s="464"/>
      <c r="EV107" s="464"/>
      <c r="EW107" s="465"/>
      <c r="EX107" s="465"/>
      <c r="EY107" s="502"/>
      <c r="EZ107" s="460"/>
      <c r="FA107" s="464"/>
      <c r="FB107" s="464"/>
      <c r="FC107" s="464"/>
      <c r="FD107" s="464"/>
      <c r="FE107" s="464"/>
      <c r="FF107" s="464"/>
      <c r="FG107" s="466"/>
    </row>
    <row r="108" spans="1:163">
      <c r="A108" s="467" t="s">
        <v>295</v>
      </c>
      <c r="B108" s="471" t="str">
        <f>IF(ISNUMBER(MATCH(A108, 'Pulldown Data'!W:W, 0))=TRUE, "Y", IF(ISNUMBER(MATCH(A108, 'Pulldown Data'!X:X, 0))=TRUE, "M", ""))</f>
        <v/>
      </c>
      <c r="C108" s="504"/>
      <c r="D108" s="502"/>
      <c r="E108" s="443" t="str">
        <f t="shared" si="100"/>
        <v/>
      </c>
      <c r="F108" s="444" t="str">
        <f t="shared" si="100"/>
        <v/>
      </c>
      <c r="G108" s="444" t="str">
        <f t="shared" si="100"/>
        <v/>
      </c>
      <c r="H108" s="444" t="str">
        <f t="shared" si="100"/>
        <v/>
      </c>
      <c r="I108" s="444" t="str">
        <f t="shared" si="100"/>
        <v/>
      </c>
      <c r="J108" s="444" t="str">
        <f t="shared" si="100"/>
        <v/>
      </c>
      <c r="K108" s="444" t="str">
        <f t="shared" si="100"/>
        <v/>
      </c>
      <c r="L108" s="444" t="str">
        <f t="shared" si="100"/>
        <v/>
      </c>
      <c r="M108" s="444" t="str">
        <f t="shared" si="100"/>
        <v/>
      </c>
      <c r="N108" s="444" t="str">
        <f t="shared" si="100"/>
        <v/>
      </c>
      <c r="O108" s="444" t="str">
        <f t="shared" si="101"/>
        <v/>
      </c>
      <c r="P108" s="444" t="str">
        <f t="shared" si="101"/>
        <v/>
      </c>
      <c r="Q108" s="444" t="str">
        <f t="shared" si="101"/>
        <v/>
      </c>
      <c r="R108" s="444" t="str">
        <f t="shared" si="101"/>
        <v/>
      </c>
      <c r="S108" s="444" t="str">
        <f t="shared" si="101"/>
        <v/>
      </c>
      <c r="T108" s="444" t="str">
        <f t="shared" si="101"/>
        <v/>
      </c>
      <c r="U108" s="444" t="str">
        <f t="shared" si="101"/>
        <v/>
      </c>
      <c r="V108" s="444" t="str">
        <f t="shared" si="101"/>
        <v/>
      </c>
      <c r="W108" s="444" t="str">
        <f t="shared" si="101"/>
        <v/>
      </c>
      <c r="X108" s="444" t="str">
        <f t="shared" si="101"/>
        <v/>
      </c>
      <c r="Y108" s="444" t="str">
        <f t="shared" si="102"/>
        <v/>
      </c>
      <c r="Z108" s="444" t="str">
        <f t="shared" si="102"/>
        <v/>
      </c>
      <c r="AA108" s="444" t="str">
        <f t="shared" si="102"/>
        <v/>
      </c>
      <c r="AB108" s="444" t="str">
        <f t="shared" si="102"/>
        <v/>
      </c>
      <c r="AC108" s="444" t="str">
        <f t="shared" si="102"/>
        <v/>
      </c>
      <c r="AD108" s="444" t="str">
        <f t="shared" si="102"/>
        <v/>
      </c>
      <c r="AE108" s="444" t="str">
        <f t="shared" si="102"/>
        <v/>
      </c>
      <c r="AF108" s="444" t="str">
        <f t="shared" si="102"/>
        <v/>
      </c>
      <c r="AG108" s="444" t="str">
        <f t="shared" si="102"/>
        <v/>
      </c>
      <c r="AH108" s="444" t="str">
        <f t="shared" si="102"/>
        <v/>
      </c>
      <c r="AI108" s="444" t="str">
        <f t="shared" si="103"/>
        <v/>
      </c>
      <c r="AJ108" s="444" t="str">
        <f t="shared" si="103"/>
        <v/>
      </c>
      <c r="AK108" s="444" t="str">
        <f t="shared" si="103"/>
        <v/>
      </c>
      <c r="AL108" s="444" t="str">
        <f t="shared" si="103"/>
        <v/>
      </c>
      <c r="AM108" s="444" t="str">
        <f t="shared" si="103"/>
        <v/>
      </c>
      <c r="AN108" s="444" t="str">
        <f t="shared" si="103"/>
        <v/>
      </c>
      <c r="AO108" s="444" t="str">
        <f t="shared" si="103"/>
        <v/>
      </c>
      <c r="AP108" s="444" t="str">
        <f t="shared" si="103"/>
        <v/>
      </c>
      <c r="AQ108" s="444" t="str">
        <f t="shared" si="103"/>
        <v/>
      </c>
      <c r="AR108" s="444" t="str">
        <f t="shared" si="103"/>
        <v/>
      </c>
      <c r="AS108" s="444" t="str">
        <f t="shared" si="104"/>
        <v/>
      </c>
      <c r="AT108" s="444" t="str">
        <f t="shared" si="104"/>
        <v/>
      </c>
      <c r="AU108" s="444" t="str">
        <f t="shared" si="104"/>
        <v/>
      </c>
      <c r="AV108" s="444" t="str">
        <f t="shared" si="104"/>
        <v/>
      </c>
      <c r="AW108" s="444" t="str">
        <f t="shared" si="104"/>
        <v/>
      </c>
      <c r="AX108" s="444" t="str">
        <f t="shared" si="104"/>
        <v/>
      </c>
      <c r="AY108" s="444" t="str">
        <f t="shared" si="104"/>
        <v/>
      </c>
      <c r="AZ108" s="444" t="str">
        <f t="shared" si="104"/>
        <v/>
      </c>
      <c r="BA108" s="444" t="str">
        <f t="shared" si="104"/>
        <v/>
      </c>
      <c r="BB108" s="444" t="str">
        <f t="shared" si="104"/>
        <v/>
      </c>
      <c r="BC108" s="444" t="str">
        <f t="shared" si="105"/>
        <v/>
      </c>
      <c r="BD108" s="444" t="str">
        <f t="shared" si="105"/>
        <v/>
      </c>
      <c r="BE108" s="444" t="str">
        <f t="shared" si="105"/>
        <v/>
      </c>
      <c r="BF108" s="444" t="str">
        <f t="shared" si="105"/>
        <v/>
      </c>
      <c r="BG108" s="444" t="str">
        <f t="shared" si="105"/>
        <v/>
      </c>
      <c r="BH108" s="445" t="str">
        <f t="shared" si="105"/>
        <v/>
      </c>
      <c r="BI108" s="502"/>
      <c r="BJ108" s="474" t="str">
        <f t="shared" si="106"/>
        <v/>
      </c>
      <c r="BK108" s="475" t="str">
        <f t="shared" si="106"/>
        <v/>
      </c>
      <c r="BL108" s="475" t="str">
        <f t="shared" si="106"/>
        <v/>
      </c>
      <c r="BM108" s="475" t="str">
        <f t="shared" si="106"/>
        <v/>
      </c>
      <c r="BN108" s="475" t="str">
        <f t="shared" si="106"/>
        <v/>
      </c>
      <c r="BO108" s="475" t="str">
        <f t="shared" si="106"/>
        <v/>
      </c>
      <c r="BP108" s="475" t="str">
        <f t="shared" si="106"/>
        <v/>
      </c>
      <c r="BQ108" s="475" t="str">
        <f t="shared" si="106"/>
        <v/>
      </c>
      <c r="BR108" s="475" t="str">
        <f t="shared" si="106"/>
        <v/>
      </c>
      <c r="BS108" s="475" t="str">
        <f t="shared" si="106"/>
        <v/>
      </c>
      <c r="BT108" s="475" t="str">
        <f t="shared" si="107"/>
        <v/>
      </c>
      <c r="BU108" s="475" t="str">
        <f t="shared" si="107"/>
        <v/>
      </c>
      <c r="BV108" s="475" t="str">
        <f t="shared" si="107"/>
        <v/>
      </c>
      <c r="BW108" s="475" t="str">
        <f t="shared" si="107"/>
        <v/>
      </c>
      <c r="BX108" s="475" t="str">
        <f t="shared" si="107"/>
        <v/>
      </c>
      <c r="BY108" s="475" t="str">
        <f t="shared" si="107"/>
        <v/>
      </c>
      <c r="BZ108" s="475" t="str">
        <f t="shared" si="107"/>
        <v/>
      </c>
      <c r="CA108" s="475" t="str">
        <f t="shared" si="107"/>
        <v/>
      </c>
      <c r="CB108" s="475" t="str">
        <f t="shared" si="107"/>
        <v/>
      </c>
      <c r="CC108" s="475" t="str">
        <f t="shared" si="107"/>
        <v/>
      </c>
      <c r="CD108" s="475" t="str">
        <f t="shared" si="108"/>
        <v/>
      </c>
      <c r="CE108" s="475" t="str">
        <f t="shared" si="108"/>
        <v/>
      </c>
      <c r="CF108" s="475" t="str">
        <f t="shared" si="108"/>
        <v/>
      </c>
      <c r="CG108" s="475" t="str">
        <f t="shared" si="108"/>
        <v/>
      </c>
      <c r="CH108" s="475" t="str">
        <f t="shared" si="108"/>
        <v/>
      </c>
      <c r="CI108" s="475" t="str">
        <f t="shared" si="108"/>
        <v/>
      </c>
      <c r="CJ108" s="475" t="str">
        <f t="shared" si="108"/>
        <v/>
      </c>
      <c r="CK108" s="475" t="str">
        <f t="shared" si="108"/>
        <v/>
      </c>
      <c r="CL108" s="475" t="str">
        <f t="shared" si="108"/>
        <v/>
      </c>
      <c r="CM108" s="475" t="str">
        <f t="shared" si="108"/>
        <v/>
      </c>
      <c r="CN108" s="475" t="str">
        <f t="shared" si="109"/>
        <v/>
      </c>
      <c r="CO108" s="475" t="str">
        <f t="shared" si="109"/>
        <v/>
      </c>
      <c r="CP108" s="475" t="str">
        <f t="shared" si="109"/>
        <v/>
      </c>
      <c r="CQ108" s="475" t="str">
        <f t="shared" si="109"/>
        <v/>
      </c>
      <c r="CR108" s="475" t="str">
        <f t="shared" si="109"/>
        <v/>
      </c>
      <c r="CS108" s="475" t="str">
        <f t="shared" si="109"/>
        <v/>
      </c>
      <c r="CT108" s="475" t="str">
        <f t="shared" si="109"/>
        <v/>
      </c>
      <c r="CU108" s="475" t="str">
        <f t="shared" si="109"/>
        <v/>
      </c>
      <c r="CV108" s="475" t="str">
        <f t="shared" si="109"/>
        <v/>
      </c>
      <c r="CW108" s="475" t="str">
        <f t="shared" si="109"/>
        <v/>
      </c>
      <c r="CX108" s="475" t="str">
        <f t="shared" si="109"/>
        <v/>
      </c>
      <c r="CY108" s="475" t="str">
        <f t="shared" si="109"/>
        <v/>
      </c>
      <c r="CZ108" s="495" t="str">
        <f t="shared" si="109"/>
        <v/>
      </c>
      <c r="DA108" s="502"/>
      <c r="DB108" s="460"/>
      <c r="DC108" s="465"/>
      <c r="DD108" s="463"/>
      <c r="DE108" s="512"/>
      <c r="DF108" s="516"/>
      <c r="DG108" s="508"/>
      <c r="DH108" s="463"/>
      <c r="DI108" s="461"/>
      <c r="DJ108" s="461"/>
      <c r="DK108" s="461"/>
      <c r="DL108" s="464"/>
      <c r="DM108" s="466"/>
      <c r="DN108" s="502"/>
      <c r="DO108" s="460"/>
      <c r="DP108" s="464"/>
      <c r="DQ108" s="464"/>
      <c r="DR108" s="464"/>
      <c r="DS108" s="508"/>
      <c r="DT108" s="525"/>
      <c r="DU108" s="525"/>
      <c r="DV108" s="463"/>
      <c r="DW108" s="464"/>
      <c r="DX108" s="465"/>
      <c r="DY108" s="463"/>
      <c r="DZ108" s="464"/>
      <c r="EA108" s="465"/>
      <c r="EB108" s="463"/>
      <c r="EC108" s="465"/>
      <c r="ED108" s="462"/>
      <c r="EE108" s="502"/>
      <c r="EF108" s="463"/>
      <c r="EG108" s="461"/>
      <c r="EH108" s="464"/>
      <c r="EI108" s="464"/>
      <c r="EJ108" s="464"/>
      <c r="EK108" s="464"/>
      <c r="EL108" s="464"/>
      <c r="EM108" s="464"/>
      <c r="EN108" s="464"/>
      <c r="EO108" s="464"/>
      <c r="EP108" s="464"/>
      <c r="EQ108" s="464"/>
      <c r="ER108" s="464"/>
      <c r="ES108" s="464"/>
      <c r="ET108" s="464"/>
      <c r="EU108" s="464"/>
      <c r="EV108" s="464"/>
      <c r="EW108" s="465"/>
      <c r="EX108" s="465"/>
      <c r="EY108" s="502"/>
      <c r="EZ108" s="460"/>
      <c r="FA108" s="464"/>
      <c r="FB108" s="464"/>
      <c r="FC108" s="464"/>
      <c r="FD108" s="464"/>
      <c r="FE108" s="464"/>
      <c r="FF108" s="464"/>
      <c r="FG108" s="466"/>
    </row>
    <row r="109" spans="1:163">
      <c r="A109" s="467" t="s">
        <v>296</v>
      </c>
      <c r="B109" s="471" t="str">
        <f>IF(ISNUMBER(MATCH(A109, 'Pulldown Data'!W:W, 0))=TRUE, "Y", IF(ISNUMBER(MATCH(A109, 'Pulldown Data'!X:X, 0))=TRUE, "M", ""))</f>
        <v/>
      </c>
      <c r="C109" s="504"/>
      <c r="D109" s="502"/>
      <c r="E109" s="443" t="str">
        <f t="shared" si="100"/>
        <v/>
      </c>
      <c r="F109" s="444" t="str">
        <f t="shared" si="100"/>
        <v/>
      </c>
      <c r="G109" s="444" t="str">
        <f t="shared" si="100"/>
        <v/>
      </c>
      <c r="H109" s="444" t="str">
        <f t="shared" si="100"/>
        <v/>
      </c>
      <c r="I109" s="444" t="str">
        <f t="shared" si="100"/>
        <v/>
      </c>
      <c r="J109" s="444" t="str">
        <f t="shared" si="100"/>
        <v/>
      </c>
      <c r="K109" s="444" t="str">
        <f t="shared" si="100"/>
        <v/>
      </c>
      <c r="L109" s="444" t="str">
        <f t="shared" si="100"/>
        <v/>
      </c>
      <c r="M109" s="444" t="str">
        <f t="shared" si="100"/>
        <v/>
      </c>
      <c r="N109" s="444" t="str">
        <f t="shared" si="100"/>
        <v/>
      </c>
      <c r="O109" s="444" t="str">
        <f t="shared" si="101"/>
        <v/>
      </c>
      <c r="P109" s="444" t="str">
        <f t="shared" si="101"/>
        <v/>
      </c>
      <c r="Q109" s="444" t="str">
        <f t="shared" si="101"/>
        <v/>
      </c>
      <c r="R109" s="444" t="str">
        <f t="shared" si="101"/>
        <v/>
      </c>
      <c r="S109" s="444" t="str">
        <f t="shared" si="101"/>
        <v/>
      </c>
      <c r="T109" s="444" t="str">
        <f t="shared" si="101"/>
        <v/>
      </c>
      <c r="U109" s="444" t="str">
        <f t="shared" si="101"/>
        <v/>
      </c>
      <c r="V109" s="444" t="str">
        <f t="shared" si="101"/>
        <v/>
      </c>
      <c r="W109" s="444" t="str">
        <f t="shared" si="101"/>
        <v/>
      </c>
      <c r="X109" s="444" t="str">
        <f t="shared" si="101"/>
        <v/>
      </c>
      <c r="Y109" s="444" t="str">
        <f t="shared" si="102"/>
        <v/>
      </c>
      <c r="Z109" s="444" t="str">
        <f t="shared" si="102"/>
        <v/>
      </c>
      <c r="AA109" s="444" t="str">
        <f t="shared" si="102"/>
        <v/>
      </c>
      <c r="AB109" s="444" t="str">
        <f t="shared" si="102"/>
        <v/>
      </c>
      <c r="AC109" s="444" t="str">
        <f t="shared" si="102"/>
        <v/>
      </c>
      <c r="AD109" s="444" t="str">
        <f t="shared" si="102"/>
        <v/>
      </c>
      <c r="AE109" s="444" t="str">
        <f t="shared" si="102"/>
        <v/>
      </c>
      <c r="AF109" s="444" t="str">
        <f t="shared" si="102"/>
        <v/>
      </c>
      <c r="AG109" s="444" t="str">
        <f t="shared" si="102"/>
        <v/>
      </c>
      <c r="AH109" s="444" t="str">
        <f t="shared" si="102"/>
        <v/>
      </c>
      <c r="AI109" s="444" t="str">
        <f t="shared" si="103"/>
        <v/>
      </c>
      <c r="AJ109" s="444" t="str">
        <f t="shared" si="103"/>
        <v/>
      </c>
      <c r="AK109" s="444" t="str">
        <f t="shared" si="103"/>
        <v/>
      </c>
      <c r="AL109" s="444" t="str">
        <f t="shared" si="103"/>
        <v/>
      </c>
      <c r="AM109" s="444" t="str">
        <f t="shared" si="103"/>
        <v/>
      </c>
      <c r="AN109" s="444" t="str">
        <f t="shared" si="103"/>
        <v/>
      </c>
      <c r="AO109" s="444" t="str">
        <f t="shared" si="103"/>
        <v/>
      </c>
      <c r="AP109" s="444" t="str">
        <f t="shared" si="103"/>
        <v/>
      </c>
      <c r="AQ109" s="444" t="str">
        <f t="shared" si="103"/>
        <v/>
      </c>
      <c r="AR109" s="444" t="str">
        <f t="shared" si="103"/>
        <v/>
      </c>
      <c r="AS109" s="444" t="str">
        <f t="shared" si="104"/>
        <v/>
      </c>
      <c r="AT109" s="444" t="str">
        <f t="shared" si="104"/>
        <v/>
      </c>
      <c r="AU109" s="444" t="str">
        <f t="shared" si="104"/>
        <v/>
      </c>
      <c r="AV109" s="444" t="str">
        <f t="shared" si="104"/>
        <v/>
      </c>
      <c r="AW109" s="444" t="str">
        <f t="shared" si="104"/>
        <v/>
      </c>
      <c r="AX109" s="444" t="str">
        <f t="shared" si="104"/>
        <v/>
      </c>
      <c r="AY109" s="444" t="str">
        <f t="shared" si="104"/>
        <v/>
      </c>
      <c r="AZ109" s="444" t="str">
        <f t="shared" si="104"/>
        <v/>
      </c>
      <c r="BA109" s="444" t="str">
        <f t="shared" si="104"/>
        <v/>
      </c>
      <c r="BB109" s="444" t="str">
        <f t="shared" si="104"/>
        <v/>
      </c>
      <c r="BC109" s="444" t="str">
        <f t="shared" si="105"/>
        <v/>
      </c>
      <c r="BD109" s="444" t="str">
        <f t="shared" si="105"/>
        <v/>
      </c>
      <c r="BE109" s="444" t="str">
        <f t="shared" si="105"/>
        <v/>
      </c>
      <c r="BF109" s="444" t="str">
        <f t="shared" si="105"/>
        <v/>
      </c>
      <c r="BG109" s="444" t="str">
        <f t="shared" si="105"/>
        <v/>
      </c>
      <c r="BH109" s="445" t="str">
        <f t="shared" si="105"/>
        <v/>
      </c>
      <c r="BI109" s="502"/>
      <c r="BJ109" s="474" t="str">
        <f t="shared" si="106"/>
        <v/>
      </c>
      <c r="BK109" s="475" t="str">
        <f t="shared" si="106"/>
        <v/>
      </c>
      <c r="BL109" s="475" t="str">
        <f t="shared" si="106"/>
        <v/>
      </c>
      <c r="BM109" s="475" t="str">
        <f t="shared" si="106"/>
        <v/>
      </c>
      <c r="BN109" s="475" t="str">
        <f t="shared" si="106"/>
        <v/>
      </c>
      <c r="BO109" s="475" t="str">
        <f t="shared" si="106"/>
        <v/>
      </c>
      <c r="BP109" s="475" t="str">
        <f t="shared" si="106"/>
        <v/>
      </c>
      <c r="BQ109" s="475" t="str">
        <f t="shared" si="106"/>
        <v/>
      </c>
      <c r="BR109" s="475" t="str">
        <f t="shared" si="106"/>
        <v/>
      </c>
      <c r="BS109" s="475" t="str">
        <f t="shared" si="106"/>
        <v/>
      </c>
      <c r="BT109" s="475" t="str">
        <f t="shared" si="107"/>
        <v/>
      </c>
      <c r="BU109" s="475" t="str">
        <f t="shared" si="107"/>
        <v/>
      </c>
      <c r="BV109" s="475" t="str">
        <f t="shared" si="107"/>
        <v/>
      </c>
      <c r="BW109" s="475" t="str">
        <f t="shared" si="107"/>
        <v/>
      </c>
      <c r="BX109" s="475" t="str">
        <f t="shared" si="107"/>
        <v/>
      </c>
      <c r="BY109" s="475" t="str">
        <f t="shared" si="107"/>
        <v/>
      </c>
      <c r="BZ109" s="475" t="str">
        <f t="shared" si="107"/>
        <v/>
      </c>
      <c r="CA109" s="475" t="str">
        <f t="shared" si="107"/>
        <v/>
      </c>
      <c r="CB109" s="475" t="str">
        <f t="shared" si="107"/>
        <v/>
      </c>
      <c r="CC109" s="475" t="str">
        <f t="shared" si="107"/>
        <v/>
      </c>
      <c r="CD109" s="475" t="str">
        <f t="shared" si="108"/>
        <v/>
      </c>
      <c r="CE109" s="475" t="str">
        <f t="shared" si="108"/>
        <v/>
      </c>
      <c r="CF109" s="475" t="str">
        <f t="shared" si="108"/>
        <v/>
      </c>
      <c r="CG109" s="475" t="str">
        <f t="shared" si="108"/>
        <v/>
      </c>
      <c r="CH109" s="475" t="str">
        <f t="shared" si="108"/>
        <v/>
      </c>
      <c r="CI109" s="475" t="str">
        <f t="shared" si="108"/>
        <v/>
      </c>
      <c r="CJ109" s="475" t="str">
        <f t="shared" si="108"/>
        <v/>
      </c>
      <c r="CK109" s="475" t="str">
        <f t="shared" si="108"/>
        <v/>
      </c>
      <c r="CL109" s="475" t="str">
        <f t="shared" si="108"/>
        <v/>
      </c>
      <c r="CM109" s="475" t="str">
        <f t="shared" si="108"/>
        <v/>
      </c>
      <c r="CN109" s="475" t="str">
        <f t="shared" si="109"/>
        <v/>
      </c>
      <c r="CO109" s="475" t="str">
        <f t="shared" si="109"/>
        <v/>
      </c>
      <c r="CP109" s="475" t="str">
        <f t="shared" si="109"/>
        <v/>
      </c>
      <c r="CQ109" s="475" t="str">
        <f t="shared" si="109"/>
        <v/>
      </c>
      <c r="CR109" s="475" t="str">
        <f t="shared" si="109"/>
        <v/>
      </c>
      <c r="CS109" s="475" t="str">
        <f t="shared" si="109"/>
        <v/>
      </c>
      <c r="CT109" s="475" t="str">
        <f t="shared" si="109"/>
        <v/>
      </c>
      <c r="CU109" s="475" t="str">
        <f t="shared" si="109"/>
        <v/>
      </c>
      <c r="CV109" s="475" t="str">
        <f t="shared" si="109"/>
        <v/>
      </c>
      <c r="CW109" s="475" t="str">
        <f t="shared" si="109"/>
        <v/>
      </c>
      <c r="CX109" s="475" t="str">
        <f t="shared" si="109"/>
        <v/>
      </c>
      <c r="CY109" s="475" t="str">
        <f t="shared" si="109"/>
        <v/>
      </c>
      <c r="CZ109" s="495" t="str">
        <f t="shared" si="109"/>
        <v/>
      </c>
      <c r="DA109" s="502"/>
      <c r="DB109" s="460"/>
      <c r="DC109" s="465"/>
      <c r="DD109" s="463"/>
      <c r="DE109" s="512"/>
      <c r="DF109" s="516"/>
      <c r="DG109" s="508"/>
      <c r="DH109" s="463"/>
      <c r="DI109" s="461"/>
      <c r="DJ109" s="461"/>
      <c r="DK109" s="461"/>
      <c r="DL109" s="464"/>
      <c r="DM109" s="466"/>
      <c r="DN109" s="502"/>
      <c r="DO109" s="460"/>
      <c r="DP109" s="464"/>
      <c r="DQ109" s="464"/>
      <c r="DR109" s="464"/>
      <c r="DS109" s="508"/>
      <c r="DT109" s="525"/>
      <c r="DU109" s="525"/>
      <c r="DV109" s="463"/>
      <c r="DW109" s="464"/>
      <c r="DX109" s="465"/>
      <c r="DY109" s="463"/>
      <c r="DZ109" s="464"/>
      <c r="EA109" s="465"/>
      <c r="EB109" s="463"/>
      <c r="EC109" s="465"/>
      <c r="ED109" s="462"/>
      <c r="EE109" s="502"/>
      <c r="EF109" s="463"/>
      <c r="EG109" s="461"/>
      <c r="EH109" s="464"/>
      <c r="EI109" s="464"/>
      <c r="EJ109" s="464"/>
      <c r="EK109" s="464"/>
      <c r="EL109" s="464"/>
      <c r="EM109" s="464"/>
      <c r="EN109" s="464"/>
      <c r="EO109" s="464"/>
      <c r="EP109" s="464"/>
      <c r="EQ109" s="464"/>
      <c r="ER109" s="464"/>
      <c r="ES109" s="464"/>
      <c r="ET109" s="464"/>
      <c r="EU109" s="464"/>
      <c r="EV109" s="464"/>
      <c r="EW109" s="465"/>
      <c r="EX109" s="465"/>
      <c r="EY109" s="502"/>
      <c r="EZ109" s="460"/>
      <c r="FA109" s="464"/>
      <c r="FB109" s="464"/>
      <c r="FC109" s="464"/>
      <c r="FD109" s="464"/>
      <c r="FE109" s="464"/>
      <c r="FF109" s="464"/>
      <c r="FG109" s="466"/>
    </row>
    <row r="110" spans="1:163">
      <c r="A110" s="467" t="s">
        <v>297</v>
      </c>
      <c r="B110" s="471" t="str">
        <f>IF(ISNUMBER(MATCH(A110, 'Pulldown Data'!W:W, 0))=TRUE, "Y", IF(ISNUMBER(MATCH(A110, 'Pulldown Data'!X:X, 0))=TRUE, "M", ""))</f>
        <v/>
      </c>
      <c r="C110" s="504"/>
      <c r="D110" s="502"/>
      <c r="E110" s="443" t="str">
        <f t="shared" si="100"/>
        <v/>
      </c>
      <c r="F110" s="444" t="str">
        <f t="shared" si="100"/>
        <v/>
      </c>
      <c r="G110" s="444" t="str">
        <f t="shared" si="100"/>
        <v/>
      </c>
      <c r="H110" s="444" t="str">
        <f t="shared" si="100"/>
        <v/>
      </c>
      <c r="I110" s="444" t="str">
        <f t="shared" si="100"/>
        <v/>
      </c>
      <c r="J110" s="444" t="str">
        <f t="shared" si="100"/>
        <v/>
      </c>
      <c r="K110" s="444" t="str">
        <f t="shared" si="100"/>
        <v/>
      </c>
      <c r="L110" s="444" t="str">
        <f t="shared" si="100"/>
        <v/>
      </c>
      <c r="M110" s="444" t="str">
        <f t="shared" si="100"/>
        <v/>
      </c>
      <c r="N110" s="444" t="str">
        <f t="shared" si="100"/>
        <v/>
      </c>
      <c r="O110" s="444" t="str">
        <f t="shared" si="101"/>
        <v/>
      </c>
      <c r="P110" s="444" t="str">
        <f t="shared" si="101"/>
        <v/>
      </c>
      <c r="Q110" s="444" t="str">
        <f t="shared" si="101"/>
        <v/>
      </c>
      <c r="R110" s="444" t="str">
        <f t="shared" si="101"/>
        <v/>
      </c>
      <c r="S110" s="444" t="str">
        <f t="shared" si="101"/>
        <v/>
      </c>
      <c r="T110" s="444" t="str">
        <f t="shared" si="101"/>
        <v/>
      </c>
      <c r="U110" s="444" t="str">
        <f t="shared" si="101"/>
        <v/>
      </c>
      <c r="V110" s="444" t="str">
        <f t="shared" si="101"/>
        <v/>
      </c>
      <c r="W110" s="444" t="str">
        <f t="shared" si="101"/>
        <v/>
      </c>
      <c r="X110" s="444" t="str">
        <f t="shared" si="101"/>
        <v/>
      </c>
      <c r="Y110" s="444" t="str">
        <f t="shared" si="102"/>
        <v/>
      </c>
      <c r="Z110" s="444" t="str">
        <f t="shared" si="102"/>
        <v/>
      </c>
      <c r="AA110" s="444" t="str">
        <f t="shared" si="102"/>
        <v/>
      </c>
      <c r="AB110" s="444" t="str">
        <f t="shared" si="102"/>
        <v/>
      </c>
      <c r="AC110" s="444" t="str">
        <f t="shared" si="102"/>
        <v/>
      </c>
      <c r="AD110" s="444" t="str">
        <f t="shared" si="102"/>
        <v/>
      </c>
      <c r="AE110" s="444" t="str">
        <f t="shared" si="102"/>
        <v/>
      </c>
      <c r="AF110" s="444" t="str">
        <f t="shared" si="102"/>
        <v/>
      </c>
      <c r="AG110" s="444" t="str">
        <f t="shared" si="102"/>
        <v/>
      </c>
      <c r="AH110" s="444" t="str">
        <f t="shared" si="102"/>
        <v/>
      </c>
      <c r="AI110" s="444" t="str">
        <f t="shared" si="103"/>
        <v/>
      </c>
      <c r="AJ110" s="444" t="str">
        <f t="shared" si="103"/>
        <v/>
      </c>
      <c r="AK110" s="444" t="str">
        <f t="shared" si="103"/>
        <v/>
      </c>
      <c r="AL110" s="444" t="str">
        <f t="shared" si="103"/>
        <v/>
      </c>
      <c r="AM110" s="444" t="str">
        <f t="shared" si="103"/>
        <v/>
      </c>
      <c r="AN110" s="444" t="str">
        <f t="shared" si="103"/>
        <v/>
      </c>
      <c r="AO110" s="444" t="str">
        <f t="shared" si="103"/>
        <v/>
      </c>
      <c r="AP110" s="444" t="str">
        <f t="shared" si="103"/>
        <v/>
      </c>
      <c r="AQ110" s="444" t="str">
        <f t="shared" si="103"/>
        <v/>
      </c>
      <c r="AR110" s="444" t="str">
        <f t="shared" si="103"/>
        <v/>
      </c>
      <c r="AS110" s="444" t="str">
        <f t="shared" si="104"/>
        <v/>
      </c>
      <c r="AT110" s="444" t="str">
        <f t="shared" si="104"/>
        <v/>
      </c>
      <c r="AU110" s="444" t="str">
        <f t="shared" si="104"/>
        <v/>
      </c>
      <c r="AV110" s="444" t="str">
        <f t="shared" si="104"/>
        <v/>
      </c>
      <c r="AW110" s="444" t="str">
        <f t="shared" si="104"/>
        <v/>
      </c>
      <c r="AX110" s="444" t="str">
        <f t="shared" si="104"/>
        <v/>
      </c>
      <c r="AY110" s="444" t="str">
        <f t="shared" si="104"/>
        <v/>
      </c>
      <c r="AZ110" s="444" t="str">
        <f t="shared" si="104"/>
        <v/>
      </c>
      <c r="BA110" s="444" t="str">
        <f t="shared" si="104"/>
        <v/>
      </c>
      <c r="BB110" s="444" t="str">
        <f t="shared" si="104"/>
        <v/>
      </c>
      <c r="BC110" s="444" t="str">
        <f t="shared" si="105"/>
        <v/>
      </c>
      <c r="BD110" s="444" t="str">
        <f t="shared" si="105"/>
        <v/>
      </c>
      <c r="BE110" s="444" t="str">
        <f t="shared" si="105"/>
        <v/>
      </c>
      <c r="BF110" s="444" t="str">
        <f t="shared" si="105"/>
        <v/>
      </c>
      <c r="BG110" s="444" t="str">
        <f t="shared" si="105"/>
        <v/>
      </c>
      <c r="BH110" s="445" t="str">
        <f t="shared" si="105"/>
        <v/>
      </c>
      <c r="BI110" s="502"/>
      <c r="BJ110" s="474" t="str">
        <f t="shared" si="106"/>
        <v/>
      </c>
      <c r="BK110" s="475" t="str">
        <f t="shared" si="106"/>
        <v/>
      </c>
      <c r="BL110" s="475" t="str">
        <f t="shared" si="106"/>
        <v/>
      </c>
      <c r="BM110" s="475" t="str">
        <f t="shared" si="106"/>
        <v/>
      </c>
      <c r="BN110" s="475" t="str">
        <f t="shared" si="106"/>
        <v/>
      </c>
      <c r="BO110" s="475" t="str">
        <f t="shared" si="106"/>
        <v/>
      </c>
      <c r="BP110" s="475" t="str">
        <f t="shared" si="106"/>
        <v/>
      </c>
      <c r="BQ110" s="475" t="str">
        <f t="shared" si="106"/>
        <v/>
      </c>
      <c r="BR110" s="475" t="str">
        <f t="shared" si="106"/>
        <v/>
      </c>
      <c r="BS110" s="475" t="str">
        <f t="shared" si="106"/>
        <v/>
      </c>
      <c r="BT110" s="475" t="str">
        <f t="shared" si="107"/>
        <v/>
      </c>
      <c r="BU110" s="475" t="str">
        <f t="shared" si="107"/>
        <v/>
      </c>
      <c r="BV110" s="475" t="str">
        <f t="shared" si="107"/>
        <v/>
      </c>
      <c r="BW110" s="475" t="str">
        <f t="shared" si="107"/>
        <v/>
      </c>
      <c r="BX110" s="475" t="str">
        <f t="shared" si="107"/>
        <v/>
      </c>
      <c r="BY110" s="475" t="str">
        <f t="shared" si="107"/>
        <v/>
      </c>
      <c r="BZ110" s="475" t="str">
        <f t="shared" si="107"/>
        <v/>
      </c>
      <c r="CA110" s="475" t="str">
        <f t="shared" si="107"/>
        <v/>
      </c>
      <c r="CB110" s="475" t="str">
        <f t="shared" si="107"/>
        <v/>
      </c>
      <c r="CC110" s="475" t="str">
        <f t="shared" si="107"/>
        <v/>
      </c>
      <c r="CD110" s="475" t="str">
        <f t="shared" si="108"/>
        <v/>
      </c>
      <c r="CE110" s="475" t="str">
        <f t="shared" si="108"/>
        <v/>
      </c>
      <c r="CF110" s="475" t="str">
        <f t="shared" si="108"/>
        <v/>
      </c>
      <c r="CG110" s="475" t="str">
        <f t="shared" si="108"/>
        <v/>
      </c>
      <c r="CH110" s="475" t="str">
        <f t="shared" si="108"/>
        <v/>
      </c>
      <c r="CI110" s="475" t="str">
        <f t="shared" si="108"/>
        <v/>
      </c>
      <c r="CJ110" s="475" t="str">
        <f t="shared" si="108"/>
        <v/>
      </c>
      <c r="CK110" s="475" t="str">
        <f t="shared" si="108"/>
        <v/>
      </c>
      <c r="CL110" s="475" t="str">
        <f t="shared" si="108"/>
        <v/>
      </c>
      <c r="CM110" s="475" t="str">
        <f t="shared" si="108"/>
        <v/>
      </c>
      <c r="CN110" s="475" t="str">
        <f t="shared" si="109"/>
        <v/>
      </c>
      <c r="CO110" s="475" t="str">
        <f t="shared" si="109"/>
        <v/>
      </c>
      <c r="CP110" s="475" t="str">
        <f t="shared" si="109"/>
        <v/>
      </c>
      <c r="CQ110" s="475" t="str">
        <f t="shared" si="109"/>
        <v/>
      </c>
      <c r="CR110" s="475" t="str">
        <f t="shared" si="109"/>
        <v/>
      </c>
      <c r="CS110" s="475" t="str">
        <f t="shared" si="109"/>
        <v/>
      </c>
      <c r="CT110" s="475" t="str">
        <f t="shared" si="109"/>
        <v/>
      </c>
      <c r="CU110" s="475" t="str">
        <f t="shared" si="109"/>
        <v/>
      </c>
      <c r="CV110" s="475" t="str">
        <f t="shared" si="109"/>
        <v/>
      </c>
      <c r="CW110" s="475" t="str">
        <f t="shared" si="109"/>
        <v/>
      </c>
      <c r="CX110" s="475" t="str">
        <f t="shared" si="109"/>
        <v/>
      </c>
      <c r="CY110" s="475" t="str">
        <f t="shared" si="109"/>
        <v/>
      </c>
      <c r="CZ110" s="495" t="str">
        <f t="shared" si="109"/>
        <v/>
      </c>
      <c r="DA110" s="502"/>
      <c r="DB110" s="460"/>
      <c r="DC110" s="465"/>
      <c r="DD110" s="463"/>
      <c r="DE110" s="512"/>
      <c r="DF110" s="516"/>
      <c r="DG110" s="508"/>
      <c r="DH110" s="463"/>
      <c r="DI110" s="461"/>
      <c r="DJ110" s="461"/>
      <c r="DK110" s="461"/>
      <c r="DL110" s="464"/>
      <c r="DM110" s="466"/>
      <c r="DN110" s="502"/>
      <c r="DO110" s="460"/>
      <c r="DP110" s="464"/>
      <c r="DQ110" s="464"/>
      <c r="DR110" s="464"/>
      <c r="DS110" s="508"/>
      <c r="DT110" s="525"/>
      <c r="DU110" s="525"/>
      <c r="DV110" s="463"/>
      <c r="DW110" s="464"/>
      <c r="DX110" s="465"/>
      <c r="DY110" s="463"/>
      <c r="DZ110" s="464"/>
      <c r="EA110" s="465"/>
      <c r="EB110" s="463"/>
      <c r="EC110" s="465"/>
      <c r="ED110" s="462"/>
      <c r="EE110" s="502"/>
      <c r="EF110" s="463"/>
      <c r="EG110" s="461"/>
      <c r="EH110" s="464"/>
      <c r="EI110" s="464"/>
      <c r="EJ110" s="464"/>
      <c r="EK110" s="464"/>
      <c r="EL110" s="464"/>
      <c r="EM110" s="464"/>
      <c r="EN110" s="464"/>
      <c r="EO110" s="464"/>
      <c r="EP110" s="464"/>
      <c r="EQ110" s="464"/>
      <c r="ER110" s="464"/>
      <c r="ES110" s="464"/>
      <c r="ET110" s="464"/>
      <c r="EU110" s="464"/>
      <c r="EV110" s="464"/>
      <c r="EW110" s="465"/>
      <c r="EX110" s="465"/>
      <c r="EY110" s="502"/>
      <c r="EZ110" s="460"/>
      <c r="FA110" s="464"/>
      <c r="FB110" s="464"/>
      <c r="FC110" s="464"/>
      <c r="FD110" s="464"/>
      <c r="FE110" s="464"/>
      <c r="FF110" s="464"/>
      <c r="FG110" s="466"/>
    </row>
    <row r="111" spans="1:163">
      <c r="A111" s="467" t="s">
        <v>298</v>
      </c>
      <c r="B111" s="471" t="str">
        <f>IF(ISNUMBER(MATCH(A111, 'Pulldown Data'!W:W, 0))=TRUE, "Y", IF(ISNUMBER(MATCH(A111, 'Pulldown Data'!X:X, 0))=TRUE, "M", ""))</f>
        <v/>
      </c>
      <c r="C111" s="504"/>
      <c r="D111" s="502"/>
      <c r="E111" s="443" t="str">
        <f t="shared" si="100"/>
        <v/>
      </c>
      <c r="F111" s="444" t="str">
        <f t="shared" si="100"/>
        <v/>
      </c>
      <c r="G111" s="444" t="str">
        <f t="shared" si="100"/>
        <v/>
      </c>
      <c r="H111" s="444" t="str">
        <f t="shared" si="100"/>
        <v/>
      </c>
      <c r="I111" s="444" t="str">
        <f t="shared" si="100"/>
        <v/>
      </c>
      <c r="J111" s="444" t="str">
        <f t="shared" si="100"/>
        <v/>
      </c>
      <c r="K111" s="444" t="str">
        <f t="shared" si="100"/>
        <v/>
      </c>
      <c r="L111" s="444" t="str">
        <f t="shared" si="100"/>
        <v/>
      </c>
      <c r="M111" s="444" t="str">
        <f t="shared" si="100"/>
        <v/>
      </c>
      <c r="N111" s="444" t="str">
        <f t="shared" si="100"/>
        <v/>
      </c>
      <c r="O111" s="444" t="str">
        <f t="shared" si="101"/>
        <v/>
      </c>
      <c r="P111" s="444" t="str">
        <f t="shared" si="101"/>
        <v/>
      </c>
      <c r="Q111" s="444" t="str">
        <f t="shared" si="101"/>
        <v/>
      </c>
      <c r="R111" s="444" t="str">
        <f t="shared" si="101"/>
        <v/>
      </c>
      <c r="S111" s="444" t="str">
        <f t="shared" si="101"/>
        <v/>
      </c>
      <c r="T111" s="444" t="str">
        <f t="shared" si="101"/>
        <v/>
      </c>
      <c r="U111" s="444" t="str">
        <f t="shared" si="101"/>
        <v/>
      </c>
      <c r="V111" s="444" t="str">
        <f t="shared" si="101"/>
        <v/>
      </c>
      <c r="W111" s="444" t="str">
        <f t="shared" si="101"/>
        <v/>
      </c>
      <c r="X111" s="444" t="str">
        <f t="shared" si="101"/>
        <v/>
      </c>
      <c r="Y111" s="444" t="str">
        <f t="shared" si="102"/>
        <v/>
      </c>
      <c r="Z111" s="444" t="str">
        <f t="shared" si="102"/>
        <v/>
      </c>
      <c r="AA111" s="444" t="str">
        <f t="shared" si="102"/>
        <v/>
      </c>
      <c r="AB111" s="444" t="str">
        <f t="shared" si="102"/>
        <v/>
      </c>
      <c r="AC111" s="444" t="str">
        <f t="shared" si="102"/>
        <v/>
      </c>
      <c r="AD111" s="444" t="str">
        <f t="shared" si="102"/>
        <v/>
      </c>
      <c r="AE111" s="444" t="str">
        <f t="shared" si="102"/>
        <v/>
      </c>
      <c r="AF111" s="444" t="str">
        <f t="shared" si="102"/>
        <v/>
      </c>
      <c r="AG111" s="444" t="str">
        <f t="shared" si="102"/>
        <v/>
      </c>
      <c r="AH111" s="444" t="str">
        <f t="shared" si="102"/>
        <v/>
      </c>
      <c r="AI111" s="444" t="str">
        <f t="shared" si="103"/>
        <v/>
      </c>
      <c r="AJ111" s="444" t="str">
        <f t="shared" si="103"/>
        <v/>
      </c>
      <c r="AK111" s="444" t="str">
        <f t="shared" si="103"/>
        <v/>
      </c>
      <c r="AL111" s="444" t="str">
        <f t="shared" si="103"/>
        <v/>
      </c>
      <c r="AM111" s="444" t="str">
        <f t="shared" si="103"/>
        <v/>
      </c>
      <c r="AN111" s="444" t="str">
        <f t="shared" si="103"/>
        <v/>
      </c>
      <c r="AO111" s="444" t="str">
        <f t="shared" si="103"/>
        <v/>
      </c>
      <c r="AP111" s="444" t="str">
        <f t="shared" si="103"/>
        <v/>
      </c>
      <c r="AQ111" s="444" t="str">
        <f t="shared" si="103"/>
        <v/>
      </c>
      <c r="AR111" s="444" t="str">
        <f t="shared" si="103"/>
        <v/>
      </c>
      <c r="AS111" s="444" t="str">
        <f t="shared" si="104"/>
        <v/>
      </c>
      <c r="AT111" s="444" t="str">
        <f t="shared" si="104"/>
        <v/>
      </c>
      <c r="AU111" s="444" t="str">
        <f t="shared" si="104"/>
        <v/>
      </c>
      <c r="AV111" s="444" t="str">
        <f t="shared" si="104"/>
        <v/>
      </c>
      <c r="AW111" s="444" t="str">
        <f t="shared" si="104"/>
        <v/>
      </c>
      <c r="AX111" s="444" t="str">
        <f t="shared" si="104"/>
        <v/>
      </c>
      <c r="AY111" s="444" t="str">
        <f t="shared" si="104"/>
        <v/>
      </c>
      <c r="AZ111" s="444" t="str">
        <f t="shared" si="104"/>
        <v/>
      </c>
      <c r="BA111" s="444" t="str">
        <f t="shared" si="104"/>
        <v/>
      </c>
      <c r="BB111" s="444" t="str">
        <f t="shared" si="104"/>
        <v/>
      </c>
      <c r="BC111" s="444" t="str">
        <f t="shared" si="105"/>
        <v/>
      </c>
      <c r="BD111" s="444" t="str">
        <f t="shared" si="105"/>
        <v/>
      </c>
      <c r="BE111" s="444" t="str">
        <f t="shared" si="105"/>
        <v/>
      </c>
      <c r="BF111" s="444" t="str">
        <f t="shared" si="105"/>
        <v/>
      </c>
      <c r="BG111" s="444" t="str">
        <f t="shared" si="105"/>
        <v/>
      </c>
      <c r="BH111" s="445" t="str">
        <f t="shared" si="105"/>
        <v/>
      </c>
      <c r="BI111" s="502"/>
      <c r="BJ111" s="474" t="str">
        <f t="shared" si="106"/>
        <v/>
      </c>
      <c r="BK111" s="475" t="str">
        <f t="shared" si="106"/>
        <v/>
      </c>
      <c r="BL111" s="475" t="str">
        <f t="shared" si="106"/>
        <v/>
      </c>
      <c r="BM111" s="475" t="str">
        <f t="shared" si="106"/>
        <v/>
      </c>
      <c r="BN111" s="475" t="str">
        <f t="shared" si="106"/>
        <v/>
      </c>
      <c r="BO111" s="475" t="str">
        <f t="shared" si="106"/>
        <v/>
      </c>
      <c r="BP111" s="475" t="str">
        <f t="shared" si="106"/>
        <v/>
      </c>
      <c r="BQ111" s="475" t="str">
        <f t="shared" si="106"/>
        <v/>
      </c>
      <c r="BR111" s="475" t="str">
        <f t="shared" si="106"/>
        <v/>
      </c>
      <c r="BS111" s="475" t="str">
        <f t="shared" si="106"/>
        <v/>
      </c>
      <c r="BT111" s="475" t="str">
        <f t="shared" si="107"/>
        <v/>
      </c>
      <c r="BU111" s="475" t="str">
        <f t="shared" si="107"/>
        <v/>
      </c>
      <c r="BV111" s="475" t="str">
        <f t="shared" si="107"/>
        <v/>
      </c>
      <c r="BW111" s="475" t="str">
        <f t="shared" si="107"/>
        <v/>
      </c>
      <c r="BX111" s="475" t="str">
        <f t="shared" si="107"/>
        <v/>
      </c>
      <c r="BY111" s="475" t="str">
        <f t="shared" si="107"/>
        <v/>
      </c>
      <c r="BZ111" s="475" t="str">
        <f t="shared" si="107"/>
        <v/>
      </c>
      <c r="CA111" s="475" t="str">
        <f t="shared" si="107"/>
        <v/>
      </c>
      <c r="CB111" s="475" t="str">
        <f t="shared" si="107"/>
        <v/>
      </c>
      <c r="CC111" s="475" t="str">
        <f t="shared" si="107"/>
        <v/>
      </c>
      <c r="CD111" s="475" t="str">
        <f t="shared" si="108"/>
        <v/>
      </c>
      <c r="CE111" s="475" t="str">
        <f t="shared" si="108"/>
        <v/>
      </c>
      <c r="CF111" s="475" t="str">
        <f t="shared" si="108"/>
        <v/>
      </c>
      <c r="CG111" s="475" t="str">
        <f t="shared" si="108"/>
        <v/>
      </c>
      <c r="CH111" s="475" t="str">
        <f t="shared" si="108"/>
        <v/>
      </c>
      <c r="CI111" s="475" t="str">
        <f t="shared" si="108"/>
        <v/>
      </c>
      <c r="CJ111" s="475" t="str">
        <f t="shared" si="108"/>
        <v/>
      </c>
      <c r="CK111" s="475" t="str">
        <f t="shared" si="108"/>
        <v/>
      </c>
      <c r="CL111" s="475" t="str">
        <f t="shared" si="108"/>
        <v/>
      </c>
      <c r="CM111" s="475" t="str">
        <f t="shared" si="108"/>
        <v/>
      </c>
      <c r="CN111" s="475" t="str">
        <f t="shared" si="109"/>
        <v/>
      </c>
      <c r="CO111" s="475" t="str">
        <f t="shared" si="109"/>
        <v/>
      </c>
      <c r="CP111" s="475" t="str">
        <f t="shared" si="109"/>
        <v/>
      </c>
      <c r="CQ111" s="475" t="str">
        <f t="shared" si="109"/>
        <v/>
      </c>
      <c r="CR111" s="475" t="str">
        <f t="shared" si="109"/>
        <v/>
      </c>
      <c r="CS111" s="475" t="str">
        <f t="shared" si="109"/>
        <v/>
      </c>
      <c r="CT111" s="475" t="str">
        <f t="shared" si="109"/>
        <v/>
      </c>
      <c r="CU111" s="475" t="str">
        <f t="shared" si="109"/>
        <v/>
      </c>
      <c r="CV111" s="475" t="str">
        <f t="shared" si="109"/>
        <v/>
      </c>
      <c r="CW111" s="475" t="str">
        <f t="shared" si="109"/>
        <v/>
      </c>
      <c r="CX111" s="475" t="str">
        <f t="shared" si="109"/>
        <v/>
      </c>
      <c r="CY111" s="475" t="str">
        <f t="shared" si="109"/>
        <v/>
      </c>
      <c r="CZ111" s="495" t="str">
        <f t="shared" si="109"/>
        <v/>
      </c>
      <c r="DA111" s="502"/>
      <c r="DB111" s="460"/>
      <c r="DC111" s="465"/>
      <c r="DD111" s="463"/>
      <c r="DE111" s="512"/>
      <c r="DF111" s="516"/>
      <c r="DG111" s="508"/>
      <c r="DH111" s="463"/>
      <c r="DI111" s="461"/>
      <c r="DJ111" s="461"/>
      <c r="DK111" s="461"/>
      <c r="DL111" s="464"/>
      <c r="DM111" s="466"/>
      <c r="DN111" s="502"/>
      <c r="DO111" s="460"/>
      <c r="DP111" s="464"/>
      <c r="DQ111" s="464"/>
      <c r="DR111" s="464"/>
      <c r="DS111" s="508"/>
      <c r="DT111" s="525"/>
      <c r="DU111" s="525"/>
      <c r="DV111" s="463"/>
      <c r="DW111" s="464"/>
      <c r="DX111" s="465"/>
      <c r="DY111" s="463"/>
      <c r="DZ111" s="464"/>
      <c r="EA111" s="465"/>
      <c r="EB111" s="463"/>
      <c r="EC111" s="465"/>
      <c r="ED111" s="462"/>
      <c r="EE111" s="502"/>
      <c r="EF111" s="463"/>
      <c r="EG111" s="461"/>
      <c r="EH111" s="464"/>
      <c r="EI111" s="464"/>
      <c r="EJ111" s="464"/>
      <c r="EK111" s="464"/>
      <c r="EL111" s="464"/>
      <c r="EM111" s="464"/>
      <c r="EN111" s="464"/>
      <c r="EO111" s="464"/>
      <c r="EP111" s="464"/>
      <c r="EQ111" s="464"/>
      <c r="ER111" s="464"/>
      <c r="ES111" s="464"/>
      <c r="ET111" s="464"/>
      <c r="EU111" s="464"/>
      <c r="EV111" s="464"/>
      <c r="EW111" s="465"/>
      <c r="EX111" s="465"/>
      <c r="EY111" s="502"/>
      <c r="EZ111" s="460"/>
      <c r="FA111" s="464"/>
      <c r="FB111" s="464"/>
      <c r="FC111" s="464"/>
      <c r="FD111" s="464"/>
      <c r="FE111" s="464"/>
      <c r="FF111" s="464"/>
      <c r="FG111" s="466"/>
    </row>
    <row r="112" spans="1:163">
      <c r="A112" s="467" t="s">
        <v>299</v>
      </c>
      <c r="B112" s="471" t="str">
        <f>IF(ISNUMBER(MATCH(A112, 'Pulldown Data'!W:W, 0))=TRUE, "Y", IF(ISNUMBER(MATCH(A112, 'Pulldown Data'!X:X, 0))=TRUE, "M", ""))</f>
        <v/>
      </c>
      <c r="C112" s="504"/>
      <c r="D112" s="502"/>
      <c r="E112" s="443" t="str">
        <f t="shared" ref="E112:N121" si="110" xml:space="preserve">
IFERROR(
_xlfn.IFNA(
   IF($B112="PLT",
      IF(INDEX(PRJGENVersions, MATCH(TRIM(E$1), PRJGENAlgosMapped, 0), MATCH($A112, PRJGENProjects, 0)), "YES", ""),
      IF(INDEX(RoadmapData, MATCH(TRIM(E$1), RoadmapDataFeatures, 0), MATCH($A112, RoadmapDataProjects, 0)) = "-", "-", INDEX(RoadmapData, MATCH(TRIM(E$1), RoadmapDataFeatures, 0), MATCH($A112, RoadmapDataProjects, 0)))),
""),
"")</f>
        <v/>
      </c>
      <c r="F112" s="444" t="str">
        <f t="shared" si="110"/>
        <v/>
      </c>
      <c r="G112" s="444" t="str">
        <f t="shared" si="110"/>
        <v/>
      </c>
      <c r="H112" s="444" t="str">
        <f t="shared" si="110"/>
        <v/>
      </c>
      <c r="I112" s="444" t="str">
        <f t="shared" si="110"/>
        <v/>
      </c>
      <c r="J112" s="444" t="str">
        <f t="shared" si="110"/>
        <v/>
      </c>
      <c r="K112" s="444" t="str">
        <f t="shared" si="110"/>
        <v/>
      </c>
      <c r="L112" s="444" t="str">
        <f t="shared" si="110"/>
        <v/>
      </c>
      <c r="M112" s="444" t="str">
        <f t="shared" si="110"/>
        <v/>
      </c>
      <c r="N112" s="444" t="str">
        <f t="shared" si="110"/>
        <v/>
      </c>
      <c r="O112" s="444" t="str">
        <f t="shared" ref="O112:X121" si="111" xml:space="preserve">
IFERROR(
_xlfn.IFNA(
   IF($B112="PLT",
      IF(INDEX(PRJGENVersions, MATCH(TRIM(O$1), PRJGENAlgosMapped, 0), MATCH($A112, PRJGENProjects, 0)), "YES", ""),
      IF(INDEX(RoadmapData, MATCH(TRIM(O$1), RoadmapDataFeatures, 0), MATCH($A112, RoadmapDataProjects, 0)) = "-", "-", INDEX(RoadmapData, MATCH(TRIM(O$1), RoadmapDataFeatures, 0), MATCH($A112, RoadmapDataProjects, 0)))),
""),
"")</f>
        <v/>
      </c>
      <c r="P112" s="444" t="str">
        <f t="shared" si="111"/>
        <v/>
      </c>
      <c r="Q112" s="444" t="str">
        <f t="shared" si="111"/>
        <v/>
      </c>
      <c r="R112" s="444" t="str">
        <f t="shared" si="111"/>
        <v/>
      </c>
      <c r="S112" s="444" t="str">
        <f t="shared" si="111"/>
        <v/>
      </c>
      <c r="T112" s="444" t="str">
        <f t="shared" si="111"/>
        <v/>
      </c>
      <c r="U112" s="444" t="str">
        <f t="shared" si="111"/>
        <v/>
      </c>
      <c r="V112" s="444" t="str">
        <f t="shared" si="111"/>
        <v/>
      </c>
      <c r="W112" s="444" t="str">
        <f t="shared" si="111"/>
        <v/>
      </c>
      <c r="X112" s="444" t="str">
        <f t="shared" si="111"/>
        <v/>
      </c>
      <c r="Y112" s="444" t="str">
        <f t="shared" ref="Y112:AH121" si="112" xml:space="preserve">
IFERROR(
_xlfn.IFNA(
   IF($B112="PLT",
      IF(INDEX(PRJGENVersions, MATCH(TRIM(Y$1), PRJGENAlgosMapped, 0), MATCH($A112, PRJGENProjects, 0)), "YES", ""),
      IF(INDEX(RoadmapData, MATCH(TRIM(Y$1), RoadmapDataFeatures, 0), MATCH($A112, RoadmapDataProjects, 0)) = "-", "-", INDEX(RoadmapData, MATCH(TRIM(Y$1), RoadmapDataFeatures, 0), MATCH($A112, RoadmapDataProjects, 0)))),
""),
"")</f>
        <v/>
      </c>
      <c r="Z112" s="444" t="str">
        <f t="shared" si="112"/>
        <v/>
      </c>
      <c r="AA112" s="444" t="str">
        <f t="shared" si="112"/>
        <v/>
      </c>
      <c r="AB112" s="444" t="str">
        <f t="shared" si="112"/>
        <v/>
      </c>
      <c r="AC112" s="444" t="str">
        <f t="shared" si="112"/>
        <v/>
      </c>
      <c r="AD112" s="444" t="str">
        <f t="shared" si="112"/>
        <v/>
      </c>
      <c r="AE112" s="444" t="str">
        <f t="shared" si="112"/>
        <v/>
      </c>
      <c r="AF112" s="444" t="str">
        <f t="shared" si="112"/>
        <v/>
      </c>
      <c r="AG112" s="444" t="str">
        <f t="shared" si="112"/>
        <v/>
      </c>
      <c r="AH112" s="444" t="str">
        <f t="shared" si="112"/>
        <v/>
      </c>
      <c r="AI112" s="444" t="str">
        <f t="shared" ref="AI112:AR121" si="113" xml:space="preserve">
IFERROR(
_xlfn.IFNA(
   IF($B112="PLT",
      IF(INDEX(PRJGENVersions, MATCH(TRIM(AI$1), PRJGENAlgosMapped, 0), MATCH($A112, PRJGENProjects, 0)), "YES", ""),
      IF(INDEX(RoadmapData, MATCH(TRIM(AI$1), RoadmapDataFeatures, 0), MATCH($A112, RoadmapDataProjects, 0)) = "-", "-", INDEX(RoadmapData, MATCH(TRIM(AI$1), RoadmapDataFeatures, 0), MATCH($A112, RoadmapDataProjects, 0)))),
""),
"")</f>
        <v/>
      </c>
      <c r="AJ112" s="444" t="str">
        <f t="shared" si="113"/>
        <v/>
      </c>
      <c r="AK112" s="444" t="str">
        <f t="shared" si="113"/>
        <v/>
      </c>
      <c r="AL112" s="444" t="str">
        <f t="shared" si="113"/>
        <v/>
      </c>
      <c r="AM112" s="444" t="str">
        <f t="shared" si="113"/>
        <v/>
      </c>
      <c r="AN112" s="444" t="str">
        <f t="shared" si="113"/>
        <v/>
      </c>
      <c r="AO112" s="444" t="str">
        <f t="shared" si="113"/>
        <v/>
      </c>
      <c r="AP112" s="444" t="str">
        <f t="shared" si="113"/>
        <v/>
      </c>
      <c r="AQ112" s="444" t="str">
        <f t="shared" si="113"/>
        <v/>
      </c>
      <c r="AR112" s="444" t="str">
        <f t="shared" si="113"/>
        <v/>
      </c>
      <c r="AS112" s="444" t="str">
        <f t="shared" ref="AS112:BB121" si="114" xml:space="preserve">
IFERROR(
_xlfn.IFNA(
   IF($B112="PLT",
      IF(INDEX(PRJGENVersions, MATCH(TRIM(AS$1), PRJGENAlgosMapped, 0), MATCH($A112, PRJGENProjects, 0)), "YES", ""),
      IF(INDEX(RoadmapData, MATCH(TRIM(AS$1), RoadmapDataFeatures, 0), MATCH($A112, RoadmapDataProjects, 0)) = "-", "-", INDEX(RoadmapData, MATCH(TRIM(AS$1), RoadmapDataFeatures, 0), MATCH($A112, RoadmapDataProjects, 0)))),
""),
"")</f>
        <v/>
      </c>
      <c r="AT112" s="444" t="str">
        <f t="shared" si="114"/>
        <v/>
      </c>
      <c r="AU112" s="444" t="str">
        <f t="shared" si="114"/>
        <v/>
      </c>
      <c r="AV112" s="444" t="str">
        <f t="shared" si="114"/>
        <v/>
      </c>
      <c r="AW112" s="444" t="str">
        <f t="shared" si="114"/>
        <v/>
      </c>
      <c r="AX112" s="444" t="str">
        <f t="shared" si="114"/>
        <v/>
      </c>
      <c r="AY112" s="444" t="str">
        <f t="shared" si="114"/>
        <v/>
      </c>
      <c r="AZ112" s="444" t="str">
        <f t="shared" si="114"/>
        <v/>
      </c>
      <c r="BA112" s="444" t="str">
        <f t="shared" si="114"/>
        <v/>
      </c>
      <c r="BB112" s="444" t="str">
        <f t="shared" si="114"/>
        <v/>
      </c>
      <c r="BC112" s="444" t="str">
        <f t="shared" ref="BC112:BH121" si="115" xml:space="preserve">
IFERROR(
_xlfn.IFNA(
   IF($B112="PLT",
      IF(INDEX(PRJGENVersions, MATCH(TRIM(BC$1), PRJGENAlgosMapped, 0), MATCH($A112, PRJGENProjects, 0)), "YES", ""),
      IF(INDEX(RoadmapData, MATCH(TRIM(BC$1), RoadmapDataFeatures, 0), MATCH($A112, RoadmapDataProjects, 0)) = "-", "-", INDEX(RoadmapData, MATCH(TRIM(BC$1), RoadmapDataFeatures, 0), MATCH($A112, RoadmapDataProjects, 0)))),
""),
"")</f>
        <v/>
      </c>
      <c r="BD112" s="444" t="str">
        <f t="shared" si="115"/>
        <v/>
      </c>
      <c r="BE112" s="444" t="str">
        <f t="shared" si="115"/>
        <v/>
      </c>
      <c r="BF112" s="444" t="str">
        <f t="shared" si="115"/>
        <v/>
      </c>
      <c r="BG112" s="444" t="str">
        <f t="shared" si="115"/>
        <v/>
      </c>
      <c r="BH112" s="445" t="str">
        <f t="shared" si="115"/>
        <v/>
      </c>
      <c r="BI112" s="502"/>
      <c r="BJ112" s="474" t="str">
        <f t="shared" ref="BJ112:BS121" si="116">_xlfn.IFNA(IF(INDEX(RoadmapData, MATCH(TRIM(BJ$1), RoadmapDataFeatures, 0), MATCH($A112, RoadmapDataProjects, 0)) = "-", "-", INDEX(RoadmapData, MATCH(TRIM(BJ$1), RoadmapDataFeatures, 0), MATCH($A112, RoadmapDataProjects, 0))), "")</f>
        <v/>
      </c>
      <c r="BK112" s="475" t="str">
        <f t="shared" si="116"/>
        <v/>
      </c>
      <c r="BL112" s="475" t="str">
        <f t="shared" si="116"/>
        <v/>
      </c>
      <c r="BM112" s="475" t="str">
        <f t="shared" si="116"/>
        <v/>
      </c>
      <c r="BN112" s="475" t="str">
        <f t="shared" si="116"/>
        <v/>
      </c>
      <c r="BO112" s="475" t="str">
        <f t="shared" si="116"/>
        <v/>
      </c>
      <c r="BP112" s="475" t="str">
        <f t="shared" si="116"/>
        <v/>
      </c>
      <c r="BQ112" s="475" t="str">
        <f t="shared" si="116"/>
        <v/>
      </c>
      <c r="BR112" s="475" t="str">
        <f t="shared" si="116"/>
        <v/>
      </c>
      <c r="BS112" s="475" t="str">
        <f t="shared" si="116"/>
        <v/>
      </c>
      <c r="BT112" s="475" t="str">
        <f t="shared" ref="BT112:CC121" si="117">_xlfn.IFNA(IF(INDEX(RoadmapData, MATCH(TRIM(BT$1), RoadmapDataFeatures, 0), MATCH($A112, RoadmapDataProjects, 0)) = "-", "-", INDEX(RoadmapData, MATCH(TRIM(BT$1), RoadmapDataFeatures, 0), MATCH($A112, RoadmapDataProjects, 0))), "")</f>
        <v/>
      </c>
      <c r="BU112" s="475" t="str">
        <f t="shared" si="117"/>
        <v/>
      </c>
      <c r="BV112" s="475" t="str">
        <f t="shared" si="117"/>
        <v/>
      </c>
      <c r="BW112" s="475" t="str">
        <f t="shared" si="117"/>
        <v/>
      </c>
      <c r="BX112" s="475" t="str">
        <f t="shared" si="117"/>
        <v/>
      </c>
      <c r="BY112" s="475" t="str">
        <f t="shared" si="117"/>
        <v/>
      </c>
      <c r="BZ112" s="475" t="str">
        <f t="shared" si="117"/>
        <v/>
      </c>
      <c r="CA112" s="475" t="str">
        <f t="shared" si="117"/>
        <v/>
      </c>
      <c r="CB112" s="475" t="str">
        <f t="shared" si="117"/>
        <v/>
      </c>
      <c r="CC112" s="475" t="str">
        <f t="shared" si="117"/>
        <v/>
      </c>
      <c r="CD112" s="475" t="str">
        <f t="shared" ref="CD112:CM121" si="118">_xlfn.IFNA(IF(INDEX(RoadmapData, MATCH(TRIM(CD$1), RoadmapDataFeatures, 0), MATCH($A112, RoadmapDataProjects, 0)) = "-", "-", INDEX(RoadmapData, MATCH(TRIM(CD$1), RoadmapDataFeatures, 0), MATCH($A112, RoadmapDataProjects, 0))), "")</f>
        <v/>
      </c>
      <c r="CE112" s="475" t="str">
        <f t="shared" si="118"/>
        <v/>
      </c>
      <c r="CF112" s="475" t="str">
        <f t="shared" si="118"/>
        <v/>
      </c>
      <c r="CG112" s="475" t="str">
        <f t="shared" si="118"/>
        <v/>
      </c>
      <c r="CH112" s="475" t="str">
        <f t="shared" si="118"/>
        <v/>
      </c>
      <c r="CI112" s="475" t="str">
        <f t="shared" si="118"/>
        <v/>
      </c>
      <c r="CJ112" s="475" t="str">
        <f t="shared" si="118"/>
        <v/>
      </c>
      <c r="CK112" s="475" t="str">
        <f t="shared" si="118"/>
        <v/>
      </c>
      <c r="CL112" s="475" t="str">
        <f t="shared" si="118"/>
        <v/>
      </c>
      <c r="CM112" s="475" t="str">
        <f t="shared" si="118"/>
        <v/>
      </c>
      <c r="CN112" s="475" t="str">
        <f t="shared" ref="CN112:CZ121" si="119">_xlfn.IFNA(IF(INDEX(RoadmapData, MATCH(TRIM(CN$1), RoadmapDataFeatures, 0), MATCH($A112, RoadmapDataProjects, 0)) = "-", "-", INDEX(RoadmapData, MATCH(TRIM(CN$1), RoadmapDataFeatures, 0), MATCH($A112, RoadmapDataProjects, 0))), "")</f>
        <v/>
      </c>
      <c r="CO112" s="475" t="str">
        <f t="shared" si="119"/>
        <v/>
      </c>
      <c r="CP112" s="475" t="str">
        <f t="shared" si="119"/>
        <v/>
      </c>
      <c r="CQ112" s="475" t="str">
        <f t="shared" si="119"/>
        <v/>
      </c>
      <c r="CR112" s="475" t="str">
        <f t="shared" si="119"/>
        <v/>
      </c>
      <c r="CS112" s="475" t="str">
        <f t="shared" si="119"/>
        <v/>
      </c>
      <c r="CT112" s="475" t="str">
        <f t="shared" si="119"/>
        <v/>
      </c>
      <c r="CU112" s="475" t="str">
        <f t="shared" si="119"/>
        <v/>
      </c>
      <c r="CV112" s="475" t="str">
        <f t="shared" si="119"/>
        <v/>
      </c>
      <c r="CW112" s="475" t="str">
        <f t="shared" si="119"/>
        <v/>
      </c>
      <c r="CX112" s="475" t="str">
        <f t="shared" si="119"/>
        <v/>
      </c>
      <c r="CY112" s="475" t="str">
        <f t="shared" si="119"/>
        <v/>
      </c>
      <c r="CZ112" s="495" t="str">
        <f t="shared" si="119"/>
        <v/>
      </c>
      <c r="DA112" s="502"/>
      <c r="DB112" s="460"/>
      <c r="DC112" s="465"/>
      <c r="DD112" s="463"/>
      <c r="DE112" s="512"/>
      <c r="DF112" s="516"/>
      <c r="DG112" s="508"/>
      <c r="DH112" s="463"/>
      <c r="DI112" s="461"/>
      <c r="DJ112" s="461"/>
      <c r="DK112" s="461"/>
      <c r="DL112" s="464"/>
      <c r="DM112" s="466"/>
      <c r="DN112" s="502"/>
      <c r="DO112" s="460"/>
      <c r="DP112" s="464"/>
      <c r="DQ112" s="464"/>
      <c r="DR112" s="464"/>
      <c r="DS112" s="508"/>
      <c r="DT112" s="525"/>
      <c r="DU112" s="525"/>
      <c r="DV112" s="463"/>
      <c r="DW112" s="464"/>
      <c r="DX112" s="465"/>
      <c r="DY112" s="463"/>
      <c r="DZ112" s="464"/>
      <c r="EA112" s="465"/>
      <c r="EB112" s="463"/>
      <c r="EC112" s="465"/>
      <c r="ED112" s="462"/>
      <c r="EE112" s="502"/>
      <c r="EF112" s="463"/>
      <c r="EG112" s="461"/>
      <c r="EH112" s="464"/>
      <c r="EI112" s="464"/>
      <c r="EJ112" s="464"/>
      <c r="EK112" s="464"/>
      <c r="EL112" s="464"/>
      <c r="EM112" s="464"/>
      <c r="EN112" s="464"/>
      <c r="EO112" s="464"/>
      <c r="EP112" s="464"/>
      <c r="EQ112" s="464"/>
      <c r="ER112" s="464"/>
      <c r="ES112" s="464"/>
      <c r="ET112" s="464"/>
      <c r="EU112" s="464"/>
      <c r="EV112" s="464"/>
      <c r="EW112" s="465"/>
      <c r="EX112" s="465"/>
      <c r="EY112" s="502"/>
      <c r="EZ112" s="460"/>
      <c r="FA112" s="464"/>
      <c r="FB112" s="464"/>
      <c r="FC112" s="464"/>
      <c r="FD112" s="464"/>
      <c r="FE112" s="464"/>
      <c r="FF112" s="464"/>
      <c r="FG112" s="466"/>
    </row>
    <row r="113" spans="1:163">
      <c r="A113" s="467" t="s">
        <v>300</v>
      </c>
      <c r="B113" s="471" t="str">
        <f>IF(ISNUMBER(MATCH(A113, 'Pulldown Data'!W:W, 0))=TRUE, "Y", IF(ISNUMBER(MATCH(A113, 'Pulldown Data'!X:X, 0))=TRUE, "M", ""))</f>
        <v/>
      </c>
      <c r="C113" s="504"/>
      <c r="D113" s="502"/>
      <c r="E113" s="443" t="str">
        <f t="shared" si="110"/>
        <v/>
      </c>
      <c r="F113" s="444" t="str">
        <f t="shared" si="110"/>
        <v/>
      </c>
      <c r="G113" s="444" t="str">
        <f t="shared" si="110"/>
        <v/>
      </c>
      <c r="H113" s="444" t="str">
        <f t="shared" si="110"/>
        <v/>
      </c>
      <c r="I113" s="444" t="str">
        <f t="shared" si="110"/>
        <v/>
      </c>
      <c r="J113" s="444" t="str">
        <f t="shared" si="110"/>
        <v/>
      </c>
      <c r="K113" s="444" t="str">
        <f t="shared" si="110"/>
        <v/>
      </c>
      <c r="L113" s="444" t="str">
        <f t="shared" si="110"/>
        <v/>
      </c>
      <c r="M113" s="444" t="str">
        <f t="shared" si="110"/>
        <v/>
      </c>
      <c r="N113" s="444" t="str">
        <f t="shared" si="110"/>
        <v/>
      </c>
      <c r="O113" s="444" t="str">
        <f t="shared" si="111"/>
        <v/>
      </c>
      <c r="P113" s="444" t="str">
        <f t="shared" si="111"/>
        <v/>
      </c>
      <c r="Q113" s="444" t="str">
        <f t="shared" si="111"/>
        <v/>
      </c>
      <c r="R113" s="444" t="str">
        <f t="shared" si="111"/>
        <v/>
      </c>
      <c r="S113" s="444" t="str">
        <f t="shared" si="111"/>
        <v/>
      </c>
      <c r="T113" s="444" t="str">
        <f t="shared" si="111"/>
        <v/>
      </c>
      <c r="U113" s="444" t="str">
        <f t="shared" si="111"/>
        <v/>
      </c>
      <c r="V113" s="444" t="str">
        <f t="shared" si="111"/>
        <v/>
      </c>
      <c r="W113" s="444" t="str">
        <f t="shared" si="111"/>
        <v/>
      </c>
      <c r="X113" s="444" t="str">
        <f t="shared" si="111"/>
        <v/>
      </c>
      <c r="Y113" s="444" t="str">
        <f t="shared" si="112"/>
        <v/>
      </c>
      <c r="Z113" s="444" t="str">
        <f t="shared" si="112"/>
        <v/>
      </c>
      <c r="AA113" s="444" t="str">
        <f t="shared" si="112"/>
        <v/>
      </c>
      <c r="AB113" s="444" t="str">
        <f t="shared" si="112"/>
        <v/>
      </c>
      <c r="AC113" s="444" t="str">
        <f t="shared" si="112"/>
        <v/>
      </c>
      <c r="AD113" s="444" t="str">
        <f t="shared" si="112"/>
        <v/>
      </c>
      <c r="AE113" s="444" t="str">
        <f t="shared" si="112"/>
        <v/>
      </c>
      <c r="AF113" s="444" t="str">
        <f t="shared" si="112"/>
        <v/>
      </c>
      <c r="AG113" s="444" t="str">
        <f t="shared" si="112"/>
        <v/>
      </c>
      <c r="AH113" s="444" t="str">
        <f t="shared" si="112"/>
        <v/>
      </c>
      <c r="AI113" s="444" t="str">
        <f t="shared" si="113"/>
        <v/>
      </c>
      <c r="AJ113" s="444" t="str">
        <f t="shared" si="113"/>
        <v/>
      </c>
      <c r="AK113" s="444" t="str">
        <f t="shared" si="113"/>
        <v/>
      </c>
      <c r="AL113" s="444" t="str">
        <f t="shared" si="113"/>
        <v/>
      </c>
      <c r="AM113" s="444" t="str">
        <f t="shared" si="113"/>
        <v/>
      </c>
      <c r="AN113" s="444" t="str">
        <f t="shared" si="113"/>
        <v/>
      </c>
      <c r="AO113" s="444" t="str">
        <f t="shared" si="113"/>
        <v/>
      </c>
      <c r="AP113" s="444" t="str">
        <f t="shared" si="113"/>
        <v/>
      </c>
      <c r="AQ113" s="444" t="str">
        <f t="shared" si="113"/>
        <v/>
      </c>
      <c r="AR113" s="444" t="str">
        <f t="shared" si="113"/>
        <v/>
      </c>
      <c r="AS113" s="444" t="str">
        <f t="shared" si="114"/>
        <v/>
      </c>
      <c r="AT113" s="444" t="str">
        <f t="shared" si="114"/>
        <v/>
      </c>
      <c r="AU113" s="444" t="str">
        <f t="shared" si="114"/>
        <v/>
      </c>
      <c r="AV113" s="444" t="str">
        <f t="shared" si="114"/>
        <v/>
      </c>
      <c r="AW113" s="444" t="str">
        <f t="shared" si="114"/>
        <v/>
      </c>
      <c r="AX113" s="444" t="str">
        <f t="shared" si="114"/>
        <v/>
      </c>
      <c r="AY113" s="444" t="str">
        <f t="shared" si="114"/>
        <v/>
      </c>
      <c r="AZ113" s="444" t="str">
        <f t="shared" si="114"/>
        <v/>
      </c>
      <c r="BA113" s="444" t="str">
        <f t="shared" si="114"/>
        <v/>
      </c>
      <c r="BB113" s="444" t="str">
        <f t="shared" si="114"/>
        <v/>
      </c>
      <c r="BC113" s="444" t="str">
        <f t="shared" si="115"/>
        <v/>
      </c>
      <c r="BD113" s="444" t="str">
        <f t="shared" si="115"/>
        <v/>
      </c>
      <c r="BE113" s="444" t="str">
        <f t="shared" si="115"/>
        <v/>
      </c>
      <c r="BF113" s="444" t="str">
        <f t="shared" si="115"/>
        <v/>
      </c>
      <c r="BG113" s="444" t="str">
        <f t="shared" si="115"/>
        <v/>
      </c>
      <c r="BH113" s="445" t="str">
        <f t="shared" si="115"/>
        <v/>
      </c>
      <c r="BI113" s="502"/>
      <c r="BJ113" s="474" t="str">
        <f t="shared" si="116"/>
        <v/>
      </c>
      <c r="BK113" s="475" t="str">
        <f t="shared" si="116"/>
        <v/>
      </c>
      <c r="BL113" s="475" t="str">
        <f t="shared" si="116"/>
        <v/>
      </c>
      <c r="BM113" s="475" t="str">
        <f t="shared" si="116"/>
        <v/>
      </c>
      <c r="BN113" s="475" t="str">
        <f t="shared" si="116"/>
        <v/>
      </c>
      <c r="BO113" s="475" t="str">
        <f t="shared" si="116"/>
        <v/>
      </c>
      <c r="BP113" s="475" t="str">
        <f t="shared" si="116"/>
        <v/>
      </c>
      <c r="BQ113" s="475" t="str">
        <f t="shared" si="116"/>
        <v/>
      </c>
      <c r="BR113" s="475" t="str">
        <f t="shared" si="116"/>
        <v/>
      </c>
      <c r="BS113" s="475" t="str">
        <f t="shared" si="116"/>
        <v/>
      </c>
      <c r="BT113" s="475" t="str">
        <f t="shared" si="117"/>
        <v/>
      </c>
      <c r="BU113" s="475" t="str">
        <f t="shared" si="117"/>
        <v/>
      </c>
      <c r="BV113" s="475" t="str">
        <f t="shared" si="117"/>
        <v/>
      </c>
      <c r="BW113" s="475" t="str">
        <f t="shared" si="117"/>
        <v/>
      </c>
      <c r="BX113" s="475" t="str">
        <f t="shared" si="117"/>
        <v/>
      </c>
      <c r="BY113" s="475" t="str">
        <f t="shared" si="117"/>
        <v/>
      </c>
      <c r="BZ113" s="475" t="str">
        <f t="shared" si="117"/>
        <v/>
      </c>
      <c r="CA113" s="475" t="str">
        <f t="shared" si="117"/>
        <v/>
      </c>
      <c r="CB113" s="475" t="str">
        <f t="shared" si="117"/>
        <v/>
      </c>
      <c r="CC113" s="475" t="str">
        <f t="shared" si="117"/>
        <v/>
      </c>
      <c r="CD113" s="475" t="str">
        <f t="shared" si="118"/>
        <v/>
      </c>
      <c r="CE113" s="475" t="str">
        <f t="shared" si="118"/>
        <v/>
      </c>
      <c r="CF113" s="475" t="str">
        <f t="shared" si="118"/>
        <v/>
      </c>
      <c r="CG113" s="475" t="str">
        <f t="shared" si="118"/>
        <v/>
      </c>
      <c r="CH113" s="475" t="str">
        <f t="shared" si="118"/>
        <v/>
      </c>
      <c r="CI113" s="475" t="str">
        <f t="shared" si="118"/>
        <v/>
      </c>
      <c r="CJ113" s="475" t="str">
        <f t="shared" si="118"/>
        <v/>
      </c>
      <c r="CK113" s="475" t="str">
        <f t="shared" si="118"/>
        <v/>
      </c>
      <c r="CL113" s="475" t="str">
        <f t="shared" si="118"/>
        <v/>
      </c>
      <c r="CM113" s="475" t="str">
        <f t="shared" si="118"/>
        <v/>
      </c>
      <c r="CN113" s="475" t="str">
        <f t="shared" si="119"/>
        <v/>
      </c>
      <c r="CO113" s="475" t="str">
        <f t="shared" si="119"/>
        <v/>
      </c>
      <c r="CP113" s="475" t="str">
        <f t="shared" si="119"/>
        <v/>
      </c>
      <c r="CQ113" s="475" t="str">
        <f t="shared" si="119"/>
        <v/>
      </c>
      <c r="CR113" s="475" t="str">
        <f t="shared" si="119"/>
        <v/>
      </c>
      <c r="CS113" s="475" t="str">
        <f t="shared" si="119"/>
        <v/>
      </c>
      <c r="CT113" s="475" t="str">
        <f t="shared" si="119"/>
        <v/>
      </c>
      <c r="CU113" s="475" t="str">
        <f t="shared" si="119"/>
        <v/>
      </c>
      <c r="CV113" s="475" t="str">
        <f t="shared" si="119"/>
        <v/>
      </c>
      <c r="CW113" s="475" t="str">
        <f t="shared" si="119"/>
        <v/>
      </c>
      <c r="CX113" s="475" t="str">
        <f t="shared" si="119"/>
        <v/>
      </c>
      <c r="CY113" s="475" t="str">
        <f t="shared" si="119"/>
        <v/>
      </c>
      <c r="CZ113" s="495" t="str">
        <f t="shared" si="119"/>
        <v/>
      </c>
      <c r="DA113" s="502"/>
      <c r="DB113" s="460"/>
      <c r="DC113" s="465"/>
      <c r="DD113" s="463"/>
      <c r="DE113" s="512"/>
      <c r="DF113" s="516"/>
      <c r="DG113" s="508"/>
      <c r="DH113" s="463"/>
      <c r="DI113" s="461"/>
      <c r="DJ113" s="461"/>
      <c r="DK113" s="461"/>
      <c r="DL113" s="464"/>
      <c r="DM113" s="466"/>
      <c r="DN113" s="502"/>
      <c r="DO113" s="460"/>
      <c r="DP113" s="464"/>
      <c r="DQ113" s="464"/>
      <c r="DR113" s="464"/>
      <c r="DS113" s="508"/>
      <c r="DT113" s="525"/>
      <c r="DU113" s="525"/>
      <c r="DV113" s="463"/>
      <c r="DW113" s="464"/>
      <c r="DX113" s="465"/>
      <c r="DY113" s="463"/>
      <c r="DZ113" s="464"/>
      <c r="EA113" s="465"/>
      <c r="EB113" s="463"/>
      <c r="EC113" s="465"/>
      <c r="ED113" s="462"/>
      <c r="EE113" s="502"/>
      <c r="EF113" s="463"/>
      <c r="EG113" s="461"/>
      <c r="EH113" s="464"/>
      <c r="EI113" s="464"/>
      <c r="EJ113" s="464"/>
      <c r="EK113" s="464"/>
      <c r="EL113" s="464"/>
      <c r="EM113" s="464"/>
      <c r="EN113" s="464"/>
      <c r="EO113" s="464"/>
      <c r="EP113" s="464"/>
      <c r="EQ113" s="464"/>
      <c r="ER113" s="464"/>
      <c r="ES113" s="464"/>
      <c r="ET113" s="464"/>
      <c r="EU113" s="464"/>
      <c r="EV113" s="464"/>
      <c r="EW113" s="465"/>
      <c r="EX113" s="465"/>
      <c r="EY113" s="502"/>
      <c r="EZ113" s="460"/>
      <c r="FA113" s="464"/>
      <c r="FB113" s="464"/>
      <c r="FC113" s="464"/>
      <c r="FD113" s="464"/>
      <c r="FE113" s="464"/>
      <c r="FF113" s="464"/>
      <c r="FG113" s="466"/>
    </row>
    <row r="114" spans="1:163">
      <c r="A114" s="467" t="s">
        <v>301</v>
      </c>
      <c r="B114" s="471" t="str">
        <f>IF(ISNUMBER(MATCH(A114, 'Pulldown Data'!W:W, 0))=TRUE, "Y", IF(ISNUMBER(MATCH(A114, 'Pulldown Data'!X:X, 0))=TRUE, "M", ""))</f>
        <v/>
      </c>
      <c r="C114" s="504">
        <v>45630</v>
      </c>
      <c r="D114" s="502"/>
      <c r="E114" s="443" t="str">
        <f t="shared" si="110"/>
        <v>YES</v>
      </c>
      <c r="F114" s="444" t="str">
        <f t="shared" si="110"/>
        <v>NO</v>
      </c>
      <c r="G114" s="444" t="str">
        <f t="shared" si="110"/>
        <v>YES</v>
      </c>
      <c r="H114" s="444" t="str">
        <f t="shared" si="110"/>
        <v>YES</v>
      </c>
      <c r="I114" s="444" t="str">
        <f t="shared" si="110"/>
        <v>YES</v>
      </c>
      <c r="J114" s="444" t="str">
        <f t="shared" si="110"/>
        <v>YES</v>
      </c>
      <c r="K114" s="444" t="str">
        <f t="shared" si="110"/>
        <v>NO</v>
      </c>
      <c r="L114" s="444" t="str">
        <f t="shared" si="110"/>
        <v>NO</v>
      </c>
      <c r="M114" s="444" t="str">
        <f t="shared" si="110"/>
        <v>NO</v>
      </c>
      <c r="N114" s="444" t="str">
        <f t="shared" si="110"/>
        <v>NO</v>
      </c>
      <c r="O114" s="444" t="str">
        <f t="shared" si="111"/>
        <v>NO</v>
      </c>
      <c r="P114" s="444" t="str">
        <f t="shared" si="111"/>
        <v>NO</v>
      </c>
      <c r="Q114" s="444" t="str">
        <f t="shared" si="111"/>
        <v>NO</v>
      </c>
      <c r="R114" s="444" t="str">
        <f t="shared" si="111"/>
        <v>NO</v>
      </c>
      <c r="S114" s="444" t="str">
        <f t="shared" si="111"/>
        <v>NO</v>
      </c>
      <c r="T114" s="444" t="str">
        <f t="shared" si="111"/>
        <v>NO</v>
      </c>
      <c r="U114" s="444" t="str">
        <f t="shared" si="111"/>
        <v>NO</v>
      </c>
      <c r="V114" s="444" t="str">
        <f t="shared" si="111"/>
        <v>NO</v>
      </c>
      <c r="W114" s="444" t="str">
        <f t="shared" si="111"/>
        <v>NO</v>
      </c>
      <c r="X114" s="444" t="str">
        <f t="shared" si="111"/>
        <v>YES</v>
      </c>
      <c r="Y114" s="444" t="str">
        <f t="shared" si="112"/>
        <v>YES</v>
      </c>
      <c r="Z114" s="444" t="str">
        <f t="shared" si="112"/>
        <v>NO</v>
      </c>
      <c r="AA114" s="444" t="str">
        <f t="shared" si="112"/>
        <v>NO</v>
      </c>
      <c r="AB114" s="444" t="str">
        <f t="shared" si="112"/>
        <v>YES</v>
      </c>
      <c r="AC114" s="444" t="str">
        <f t="shared" si="112"/>
        <v>YES</v>
      </c>
      <c r="AD114" s="444" t="str">
        <f t="shared" si="112"/>
        <v>NO</v>
      </c>
      <c r="AE114" s="444" t="str">
        <f t="shared" si="112"/>
        <v>NO</v>
      </c>
      <c r="AF114" s="444" t="str">
        <f t="shared" si="112"/>
        <v>NO</v>
      </c>
      <c r="AG114" s="444" t="str">
        <f t="shared" si="112"/>
        <v>NO</v>
      </c>
      <c r="AH114" s="444" t="str">
        <f t="shared" si="112"/>
        <v>NO</v>
      </c>
      <c r="AI114" s="444" t="str">
        <f t="shared" si="113"/>
        <v>NO</v>
      </c>
      <c r="AJ114" s="444" t="str">
        <f t="shared" si="113"/>
        <v>NO</v>
      </c>
      <c r="AK114" s="444" t="str">
        <f t="shared" si="113"/>
        <v>NO</v>
      </c>
      <c r="AL114" s="444" t="str">
        <f t="shared" si="113"/>
        <v>NO</v>
      </c>
      <c r="AM114" s="444" t="str">
        <f t="shared" si="113"/>
        <v>NO</v>
      </c>
      <c r="AN114" s="444" t="str">
        <f t="shared" si="113"/>
        <v>NO</v>
      </c>
      <c r="AO114" s="444" t="str">
        <f t="shared" si="113"/>
        <v>YES</v>
      </c>
      <c r="AP114" s="444" t="str">
        <f t="shared" si="113"/>
        <v>NO</v>
      </c>
      <c r="AQ114" s="444" t="str">
        <f t="shared" si="113"/>
        <v>NO</v>
      </c>
      <c r="AR114" s="444" t="str">
        <f t="shared" si="113"/>
        <v>NO</v>
      </c>
      <c r="AS114" s="444" t="str">
        <f t="shared" si="114"/>
        <v>NO</v>
      </c>
      <c r="AT114" s="444" t="str">
        <f t="shared" si="114"/>
        <v>YES</v>
      </c>
      <c r="AU114" s="444" t="str">
        <f t="shared" si="114"/>
        <v>YES</v>
      </c>
      <c r="AV114" s="444" t="str">
        <f t="shared" si="114"/>
        <v>YES</v>
      </c>
      <c r="AW114" s="444" t="str">
        <f t="shared" si="114"/>
        <v>NO</v>
      </c>
      <c r="AX114" s="444" t="str">
        <f t="shared" si="114"/>
        <v>YES</v>
      </c>
      <c r="AY114" s="444" t="str">
        <f t="shared" si="114"/>
        <v>NO</v>
      </c>
      <c r="AZ114" s="444" t="str">
        <f t="shared" si="114"/>
        <v>NO</v>
      </c>
      <c r="BA114" s="444" t="str">
        <f t="shared" si="114"/>
        <v>NO</v>
      </c>
      <c r="BB114" s="444" t="str">
        <f t="shared" si="114"/>
        <v>NO</v>
      </c>
      <c r="BC114" s="444" t="str">
        <f t="shared" si="115"/>
        <v>NO</v>
      </c>
      <c r="BD114" s="444" t="str">
        <f t="shared" si="115"/>
        <v>NO</v>
      </c>
      <c r="BE114" s="444" t="str">
        <f t="shared" si="115"/>
        <v>NO</v>
      </c>
      <c r="BF114" s="444" t="str">
        <f t="shared" si="115"/>
        <v>YES</v>
      </c>
      <c r="BG114" s="444" t="str">
        <f t="shared" si="115"/>
        <v>NO</v>
      </c>
      <c r="BH114" s="445" t="str">
        <f t="shared" si="115"/>
        <v>NO</v>
      </c>
      <c r="BI114" s="502"/>
      <c r="BJ114" s="474" t="str">
        <f t="shared" si="116"/>
        <v>NO</v>
      </c>
      <c r="BK114" s="475" t="str">
        <f t="shared" si="116"/>
        <v>NO</v>
      </c>
      <c r="BL114" s="475" t="str">
        <f t="shared" si="116"/>
        <v>NO</v>
      </c>
      <c r="BM114" s="475" t="str">
        <f t="shared" si="116"/>
        <v>NO</v>
      </c>
      <c r="BN114" s="475" t="str">
        <f t="shared" si="116"/>
        <v>NO</v>
      </c>
      <c r="BO114" s="475" t="str">
        <f t="shared" si="116"/>
        <v>NO</v>
      </c>
      <c r="BP114" s="475" t="str">
        <f t="shared" si="116"/>
        <v>NO</v>
      </c>
      <c r="BQ114" s="475" t="str">
        <f t="shared" si="116"/>
        <v>NO</v>
      </c>
      <c r="BR114" s="475" t="str">
        <f t="shared" si="116"/>
        <v>NO</v>
      </c>
      <c r="BS114" s="475" t="str">
        <f t="shared" si="116"/>
        <v>NO</v>
      </c>
      <c r="BT114" s="475" t="str">
        <f t="shared" si="117"/>
        <v>NO</v>
      </c>
      <c r="BU114" s="475" t="str">
        <f t="shared" si="117"/>
        <v>NO</v>
      </c>
      <c r="BV114" s="475" t="str">
        <f t="shared" si="117"/>
        <v>NO</v>
      </c>
      <c r="BW114" s="475" t="str">
        <f t="shared" si="117"/>
        <v>NO</v>
      </c>
      <c r="BX114" s="475" t="str">
        <f t="shared" si="117"/>
        <v>NO</v>
      </c>
      <c r="BY114" s="475" t="str">
        <f t="shared" si="117"/>
        <v>NO</v>
      </c>
      <c r="BZ114" s="475" t="str">
        <f t="shared" si="117"/>
        <v>NO</v>
      </c>
      <c r="CA114" s="475" t="str">
        <f t="shared" si="117"/>
        <v>NO</v>
      </c>
      <c r="CB114" s="475" t="str">
        <f t="shared" si="117"/>
        <v>NO</v>
      </c>
      <c r="CC114" s="475" t="str">
        <f t="shared" si="117"/>
        <v>NO</v>
      </c>
      <c r="CD114" s="475" t="str">
        <f t="shared" si="118"/>
        <v>NO</v>
      </c>
      <c r="CE114" s="475" t="str">
        <f t="shared" si="118"/>
        <v>NO</v>
      </c>
      <c r="CF114" s="475" t="str">
        <f t="shared" si="118"/>
        <v>NO</v>
      </c>
      <c r="CG114" s="475" t="str">
        <f t="shared" si="118"/>
        <v>NO</v>
      </c>
      <c r="CH114" s="475" t="str">
        <f t="shared" si="118"/>
        <v>NO</v>
      </c>
      <c r="CI114" s="475" t="str">
        <f t="shared" si="118"/>
        <v>NO</v>
      </c>
      <c r="CJ114" s="475" t="str">
        <f t="shared" si="118"/>
        <v>NO</v>
      </c>
      <c r="CK114" s="475" t="str">
        <f t="shared" si="118"/>
        <v>NO</v>
      </c>
      <c r="CL114" s="475" t="str">
        <f t="shared" si="118"/>
        <v>NO</v>
      </c>
      <c r="CM114" s="475" t="str">
        <f t="shared" si="118"/>
        <v>NO</v>
      </c>
      <c r="CN114" s="475" t="str">
        <f t="shared" si="119"/>
        <v>NO</v>
      </c>
      <c r="CO114" s="475" t="str">
        <f t="shared" si="119"/>
        <v>NO</v>
      </c>
      <c r="CP114" s="475" t="str">
        <f t="shared" si="119"/>
        <v>NO</v>
      </c>
      <c r="CQ114" s="475" t="str">
        <f t="shared" si="119"/>
        <v>NO</v>
      </c>
      <c r="CR114" s="475" t="str">
        <f t="shared" si="119"/>
        <v>NO</v>
      </c>
      <c r="CS114" s="475" t="str">
        <f t="shared" si="119"/>
        <v>NO</v>
      </c>
      <c r="CT114" s="475" t="str">
        <f t="shared" si="119"/>
        <v>NO</v>
      </c>
      <c r="CU114" s="475" t="str">
        <f t="shared" si="119"/>
        <v>NO</v>
      </c>
      <c r="CV114" s="475" t="str">
        <f t="shared" si="119"/>
        <v>NO</v>
      </c>
      <c r="CW114" s="475" t="str">
        <f t="shared" si="119"/>
        <v>NO</v>
      </c>
      <c r="CX114" s="475" t="str">
        <f t="shared" si="119"/>
        <v>NO</v>
      </c>
      <c r="CY114" s="475" t="str">
        <f t="shared" si="119"/>
        <v>NO</v>
      </c>
      <c r="CZ114" s="495" t="str">
        <f t="shared" si="119"/>
        <v>NO</v>
      </c>
      <c r="DA114" s="502"/>
      <c r="DB114" s="460"/>
      <c r="DC114" s="465"/>
      <c r="DD114" s="463"/>
      <c r="DE114" s="512"/>
      <c r="DF114" s="516"/>
      <c r="DG114" s="508"/>
      <c r="DH114" s="463"/>
      <c r="DI114" s="461"/>
      <c r="DJ114" s="461"/>
      <c r="DK114" s="461"/>
      <c r="DL114" s="464"/>
      <c r="DM114" s="466"/>
      <c r="DN114" s="502"/>
      <c r="DO114" s="460"/>
      <c r="DP114" s="464"/>
      <c r="DQ114" s="464"/>
      <c r="DR114" s="464"/>
      <c r="DS114" s="508"/>
      <c r="DT114" s="525"/>
      <c r="DU114" s="525"/>
      <c r="DV114" s="463"/>
      <c r="DW114" s="464"/>
      <c r="DX114" s="465"/>
      <c r="DY114" s="463"/>
      <c r="DZ114" s="464"/>
      <c r="EA114" s="465"/>
      <c r="EB114" s="463"/>
      <c r="EC114" s="465"/>
      <c r="ED114" s="462"/>
      <c r="EE114" s="502"/>
      <c r="EF114" s="463"/>
      <c r="EG114" s="461"/>
      <c r="EH114" s="464"/>
      <c r="EI114" s="464"/>
      <c r="EJ114" s="464"/>
      <c r="EK114" s="464"/>
      <c r="EL114" s="464"/>
      <c r="EM114" s="464"/>
      <c r="EN114" s="464"/>
      <c r="EO114" s="464"/>
      <c r="EP114" s="464"/>
      <c r="EQ114" s="464"/>
      <c r="ER114" s="464"/>
      <c r="ES114" s="464"/>
      <c r="ET114" s="464"/>
      <c r="EU114" s="464"/>
      <c r="EV114" s="464"/>
      <c r="EW114" s="465"/>
      <c r="EX114" s="465"/>
      <c r="EY114" s="502"/>
      <c r="EZ114" s="460"/>
      <c r="FA114" s="464"/>
      <c r="FB114" s="464"/>
      <c r="FC114" s="464"/>
      <c r="FD114" s="464"/>
      <c r="FE114" s="464"/>
      <c r="FF114" s="464"/>
      <c r="FG114" s="466"/>
    </row>
    <row r="115" spans="1:163">
      <c r="A115" s="467" t="s">
        <v>302</v>
      </c>
      <c r="B115" s="471" t="str">
        <f>IF(ISNUMBER(MATCH(A115, 'Pulldown Data'!W:W, 0))=TRUE, "Y", IF(ISNUMBER(MATCH(A115, 'Pulldown Data'!X:X, 0))=TRUE, "M", ""))</f>
        <v/>
      </c>
      <c r="C115" s="504"/>
      <c r="D115" s="502"/>
      <c r="E115" s="443" t="str">
        <f t="shared" si="110"/>
        <v/>
      </c>
      <c r="F115" s="444" t="str">
        <f t="shared" si="110"/>
        <v/>
      </c>
      <c r="G115" s="444" t="str">
        <f t="shared" si="110"/>
        <v/>
      </c>
      <c r="H115" s="444" t="str">
        <f t="shared" si="110"/>
        <v/>
      </c>
      <c r="I115" s="444" t="str">
        <f t="shared" si="110"/>
        <v/>
      </c>
      <c r="J115" s="444" t="str">
        <f t="shared" si="110"/>
        <v/>
      </c>
      <c r="K115" s="444" t="str">
        <f t="shared" si="110"/>
        <v/>
      </c>
      <c r="L115" s="444" t="str">
        <f t="shared" si="110"/>
        <v/>
      </c>
      <c r="M115" s="444" t="str">
        <f t="shared" si="110"/>
        <v/>
      </c>
      <c r="N115" s="444" t="str">
        <f t="shared" si="110"/>
        <v/>
      </c>
      <c r="O115" s="444" t="str">
        <f t="shared" si="111"/>
        <v/>
      </c>
      <c r="P115" s="444" t="str">
        <f t="shared" si="111"/>
        <v/>
      </c>
      <c r="Q115" s="444" t="str">
        <f t="shared" si="111"/>
        <v/>
      </c>
      <c r="R115" s="444" t="str">
        <f t="shared" si="111"/>
        <v/>
      </c>
      <c r="S115" s="444" t="str">
        <f t="shared" si="111"/>
        <v/>
      </c>
      <c r="T115" s="444" t="str">
        <f t="shared" si="111"/>
        <v/>
      </c>
      <c r="U115" s="444" t="str">
        <f t="shared" si="111"/>
        <v/>
      </c>
      <c r="V115" s="444" t="str">
        <f t="shared" si="111"/>
        <v/>
      </c>
      <c r="W115" s="444" t="str">
        <f t="shared" si="111"/>
        <v/>
      </c>
      <c r="X115" s="444" t="str">
        <f t="shared" si="111"/>
        <v/>
      </c>
      <c r="Y115" s="444" t="str">
        <f t="shared" si="112"/>
        <v/>
      </c>
      <c r="Z115" s="444" t="str">
        <f t="shared" si="112"/>
        <v/>
      </c>
      <c r="AA115" s="444" t="str">
        <f t="shared" si="112"/>
        <v/>
      </c>
      <c r="AB115" s="444" t="str">
        <f t="shared" si="112"/>
        <v/>
      </c>
      <c r="AC115" s="444" t="str">
        <f t="shared" si="112"/>
        <v/>
      </c>
      <c r="AD115" s="444" t="str">
        <f t="shared" si="112"/>
        <v/>
      </c>
      <c r="AE115" s="444" t="str">
        <f t="shared" si="112"/>
        <v/>
      </c>
      <c r="AF115" s="444" t="str">
        <f t="shared" si="112"/>
        <v/>
      </c>
      <c r="AG115" s="444" t="str">
        <f t="shared" si="112"/>
        <v/>
      </c>
      <c r="AH115" s="444" t="str">
        <f t="shared" si="112"/>
        <v/>
      </c>
      <c r="AI115" s="444" t="str">
        <f t="shared" si="113"/>
        <v/>
      </c>
      <c r="AJ115" s="444" t="str">
        <f t="shared" si="113"/>
        <v/>
      </c>
      <c r="AK115" s="444" t="str">
        <f t="shared" si="113"/>
        <v/>
      </c>
      <c r="AL115" s="444" t="str">
        <f t="shared" si="113"/>
        <v/>
      </c>
      <c r="AM115" s="444" t="str">
        <f t="shared" si="113"/>
        <v/>
      </c>
      <c r="AN115" s="444" t="str">
        <f t="shared" si="113"/>
        <v/>
      </c>
      <c r="AO115" s="444" t="str">
        <f t="shared" si="113"/>
        <v/>
      </c>
      <c r="AP115" s="444" t="str">
        <f t="shared" si="113"/>
        <v/>
      </c>
      <c r="AQ115" s="444" t="str">
        <f t="shared" si="113"/>
        <v/>
      </c>
      <c r="AR115" s="444" t="str">
        <f t="shared" si="113"/>
        <v/>
      </c>
      <c r="AS115" s="444" t="str">
        <f t="shared" si="114"/>
        <v/>
      </c>
      <c r="AT115" s="444" t="str">
        <f t="shared" si="114"/>
        <v/>
      </c>
      <c r="AU115" s="444" t="str">
        <f t="shared" si="114"/>
        <v/>
      </c>
      <c r="AV115" s="444" t="str">
        <f t="shared" si="114"/>
        <v/>
      </c>
      <c r="AW115" s="444" t="str">
        <f t="shared" si="114"/>
        <v/>
      </c>
      <c r="AX115" s="444" t="str">
        <f t="shared" si="114"/>
        <v/>
      </c>
      <c r="AY115" s="444" t="str">
        <f t="shared" si="114"/>
        <v/>
      </c>
      <c r="AZ115" s="444" t="str">
        <f t="shared" si="114"/>
        <v/>
      </c>
      <c r="BA115" s="444" t="str">
        <f t="shared" si="114"/>
        <v/>
      </c>
      <c r="BB115" s="444" t="str">
        <f t="shared" si="114"/>
        <v/>
      </c>
      <c r="BC115" s="444" t="str">
        <f t="shared" si="115"/>
        <v/>
      </c>
      <c r="BD115" s="444" t="str">
        <f t="shared" si="115"/>
        <v/>
      </c>
      <c r="BE115" s="444" t="str">
        <f t="shared" si="115"/>
        <v/>
      </c>
      <c r="BF115" s="444" t="str">
        <f t="shared" si="115"/>
        <v/>
      </c>
      <c r="BG115" s="444" t="str">
        <f t="shared" si="115"/>
        <v/>
      </c>
      <c r="BH115" s="445" t="str">
        <f t="shared" si="115"/>
        <v/>
      </c>
      <c r="BI115" s="502"/>
      <c r="BJ115" s="474" t="str">
        <f t="shared" si="116"/>
        <v/>
      </c>
      <c r="BK115" s="475" t="str">
        <f t="shared" si="116"/>
        <v/>
      </c>
      <c r="BL115" s="475" t="str">
        <f t="shared" si="116"/>
        <v/>
      </c>
      <c r="BM115" s="475" t="str">
        <f t="shared" si="116"/>
        <v/>
      </c>
      <c r="BN115" s="475" t="str">
        <f t="shared" si="116"/>
        <v/>
      </c>
      <c r="BO115" s="475" t="str">
        <f t="shared" si="116"/>
        <v/>
      </c>
      <c r="BP115" s="475" t="str">
        <f t="shared" si="116"/>
        <v/>
      </c>
      <c r="BQ115" s="475" t="str">
        <f t="shared" si="116"/>
        <v/>
      </c>
      <c r="BR115" s="475" t="str">
        <f t="shared" si="116"/>
        <v/>
      </c>
      <c r="BS115" s="475" t="str">
        <f t="shared" si="116"/>
        <v/>
      </c>
      <c r="BT115" s="475" t="str">
        <f t="shared" si="117"/>
        <v/>
      </c>
      <c r="BU115" s="475" t="str">
        <f t="shared" si="117"/>
        <v/>
      </c>
      <c r="BV115" s="475" t="str">
        <f t="shared" si="117"/>
        <v/>
      </c>
      <c r="BW115" s="475" t="str">
        <f t="shared" si="117"/>
        <v/>
      </c>
      <c r="BX115" s="475" t="str">
        <f t="shared" si="117"/>
        <v/>
      </c>
      <c r="BY115" s="475" t="str">
        <f t="shared" si="117"/>
        <v/>
      </c>
      <c r="BZ115" s="475" t="str">
        <f t="shared" si="117"/>
        <v/>
      </c>
      <c r="CA115" s="475" t="str">
        <f t="shared" si="117"/>
        <v/>
      </c>
      <c r="CB115" s="475" t="str">
        <f t="shared" si="117"/>
        <v/>
      </c>
      <c r="CC115" s="475" t="str">
        <f t="shared" si="117"/>
        <v/>
      </c>
      <c r="CD115" s="475" t="str">
        <f t="shared" si="118"/>
        <v/>
      </c>
      <c r="CE115" s="475" t="str">
        <f t="shared" si="118"/>
        <v/>
      </c>
      <c r="CF115" s="475" t="str">
        <f t="shared" si="118"/>
        <v/>
      </c>
      <c r="CG115" s="475" t="str">
        <f t="shared" si="118"/>
        <v/>
      </c>
      <c r="CH115" s="475" t="str">
        <f t="shared" si="118"/>
        <v/>
      </c>
      <c r="CI115" s="475" t="str">
        <f t="shared" si="118"/>
        <v/>
      </c>
      <c r="CJ115" s="475" t="str">
        <f t="shared" si="118"/>
        <v/>
      </c>
      <c r="CK115" s="475" t="str">
        <f t="shared" si="118"/>
        <v/>
      </c>
      <c r="CL115" s="475" t="str">
        <f t="shared" si="118"/>
        <v/>
      </c>
      <c r="CM115" s="475" t="str">
        <f t="shared" si="118"/>
        <v/>
      </c>
      <c r="CN115" s="475" t="str">
        <f t="shared" si="119"/>
        <v/>
      </c>
      <c r="CO115" s="475" t="str">
        <f t="shared" si="119"/>
        <v/>
      </c>
      <c r="CP115" s="475" t="str">
        <f t="shared" si="119"/>
        <v/>
      </c>
      <c r="CQ115" s="475" t="str">
        <f t="shared" si="119"/>
        <v/>
      </c>
      <c r="CR115" s="475" t="str">
        <f t="shared" si="119"/>
        <v/>
      </c>
      <c r="CS115" s="475" t="str">
        <f t="shared" si="119"/>
        <v/>
      </c>
      <c r="CT115" s="475" t="str">
        <f t="shared" si="119"/>
        <v/>
      </c>
      <c r="CU115" s="475" t="str">
        <f t="shared" si="119"/>
        <v/>
      </c>
      <c r="CV115" s="475" t="str">
        <f t="shared" si="119"/>
        <v/>
      </c>
      <c r="CW115" s="475" t="str">
        <f t="shared" si="119"/>
        <v/>
      </c>
      <c r="CX115" s="475" t="str">
        <f t="shared" si="119"/>
        <v/>
      </c>
      <c r="CY115" s="475" t="str">
        <f t="shared" si="119"/>
        <v/>
      </c>
      <c r="CZ115" s="495" t="str">
        <f t="shared" si="119"/>
        <v/>
      </c>
      <c r="DA115" s="502"/>
      <c r="DB115" s="460"/>
      <c r="DC115" s="465"/>
      <c r="DD115" s="463"/>
      <c r="DE115" s="512"/>
      <c r="DF115" s="516"/>
      <c r="DG115" s="508"/>
      <c r="DH115" s="463"/>
      <c r="DI115" s="461"/>
      <c r="DJ115" s="461"/>
      <c r="DK115" s="461"/>
      <c r="DL115" s="464"/>
      <c r="DM115" s="466"/>
      <c r="DN115" s="502"/>
      <c r="DO115" s="460"/>
      <c r="DP115" s="464"/>
      <c r="DQ115" s="464"/>
      <c r="DR115" s="464"/>
      <c r="DS115" s="508"/>
      <c r="DT115" s="525"/>
      <c r="DU115" s="525"/>
      <c r="DV115" s="463"/>
      <c r="DW115" s="464"/>
      <c r="DX115" s="465"/>
      <c r="DY115" s="463"/>
      <c r="DZ115" s="464"/>
      <c r="EA115" s="465"/>
      <c r="EB115" s="463"/>
      <c r="EC115" s="465"/>
      <c r="ED115" s="462"/>
      <c r="EE115" s="502"/>
      <c r="EF115" s="463"/>
      <c r="EG115" s="461"/>
      <c r="EH115" s="464"/>
      <c r="EI115" s="464"/>
      <c r="EJ115" s="464"/>
      <c r="EK115" s="464"/>
      <c r="EL115" s="464"/>
      <c r="EM115" s="464"/>
      <c r="EN115" s="464"/>
      <c r="EO115" s="464"/>
      <c r="EP115" s="464"/>
      <c r="EQ115" s="464"/>
      <c r="ER115" s="464"/>
      <c r="ES115" s="464"/>
      <c r="ET115" s="464"/>
      <c r="EU115" s="464"/>
      <c r="EV115" s="464"/>
      <c r="EW115" s="465"/>
      <c r="EX115" s="465"/>
      <c r="EY115" s="502"/>
      <c r="EZ115" s="460"/>
      <c r="FA115" s="464"/>
      <c r="FB115" s="464"/>
      <c r="FC115" s="464"/>
      <c r="FD115" s="464"/>
      <c r="FE115" s="464"/>
      <c r="FF115" s="464"/>
      <c r="FG115" s="466"/>
    </row>
    <row r="116" spans="1:163">
      <c r="A116" s="467" t="s">
        <v>303</v>
      </c>
      <c r="B116" s="471" t="str">
        <f>IF(ISNUMBER(MATCH(A116, 'Pulldown Data'!W:W, 0))=TRUE, "Y", IF(ISNUMBER(MATCH(A116, 'Pulldown Data'!X:X, 0))=TRUE, "M", ""))</f>
        <v/>
      </c>
      <c r="C116" s="504">
        <v>45630</v>
      </c>
      <c r="D116" s="502"/>
      <c r="E116" s="443" t="str">
        <f t="shared" si="110"/>
        <v>NO</v>
      </c>
      <c r="F116" s="444" t="str">
        <f t="shared" si="110"/>
        <v>NO</v>
      </c>
      <c r="G116" s="444" t="str">
        <f t="shared" si="110"/>
        <v>YES</v>
      </c>
      <c r="H116" s="444" t="str">
        <f t="shared" si="110"/>
        <v>YES</v>
      </c>
      <c r="I116" s="444" t="str">
        <f t="shared" si="110"/>
        <v>NO</v>
      </c>
      <c r="J116" s="444" t="str">
        <f t="shared" si="110"/>
        <v>NO</v>
      </c>
      <c r="K116" s="444" t="str">
        <f t="shared" si="110"/>
        <v>NO</v>
      </c>
      <c r="L116" s="444" t="str">
        <f t="shared" si="110"/>
        <v>YES</v>
      </c>
      <c r="M116" s="444" t="str">
        <f t="shared" si="110"/>
        <v>NO</v>
      </c>
      <c r="N116" s="444" t="str">
        <f t="shared" si="110"/>
        <v>NO</v>
      </c>
      <c r="O116" s="444" t="str">
        <f t="shared" si="111"/>
        <v>NO</v>
      </c>
      <c r="P116" s="444" t="str">
        <f t="shared" si="111"/>
        <v>NO</v>
      </c>
      <c r="Q116" s="444" t="str">
        <f t="shared" si="111"/>
        <v>YES</v>
      </c>
      <c r="R116" s="444" t="str">
        <f t="shared" si="111"/>
        <v>NO</v>
      </c>
      <c r="S116" s="444" t="str">
        <f t="shared" si="111"/>
        <v>NO</v>
      </c>
      <c r="T116" s="444" t="str">
        <f t="shared" si="111"/>
        <v>NO</v>
      </c>
      <c r="U116" s="444" t="str">
        <f t="shared" si="111"/>
        <v>YES</v>
      </c>
      <c r="V116" s="444" t="str">
        <f t="shared" si="111"/>
        <v>YES</v>
      </c>
      <c r="W116" s="444" t="str">
        <f t="shared" si="111"/>
        <v>YES</v>
      </c>
      <c r="X116" s="444" t="str">
        <f t="shared" si="111"/>
        <v>NO</v>
      </c>
      <c r="Y116" s="444" t="str">
        <f t="shared" si="112"/>
        <v>NO</v>
      </c>
      <c r="Z116" s="444" t="str">
        <f t="shared" si="112"/>
        <v>NO</v>
      </c>
      <c r="AA116" s="444" t="str">
        <f t="shared" si="112"/>
        <v>YES</v>
      </c>
      <c r="AB116" s="444" t="str">
        <f t="shared" si="112"/>
        <v>NO</v>
      </c>
      <c r="AC116" s="444" t="str">
        <f t="shared" si="112"/>
        <v>NO</v>
      </c>
      <c r="AD116" s="444" t="str">
        <f t="shared" si="112"/>
        <v>NO</v>
      </c>
      <c r="AE116" s="444" t="str">
        <f t="shared" si="112"/>
        <v>NO</v>
      </c>
      <c r="AF116" s="444" t="str">
        <f t="shared" si="112"/>
        <v>NO</v>
      </c>
      <c r="AG116" s="444" t="str">
        <f t="shared" si="112"/>
        <v>NO</v>
      </c>
      <c r="AH116" s="444" t="str">
        <f t="shared" si="112"/>
        <v>NO</v>
      </c>
      <c r="AI116" s="444" t="str">
        <f t="shared" si="113"/>
        <v>NO</v>
      </c>
      <c r="AJ116" s="444" t="str">
        <f t="shared" si="113"/>
        <v>YES</v>
      </c>
      <c r="AK116" s="444" t="str">
        <f t="shared" si="113"/>
        <v>NO</v>
      </c>
      <c r="AL116" s="444" t="str">
        <f t="shared" si="113"/>
        <v>NO</v>
      </c>
      <c r="AM116" s="444" t="str">
        <f t="shared" si="113"/>
        <v>NO</v>
      </c>
      <c r="AN116" s="444" t="str">
        <f t="shared" si="113"/>
        <v>YES</v>
      </c>
      <c r="AO116" s="444" t="str">
        <f t="shared" si="113"/>
        <v>YES</v>
      </c>
      <c r="AP116" s="444" t="str">
        <f t="shared" si="113"/>
        <v>NO</v>
      </c>
      <c r="AQ116" s="444" t="str">
        <f t="shared" si="113"/>
        <v>NO</v>
      </c>
      <c r="AR116" s="444" t="str">
        <f t="shared" si="113"/>
        <v>NO</v>
      </c>
      <c r="AS116" s="444" t="str">
        <f t="shared" si="114"/>
        <v>NO</v>
      </c>
      <c r="AT116" s="444" t="str">
        <f t="shared" si="114"/>
        <v>NO</v>
      </c>
      <c r="AU116" s="444" t="str">
        <f t="shared" si="114"/>
        <v>YES</v>
      </c>
      <c r="AV116" s="444" t="str">
        <f t="shared" si="114"/>
        <v>YES</v>
      </c>
      <c r="AW116" s="444" t="str">
        <f t="shared" si="114"/>
        <v>NO</v>
      </c>
      <c r="AX116" s="444" t="str">
        <f t="shared" si="114"/>
        <v>NO</v>
      </c>
      <c r="AY116" s="444" t="str">
        <f t="shared" si="114"/>
        <v>NO</v>
      </c>
      <c r="AZ116" s="444" t="str">
        <f t="shared" si="114"/>
        <v>YES</v>
      </c>
      <c r="BA116" s="444" t="str">
        <f t="shared" si="114"/>
        <v>NO</v>
      </c>
      <c r="BB116" s="444" t="str">
        <f t="shared" si="114"/>
        <v>NO</v>
      </c>
      <c r="BC116" s="444" t="str">
        <f t="shared" si="115"/>
        <v>NO</v>
      </c>
      <c r="BD116" s="444" t="str">
        <f t="shared" si="115"/>
        <v>NO</v>
      </c>
      <c r="BE116" s="444" t="str">
        <f t="shared" si="115"/>
        <v>NO</v>
      </c>
      <c r="BF116" s="444" t="str">
        <f t="shared" si="115"/>
        <v>YES</v>
      </c>
      <c r="BG116" s="444" t="str">
        <f t="shared" si="115"/>
        <v>NO</v>
      </c>
      <c r="BH116" s="445" t="str">
        <f t="shared" si="115"/>
        <v>NO</v>
      </c>
      <c r="BI116" s="502"/>
      <c r="BJ116" s="474" t="str">
        <f t="shared" si="116"/>
        <v>NO</v>
      </c>
      <c r="BK116" s="475" t="str">
        <f t="shared" si="116"/>
        <v>NO</v>
      </c>
      <c r="BL116" s="475" t="str">
        <f t="shared" si="116"/>
        <v>NO</v>
      </c>
      <c r="BM116" s="475" t="str">
        <f t="shared" si="116"/>
        <v>NO</v>
      </c>
      <c r="BN116" s="475" t="str">
        <f t="shared" si="116"/>
        <v>NO</v>
      </c>
      <c r="BO116" s="475" t="str">
        <f t="shared" si="116"/>
        <v>NO</v>
      </c>
      <c r="BP116" s="475" t="str">
        <f t="shared" si="116"/>
        <v>NO</v>
      </c>
      <c r="BQ116" s="475" t="str">
        <f t="shared" si="116"/>
        <v>NO</v>
      </c>
      <c r="BR116" s="475" t="str">
        <f t="shared" si="116"/>
        <v>NO</v>
      </c>
      <c r="BS116" s="475" t="str">
        <f t="shared" si="116"/>
        <v>NO</v>
      </c>
      <c r="BT116" s="475" t="str">
        <f t="shared" si="117"/>
        <v>NO</v>
      </c>
      <c r="BU116" s="475" t="str">
        <f t="shared" si="117"/>
        <v>NO</v>
      </c>
      <c r="BV116" s="475" t="str">
        <f t="shared" si="117"/>
        <v>NO</v>
      </c>
      <c r="BW116" s="475" t="str">
        <f t="shared" si="117"/>
        <v>NO</v>
      </c>
      <c r="BX116" s="475" t="str">
        <f t="shared" si="117"/>
        <v>NO</v>
      </c>
      <c r="BY116" s="475" t="str">
        <f t="shared" si="117"/>
        <v>NO</v>
      </c>
      <c r="BZ116" s="475" t="str">
        <f t="shared" si="117"/>
        <v>NO</v>
      </c>
      <c r="CA116" s="475" t="str">
        <f t="shared" si="117"/>
        <v>NO</v>
      </c>
      <c r="CB116" s="475" t="str">
        <f t="shared" si="117"/>
        <v>NO</v>
      </c>
      <c r="CC116" s="475" t="str">
        <f t="shared" si="117"/>
        <v>NO</v>
      </c>
      <c r="CD116" s="475" t="str">
        <f t="shared" si="118"/>
        <v>NO</v>
      </c>
      <c r="CE116" s="475" t="str">
        <f t="shared" si="118"/>
        <v>NO</v>
      </c>
      <c r="CF116" s="475" t="str">
        <f t="shared" si="118"/>
        <v>NO</v>
      </c>
      <c r="CG116" s="475" t="str">
        <f t="shared" si="118"/>
        <v>NO</v>
      </c>
      <c r="CH116" s="475" t="str">
        <f t="shared" si="118"/>
        <v>NO</v>
      </c>
      <c r="CI116" s="475" t="str">
        <f t="shared" si="118"/>
        <v>NO</v>
      </c>
      <c r="CJ116" s="475" t="str">
        <f t="shared" si="118"/>
        <v>NO</v>
      </c>
      <c r="CK116" s="475" t="str">
        <f t="shared" si="118"/>
        <v>NO</v>
      </c>
      <c r="CL116" s="475" t="str">
        <f t="shared" si="118"/>
        <v>NO</v>
      </c>
      <c r="CM116" s="475" t="str">
        <f t="shared" si="118"/>
        <v>NO</v>
      </c>
      <c r="CN116" s="475" t="str">
        <f t="shared" si="119"/>
        <v>NO</v>
      </c>
      <c r="CO116" s="475" t="str">
        <f t="shared" si="119"/>
        <v>NO</v>
      </c>
      <c r="CP116" s="475" t="str">
        <f t="shared" si="119"/>
        <v>NO</v>
      </c>
      <c r="CQ116" s="475" t="str">
        <f t="shared" si="119"/>
        <v>NO</v>
      </c>
      <c r="CR116" s="475" t="str">
        <f t="shared" si="119"/>
        <v>NO</v>
      </c>
      <c r="CS116" s="475" t="str">
        <f t="shared" si="119"/>
        <v>NO</v>
      </c>
      <c r="CT116" s="475" t="str">
        <f t="shared" si="119"/>
        <v>NO</v>
      </c>
      <c r="CU116" s="475" t="str">
        <f t="shared" si="119"/>
        <v>NO</v>
      </c>
      <c r="CV116" s="475" t="str">
        <f t="shared" si="119"/>
        <v>NO</v>
      </c>
      <c r="CW116" s="475" t="str">
        <f t="shared" si="119"/>
        <v>NO</v>
      </c>
      <c r="CX116" s="475" t="str">
        <f t="shared" si="119"/>
        <v>NO</v>
      </c>
      <c r="CY116" s="475" t="str">
        <f t="shared" si="119"/>
        <v>NO</v>
      </c>
      <c r="CZ116" s="495" t="str">
        <f t="shared" si="119"/>
        <v>NO</v>
      </c>
      <c r="DA116" s="502"/>
      <c r="DB116" s="460"/>
      <c r="DC116" s="465"/>
      <c r="DD116" s="463"/>
      <c r="DE116" s="512"/>
      <c r="DF116" s="516"/>
      <c r="DG116" s="508"/>
      <c r="DH116" s="463"/>
      <c r="DI116" s="461"/>
      <c r="DJ116" s="461"/>
      <c r="DK116" s="461"/>
      <c r="DL116" s="464"/>
      <c r="DM116" s="466"/>
      <c r="DN116" s="502"/>
      <c r="DO116" s="460"/>
      <c r="DP116" s="464"/>
      <c r="DQ116" s="464"/>
      <c r="DR116" s="464"/>
      <c r="DS116" s="508"/>
      <c r="DT116" s="525"/>
      <c r="DU116" s="525"/>
      <c r="DV116" s="463"/>
      <c r="DW116" s="464"/>
      <c r="DX116" s="465"/>
      <c r="DY116" s="463"/>
      <c r="DZ116" s="464"/>
      <c r="EA116" s="465"/>
      <c r="EB116" s="463"/>
      <c r="EC116" s="465"/>
      <c r="ED116" s="462"/>
      <c r="EE116" s="502"/>
      <c r="EF116" s="463"/>
      <c r="EG116" s="461"/>
      <c r="EH116" s="464"/>
      <c r="EI116" s="464"/>
      <c r="EJ116" s="464"/>
      <c r="EK116" s="464"/>
      <c r="EL116" s="464"/>
      <c r="EM116" s="464"/>
      <c r="EN116" s="464"/>
      <c r="EO116" s="464"/>
      <c r="EP116" s="464"/>
      <c r="EQ116" s="464"/>
      <c r="ER116" s="464"/>
      <c r="ES116" s="464"/>
      <c r="ET116" s="464"/>
      <c r="EU116" s="464"/>
      <c r="EV116" s="464"/>
      <c r="EW116" s="465"/>
      <c r="EX116" s="465"/>
      <c r="EY116" s="502"/>
      <c r="EZ116" s="460"/>
      <c r="FA116" s="464"/>
      <c r="FB116" s="464"/>
      <c r="FC116" s="464"/>
      <c r="FD116" s="464"/>
      <c r="FE116" s="464"/>
      <c r="FF116" s="464"/>
      <c r="FG116" s="466"/>
    </row>
    <row r="117" spans="1:163">
      <c r="A117" s="467" t="s">
        <v>304</v>
      </c>
      <c r="B117" s="471" t="str">
        <f>IF(ISNUMBER(MATCH(A117, 'Pulldown Data'!W:W, 0))=TRUE, "Y", IF(ISNUMBER(MATCH(A117, 'Pulldown Data'!X:X, 0))=TRUE, "M", ""))</f>
        <v/>
      </c>
      <c r="C117" s="504">
        <v>45630</v>
      </c>
      <c r="D117" s="502"/>
      <c r="E117" s="443" t="str">
        <f t="shared" si="110"/>
        <v>NO</v>
      </c>
      <c r="F117" s="444" t="str">
        <f t="shared" si="110"/>
        <v>NO</v>
      </c>
      <c r="G117" s="444" t="str">
        <f t="shared" si="110"/>
        <v>YES</v>
      </c>
      <c r="H117" s="444" t="str">
        <f t="shared" si="110"/>
        <v>YES</v>
      </c>
      <c r="I117" s="444" t="str">
        <f t="shared" si="110"/>
        <v>NO</v>
      </c>
      <c r="J117" s="444" t="str">
        <f t="shared" si="110"/>
        <v>NO</v>
      </c>
      <c r="K117" s="444" t="str">
        <f t="shared" si="110"/>
        <v>YES</v>
      </c>
      <c r="L117" s="444" t="str">
        <f t="shared" si="110"/>
        <v>NO</v>
      </c>
      <c r="M117" s="444" t="str">
        <f t="shared" si="110"/>
        <v>YES</v>
      </c>
      <c r="N117" s="444" t="str">
        <f t="shared" si="110"/>
        <v>YES</v>
      </c>
      <c r="O117" s="444" t="str">
        <f t="shared" si="111"/>
        <v>YES</v>
      </c>
      <c r="P117" s="444" t="str">
        <f t="shared" si="111"/>
        <v>DEP</v>
      </c>
      <c r="Q117" s="444" t="str">
        <f t="shared" si="111"/>
        <v>DEP</v>
      </c>
      <c r="R117" s="444" t="str">
        <f t="shared" si="111"/>
        <v>DEP</v>
      </c>
      <c r="S117" s="444" t="str">
        <f t="shared" si="111"/>
        <v>DEP</v>
      </c>
      <c r="T117" s="444" t="str">
        <f t="shared" si="111"/>
        <v>DEP</v>
      </c>
      <c r="U117" s="444" t="str">
        <f t="shared" si="111"/>
        <v>YES</v>
      </c>
      <c r="V117" s="444" t="str">
        <f t="shared" si="111"/>
        <v>YES</v>
      </c>
      <c r="W117" s="444" t="str">
        <f t="shared" si="111"/>
        <v>DEP</v>
      </c>
      <c r="X117" s="444" t="str">
        <f t="shared" si="111"/>
        <v>NO</v>
      </c>
      <c r="Y117" s="444" t="str">
        <f t="shared" si="112"/>
        <v>DEP</v>
      </c>
      <c r="Z117" s="444" t="str">
        <f t="shared" si="112"/>
        <v>DEP</v>
      </c>
      <c r="AA117" s="444" t="str">
        <f t="shared" si="112"/>
        <v>NO</v>
      </c>
      <c r="AB117" s="444" t="str">
        <f t="shared" si="112"/>
        <v>YES</v>
      </c>
      <c r="AC117" s="444" t="str">
        <f t="shared" si="112"/>
        <v>YES</v>
      </c>
      <c r="AD117" s="444" t="str">
        <f t="shared" si="112"/>
        <v>YES</v>
      </c>
      <c r="AE117" s="444" t="str">
        <f t="shared" si="112"/>
        <v>YES</v>
      </c>
      <c r="AF117" s="444" t="str">
        <f t="shared" si="112"/>
        <v>YES</v>
      </c>
      <c r="AG117" s="444" t="str">
        <f t="shared" si="112"/>
        <v>YES</v>
      </c>
      <c r="AH117" s="444" t="str">
        <f t="shared" si="112"/>
        <v>NO</v>
      </c>
      <c r="AI117" s="444" t="str">
        <f t="shared" si="113"/>
        <v>NO</v>
      </c>
      <c r="AJ117" s="444" t="str">
        <f t="shared" si="113"/>
        <v>YES</v>
      </c>
      <c r="AK117" s="444" t="str">
        <f t="shared" si="113"/>
        <v>NO</v>
      </c>
      <c r="AL117" s="444" t="str">
        <f t="shared" si="113"/>
        <v>NO</v>
      </c>
      <c r="AM117" s="444" t="str">
        <f t="shared" si="113"/>
        <v>YES</v>
      </c>
      <c r="AN117" s="444" t="str">
        <f t="shared" si="113"/>
        <v>NO</v>
      </c>
      <c r="AO117" s="444" t="str">
        <f t="shared" si="113"/>
        <v>DEP</v>
      </c>
      <c r="AP117" s="444" t="str">
        <f t="shared" si="113"/>
        <v>NO</v>
      </c>
      <c r="AQ117" s="444" t="str">
        <f t="shared" si="113"/>
        <v>YES</v>
      </c>
      <c r="AR117" s="444" t="str">
        <f t="shared" si="113"/>
        <v>NO</v>
      </c>
      <c r="AS117" s="444" t="str">
        <f t="shared" si="114"/>
        <v>NO</v>
      </c>
      <c r="AT117" s="444" t="str">
        <f t="shared" si="114"/>
        <v>DEP</v>
      </c>
      <c r="AU117" s="444" t="str">
        <f t="shared" si="114"/>
        <v>DEP</v>
      </c>
      <c r="AV117" s="444" t="str">
        <f t="shared" si="114"/>
        <v>DEP</v>
      </c>
      <c r="AW117" s="444" t="str">
        <f t="shared" si="114"/>
        <v>DEP</v>
      </c>
      <c r="AX117" s="444" t="str">
        <f t="shared" si="114"/>
        <v>DEP</v>
      </c>
      <c r="AY117" s="444" t="str">
        <f t="shared" si="114"/>
        <v>YES</v>
      </c>
      <c r="AZ117" s="444" t="str">
        <f t="shared" si="114"/>
        <v>DEP</v>
      </c>
      <c r="BA117" s="444" t="str">
        <f t="shared" si="114"/>
        <v>DEP</v>
      </c>
      <c r="BB117" s="444" t="str">
        <f t="shared" si="114"/>
        <v>DEP</v>
      </c>
      <c r="BC117" s="444" t="str">
        <f t="shared" si="115"/>
        <v>NO</v>
      </c>
      <c r="BD117" s="444" t="str">
        <f t="shared" si="115"/>
        <v>NO</v>
      </c>
      <c r="BE117" s="444" t="str">
        <f t="shared" si="115"/>
        <v>NO</v>
      </c>
      <c r="BF117" s="444" t="str">
        <f t="shared" si="115"/>
        <v>YES</v>
      </c>
      <c r="BG117" s="444" t="str">
        <f t="shared" si="115"/>
        <v>NO</v>
      </c>
      <c r="BH117" s="445" t="str">
        <f t="shared" si="115"/>
        <v>NO</v>
      </c>
      <c r="BI117" s="502"/>
      <c r="BJ117" s="474" t="str">
        <f t="shared" si="116"/>
        <v>NO</v>
      </c>
      <c r="BK117" s="475" t="str">
        <f t="shared" si="116"/>
        <v>NO</v>
      </c>
      <c r="BL117" s="475" t="str">
        <f t="shared" si="116"/>
        <v>NO</v>
      </c>
      <c r="BM117" s="475" t="str">
        <f t="shared" si="116"/>
        <v>NO</v>
      </c>
      <c r="BN117" s="475" t="str">
        <f t="shared" si="116"/>
        <v>NO</v>
      </c>
      <c r="BO117" s="475" t="str">
        <f t="shared" si="116"/>
        <v>NO</v>
      </c>
      <c r="BP117" s="475" t="str">
        <f t="shared" si="116"/>
        <v>NO</v>
      </c>
      <c r="BQ117" s="475" t="str">
        <f t="shared" si="116"/>
        <v>NO</v>
      </c>
      <c r="BR117" s="475" t="str">
        <f t="shared" si="116"/>
        <v>NO</v>
      </c>
      <c r="BS117" s="475" t="str">
        <f t="shared" si="116"/>
        <v>NO</v>
      </c>
      <c r="BT117" s="475" t="str">
        <f t="shared" si="117"/>
        <v>NO</v>
      </c>
      <c r="BU117" s="475" t="str">
        <f t="shared" si="117"/>
        <v>NO</v>
      </c>
      <c r="BV117" s="475" t="str">
        <f t="shared" si="117"/>
        <v>NO</v>
      </c>
      <c r="BW117" s="475" t="str">
        <f t="shared" si="117"/>
        <v>NO</v>
      </c>
      <c r="BX117" s="475" t="str">
        <f t="shared" si="117"/>
        <v>NO</v>
      </c>
      <c r="BY117" s="475" t="str">
        <f t="shared" si="117"/>
        <v>NO</v>
      </c>
      <c r="BZ117" s="475" t="str">
        <f t="shared" si="117"/>
        <v>NO</v>
      </c>
      <c r="CA117" s="475" t="str">
        <f t="shared" si="117"/>
        <v>NO</v>
      </c>
      <c r="CB117" s="475" t="str">
        <f t="shared" si="117"/>
        <v>NO</v>
      </c>
      <c r="CC117" s="475" t="str">
        <f t="shared" si="117"/>
        <v>NO</v>
      </c>
      <c r="CD117" s="475" t="str">
        <f t="shared" si="118"/>
        <v>NO</v>
      </c>
      <c r="CE117" s="475" t="str">
        <f t="shared" si="118"/>
        <v>NO</v>
      </c>
      <c r="CF117" s="475" t="str">
        <f t="shared" si="118"/>
        <v>NO</v>
      </c>
      <c r="CG117" s="475" t="str">
        <f t="shared" si="118"/>
        <v>NO</v>
      </c>
      <c r="CH117" s="475" t="str">
        <f t="shared" si="118"/>
        <v>NO</v>
      </c>
      <c r="CI117" s="475" t="str">
        <f t="shared" si="118"/>
        <v>NO</v>
      </c>
      <c r="CJ117" s="475" t="str">
        <f t="shared" si="118"/>
        <v>NO</v>
      </c>
      <c r="CK117" s="475" t="str">
        <f t="shared" si="118"/>
        <v>NO</v>
      </c>
      <c r="CL117" s="475" t="str">
        <f t="shared" si="118"/>
        <v>NO</v>
      </c>
      <c r="CM117" s="475" t="str">
        <f t="shared" si="118"/>
        <v>NO</v>
      </c>
      <c r="CN117" s="475" t="str">
        <f t="shared" si="119"/>
        <v>NO</v>
      </c>
      <c r="CO117" s="475" t="str">
        <f t="shared" si="119"/>
        <v>NO</v>
      </c>
      <c r="CP117" s="475" t="str">
        <f t="shared" si="119"/>
        <v>NO</v>
      </c>
      <c r="CQ117" s="475" t="str">
        <f t="shared" si="119"/>
        <v>NO</v>
      </c>
      <c r="CR117" s="475" t="str">
        <f t="shared" si="119"/>
        <v>NO</v>
      </c>
      <c r="CS117" s="475" t="str">
        <f t="shared" si="119"/>
        <v>NO</v>
      </c>
      <c r="CT117" s="475" t="str">
        <f t="shared" si="119"/>
        <v>NO</v>
      </c>
      <c r="CU117" s="475" t="str">
        <f t="shared" si="119"/>
        <v>NO</v>
      </c>
      <c r="CV117" s="475" t="str">
        <f t="shared" si="119"/>
        <v>NO</v>
      </c>
      <c r="CW117" s="475" t="str">
        <f t="shared" si="119"/>
        <v>NO</v>
      </c>
      <c r="CX117" s="475" t="str">
        <f t="shared" si="119"/>
        <v>NO</v>
      </c>
      <c r="CY117" s="475" t="str">
        <f t="shared" si="119"/>
        <v>NO</v>
      </c>
      <c r="CZ117" s="495" t="str">
        <f t="shared" si="119"/>
        <v>NO</v>
      </c>
      <c r="DA117" s="502"/>
      <c r="DB117" s="460"/>
      <c r="DC117" s="465"/>
      <c r="DD117" s="463"/>
      <c r="DE117" s="512"/>
      <c r="DF117" s="516"/>
      <c r="DG117" s="508"/>
      <c r="DH117" s="463"/>
      <c r="DI117" s="461"/>
      <c r="DJ117" s="461"/>
      <c r="DK117" s="461"/>
      <c r="DL117" s="464"/>
      <c r="DM117" s="466"/>
      <c r="DN117" s="502"/>
      <c r="DO117" s="460"/>
      <c r="DP117" s="464"/>
      <c r="DQ117" s="464"/>
      <c r="DR117" s="464"/>
      <c r="DS117" s="508"/>
      <c r="DT117" s="525"/>
      <c r="DU117" s="525"/>
      <c r="DV117" s="463"/>
      <c r="DW117" s="464"/>
      <c r="DX117" s="465"/>
      <c r="DY117" s="463"/>
      <c r="DZ117" s="464"/>
      <c r="EA117" s="465"/>
      <c r="EB117" s="463"/>
      <c r="EC117" s="465"/>
      <c r="ED117" s="462"/>
      <c r="EE117" s="502"/>
      <c r="EF117" s="463"/>
      <c r="EG117" s="461"/>
      <c r="EH117" s="464"/>
      <c r="EI117" s="464"/>
      <c r="EJ117" s="464"/>
      <c r="EK117" s="464"/>
      <c r="EL117" s="464"/>
      <c r="EM117" s="464"/>
      <c r="EN117" s="464"/>
      <c r="EO117" s="464"/>
      <c r="EP117" s="464"/>
      <c r="EQ117" s="464"/>
      <c r="ER117" s="464"/>
      <c r="ES117" s="464"/>
      <c r="ET117" s="464"/>
      <c r="EU117" s="464"/>
      <c r="EV117" s="464"/>
      <c r="EW117" s="465"/>
      <c r="EX117" s="465"/>
      <c r="EY117" s="502"/>
      <c r="EZ117" s="460"/>
      <c r="FA117" s="464"/>
      <c r="FB117" s="464"/>
      <c r="FC117" s="464"/>
      <c r="FD117" s="464"/>
      <c r="FE117" s="464"/>
      <c r="FF117" s="464"/>
      <c r="FG117" s="466"/>
    </row>
    <row r="118" spans="1:163">
      <c r="A118" s="467" t="s">
        <v>305</v>
      </c>
      <c r="B118" s="471" t="str">
        <f>IF(ISNUMBER(MATCH(A118, 'Pulldown Data'!W:W, 0))=TRUE, "Y", IF(ISNUMBER(MATCH(A118, 'Pulldown Data'!X:X, 0))=TRUE, "M", ""))</f>
        <v/>
      </c>
      <c r="C118" s="504"/>
      <c r="D118" s="502"/>
      <c r="E118" s="443" t="str">
        <f t="shared" si="110"/>
        <v/>
      </c>
      <c r="F118" s="444" t="str">
        <f t="shared" si="110"/>
        <v/>
      </c>
      <c r="G118" s="444" t="str">
        <f t="shared" si="110"/>
        <v/>
      </c>
      <c r="H118" s="444" t="str">
        <f t="shared" si="110"/>
        <v/>
      </c>
      <c r="I118" s="444" t="str">
        <f t="shared" si="110"/>
        <v/>
      </c>
      <c r="J118" s="444" t="str">
        <f t="shared" si="110"/>
        <v/>
      </c>
      <c r="K118" s="444" t="str">
        <f t="shared" si="110"/>
        <v/>
      </c>
      <c r="L118" s="444" t="str">
        <f t="shared" si="110"/>
        <v/>
      </c>
      <c r="M118" s="444" t="str">
        <f t="shared" si="110"/>
        <v/>
      </c>
      <c r="N118" s="444" t="str">
        <f t="shared" si="110"/>
        <v/>
      </c>
      <c r="O118" s="444" t="str">
        <f t="shared" si="111"/>
        <v/>
      </c>
      <c r="P118" s="444" t="str">
        <f t="shared" si="111"/>
        <v/>
      </c>
      <c r="Q118" s="444" t="str">
        <f t="shared" si="111"/>
        <v/>
      </c>
      <c r="R118" s="444" t="str">
        <f t="shared" si="111"/>
        <v/>
      </c>
      <c r="S118" s="444" t="str">
        <f t="shared" si="111"/>
        <v/>
      </c>
      <c r="T118" s="444" t="str">
        <f t="shared" si="111"/>
        <v/>
      </c>
      <c r="U118" s="444" t="str">
        <f t="shared" si="111"/>
        <v/>
      </c>
      <c r="V118" s="444" t="str">
        <f t="shared" si="111"/>
        <v/>
      </c>
      <c r="W118" s="444" t="str">
        <f t="shared" si="111"/>
        <v/>
      </c>
      <c r="X118" s="444" t="str">
        <f t="shared" si="111"/>
        <v/>
      </c>
      <c r="Y118" s="444" t="str">
        <f t="shared" si="112"/>
        <v/>
      </c>
      <c r="Z118" s="444" t="str">
        <f t="shared" si="112"/>
        <v/>
      </c>
      <c r="AA118" s="444" t="str">
        <f t="shared" si="112"/>
        <v/>
      </c>
      <c r="AB118" s="444" t="str">
        <f t="shared" si="112"/>
        <v/>
      </c>
      <c r="AC118" s="444" t="str">
        <f t="shared" si="112"/>
        <v/>
      </c>
      <c r="AD118" s="444" t="str">
        <f t="shared" si="112"/>
        <v/>
      </c>
      <c r="AE118" s="444" t="str">
        <f t="shared" si="112"/>
        <v/>
      </c>
      <c r="AF118" s="444" t="str">
        <f t="shared" si="112"/>
        <v/>
      </c>
      <c r="AG118" s="444" t="str">
        <f t="shared" si="112"/>
        <v/>
      </c>
      <c r="AH118" s="444" t="str">
        <f t="shared" si="112"/>
        <v/>
      </c>
      <c r="AI118" s="444" t="str">
        <f t="shared" si="113"/>
        <v/>
      </c>
      <c r="AJ118" s="444" t="str">
        <f t="shared" si="113"/>
        <v/>
      </c>
      <c r="AK118" s="444" t="str">
        <f t="shared" si="113"/>
        <v/>
      </c>
      <c r="AL118" s="444" t="str">
        <f t="shared" si="113"/>
        <v/>
      </c>
      <c r="AM118" s="444" t="str">
        <f t="shared" si="113"/>
        <v/>
      </c>
      <c r="AN118" s="444" t="str">
        <f t="shared" si="113"/>
        <v/>
      </c>
      <c r="AO118" s="444" t="str">
        <f t="shared" si="113"/>
        <v/>
      </c>
      <c r="AP118" s="444" t="str">
        <f t="shared" si="113"/>
        <v/>
      </c>
      <c r="AQ118" s="444" t="str">
        <f t="shared" si="113"/>
        <v/>
      </c>
      <c r="AR118" s="444" t="str">
        <f t="shared" si="113"/>
        <v/>
      </c>
      <c r="AS118" s="444" t="str">
        <f t="shared" si="114"/>
        <v/>
      </c>
      <c r="AT118" s="444" t="str">
        <f t="shared" si="114"/>
        <v/>
      </c>
      <c r="AU118" s="444" t="str">
        <f t="shared" si="114"/>
        <v/>
      </c>
      <c r="AV118" s="444" t="str">
        <f t="shared" si="114"/>
        <v/>
      </c>
      <c r="AW118" s="444" t="str">
        <f t="shared" si="114"/>
        <v/>
      </c>
      <c r="AX118" s="444" t="str">
        <f t="shared" si="114"/>
        <v/>
      </c>
      <c r="AY118" s="444" t="str">
        <f t="shared" si="114"/>
        <v/>
      </c>
      <c r="AZ118" s="444" t="str">
        <f t="shared" si="114"/>
        <v/>
      </c>
      <c r="BA118" s="444" t="str">
        <f t="shared" si="114"/>
        <v/>
      </c>
      <c r="BB118" s="444" t="str">
        <f t="shared" si="114"/>
        <v/>
      </c>
      <c r="BC118" s="444" t="str">
        <f t="shared" si="115"/>
        <v/>
      </c>
      <c r="BD118" s="444" t="str">
        <f t="shared" si="115"/>
        <v/>
      </c>
      <c r="BE118" s="444" t="str">
        <f t="shared" si="115"/>
        <v/>
      </c>
      <c r="BF118" s="444" t="str">
        <f t="shared" si="115"/>
        <v/>
      </c>
      <c r="BG118" s="444" t="str">
        <f t="shared" si="115"/>
        <v/>
      </c>
      <c r="BH118" s="445" t="str">
        <f t="shared" si="115"/>
        <v/>
      </c>
      <c r="BI118" s="502"/>
      <c r="BJ118" s="474" t="str">
        <f t="shared" si="116"/>
        <v/>
      </c>
      <c r="BK118" s="475" t="str">
        <f t="shared" si="116"/>
        <v/>
      </c>
      <c r="BL118" s="475" t="str">
        <f t="shared" si="116"/>
        <v/>
      </c>
      <c r="BM118" s="475" t="str">
        <f t="shared" si="116"/>
        <v/>
      </c>
      <c r="BN118" s="475" t="str">
        <f t="shared" si="116"/>
        <v/>
      </c>
      <c r="BO118" s="475" t="str">
        <f t="shared" si="116"/>
        <v/>
      </c>
      <c r="BP118" s="475" t="str">
        <f t="shared" si="116"/>
        <v/>
      </c>
      <c r="BQ118" s="475" t="str">
        <f t="shared" si="116"/>
        <v/>
      </c>
      <c r="BR118" s="475" t="str">
        <f t="shared" si="116"/>
        <v/>
      </c>
      <c r="BS118" s="475" t="str">
        <f t="shared" si="116"/>
        <v/>
      </c>
      <c r="BT118" s="475" t="str">
        <f t="shared" si="117"/>
        <v/>
      </c>
      <c r="BU118" s="475" t="str">
        <f t="shared" si="117"/>
        <v/>
      </c>
      <c r="BV118" s="475" t="str">
        <f t="shared" si="117"/>
        <v/>
      </c>
      <c r="BW118" s="475" t="str">
        <f t="shared" si="117"/>
        <v/>
      </c>
      <c r="BX118" s="475" t="str">
        <f t="shared" si="117"/>
        <v/>
      </c>
      <c r="BY118" s="475" t="str">
        <f t="shared" si="117"/>
        <v/>
      </c>
      <c r="BZ118" s="475" t="str">
        <f t="shared" si="117"/>
        <v/>
      </c>
      <c r="CA118" s="475" t="str">
        <f t="shared" si="117"/>
        <v/>
      </c>
      <c r="CB118" s="475" t="str">
        <f t="shared" si="117"/>
        <v/>
      </c>
      <c r="CC118" s="475" t="str">
        <f t="shared" si="117"/>
        <v/>
      </c>
      <c r="CD118" s="475" t="str">
        <f t="shared" si="118"/>
        <v/>
      </c>
      <c r="CE118" s="475" t="str">
        <f t="shared" si="118"/>
        <v/>
      </c>
      <c r="CF118" s="475" t="str">
        <f t="shared" si="118"/>
        <v/>
      </c>
      <c r="CG118" s="475" t="str">
        <f t="shared" si="118"/>
        <v/>
      </c>
      <c r="CH118" s="475" t="str">
        <f t="shared" si="118"/>
        <v/>
      </c>
      <c r="CI118" s="475" t="str">
        <f t="shared" si="118"/>
        <v/>
      </c>
      <c r="CJ118" s="475" t="str">
        <f t="shared" si="118"/>
        <v/>
      </c>
      <c r="CK118" s="475" t="str">
        <f t="shared" si="118"/>
        <v/>
      </c>
      <c r="CL118" s="475" t="str">
        <f t="shared" si="118"/>
        <v/>
      </c>
      <c r="CM118" s="475" t="str">
        <f t="shared" si="118"/>
        <v/>
      </c>
      <c r="CN118" s="475" t="str">
        <f t="shared" si="119"/>
        <v/>
      </c>
      <c r="CO118" s="475" t="str">
        <f t="shared" si="119"/>
        <v/>
      </c>
      <c r="CP118" s="475" t="str">
        <f t="shared" si="119"/>
        <v/>
      </c>
      <c r="CQ118" s="475" t="str">
        <f t="shared" si="119"/>
        <v/>
      </c>
      <c r="CR118" s="475" t="str">
        <f t="shared" si="119"/>
        <v/>
      </c>
      <c r="CS118" s="475" t="str">
        <f t="shared" si="119"/>
        <v/>
      </c>
      <c r="CT118" s="475" t="str">
        <f t="shared" si="119"/>
        <v/>
      </c>
      <c r="CU118" s="475" t="str">
        <f t="shared" si="119"/>
        <v/>
      </c>
      <c r="CV118" s="475" t="str">
        <f t="shared" si="119"/>
        <v/>
      </c>
      <c r="CW118" s="475" t="str">
        <f t="shared" si="119"/>
        <v/>
      </c>
      <c r="CX118" s="475" t="str">
        <f t="shared" si="119"/>
        <v/>
      </c>
      <c r="CY118" s="475" t="str">
        <f t="shared" si="119"/>
        <v/>
      </c>
      <c r="CZ118" s="495" t="str">
        <f t="shared" si="119"/>
        <v/>
      </c>
      <c r="DA118" s="502"/>
      <c r="DB118" s="460"/>
      <c r="DC118" s="465"/>
      <c r="DD118" s="463"/>
      <c r="DE118" s="512"/>
      <c r="DF118" s="516"/>
      <c r="DG118" s="508"/>
      <c r="DH118" s="463"/>
      <c r="DI118" s="461"/>
      <c r="DJ118" s="461"/>
      <c r="DK118" s="461"/>
      <c r="DL118" s="464"/>
      <c r="DM118" s="466"/>
      <c r="DN118" s="502"/>
      <c r="DO118" s="460"/>
      <c r="DP118" s="464"/>
      <c r="DQ118" s="464"/>
      <c r="DR118" s="464"/>
      <c r="DS118" s="508"/>
      <c r="DT118" s="525"/>
      <c r="DU118" s="525"/>
      <c r="DV118" s="463"/>
      <c r="DW118" s="464"/>
      <c r="DX118" s="465"/>
      <c r="DY118" s="463"/>
      <c r="DZ118" s="464"/>
      <c r="EA118" s="465"/>
      <c r="EB118" s="463"/>
      <c r="EC118" s="465"/>
      <c r="ED118" s="462"/>
      <c r="EE118" s="502"/>
      <c r="EF118" s="463"/>
      <c r="EG118" s="461"/>
      <c r="EH118" s="464"/>
      <c r="EI118" s="464"/>
      <c r="EJ118" s="464"/>
      <c r="EK118" s="464"/>
      <c r="EL118" s="464"/>
      <c r="EM118" s="464"/>
      <c r="EN118" s="464"/>
      <c r="EO118" s="464"/>
      <c r="EP118" s="464"/>
      <c r="EQ118" s="464"/>
      <c r="ER118" s="464"/>
      <c r="ES118" s="464"/>
      <c r="ET118" s="464"/>
      <c r="EU118" s="464"/>
      <c r="EV118" s="464"/>
      <c r="EW118" s="465"/>
      <c r="EX118" s="465"/>
      <c r="EY118" s="502"/>
      <c r="EZ118" s="460"/>
      <c r="FA118" s="464"/>
      <c r="FB118" s="464"/>
      <c r="FC118" s="464"/>
      <c r="FD118" s="464"/>
      <c r="FE118" s="464"/>
      <c r="FF118" s="464"/>
      <c r="FG118" s="466"/>
    </row>
    <row r="119" spans="1:163">
      <c r="A119" s="467" t="s">
        <v>306</v>
      </c>
      <c r="B119" s="471" t="str">
        <f>IF(ISNUMBER(MATCH(A119, 'Pulldown Data'!W:W, 0))=TRUE, "Y", IF(ISNUMBER(MATCH(A119, 'Pulldown Data'!X:X, 0))=TRUE, "M", ""))</f>
        <v/>
      </c>
      <c r="C119" s="504"/>
      <c r="D119" s="502"/>
      <c r="E119" s="443" t="str">
        <f t="shared" si="110"/>
        <v/>
      </c>
      <c r="F119" s="444" t="str">
        <f t="shared" si="110"/>
        <v/>
      </c>
      <c r="G119" s="444" t="str">
        <f t="shared" si="110"/>
        <v/>
      </c>
      <c r="H119" s="444" t="str">
        <f t="shared" si="110"/>
        <v/>
      </c>
      <c r="I119" s="444" t="str">
        <f t="shared" si="110"/>
        <v/>
      </c>
      <c r="J119" s="444" t="str">
        <f t="shared" si="110"/>
        <v/>
      </c>
      <c r="K119" s="444" t="str">
        <f t="shared" si="110"/>
        <v/>
      </c>
      <c r="L119" s="444" t="str">
        <f t="shared" si="110"/>
        <v/>
      </c>
      <c r="M119" s="444" t="str">
        <f t="shared" si="110"/>
        <v/>
      </c>
      <c r="N119" s="444" t="str">
        <f t="shared" si="110"/>
        <v/>
      </c>
      <c r="O119" s="444" t="str">
        <f t="shared" si="111"/>
        <v/>
      </c>
      <c r="P119" s="444" t="str">
        <f t="shared" si="111"/>
        <v/>
      </c>
      <c r="Q119" s="444" t="str">
        <f t="shared" si="111"/>
        <v/>
      </c>
      <c r="R119" s="444" t="str">
        <f t="shared" si="111"/>
        <v/>
      </c>
      <c r="S119" s="444" t="str">
        <f t="shared" si="111"/>
        <v/>
      </c>
      <c r="T119" s="444" t="str">
        <f t="shared" si="111"/>
        <v/>
      </c>
      <c r="U119" s="444" t="str">
        <f t="shared" si="111"/>
        <v/>
      </c>
      <c r="V119" s="444" t="str">
        <f t="shared" si="111"/>
        <v/>
      </c>
      <c r="W119" s="444" t="str">
        <f t="shared" si="111"/>
        <v/>
      </c>
      <c r="X119" s="444" t="str">
        <f t="shared" si="111"/>
        <v/>
      </c>
      <c r="Y119" s="444" t="str">
        <f t="shared" si="112"/>
        <v/>
      </c>
      <c r="Z119" s="444" t="str">
        <f t="shared" si="112"/>
        <v/>
      </c>
      <c r="AA119" s="444" t="str">
        <f t="shared" si="112"/>
        <v/>
      </c>
      <c r="AB119" s="444" t="str">
        <f t="shared" si="112"/>
        <v/>
      </c>
      <c r="AC119" s="444" t="str">
        <f t="shared" si="112"/>
        <v/>
      </c>
      <c r="AD119" s="444" t="str">
        <f t="shared" si="112"/>
        <v/>
      </c>
      <c r="AE119" s="444" t="str">
        <f t="shared" si="112"/>
        <v/>
      </c>
      <c r="AF119" s="444" t="str">
        <f t="shared" si="112"/>
        <v/>
      </c>
      <c r="AG119" s="444" t="str">
        <f t="shared" si="112"/>
        <v/>
      </c>
      <c r="AH119" s="444" t="str">
        <f t="shared" si="112"/>
        <v/>
      </c>
      <c r="AI119" s="444" t="str">
        <f t="shared" si="113"/>
        <v/>
      </c>
      <c r="AJ119" s="444" t="str">
        <f t="shared" si="113"/>
        <v/>
      </c>
      <c r="AK119" s="444" t="str">
        <f t="shared" si="113"/>
        <v/>
      </c>
      <c r="AL119" s="444" t="str">
        <f t="shared" si="113"/>
        <v/>
      </c>
      <c r="AM119" s="444" t="str">
        <f t="shared" si="113"/>
        <v/>
      </c>
      <c r="AN119" s="444" t="str">
        <f t="shared" si="113"/>
        <v/>
      </c>
      <c r="AO119" s="444" t="str">
        <f t="shared" si="113"/>
        <v/>
      </c>
      <c r="AP119" s="444" t="str">
        <f t="shared" si="113"/>
        <v/>
      </c>
      <c r="AQ119" s="444" t="str">
        <f t="shared" si="113"/>
        <v/>
      </c>
      <c r="AR119" s="444" t="str">
        <f t="shared" si="113"/>
        <v/>
      </c>
      <c r="AS119" s="444" t="str">
        <f t="shared" si="114"/>
        <v/>
      </c>
      <c r="AT119" s="444" t="str">
        <f t="shared" si="114"/>
        <v/>
      </c>
      <c r="AU119" s="444" t="str">
        <f t="shared" si="114"/>
        <v/>
      </c>
      <c r="AV119" s="444" t="str">
        <f t="shared" si="114"/>
        <v/>
      </c>
      <c r="AW119" s="444" t="str">
        <f t="shared" si="114"/>
        <v/>
      </c>
      <c r="AX119" s="444" t="str">
        <f t="shared" si="114"/>
        <v/>
      </c>
      <c r="AY119" s="444" t="str">
        <f t="shared" si="114"/>
        <v/>
      </c>
      <c r="AZ119" s="444" t="str">
        <f t="shared" si="114"/>
        <v/>
      </c>
      <c r="BA119" s="444" t="str">
        <f t="shared" si="114"/>
        <v/>
      </c>
      <c r="BB119" s="444" t="str">
        <f t="shared" si="114"/>
        <v/>
      </c>
      <c r="BC119" s="444" t="str">
        <f t="shared" si="115"/>
        <v/>
      </c>
      <c r="BD119" s="444" t="str">
        <f t="shared" si="115"/>
        <v/>
      </c>
      <c r="BE119" s="444" t="str">
        <f t="shared" si="115"/>
        <v/>
      </c>
      <c r="BF119" s="444" t="str">
        <f t="shared" si="115"/>
        <v/>
      </c>
      <c r="BG119" s="444" t="str">
        <f t="shared" si="115"/>
        <v/>
      </c>
      <c r="BH119" s="445" t="str">
        <f t="shared" si="115"/>
        <v/>
      </c>
      <c r="BI119" s="502"/>
      <c r="BJ119" s="474" t="str">
        <f t="shared" si="116"/>
        <v/>
      </c>
      <c r="BK119" s="475" t="str">
        <f t="shared" si="116"/>
        <v/>
      </c>
      <c r="BL119" s="475" t="str">
        <f t="shared" si="116"/>
        <v/>
      </c>
      <c r="BM119" s="475" t="str">
        <f t="shared" si="116"/>
        <v/>
      </c>
      <c r="BN119" s="475" t="str">
        <f t="shared" si="116"/>
        <v/>
      </c>
      <c r="BO119" s="475" t="str">
        <f t="shared" si="116"/>
        <v/>
      </c>
      <c r="BP119" s="475" t="str">
        <f t="shared" si="116"/>
        <v/>
      </c>
      <c r="BQ119" s="475" t="str">
        <f t="shared" si="116"/>
        <v/>
      </c>
      <c r="BR119" s="475" t="str">
        <f t="shared" si="116"/>
        <v/>
      </c>
      <c r="BS119" s="475" t="str">
        <f t="shared" si="116"/>
        <v/>
      </c>
      <c r="BT119" s="475" t="str">
        <f t="shared" si="117"/>
        <v/>
      </c>
      <c r="BU119" s="475" t="str">
        <f t="shared" si="117"/>
        <v/>
      </c>
      <c r="BV119" s="475" t="str">
        <f t="shared" si="117"/>
        <v/>
      </c>
      <c r="BW119" s="475" t="str">
        <f t="shared" si="117"/>
        <v/>
      </c>
      <c r="BX119" s="475" t="str">
        <f t="shared" si="117"/>
        <v/>
      </c>
      <c r="BY119" s="475" t="str">
        <f t="shared" si="117"/>
        <v/>
      </c>
      <c r="BZ119" s="475" t="str">
        <f t="shared" si="117"/>
        <v/>
      </c>
      <c r="CA119" s="475" t="str">
        <f t="shared" si="117"/>
        <v/>
      </c>
      <c r="CB119" s="475" t="str">
        <f t="shared" si="117"/>
        <v/>
      </c>
      <c r="CC119" s="475" t="str">
        <f t="shared" si="117"/>
        <v/>
      </c>
      <c r="CD119" s="475" t="str">
        <f t="shared" si="118"/>
        <v/>
      </c>
      <c r="CE119" s="475" t="str">
        <f t="shared" si="118"/>
        <v/>
      </c>
      <c r="CF119" s="475" t="str">
        <f t="shared" si="118"/>
        <v/>
      </c>
      <c r="CG119" s="475" t="str">
        <f t="shared" si="118"/>
        <v/>
      </c>
      <c r="CH119" s="475" t="str">
        <f t="shared" si="118"/>
        <v/>
      </c>
      <c r="CI119" s="475" t="str">
        <f t="shared" si="118"/>
        <v/>
      </c>
      <c r="CJ119" s="475" t="str">
        <f t="shared" si="118"/>
        <v/>
      </c>
      <c r="CK119" s="475" t="str">
        <f t="shared" si="118"/>
        <v/>
      </c>
      <c r="CL119" s="475" t="str">
        <f t="shared" si="118"/>
        <v/>
      </c>
      <c r="CM119" s="475" t="str">
        <f t="shared" si="118"/>
        <v/>
      </c>
      <c r="CN119" s="475" t="str">
        <f t="shared" si="119"/>
        <v/>
      </c>
      <c r="CO119" s="475" t="str">
        <f t="shared" si="119"/>
        <v/>
      </c>
      <c r="CP119" s="475" t="str">
        <f t="shared" si="119"/>
        <v/>
      </c>
      <c r="CQ119" s="475" t="str">
        <f t="shared" si="119"/>
        <v/>
      </c>
      <c r="CR119" s="475" t="str">
        <f t="shared" si="119"/>
        <v/>
      </c>
      <c r="CS119" s="475" t="str">
        <f t="shared" si="119"/>
        <v/>
      </c>
      <c r="CT119" s="475" t="str">
        <f t="shared" si="119"/>
        <v/>
      </c>
      <c r="CU119" s="475" t="str">
        <f t="shared" si="119"/>
        <v/>
      </c>
      <c r="CV119" s="475" t="str">
        <f t="shared" si="119"/>
        <v/>
      </c>
      <c r="CW119" s="475" t="str">
        <f t="shared" si="119"/>
        <v/>
      </c>
      <c r="CX119" s="475" t="str">
        <f t="shared" si="119"/>
        <v/>
      </c>
      <c r="CY119" s="475" t="str">
        <f t="shared" si="119"/>
        <v/>
      </c>
      <c r="CZ119" s="495" t="str">
        <f t="shared" si="119"/>
        <v/>
      </c>
      <c r="DA119" s="502"/>
      <c r="DB119" s="460"/>
      <c r="DC119" s="465"/>
      <c r="DD119" s="463"/>
      <c r="DE119" s="512"/>
      <c r="DF119" s="516"/>
      <c r="DG119" s="508"/>
      <c r="DH119" s="463"/>
      <c r="DI119" s="461"/>
      <c r="DJ119" s="461"/>
      <c r="DK119" s="461"/>
      <c r="DL119" s="464"/>
      <c r="DM119" s="466"/>
      <c r="DN119" s="502"/>
      <c r="DO119" s="460"/>
      <c r="DP119" s="464"/>
      <c r="DQ119" s="464"/>
      <c r="DR119" s="464"/>
      <c r="DS119" s="508"/>
      <c r="DT119" s="525"/>
      <c r="DU119" s="525"/>
      <c r="DV119" s="463"/>
      <c r="DW119" s="464"/>
      <c r="DX119" s="465"/>
      <c r="DY119" s="463"/>
      <c r="DZ119" s="464"/>
      <c r="EA119" s="465"/>
      <c r="EB119" s="463"/>
      <c r="EC119" s="465"/>
      <c r="ED119" s="462"/>
      <c r="EE119" s="502"/>
      <c r="EF119" s="463"/>
      <c r="EG119" s="461"/>
      <c r="EH119" s="464"/>
      <c r="EI119" s="464"/>
      <c r="EJ119" s="464"/>
      <c r="EK119" s="464"/>
      <c r="EL119" s="464"/>
      <c r="EM119" s="464"/>
      <c r="EN119" s="464"/>
      <c r="EO119" s="464"/>
      <c r="EP119" s="464"/>
      <c r="EQ119" s="464"/>
      <c r="ER119" s="464"/>
      <c r="ES119" s="464"/>
      <c r="ET119" s="464"/>
      <c r="EU119" s="464"/>
      <c r="EV119" s="464"/>
      <c r="EW119" s="465"/>
      <c r="EX119" s="465"/>
      <c r="EY119" s="502"/>
      <c r="EZ119" s="460"/>
      <c r="FA119" s="464"/>
      <c r="FB119" s="464"/>
      <c r="FC119" s="464"/>
      <c r="FD119" s="464"/>
      <c r="FE119" s="464"/>
      <c r="FF119" s="464"/>
      <c r="FG119" s="466"/>
    </row>
    <row r="120" spans="1:163">
      <c r="A120" s="467" t="s">
        <v>307</v>
      </c>
      <c r="B120" s="471" t="str">
        <f>IF(ISNUMBER(MATCH(A120, 'Pulldown Data'!W:W, 0))=TRUE, "Y", IF(ISNUMBER(MATCH(A120, 'Pulldown Data'!X:X, 0))=TRUE, "M", ""))</f>
        <v/>
      </c>
      <c r="C120" s="504">
        <v>45630</v>
      </c>
      <c r="D120" s="502"/>
      <c r="E120" s="443" t="str">
        <f t="shared" si="110"/>
        <v>YES</v>
      </c>
      <c r="F120" s="444" t="str">
        <f t="shared" si="110"/>
        <v>YES</v>
      </c>
      <c r="G120" s="444" t="str">
        <f t="shared" si="110"/>
        <v>YES</v>
      </c>
      <c r="H120" s="444" t="str">
        <f t="shared" si="110"/>
        <v>YES</v>
      </c>
      <c r="I120" s="444" t="str">
        <f t="shared" si="110"/>
        <v>YES</v>
      </c>
      <c r="J120" s="444" t="str">
        <f t="shared" si="110"/>
        <v>YES</v>
      </c>
      <c r="K120" s="444" t="str">
        <f t="shared" si="110"/>
        <v>NO</v>
      </c>
      <c r="L120" s="444" t="str">
        <f t="shared" si="110"/>
        <v>NO</v>
      </c>
      <c r="M120" s="444" t="str">
        <f t="shared" si="110"/>
        <v>DEP</v>
      </c>
      <c r="N120" s="444" t="str">
        <f t="shared" si="110"/>
        <v>NO</v>
      </c>
      <c r="O120" s="444" t="str">
        <f t="shared" si="111"/>
        <v>NO</v>
      </c>
      <c r="P120" s="444" t="str">
        <f t="shared" si="111"/>
        <v>DEP</v>
      </c>
      <c r="Q120" s="444" t="str">
        <f t="shared" si="111"/>
        <v>DEP</v>
      </c>
      <c r="R120" s="444" t="str">
        <f t="shared" si="111"/>
        <v>DEP</v>
      </c>
      <c r="S120" s="444" t="str">
        <f t="shared" si="111"/>
        <v>DEP</v>
      </c>
      <c r="T120" s="444" t="str">
        <f t="shared" si="111"/>
        <v>DEP</v>
      </c>
      <c r="U120" s="444" t="str">
        <f t="shared" si="111"/>
        <v>DEP</v>
      </c>
      <c r="V120" s="444" t="str">
        <f t="shared" si="111"/>
        <v>DEP</v>
      </c>
      <c r="W120" s="444" t="str">
        <f t="shared" si="111"/>
        <v>NO</v>
      </c>
      <c r="X120" s="444" t="str">
        <f t="shared" si="111"/>
        <v>DEP</v>
      </c>
      <c r="Y120" s="444" t="str">
        <f t="shared" si="112"/>
        <v>DEP</v>
      </c>
      <c r="Z120" s="444" t="str">
        <f t="shared" si="112"/>
        <v>DEP</v>
      </c>
      <c r="AA120" s="444" t="str">
        <f t="shared" si="112"/>
        <v>NO</v>
      </c>
      <c r="AB120" s="444" t="str">
        <f t="shared" si="112"/>
        <v>NO</v>
      </c>
      <c r="AC120" s="444" t="str">
        <f t="shared" si="112"/>
        <v>NO</v>
      </c>
      <c r="AD120" s="444" t="str">
        <f t="shared" si="112"/>
        <v>NO</v>
      </c>
      <c r="AE120" s="444" t="str">
        <f t="shared" si="112"/>
        <v>NO</v>
      </c>
      <c r="AF120" s="444" t="str">
        <f t="shared" si="112"/>
        <v>NO</v>
      </c>
      <c r="AG120" s="444" t="str">
        <f t="shared" si="112"/>
        <v>NO</v>
      </c>
      <c r="AH120" s="444" t="str">
        <f t="shared" si="112"/>
        <v>NO</v>
      </c>
      <c r="AI120" s="444" t="str">
        <f t="shared" si="113"/>
        <v>NO</v>
      </c>
      <c r="AJ120" s="444" t="str">
        <f t="shared" si="113"/>
        <v>NO</v>
      </c>
      <c r="AK120" s="444" t="str">
        <f t="shared" si="113"/>
        <v>NO</v>
      </c>
      <c r="AL120" s="444" t="str">
        <f t="shared" si="113"/>
        <v>NO</v>
      </c>
      <c r="AM120" s="444" t="str">
        <f t="shared" si="113"/>
        <v>NO</v>
      </c>
      <c r="AN120" s="444" t="str">
        <f t="shared" si="113"/>
        <v>NO</v>
      </c>
      <c r="AO120" s="444" t="str">
        <f t="shared" si="113"/>
        <v>NO</v>
      </c>
      <c r="AP120" s="444" t="str">
        <f t="shared" si="113"/>
        <v>YES</v>
      </c>
      <c r="AQ120" s="444" t="str">
        <f t="shared" si="113"/>
        <v>DEP</v>
      </c>
      <c r="AR120" s="444" t="str">
        <f t="shared" si="113"/>
        <v>NO</v>
      </c>
      <c r="AS120" s="444" t="str">
        <f t="shared" si="114"/>
        <v>NO</v>
      </c>
      <c r="AT120" s="444" t="str">
        <f t="shared" si="114"/>
        <v>DEP</v>
      </c>
      <c r="AU120" s="444" t="str">
        <f t="shared" si="114"/>
        <v>DEP</v>
      </c>
      <c r="AV120" s="444" t="str">
        <f t="shared" si="114"/>
        <v>DEP</v>
      </c>
      <c r="AW120" s="444" t="str">
        <f t="shared" si="114"/>
        <v>DEP</v>
      </c>
      <c r="AX120" s="444" t="str">
        <f t="shared" si="114"/>
        <v>DEP</v>
      </c>
      <c r="AY120" s="444" t="str">
        <f t="shared" si="114"/>
        <v>YES</v>
      </c>
      <c r="AZ120" s="444" t="str">
        <f t="shared" si="114"/>
        <v>DEP</v>
      </c>
      <c r="BA120" s="444" t="str">
        <f t="shared" si="114"/>
        <v>DEP</v>
      </c>
      <c r="BB120" s="444" t="str">
        <f t="shared" si="114"/>
        <v>DEP</v>
      </c>
      <c r="BC120" s="444" t="str">
        <f t="shared" si="115"/>
        <v>NO</v>
      </c>
      <c r="BD120" s="444" t="str">
        <f t="shared" si="115"/>
        <v>NO</v>
      </c>
      <c r="BE120" s="444" t="str">
        <f t="shared" si="115"/>
        <v>DEP</v>
      </c>
      <c r="BF120" s="444" t="str">
        <f t="shared" si="115"/>
        <v>DEP</v>
      </c>
      <c r="BG120" s="444" t="str">
        <f t="shared" si="115"/>
        <v>DEP</v>
      </c>
      <c r="BH120" s="445" t="str">
        <f t="shared" si="115"/>
        <v>NO</v>
      </c>
      <c r="BI120" s="502"/>
      <c r="BJ120" s="474" t="str">
        <f t="shared" si="116"/>
        <v>YES</v>
      </c>
      <c r="BK120" s="475" t="str">
        <f t="shared" si="116"/>
        <v>YES</v>
      </c>
      <c r="BL120" s="475" t="str">
        <f t="shared" si="116"/>
        <v>NO</v>
      </c>
      <c r="BM120" s="475" t="str">
        <f t="shared" si="116"/>
        <v>NO</v>
      </c>
      <c r="BN120" s="475" t="str">
        <f t="shared" si="116"/>
        <v>NO</v>
      </c>
      <c r="BO120" s="475" t="str">
        <f t="shared" si="116"/>
        <v>NO</v>
      </c>
      <c r="BP120" s="475" t="str">
        <f t="shared" si="116"/>
        <v>NO</v>
      </c>
      <c r="BQ120" s="475" t="str">
        <f t="shared" si="116"/>
        <v>NO</v>
      </c>
      <c r="BR120" s="475" t="str">
        <f t="shared" si="116"/>
        <v>NO</v>
      </c>
      <c r="BS120" s="475" t="str">
        <f t="shared" si="116"/>
        <v>NO</v>
      </c>
      <c r="BT120" s="475" t="str">
        <f t="shared" si="117"/>
        <v>NO</v>
      </c>
      <c r="BU120" s="475" t="str">
        <f t="shared" si="117"/>
        <v>NO</v>
      </c>
      <c r="BV120" s="475" t="str">
        <f t="shared" si="117"/>
        <v>NO</v>
      </c>
      <c r="BW120" s="475" t="str">
        <f t="shared" si="117"/>
        <v>NO</v>
      </c>
      <c r="BX120" s="475" t="str">
        <f t="shared" si="117"/>
        <v>NO</v>
      </c>
      <c r="BY120" s="475" t="str">
        <f t="shared" si="117"/>
        <v>NO</v>
      </c>
      <c r="BZ120" s="475" t="str">
        <f t="shared" si="117"/>
        <v>NO</v>
      </c>
      <c r="CA120" s="475" t="str">
        <f t="shared" si="117"/>
        <v>NO</v>
      </c>
      <c r="CB120" s="475" t="str">
        <f t="shared" si="117"/>
        <v>NO</v>
      </c>
      <c r="CC120" s="475" t="str">
        <f t="shared" si="117"/>
        <v>NO</v>
      </c>
      <c r="CD120" s="475" t="str">
        <f t="shared" si="118"/>
        <v>NO</v>
      </c>
      <c r="CE120" s="475" t="str">
        <f t="shared" si="118"/>
        <v>NO</v>
      </c>
      <c r="CF120" s="475" t="str">
        <f t="shared" si="118"/>
        <v>NO</v>
      </c>
      <c r="CG120" s="475" t="str">
        <f t="shared" si="118"/>
        <v>NO</v>
      </c>
      <c r="CH120" s="475" t="str">
        <f t="shared" si="118"/>
        <v>NO</v>
      </c>
      <c r="CI120" s="475" t="str">
        <f t="shared" si="118"/>
        <v>NO</v>
      </c>
      <c r="CJ120" s="475" t="str">
        <f t="shared" si="118"/>
        <v>NO</v>
      </c>
      <c r="CK120" s="475" t="str">
        <f t="shared" si="118"/>
        <v>YES</v>
      </c>
      <c r="CL120" s="475" t="str">
        <f t="shared" si="118"/>
        <v>YES</v>
      </c>
      <c r="CM120" s="475" t="str">
        <f t="shared" si="118"/>
        <v>NO</v>
      </c>
      <c r="CN120" s="475" t="str">
        <f t="shared" si="119"/>
        <v>NO</v>
      </c>
      <c r="CO120" s="475" t="str">
        <f t="shared" si="119"/>
        <v>NO</v>
      </c>
      <c r="CP120" s="475" t="str">
        <f t="shared" si="119"/>
        <v>NO</v>
      </c>
      <c r="CQ120" s="475" t="str">
        <f t="shared" si="119"/>
        <v>NO</v>
      </c>
      <c r="CR120" s="475" t="str">
        <f t="shared" si="119"/>
        <v>NO</v>
      </c>
      <c r="CS120" s="475" t="str">
        <f t="shared" si="119"/>
        <v>NO</v>
      </c>
      <c r="CT120" s="475" t="str">
        <f t="shared" si="119"/>
        <v>NO</v>
      </c>
      <c r="CU120" s="475" t="str">
        <f t="shared" si="119"/>
        <v>NO</v>
      </c>
      <c r="CV120" s="475" t="str">
        <f t="shared" si="119"/>
        <v>NO</v>
      </c>
      <c r="CW120" s="475" t="str">
        <f t="shared" si="119"/>
        <v>NO</v>
      </c>
      <c r="CX120" s="475" t="str">
        <f t="shared" si="119"/>
        <v>NO</v>
      </c>
      <c r="CY120" s="475" t="str">
        <f t="shared" si="119"/>
        <v>NO</v>
      </c>
      <c r="CZ120" s="495" t="str">
        <f t="shared" si="119"/>
        <v>NO</v>
      </c>
      <c r="DA120" s="502"/>
      <c r="DB120" s="460"/>
      <c r="DC120" s="465"/>
      <c r="DD120" s="463"/>
      <c r="DE120" s="512"/>
      <c r="DF120" s="516"/>
      <c r="DG120" s="508"/>
      <c r="DH120" s="463"/>
      <c r="DI120" s="461"/>
      <c r="DJ120" s="461"/>
      <c r="DK120" s="461"/>
      <c r="DL120" s="464"/>
      <c r="DM120" s="466"/>
      <c r="DN120" s="502"/>
      <c r="DO120" s="460"/>
      <c r="DP120" s="464"/>
      <c r="DQ120" s="464"/>
      <c r="DR120" s="464"/>
      <c r="DS120" s="508"/>
      <c r="DT120" s="525"/>
      <c r="DU120" s="525"/>
      <c r="DV120" s="463"/>
      <c r="DW120" s="464"/>
      <c r="DX120" s="465"/>
      <c r="DY120" s="463"/>
      <c r="DZ120" s="464"/>
      <c r="EA120" s="465"/>
      <c r="EB120" s="463"/>
      <c r="EC120" s="465"/>
      <c r="ED120" s="462"/>
      <c r="EE120" s="502"/>
      <c r="EF120" s="463"/>
      <c r="EG120" s="461"/>
      <c r="EH120" s="464"/>
      <c r="EI120" s="464"/>
      <c r="EJ120" s="464"/>
      <c r="EK120" s="464"/>
      <c r="EL120" s="464"/>
      <c r="EM120" s="464"/>
      <c r="EN120" s="464"/>
      <c r="EO120" s="464"/>
      <c r="EP120" s="464"/>
      <c r="EQ120" s="464"/>
      <c r="ER120" s="464"/>
      <c r="ES120" s="464"/>
      <c r="ET120" s="464"/>
      <c r="EU120" s="464"/>
      <c r="EV120" s="464"/>
      <c r="EW120" s="465"/>
      <c r="EX120" s="465"/>
      <c r="EY120" s="502"/>
      <c r="EZ120" s="460"/>
      <c r="FA120" s="464"/>
      <c r="FB120" s="464"/>
      <c r="FC120" s="464"/>
      <c r="FD120" s="464"/>
      <c r="FE120" s="464"/>
      <c r="FF120" s="464"/>
      <c r="FG120" s="466"/>
    </row>
    <row r="121" spans="1:163">
      <c r="A121" s="467" t="s">
        <v>308</v>
      </c>
      <c r="B121" s="471" t="str">
        <f>IF(ISNUMBER(MATCH(A121, 'Pulldown Data'!W:W, 0))=TRUE, "Y", IF(ISNUMBER(MATCH(A121, 'Pulldown Data'!X:X, 0))=TRUE, "M", ""))</f>
        <v/>
      </c>
      <c r="C121" s="504"/>
      <c r="D121" s="502"/>
      <c r="E121" s="443" t="str">
        <f t="shared" si="110"/>
        <v/>
      </c>
      <c r="F121" s="444" t="str">
        <f t="shared" si="110"/>
        <v/>
      </c>
      <c r="G121" s="444" t="str">
        <f t="shared" si="110"/>
        <v/>
      </c>
      <c r="H121" s="444" t="str">
        <f t="shared" si="110"/>
        <v/>
      </c>
      <c r="I121" s="444" t="str">
        <f t="shared" si="110"/>
        <v/>
      </c>
      <c r="J121" s="444" t="str">
        <f t="shared" si="110"/>
        <v/>
      </c>
      <c r="K121" s="444" t="str">
        <f t="shared" si="110"/>
        <v/>
      </c>
      <c r="L121" s="444" t="str">
        <f t="shared" si="110"/>
        <v/>
      </c>
      <c r="M121" s="444" t="str">
        <f t="shared" si="110"/>
        <v/>
      </c>
      <c r="N121" s="444" t="str">
        <f t="shared" si="110"/>
        <v/>
      </c>
      <c r="O121" s="444" t="str">
        <f t="shared" si="111"/>
        <v/>
      </c>
      <c r="P121" s="444" t="str">
        <f t="shared" si="111"/>
        <v/>
      </c>
      <c r="Q121" s="444" t="str">
        <f t="shared" si="111"/>
        <v/>
      </c>
      <c r="R121" s="444" t="str">
        <f t="shared" si="111"/>
        <v/>
      </c>
      <c r="S121" s="444" t="str">
        <f t="shared" si="111"/>
        <v/>
      </c>
      <c r="T121" s="444" t="str">
        <f t="shared" si="111"/>
        <v/>
      </c>
      <c r="U121" s="444" t="str">
        <f t="shared" si="111"/>
        <v/>
      </c>
      <c r="V121" s="444" t="str">
        <f t="shared" si="111"/>
        <v/>
      </c>
      <c r="W121" s="444" t="str">
        <f t="shared" si="111"/>
        <v/>
      </c>
      <c r="X121" s="444" t="str">
        <f t="shared" si="111"/>
        <v/>
      </c>
      <c r="Y121" s="444" t="str">
        <f t="shared" si="112"/>
        <v/>
      </c>
      <c r="Z121" s="444" t="str">
        <f t="shared" si="112"/>
        <v/>
      </c>
      <c r="AA121" s="444" t="str">
        <f t="shared" si="112"/>
        <v/>
      </c>
      <c r="AB121" s="444" t="str">
        <f t="shared" si="112"/>
        <v/>
      </c>
      <c r="AC121" s="444" t="str">
        <f t="shared" si="112"/>
        <v/>
      </c>
      <c r="AD121" s="444" t="str">
        <f t="shared" si="112"/>
        <v/>
      </c>
      <c r="AE121" s="444" t="str">
        <f t="shared" si="112"/>
        <v/>
      </c>
      <c r="AF121" s="444" t="str">
        <f t="shared" si="112"/>
        <v/>
      </c>
      <c r="AG121" s="444" t="str">
        <f t="shared" si="112"/>
        <v/>
      </c>
      <c r="AH121" s="444" t="str">
        <f t="shared" si="112"/>
        <v/>
      </c>
      <c r="AI121" s="444" t="str">
        <f t="shared" si="113"/>
        <v/>
      </c>
      <c r="AJ121" s="444" t="str">
        <f t="shared" si="113"/>
        <v/>
      </c>
      <c r="AK121" s="444" t="str">
        <f t="shared" si="113"/>
        <v/>
      </c>
      <c r="AL121" s="444" t="str">
        <f t="shared" si="113"/>
        <v/>
      </c>
      <c r="AM121" s="444" t="str">
        <f t="shared" si="113"/>
        <v/>
      </c>
      <c r="AN121" s="444" t="str">
        <f t="shared" si="113"/>
        <v/>
      </c>
      <c r="AO121" s="444" t="str">
        <f t="shared" si="113"/>
        <v/>
      </c>
      <c r="AP121" s="444" t="str">
        <f t="shared" si="113"/>
        <v/>
      </c>
      <c r="AQ121" s="444" t="str">
        <f t="shared" si="113"/>
        <v/>
      </c>
      <c r="AR121" s="444" t="str">
        <f t="shared" si="113"/>
        <v/>
      </c>
      <c r="AS121" s="444" t="str">
        <f t="shared" si="114"/>
        <v/>
      </c>
      <c r="AT121" s="444" t="str">
        <f t="shared" si="114"/>
        <v/>
      </c>
      <c r="AU121" s="444" t="str">
        <f t="shared" si="114"/>
        <v/>
      </c>
      <c r="AV121" s="444" t="str">
        <f t="shared" si="114"/>
        <v/>
      </c>
      <c r="AW121" s="444" t="str">
        <f t="shared" si="114"/>
        <v/>
      </c>
      <c r="AX121" s="444" t="str">
        <f t="shared" si="114"/>
        <v/>
      </c>
      <c r="AY121" s="444" t="str">
        <f t="shared" si="114"/>
        <v/>
      </c>
      <c r="AZ121" s="444" t="str">
        <f t="shared" si="114"/>
        <v/>
      </c>
      <c r="BA121" s="444" t="str">
        <f t="shared" si="114"/>
        <v/>
      </c>
      <c r="BB121" s="444" t="str">
        <f t="shared" si="114"/>
        <v/>
      </c>
      <c r="BC121" s="444" t="str">
        <f t="shared" si="115"/>
        <v/>
      </c>
      <c r="BD121" s="444" t="str">
        <f t="shared" si="115"/>
        <v/>
      </c>
      <c r="BE121" s="444" t="str">
        <f t="shared" si="115"/>
        <v/>
      </c>
      <c r="BF121" s="444" t="str">
        <f t="shared" si="115"/>
        <v/>
      </c>
      <c r="BG121" s="444" t="str">
        <f t="shared" si="115"/>
        <v/>
      </c>
      <c r="BH121" s="445" t="str">
        <f t="shared" si="115"/>
        <v/>
      </c>
      <c r="BI121" s="502"/>
      <c r="BJ121" s="474" t="str">
        <f t="shared" si="116"/>
        <v/>
      </c>
      <c r="BK121" s="475" t="str">
        <f t="shared" si="116"/>
        <v/>
      </c>
      <c r="BL121" s="475" t="str">
        <f t="shared" si="116"/>
        <v/>
      </c>
      <c r="BM121" s="475" t="str">
        <f t="shared" si="116"/>
        <v/>
      </c>
      <c r="BN121" s="475" t="str">
        <f t="shared" si="116"/>
        <v/>
      </c>
      <c r="BO121" s="475" t="str">
        <f t="shared" si="116"/>
        <v/>
      </c>
      <c r="BP121" s="475" t="str">
        <f t="shared" si="116"/>
        <v/>
      </c>
      <c r="BQ121" s="475" t="str">
        <f t="shared" si="116"/>
        <v/>
      </c>
      <c r="BR121" s="475" t="str">
        <f t="shared" si="116"/>
        <v/>
      </c>
      <c r="BS121" s="475" t="str">
        <f t="shared" si="116"/>
        <v/>
      </c>
      <c r="BT121" s="475" t="str">
        <f t="shared" si="117"/>
        <v/>
      </c>
      <c r="BU121" s="475" t="str">
        <f t="shared" si="117"/>
        <v/>
      </c>
      <c r="BV121" s="475" t="str">
        <f t="shared" si="117"/>
        <v/>
      </c>
      <c r="BW121" s="475" t="str">
        <f t="shared" si="117"/>
        <v/>
      </c>
      <c r="BX121" s="475" t="str">
        <f t="shared" si="117"/>
        <v/>
      </c>
      <c r="BY121" s="475" t="str">
        <f t="shared" si="117"/>
        <v/>
      </c>
      <c r="BZ121" s="475" t="str">
        <f t="shared" si="117"/>
        <v/>
      </c>
      <c r="CA121" s="475" t="str">
        <f t="shared" si="117"/>
        <v/>
      </c>
      <c r="CB121" s="475" t="str">
        <f t="shared" si="117"/>
        <v/>
      </c>
      <c r="CC121" s="475" t="str">
        <f t="shared" si="117"/>
        <v/>
      </c>
      <c r="CD121" s="475" t="str">
        <f t="shared" si="118"/>
        <v/>
      </c>
      <c r="CE121" s="475" t="str">
        <f t="shared" si="118"/>
        <v/>
      </c>
      <c r="CF121" s="475" t="str">
        <f t="shared" si="118"/>
        <v/>
      </c>
      <c r="CG121" s="475" t="str">
        <f t="shared" si="118"/>
        <v/>
      </c>
      <c r="CH121" s="475" t="str">
        <f t="shared" si="118"/>
        <v/>
      </c>
      <c r="CI121" s="475" t="str">
        <f t="shared" si="118"/>
        <v/>
      </c>
      <c r="CJ121" s="475" t="str">
        <f t="shared" si="118"/>
        <v/>
      </c>
      <c r="CK121" s="475" t="str">
        <f t="shared" si="118"/>
        <v/>
      </c>
      <c r="CL121" s="475" t="str">
        <f t="shared" si="118"/>
        <v/>
      </c>
      <c r="CM121" s="475" t="str">
        <f t="shared" si="118"/>
        <v/>
      </c>
      <c r="CN121" s="475" t="str">
        <f t="shared" si="119"/>
        <v/>
      </c>
      <c r="CO121" s="475" t="str">
        <f t="shared" si="119"/>
        <v/>
      </c>
      <c r="CP121" s="475" t="str">
        <f t="shared" si="119"/>
        <v/>
      </c>
      <c r="CQ121" s="475" t="str">
        <f t="shared" si="119"/>
        <v/>
      </c>
      <c r="CR121" s="475" t="str">
        <f t="shared" si="119"/>
        <v/>
      </c>
      <c r="CS121" s="475" t="str">
        <f t="shared" si="119"/>
        <v/>
      </c>
      <c r="CT121" s="475" t="str">
        <f t="shared" si="119"/>
        <v/>
      </c>
      <c r="CU121" s="475" t="str">
        <f t="shared" si="119"/>
        <v/>
      </c>
      <c r="CV121" s="475" t="str">
        <f t="shared" si="119"/>
        <v/>
      </c>
      <c r="CW121" s="475" t="str">
        <f t="shared" si="119"/>
        <v/>
      </c>
      <c r="CX121" s="475" t="str">
        <f t="shared" si="119"/>
        <v/>
      </c>
      <c r="CY121" s="475" t="str">
        <f t="shared" si="119"/>
        <v/>
      </c>
      <c r="CZ121" s="495" t="str">
        <f t="shared" si="119"/>
        <v/>
      </c>
      <c r="DA121" s="502"/>
      <c r="DB121" s="460"/>
      <c r="DC121" s="465"/>
      <c r="DD121" s="463"/>
      <c r="DE121" s="512"/>
      <c r="DF121" s="516"/>
      <c r="DG121" s="508"/>
      <c r="DH121" s="463"/>
      <c r="DI121" s="461"/>
      <c r="DJ121" s="461"/>
      <c r="DK121" s="461"/>
      <c r="DL121" s="464"/>
      <c r="DM121" s="466"/>
      <c r="DN121" s="502"/>
      <c r="DO121" s="460"/>
      <c r="DP121" s="464"/>
      <c r="DQ121" s="464"/>
      <c r="DR121" s="464"/>
      <c r="DS121" s="508"/>
      <c r="DT121" s="525"/>
      <c r="DU121" s="525"/>
      <c r="DV121" s="463"/>
      <c r="DW121" s="464"/>
      <c r="DX121" s="465"/>
      <c r="DY121" s="463"/>
      <c r="DZ121" s="464"/>
      <c r="EA121" s="465"/>
      <c r="EB121" s="463"/>
      <c r="EC121" s="465"/>
      <c r="ED121" s="462"/>
      <c r="EE121" s="502"/>
      <c r="EF121" s="463"/>
      <c r="EG121" s="461"/>
      <c r="EH121" s="464"/>
      <c r="EI121" s="464"/>
      <c r="EJ121" s="464"/>
      <c r="EK121" s="464"/>
      <c r="EL121" s="464"/>
      <c r="EM121" s="464"/>
      <c r="EN121" s="464"/>
      <c r="EO121" s="464"/>
      <c r="EP121" s="464"/>
      <c r="EQ121" s="464"/>
      <c r="ER121" s="464"/>
      <c r="ES121" s="464"/>
      <c r="ET121" s="464"/>
      <c r="EU121" s="464"/>
      <c r="EV121" s="464"/>
      <c r="EW121" s="465"/>
      <c r="EX121" s="465"/>
      <c r="EY121" s="502"/>
      <c r="EZ121" s="460"/>
      <c r="FA121" s="464"/>
      <c r="FB121" s="464"/>
      <c r="FC121" s="464"/>
      <c r="FD121" s="464"/>
      <c r="FE121" s="464"/>
      <c r="FF121" s="464"/>
      <c r="FG121" s="466"/>
    </row>
    <row r="122" spans="1:163">
      <c r="A122" s="467" t="s">
        <v>309</v>
      </c>
      <c r="B122" s="471" t="str">
        <f>IF(ISNUMBER(MATCH(A122, 'Pulldown Data'!W:W, 0))=TRUE, "Y", IF(ISNUMBER(MATCH(A122, 'Pulldown Data'!X:X, 0))=TRUE, "M", ""))</f>
        <v/>
      </c>
      <c r="C122" s="504">
        <v>45630</v>
      </c>
      <c r="D122" s="502"/>
      <c r="E122" s="443" t="str">
        <f t="shared" ref="E122:N131" si="120" xml:space="preserve">
IFERROR(
_xlfn.IFNA(
   IF($B122="PLT",
      IF(INDEX(PRJGENVersions, MATCH(TRIM(E$1), PRJGENAlgosMapped, 0), MATCH($A122, PRJGENProjects, 0)), "YES", ""),
      IF(INDEX(RoadmapData, MATCH(TRIM(E$1), RoadmapDataFeatures, 0), MATCH($A122, RoadmapDataProjects, 0)) = "-", "-", INDEX(RoadmapData, MATCH(TRIM(E$1), RoadmapDataFeatures, 0), MATCH($A122, RoadmapDataProjects, 0)))),
""),
"")</f>
        <v>NO</v>
      </c>
      <c r="F122" s="444" t="str">
        <f t="shared" si="120"/>
        <v>NO</v>
      </c>
      <c r="G122" s="444" t="str">
        <f t="shared" si="120"/>
        <v>YES</v>
      </c>
      <c r="H122" s="444" t="str">
        <f t="shared" si="120"/>
        <v>YES</v>
      </c>
      <c r="I122" s="444" t="str">
        <f t="shared" si="120"/>
        <v>YES</v>
      </c>
      <c r="J122" s="444" t="str">
        <f t="shared" si="120"/>
        <v>YES</v>
      </c>
      <c r="K122" s="444" t="str">
        <f t="shared" si="120"/>
        <v>NO</v>
      </c>
      <c r="L122" s="444" t="str">
        <f t="shared" si="120"/>
        <v>NO</v>
      </c>
      <c r="M122" s="444" t="str">
        <f t="shared" si="120"/>
        <v>NO</v>
      </c>
      <c r="N122" s="444" t="str">
        <f t="shared" si="120"/>
        <v>DEP</v>
      </c>
      <c r="O122" s="444" t="str">
        <f t="shared" ref="O122:X131" si="121" xml:space="preserve">
IFERROR(
_xlfn.IFNA(
   IF($B122="PLT",
      IF(INDEX(PRJGENVersions, MATCH(TRIM(O$1), PRJGENAlgosMapped, 0), MATCH($A122, PRJGENProjects, 0)), "YES", ""),
      IF(INDEX(RoadmapData, MATCH(TRIM(O$1), RoadmapDataFeatures, 0), MATCH($A122, RoadmapDataProjects, 0)) = "-", "-", INDEX(RoadmapData, MATCH(TRIM(O$1), RoadmapDataFeatures, 0), MATCH($A122, RoadmapDataProjects, 0)))),
""),
"")</f>
        <v>DEP</v>
      </c>
      <c r="P122" s="444" t="str">
        <f t="shared" si="121"/>
        <v>NO</v>
      </c>
      <c r="Q122" s="444" t="str">
        <f t="shared" si="121"/>
        <v>NO</v>
      </c>
      <c r="R122" s="444" t="str">
        <f t="shared" si="121"/>
        <v>NO</v>
      </c>
      <c r="S122" s="444" t="str">
        <f t="shared" si="121"/>
        <v>NO</v>
      </c>
      <c r="T122" s="444" t="str">
        <f t="shared" si="121"/>
        <v>NO</v>
      </c>
      <c r="U122" s="444" t="str">
        <f t="shared" si="121"/>
        <v>YES</v>
      </c>
      <c r="V122" s="444" t="str">
        <f t="shared" si="121"/>
        <v>YES</v>
      </c>
      <c r="W122" s="444" t="str">
        <f t="shared" si="121"/>
        <v>DEP</v>
      </c>
      <c r="X122" s="444" t="str">
        <f t="shared" si="121"/>
        <v>NO</v>
      </c>
      <c r="Y122" s="444" t="str">
        <f t="shared" ref="Y122:AH131" si="122" xml:space="preserve">
IFERROR(
_xlfn.IFNA(
   IF($B122="PLT",
      IF(INDEX(PRJGENVersions, MATCH(TRIM(Y$1), PRJGENAlgosMapped, 0), MATCH($A122, PRJGENProjects, 0)), "YES", ""),
      IF(INDEX(RoadmapData, MATCH(TRIM(Y$1), RoadmapDataFeatures, 0), MATCH($A122, RoadmapDataProjects, 0)) = "-", "-", INDEX(RoadmapData, MATCH(TRIM(Y$1), RoadmapDataFeatures, 0), MATCH($A122, RoadmapDataProjects, 0)))),
""),
"")</f>
        <v>DEP</v>
      </c>
      <c r="Z122" s="444" t="str">
        <f t="shared" si="122"/>
        <v>NO</v>
      </c>
      <c r="AA122" s="444" t="str">
        <f t="shared" si="122"/>
        <v>NO</v>
      </c>
      <c r="AB122" s="444" t="str">
        <f t="shared" si="122"/>
        <v>NO</v>
      </c>
      <c r="AC122" s="444" t="str">
        <f t="shared" si="122"/>
        <v>NO</v>
      </c>
      <c r="AD122" s="444" t="str">
        <f t="shared" si="122"/>
        <v>NO</v>
      </c>
      <c r="AE122" s="444" t="str">
        <f t="shared" si="122"/>
        <v>NO</v>
      </c>
      <c r="AF122" s="444" t="str">
        <f t="shared" si="122"/>
        <v>NO</v>
      </c>
      <c r="AG122" s="444" t="str">
        <f t="shared" si="122"/>
        <v>NO</v>
      </c>
      <c r="AH122" s="444" t="str">
        <f t="shared" si="122"/>
        <v>NO</v>
      </c>
      <c r="AI122" s="444" t="str">
        <f t="shared" ref="AI122:AR131" si="123" xml:space="preserve">
IFERROR(
_xlfn.IFNA(
   IF($B122="PLT",
      IF(INDEX(PRJGENVersions, MATCH(TRIM(AI$1), PRJGENAlgosMapped, 0), MATCH($A122, PRJGENProjects, 0)), "YES", ""),
      IF(INDEX(RoadmapData, MATCH(TRIM(AI$1), RoadmapDataFeatures, 0), MATCH($A122, RoadmapDataProjects, 0)) = "-", "-", INDEX(RoadmapData, MATCH(TRIM(AI$1), RoadmapDataFeatures, 0), MATCH($A122, RoadmapDataProjects, 0)))),
""),
"")</f>
        <v>NO</v>
      </c>
      <c r="AJ122" s="444" t="str">
        <f t="shared" si="123"/>
        <v>NO</v>
      </c>
      <c r="AK122" s="444" t="str">
        <f t="shared" si="123"/>
        <v>NO</v>
      </c>
      <c r="AL122" s="444" t="str">
        <f t="shared" si="123"/>
        <v>YES</v>
      </c>
      <c r="AM122" s="444" t="str">
        <f t="shared" si="123"/>
        <v>NO</v>
      </c>
      <c r="AN122" s="444" t="str">
        <f t="shared" si="123"/>
        <v>NO</v>
      </c>
      <c r="AO122" s="444" t="str">
        <f t="shared" si="123"/>
        <v>NO</v>
      </c>
      <c r="AP122" s="444" t="str">
        <f t="shared" si="123"/>
        <v>YES</v>
      </c>
      <c r="AQ122" s="444" t="str">
        <f t="shared" si="123"/>
        <v>NO</v>
      </c>
      <c r="AR122" s="444" t="str">
        <f t="shared" si="123"/>
        <v>NO</v>
      </c>
      <c r="AS122" s="444" t="str">
        <f t="shared" ref="AS122:BB131" si="124" xml:space="preserve">
IFERROR(
_xlfn.IFNA(
   IF($B122="PLT",
      IF(INDEX(PRJGENVersions, MATCH(TRIM(AS$1), PRJGENAlgosMapped, 0), MATCH($A122, PRJGENProjects, 0)), "YES", ""),
      IF(INDEX(RoadmapData, MATCH(TRIM(AS$1), RoadmapDataFeatures, 0), MATCH($A122, RoadmapDataProjects, 0)) = "-", "-", INDEX(RoadmapData, MATCH(TRIM(AS$1), RoadmapDataFeatures, 0), MATCH($A122, RoadmapDataProjects, 0)))),
""),
"")</f>
        <v>NO</v>
      </c>
      <c r="AT122" s="444" t="str">
        <f t="shared" si="124"/>
        <v>DEP</v>
      </c>
      <c r="AU122" s="444" t="str">
        <f t="shared" si="124"/>
        <v>DEP</v>
      </c>
      <c r="AV122" s="444" t="str">
        <f t="shared" si="124"/>
        <v>DEP</v>
      </c>
      <c r="AW122" s="444" t="str">
        <f t="shared" si="124"/>
        <v>DEP</v>
      </c>
      <c r="AX122" s="444" t="str">
        <f t="shared" si="124"/>
        <v>DEP</v>
      </c>
      <c r="AY122" s="444" t="str">
        <f t="shared" si="124"/>
        <v>YES</v>
      </c>
      <c r="AZ122" s="444" t="str">
        <f t="shared" si="124"/>
        <v>DEP</v>
      </c>
      <c r="BA122" s="444" t="str">
        <f t="shared" si="124"/>
        <v>DEP</v>
      </c>
      <c r="BB122" s="444" t="str">
        <f t="shared" si="124"/>
        <v>NO</v>
      </c>
      <c r="BC122" s="444" t="str">
        <f t="shared" ref="BC122:BH131" si="125" xml:space="preserve">
IFERROR(
_xlfn.IFNA(
   IF($B122="PLT",
      IF(INDEX(PRJGENVersions, MATCH(TRIM(BC$1), PRJGENAlgosMapped, 0), MATCH($A122, PRJGENProjects, 0)), "YES", ""),
      IF(INDEX(RoadmapData, MATCH(TRIM(BC$1), RoadmapDataFeatures, 0), MATCH($A122, RoadmapDataProjects, 0)) = "-", "-", INDEX(RoadmapData, MATCH(TRIM(BC$1), RoadmapDataFeatures, 0), MATCH($A122, RoadmapDataProjects, 0)))),
""),
"")</f>
        <v>NO</v>
      </c>
      <c r="BD122" s="444" t="str">
        <f t="shared" si="125"/>
        <v>NO</v>
      </c>
      <c r="BE122" s="444" t="str">
        <f t="shared" si="125"/>
        <v>NO</v>
      </c>
      <c r="BF122" s="444" t="str">
        <f t="shared" si="125"/>
        <v>NO</v>
      </c>
      <c r="BG122" s="444" t="str">
        <f t="shared" si="125"/>
        <v>NO</v>
      </c>
      <c r="BH122" s="445" t="str">
        <f t="shared" si="125"/>
        <v>NO</v>
      </c>
      <c r="BI122" s="502"/>
      <c r="BJ122" s="474" t="str">
        <f t="shared" ref="BJ122:BS131" si="126">_xlfn.IFNA(IF(INDEX(RoadmapData, MATCH(TRIM(BJ$1), RoadmapDataFeatures, 0), MATCH($A122, RoadmapDataProjects, 0)) = "-", "-", INDEX(RoadmapData, MATCH(TRIM(BJ$1), RoadmapDataFeatures, 0), MATCH($A122, RoadmapDataProjects, 0))), "")</f>
        <v>YES</v>
      </c>
      <c r="BK122" s="475" t="str">
        <f t="shared" si="126"/>
        <v>NO</v>
      </c>
      <c r="BL122" s="475" t="str">
        <f t="shared" si="126"/>
        <v>NO</v>
      </c>
      <c r="BM122" s="475" t="str">
        <f t="shared" si="126"/>
        <v>NO</v>
      </c>
      <c r="BN122" s="475" t="str">
        <f t="shared" si="126"/>
        <v>NO</v>
      </c>
      <c r="BO122" s="475" t="str">
        <f t="shared" si="126"/>
        <v>NO</v>
      </c>
      <c r="BP122" s="475" t="str">
        <f t="shared" si="126"/>
        <v>NO</v>
      </c>
      <c r="BQ122" s="475" t="str">
        <f t="shared" si="126"/>
        <v>NO</v>
      </c>
      <c r="BR122" s="475" t="str">
        <f t="shared" si="126"/>
        <v>NO</v>
      </c>
      <c r="BS122" s="475" t="str">
        <f t="shared" si="126"/>
        <v>NO</v>
      </c>
      <c r="BT122" s="475" t="str">
        <f t="shared" ref="BT122:CC131" si="127">_xlfn.IFNA(IF(INDEX(RoadmapData, MATCH(TRIM(BT$1), RoadmapDataFeatures, 0), MATCH($A122, RoadmapDataProjects, 0)) = "-", "-", INDEX(RoadmapData, MATCH(TRIM(BT$1), RoadmapDataFeatures, 0), MATCH($A122, RoadmapDataProjects, 0))), "")</f>
        <v>NO</v>
      </c>
      <c r="BU122" s="475" t="str">
        <f t="shared" si="127"/>
        <v>NO</v>
      </c>
      <c r="BV122" s="475" t="str">
        <f t="shared" si="127"/>
        <v>NO</v>
      </c>
      <c r="BW122" s="475" t="str">
        <f t="shared" si="127"/>
        <v>NO</v>
      </c>
      <c r="BX122" s="475" t="str">
        <f t="shared" si="127"/>
        <v>NO</v>
      </c>
      <c r="BY122" s="475" t="str">
        <f t="shared" si="127"/>
        <v>NO</v>
      </c>
      <c r="BZ122" s="475" t="str">
        <f t="shared" si="127"/>
        <v>NO</v>
      </c>
      <c r="CA122" s="475" t="str">
        <f t="shared" si="127"/>
        <v>NO</v>
      </c>
      <c r="CB122" s="475" t="str">
        <f t="shared" si="127"/>
        <v>NO</v>
      </c>
      <c r="CC122" s="475" t="str">
        <f t="shared" si="127"/>
        <v>NO</v>
      </c>
      <c r="CD122" s="475" t="str">
        <f t="shared" ref="CD122:CM131" si="128">_xlfn.IFNA(IF(INDEX(RoadmapData, MATCH(TRIM(CD$1), RoadmapDataFeatures, 0), MATCH($A122, RoadmapDataProjects, 0)) = "-", "-", INDEX(RoadmapData, MATCH(TRIM(CD$1), RoadmapDataFeatures, 0), MATCH($A122, RoadmapDataProjects, 0))), "")</f>
        <v>NO</v>
      </c>
      <c r="CE122" s="475" t="str">
        <f t="shared" si="128"/>
        <v>NO</v>
      </c>
      <c r="CF122" s="475" t="str">
        <f t="shared" si="128"/>
        <v>NO</v>
      </c>
      <c r="CG122" s="475" t="str">
        <f t="shared" si="128"/>
        <v>NO</v>
      </c>
      <c r="CH122" s="475" t="str">
        <f t="shared" si="128"/>
        <v>NO</v>
      </c>
      <c r="CI122" s="475" t="str">
        <f t="shared" si="128"/>
        <v>NO</v>
      </c>
      <c r="CJ122" s="475" t="str">
        <f t="shared" si="128"/>
        <v>NO</v>
      </c>
      <c r="CK122" s="475" t="str">
        <f t="shared" si="128"/>
        <v>NO</v>
      </c>
      <c r="CL122" s="475" t="str">
        <f t="shared" si="128"/>
        <v>YES</v>
      </c>
      <c r="CM122" s="475" t="str">
        <f t="shared" si="128"/>
        <v>NO</v>
      </c>
      <c r="CN122" s="475" t="str">
        <f t="shared" ref="CN122:CZ131" si="129">_xlfn.IFNA(IF(INDEX(RoadmapData, MATCH(TRIM(CN$1), RoadmapDataFeatures, 0), MATCH($A122, RoadmapDataProjects, 0)) = "-", "-", INDEX(RoadmapData, MATCH(TRIM(CN$1), RoadmapDataFeatures, 0), MATCH($A122, RoadmapDataProjects, 0))), "")</f>
        <v>NO</v>
      </c>
      <c r="CO122" s="475" t="str">
        <f t="shared" si="129"/>
        <v>NO</v>
      </c>
      <c r="CP122" s="475" t="str">
        <f t="shared" si="129"/>
        <v>NO</v>
      </c>
      <c r="CQ122" s="475" t="str">
        <f t="shared" si="129"/>
        <v>NO</v>
      </c>
      <c r="CR122" s="475" t="str">
        <f t="shared" si="129"/>
        <v>NO</v>
      </c>
      <c r="CS122" s="475" t="str">
        <f t="shared" si="129"/>
        <v>NO</v>
      </c>
      <c r="CT122" s="475" t="str">
        <f t="shared" si="129"/>
        <v>NO</v>
      </c>
      <c r="CU122" s="475" t="str">
        <f t="shared" si="129"/>
        <v>NO</v>
      </c>
      <c r="CV122" s="475" t="str">
        <f t="shared" si="129"/>
        <v>NO</v>
      </c>
      <c r="CW122" s="475" t="str">
        <f t="shared" si="129"/>
        <v>NO</v>
      </c>
      <c r="CX122" s="475" t="str">
        <f t="shared" si="129"/>
        <v>NO</v>
      </c>
      <c r="CY122" s="475" t="str">
        <f t="shared" si="129"/>
        <v>NO</v>
      </c>
      <c r="CZ122" s="495" t="str">
        <f t="shared" si="129"/>
        <v>NO</v>
      </c>
      <c r="DA122" s="502"/>
      <c r="DB122" s="460"/>
      <c r="DC122" s="465"/>
      <c r="DD122" s="463"/>
      <c r="DE122" s="512"/>
      <c r="DF122" s="516"/>
      <c r="DG122" s="508"/>
      <c r="DH122" s="463"/>
      <c r="DI122" s="461"/>
      <c r="DJ122" s="461"/>
      <c r="DK122" s="461"/>
      <c r="DL122" s="464"/>
      <c r="DM122" s="466"/>
      <c r="DN122" s="502"/>
      <c r="DO122" s="460"/>
      <c r="DP122" s="464"/>
      <c r="DQ122" s="464"/>
      <c r="DR122" s="464"/>
      <c r="DS122" s="508"/>
      <c r="DT122" s="525"/>
      <c r="DU122" s="525"/>
      <c r="DV122" s="463"/>
      <c r="DW122" s="464"/>
      <c r="DX122" s="465"/>
      <c r="DY122" s="463"/>
      <c r="DZ122" s="464"/>
      <c r="EA122" s="465"/>
      <c r="EB122" s="463"/>
      <c r="EC122" s="465"/>
      <c r="ED122" s="462"/>
      <c r="EE122" s="502"/>
      <c r="EF122" s="463"/>
      <c r="EG122" s="461"/>
      <c r="EH122" s="464"/>
      <c r="EI122" s="464"/>
      <c r="EJ122" s="464"/>
      <c r="EK122" s="464"/>
      <c r="EL122" s="464"/>
      <c r="EM122" s="464"/>
      <c r="EN122" s="464"/>
      <c r="EO122" s="464"/>
      <c r="EP122" s="464"/>
      <c r="EQ122" s="464"/>
      <c r="ER122" s="464"/>
      <c r="ES122" s="464"/>
      <c r="ET122" s="464"/>
      <c r="EU122" s="464"/>
      <c r="EV122" s="464"/>
      <c r="EW122" s="465"/>
      <c r="EX122" s="465"/>
      <c r="EY122" s="502"/>
      <c r="EZ122" s="460"/>
      <c r="FA122" s="464"/>
      <c r="FB122" s="464"/>
      <c r="FC122" s="464"/>
      <c r="FD122" s="464"/>
      <c r="FE122" s="464"/>
      <c r="FF122" s="464"/>
      <c r="FG122" s="466"/>
    </row>
    <row r="123" spans="1:163">
      <c r="A123" s="467" t="s">
        <v>310</v>
      </c>
      <c r="B123" s="471" t="str">
        <f>IF(ISNUMBER(MATCH(A123, 'Pulldown Data'!W:W, 0))=TRUE, "Y", IF(ISNUMBER(MATCH(A123, 'Pulldown Data'!X:X, 0))=TRUE, "M", ""))</f>
        <v/>
      </c>
      <c r="C123" s="504"/>
      <c r="D123" s="502"/>
      <c r="E123" s="443" t="str">
        <f t="shared" si="120"/>
        <v/>
      </c>
      <c r="F123" s="444" t="str">
        <f t="shared" si="120"/>
        <v/>
      </c>
      <c r="G123" s="444" t="str">
        <f t="shared" si="120"/>
        <v/>
      </c>
      <c r="H123" s="444" t="str">
        <f t="shared" si="120"/>
        <v/>
      </c>
      <c r="I123" s="444" t="str">
        <f t="shared" si="120"/>
        <v/>
      </c>
      <c r="J123" s="444" t="str">
        <f t="shared" si="120"/>
        <v/>
      </c>
      <c r="K123" s="444" t="str">
        <f t="shared" si="120"/>
        <v/>
      </c>
      <c r="L123" s="444" t="str">
        <f t="shared" si="120"/>
        <v/>
      </c>
      <c r="M123" s="444" t="str">
        <f t="shared" si="120"/>
        <v/>
      </c>
      <c r="N123" s="444" t="str">
        <f t="shared" si="120"/>
        <v/>
      </c>
      <c r="O123" s="444" t="str">
        <f t="shared" si="121"/>
        <v/>
      </c>
      <c r="P123" s="444" t="str">
        <f t="shared" si="121"/>
        <v/>
      </c>
      <c r="Q123" s="444" t="str">
        <f t="shared" si="121"/>
        <v/>
      </c>
      <c r="R123" s="444" t="str">
        <f t="shared" si="121"/>
        <v/>
      </c>
      <c r="S123" s="444" t="str">
        <f t="shared" si="121"/>
        <v/>
      </c>
      <c r="T123" s="444" t="str">
        <f t="shared" si="121"/>
        <v/>
      </c>
      <c r="U123" s="444" t="str">
        <f t="shared" si="121"/>
        <v/>
      </c>
      <c r="V123" s="444" t="str">
        <f t="shared" si="121"/>
        <v/>
      </c>
      <c r="W123" s="444" t="str">
        <f t="shared" si="121"/>
        <v/>
      </c>
      <c r="X123" s="444" t="str">
        <f t="shared" si="121"/>
        <v/>
      </c>
      <c r="Y123" s="444" t="str">
        <f t="shared" si="122"/>
        <v/>
      </c>
      <c r="Z123" s="444" t="str">
        <f t="shared" si="122"/>
        <v/>
      </c>
      <c r="AA123" s="444" t="str">
        <f t="shared" si="122"/>
        <v/>
      </c>
      <c r="AB123" s="444" t="str">
        <f t="shared" si="122"/>
        <v/>
      </c>
      <c r="AC123" s="444" t="str">
        <f t="shared" si="122"/>
        <v/>
      </c>
      <c r="AD123" s="444" t="str">
        <f t="shared" si="122"/>
        <v/>
      </c>
      <c r="AE123" s="444" t="str">
        <f t="shared" si="122"/>
        <v/>
      </c>
      <c r="AF123" s="444" t="str">
        <f t="shared" si="122"/>
        <v/>
      </c>
      <c r="AG123" s="444" t="str">
        <f t="shared" si="122"/>
        <v/>
      </c>
      <c r="AH123" s="444" t="str">
        <f t="shared" si="122"/>
        <v/>
      </c>
      <c r="AI123" s="444" t="str">
        <f t="shared" si="123"/>
        <v/>
      </c>
      <c r="AJ123" s="444" t="str">
        <f t="shared" si="123"/>
        <v/>
      </c>
      <c r="AK123" s="444" t="str">
        <f t="shared" si="123"/>
        <v/>
      </c>
      <c r="AL123" s="444" t="str">
        <f t="shared" si="123"/>
        <v/>
      </c>
      <c r="AM123" s="444" t="str">
        <f t="shared" si="123"/>
        <v/>
      </c>
      <c r="AN123" s="444" t="str">
        <f t="shared" si="123"/>
        <v/>
      </c>
      <c r="AO123" s="444" t="str">
        <f t="shared" si="123"/>
        <v/>
      </c>
      <c r="AP123" s="444" t="str">
        <f t="shared" si="123"/>
        <v/>
      </c>
      <c r="AQ123" s="444" t="str">
        <f t="shared" si="123"/>
        <v/>
      </c>
      <c r="AR123" s="444" t="str">
        <f t="shared" si="123"/>
        <v/>
      </c>
      <c r="AS123" s="444" t="str">
        <f t="shared" si="124"/>
        <v/>
      </c>
      <c r="AT123" s="444" t="str">
        <f t="shared" si="124"/>
        <v/>
      </c>
      <c r="AU123" s="444" t="str">
        <f t="shared" si="124"/>
        <v/>
      </c>
      <c r="AV123" s="444" t="str">
        <f t="shared" si="124"/>
        <v/>
      </c>
      <c r="AW123" s="444" t="str">
        <f t="shared" si="124"/>
        <v/>
      </c>
      <c r="AX123" s="444" t="str">
        <f t="shared" si="124"/>
        <v/>
      </c>
      <c r="AY123" s="444" t="str">
        <f t="shared" si="124"/>
        <v/>
      </c>
      <c r="AZ123" s="444" t="str">
        <f t="shared" si="124"/>
        <v/>
      </c>
      <c r="BA123" s="444" t="str">
        <f t="shared" si="124"/>
        <v/>
      </c>
      <c r="BB123" s="444" t="str">
        <f t="shared" si="124"/>
        <v/>
      </c>
      <c r="BC123" s="444" t="str">
        <f t="shared" si="125"/>
        <v/>
      </c>
      <c r="BD123" s="444" t="str">
        <f t="shared" si="125"/>
        <v/>
      </c>
      <c r="BE123" s="444" t="str">
        <f t="shared" si="125"/>
        <v/>
      </c>
      <c r="BF123" s="444" t="str">
        <f t="shared" si="125"/>
        <v/>
      </c>
      <c r="BG123" s="444" t="str">
        <f t="shared" si="125"/>
        <v/>
      </c>
      <c r="BH123" s="445" t="str">
        <f t="shared" si="125"/>
        <v/>
      </c>
      <c r="BI123" s="502"/>
      <c r="BJ123" s="474" t="str">
        <f t="shared" si="126"/>
        <v/>
      </c>
      <c r="BK123" s="475" t="str">
        <f t="shared" si="126"/>
        <v/>
      </c>
      <c r="BL123" s="475" t="str">
        <f t="shared" si="126"/>
        <v/>
      </c>
      <c r="BM123" s="475" t="str">
        <f t="shared" si="126"/>
        <v/>
      </c>
      <c r="BN123" s="475" t="str">
        <f t="shared" si="126"/>
        <v/>
      </c>
      <c r="BO123" s="475" t="str">
        <f t="shared" si="126"/>
        <v/>
      </c>
      <c r="BP123" s="475" t="str">
        <f t="shared" si="126"/>
        <v/>
      </c>
      <c r="BQ123" s="475" t="str">
        <f t="shared" si="126"/>
        <v/>
      </c>
      <c r="BR123" s="475" t="str">
        <f t="shared" si="126"/>
        <v/>
      </c>
      <c r="BS123" s="475" t="str">
        <f t="shared" si="126"/>
        <v/>
      </c>
      <c r="BT123" s="475" t="str">
        <f t="shared" si="127"/>
        <v/>
      </c>
      <c r="BU123" s="475" t="str">
        <f t="shared" si="127"/>
        <v/>
      </c>
      <c r="BV123" s="475" t="str">
        <f t="shared" si="127"/>
        <v/>
      </c>
      <c r="BW123" s="475" t="str">
        <f t="shared" si="127"/>
        <v/>
      </c>
      <c r="BX123" s="475" t="str">
        <f t="shared" si="127"/>
        <v/>
      </c>
      <c r="BY123" s="475" t="str">
        <f t="shared" si="127"/>
        <v/>
      </c>
      <c r="BZ123" s="475" t="str">
        <f t="shared" si="127"/>
        <v/>
      </c>
      <c r="CA123" s="475" t="str">
        <f t="shared" si="127"/>
        <v/>
      </c>
      <c r="CB123" s="475" t="str">
        <f t="shared" si="127"/>
        <v/>
      </c>
      <c r="CC123" s="475" t="str">
        <f t="shared" si="127"/>
        <v/>
      </c>
      <c r="CD123" s="475" t="str">
        <f t="shared" si="128"/>
        <v/>
      </c>
      <c r="CE123" s="475" t="str">
        <f t="shared" si="128"/>
        <v/>
      </c>
      <c r="CF123" s="475" t="str">
        <f t="shared" si="128"/>
        <v/>
      </c>
      <c r="CG123" s="475" t="str">
        <f t="shared" si="128"/>
        <v/>
      </c>
      <c r="CH123" s="475" t="str">
        <f t="shared" si="128"/>
        <v/>
      </c>
      <c r="CI123" s="475" t="str">
        <f t="shared" si="128"/>
        <v/>
      </c>
      <c r="CJ123" s="475" t="str">
        <f t="shared" si="128"/>
        <v/>
      </c>
      <c r="CK123" s="475" t="str">
        <f t="shared" si="128"/>
        <v/>
      </c>
      <c r="CL123" s="475" t="str">
        <f t="shared" si="128"/>
        <v/>
      </c>
      <c r="CM123" s="475" t="str">
        <f t="shared" si="128"/>
        <v/>
      </c>
      <c r="CN123" s="475" t="str">
        <f t="shared" si="129"/>
        <v/>
      </c>
      <c r="CO123" s="475" t="str">
        <f t="shared" si="129"/>
        <v/>
      </c>
      <c r="CP123" s="475" t="str">
        <f t="shared" si="129"/>
        <v/>
      </c>
      <c r="CQ123" s="475" t="str">
        <f t="shared" si="129"/>
        <v/>
      </c>
      <c r="CR123" s="475" t="str">
        <f t="shared" si="129"/>
        <v/>
      </c>
      <c r="CS123" s="475" t="str">
        <f t="shared" si="129"/>
        <v/>
      </c>
      <c r="CT123" s="475" t="str">
        <f t="shared" si="129"/>
        <v/>
      </c>
      <c r="CU123" s="475" t="str">
        <f t="shared" si="129"/>
        <v/>
      </c>
      <c r="CV123" s="475" t="str">
        <f t="shared" si="129"/>
        <v/>
      </c>
      <c r="CW123" s="475" t="str">
        <f t="shared" si="129"/>
        <v/>
      </c>
      <c r="CX123" s="475" t="str">
        <f t="shared" si="129"/>
        <v/>
      </c>
      <c r="CY123" s="475" t="str">
        <f t="shared" si="129"/>
        <v/>
      </c>
      <c r="CZ123" s="495" t="str">
        <f t="shared" si="129"/>
        <v/>
      </c>
      <c r="DA123" s="502"/>
      <c r="DB123" s="460"/>
      <c r="DC123" s="465"/>
      <c r="DD123" s="463"/>
      <c r="DE123" s="512"/>
      <c r="DF123" s="516"/>
      <c r="DG123" s="508"/>
      <c r="DH123" s="463"/>
      <c r="DI123" s="461"/>
      <c r="DJ123" s="461"/>
      <c r="DK123" s="461"/>
      <c r="DL123" s="464"/>
      <c r="DM123" s="466"/>
      <c r="DN123" s="502"/>
      <c r="DO123" s="460"/>
      <c r="DP123" s="464"/>
      <c r="DQ123" s="464"/>
      <c r="DR123" s="464"/>
      <c r="DS123" s="508"/>
      <c r="DT123" s="525"/>
      <c r="DU123" s="525"/>
      <c r="DV123" s="463"/>
      <c r="DW123" s="464"/>
      <c r="DX123" s="465"/>
      <c r="DY123" s="463"/>
      <c r="DZ123" s="464"/>
      <c r="EA123" s="465"/>
      <c r="EB123" s="463"/>
      <c r="EC123" s="465"/>
      <c r="ED123" s="462"/>
      <c r="EE123" s="502"/>
      <c r="EF123" s="463"/>
      <c r="EG123" s="461"/>
      <c r="EH123" s="464"/>
      <c r="EI123" s="464"/>
      <c r="EJ123" s="464"/>
      <c r="EK123" s="464"/>
      <c r="EL123" s="464"/>
      <c r="EM123" s="464"/>
      <c r="EN123" s="464"/>
      <c r="EO123" s="464"/>
      <c r="EP123" s="464"/>
      <c r="EQ123" s="464"/>
      <c r="ER123" s="464"/>
      <c r="ES123" s="464"/>
      <c r="ET123" s="464"/>
      <c r="EU123" s="464"/>
      <c r="EV123" s="464"/>
      <c r="EW123" s="465"/>
      <c r="EX123" s="465"/>
      <c r="EY123" s="502"/>
      <c r="EZ123" s="460"/>
      <c r="FA123" s="464"/>
      <c r="FB123" s="464"/>
      <c r="FC123" s="464"/>
      <c r="FD123" s="464"/>
      <c r="FE123" s="464"/>
      <c r="FF123" s="464"/>
      <c r="FG123" s="466"/>
    </row>
    <row r="124" spans="1:163">
      <c r="A124" s="467" t="s">
        <v>311</v>
      </c>
      <c r="B124" s="471" t="str">
        <f>IF(ISNUMBER(MATCH(A124, 'Pulldown Data'!W:W, 0))=TRUE, "Y", IF(ISNUMBER(MATCH(A124, 'Pulldown Data'!X:X, 0))=TRUE, "M", ""))</f>
        <v/>
      </c>
      <c r="C124" s="504"/>
      <c r="D124" s="502"/>
      <c r="E124" s="443" t="str">
        <f t="shared" si="120"/>
        <v/>
      </c>
      <c r="F124" s="444" t="str">
        <f t="shared" si="120"/>
        <v/>
      </c>
      <c r="G124" s="444" t="str">
        <f t="shared" si="120"/>
        <v/>
      </c>
      <c r="H124" s="444" t="str">
        <f t="shared" si="120"/>
        <v/>
      </c>
      <c r="I124" s="444" t="str">
        <f t="shared" si="120"/>
        <v/>
      </c>
      <c r="J124" s="444" t="str">
        <f t="shared" si="120"/>
        <v/>
      </c>
      <c r="K124" s="444" t="str">
        <f t="shared" si="120"/>
        <v/>
      </c>
      <c r="L124" s="444" t="str">
        <f t="shared" si="120"/>
        <v/>
      </c>
      <c r="M124" s="444" t="str">
        <f t="shared" si="120"/>
        <v/>
      </c>
      <c r="N124" s="444" t="str">
        <f t="shared" si="120"/>
        <v/>
      </c>
      <c r="O124" s="444" t="str">
        <f t="shared" si="121"/>
        <v/>
      </c>
      <c r="P124" s="444" t="str">
        <f t="shared" si="121"/>
        <v/>
      </c>
      <c r="Q124" s="444" t="str">
        <f t="shared" si="121"/>
        <v/>
      </c>
      <c r="R124" s="444" t="str">
        <f t="shared" si="121"/>
        <v/>
      </c>
      <c r="S124" s="444" t="str">
        <f t="shared" si="121"/>
        <v/>
      </c>
      <c r="T124" s="444" t="str">
        <f t="shared" si="121"/>
        <v/>
      </c>
      <c r="U124" s="444" t="str">
        <f t="shared" si="121"/>
        <v/>
      </c>
      <c r="V124" s="444" t="str">
        <f t="shared" si="121"/>
        <v/>
      </c>
      <c r="W124" s="444" t="str">
        <f t="shared" si="121"/>
        <v/>
      </c>
      <c r="X124" s="444" t="str">
        <f t="shared" si="121"/>
        <v/>
      </c>
      <c r="Y124" s="444" t="str">
        <f t="shared" si="122"/>
        <v/>
      </c>
      <c r="Z124" s="444" t="str">
        <f t="shared" si="122"/>
        <v/>
      </c>
      <c r="AA124" s="444" t="str">
        <f t="shared" si="122"/>
        <v/>
      </c>
      <c r="AB124" s="444" t="str">
        <f t="shared" si="122"/>
        <v/>
      </c>
      <c r="AC124" s="444" t="str">
        <f t="shared" si="122"/>
        <v/>
      </c>
      <c r="AD124" s="444" t="str">
        <f t="shared" si="122"/>
        <v/>
      </c>
      <c r="AE124" s="444" t="str">
        <f t="shared" si="122"/>
        <v/>
      </c>
      <c r="AF124" s="444" t="str">
        <f t="shared" si="122"/>
        <v/>
      </c>
      <c r="AG124" s="444" t="str">
        <f t="shared" si="122"/>
        <v/>
      </c>
      <c r="AH124" s="444" t="str">
        <f t="shared" si="122"/>
        <v/>
      </c>
      <c r="AI124" s="444" t="str">
        <f t="shared" si="123"/>
        <v/>
      </c>
      <c r="AJ124" s="444" t="str">
        <f t="shared" si="123"/>
        <v/>
      </c>
      <c r="AK124" s="444" t="str">
        <f t="shared" si="123"/>
        <v/>
      </c>
      <c r="AL124" s="444" t="str">
        <f t="shared" si="123"/>
        <v/>
      </c>
      <c r="AM124" s="444" t="str">
        <f t="shared" si="123"/>
        <v/>
      </c>
      <c r="AN124" s="444" t="str">
        <f t="shared" si="123"/>
        <v/>
      </c>
      <c r="AO124" s="444" t="str">
        <f t="shared" si="123"/>
        <v/>
      </c>
      <c r="AP124" s="444" t="str">
        <f t="shared" si="123"/>
        <v/>
      </c>
      <c r="AQ124" s="444" t="str">
        <f t="shared" si="123"/>
        <v/>
      </c>
      <c r="AR124" s="444" t="str">
        <f t="shared" si="123"/>
        <v/>
      </c>
      <c r="AS124" s="444" t="str">
        <f t="shared" si="124"/>
        <v/>
      </c>
      <c r="AT124" s="444" t="str">
        <f t="shared" si="124"/>
        <v/>
      </c>
      <c r="AU124" s="444" t="str">
        <f t="shared" si="124"/>
        <v/>
      </c>
      <c r="AV124" s="444" t="str">
        <f t="shared" si="124"/>
        <v/>
      </c>
      <c r="AW124" s="444" t="str">
        <f t="shared" si="124"/>
        <v/>
      </c>
      <c r="AX124" s="444" t="str">
        <f t="shared" si="124"/>
        <v/>
      </c>
      <c r="AY124" s="444" t="str">
        <f t="shared" si="124"/>
        <v/>
      </c>
      <c r="AZ124" s="444" t="str">
        <f t="shared" si="124"/>
        <v/>
      </c>
      <c r="BA124" s="444" t="str">
        <f t="shared" si="124"/>
        <v/>
      </c>
      <c r="BB124" s="444" t="str">
        <f t="shared" si="124"/>
        <v/>
      </c>
      <c r="BC124" s="444" t="str">
        <f t="shared" si="125"/>
        <v/>
      </c>
      <c r="BD124" s="444" t="str">
        <f t="shared" si="125"/>
        <v/>
      </c>
      <c r="BE124" s="444" t="str">
        <f t="shared" si="125"/>
        <v/>
      </c>
      <c r="BF124" s="444" t="str">
        <f t="shared" si="125"/>
        <v/>
      </c>
      <c r="BG124" s="444" t="str">
        <f t="shared" si="125"/>
        <v/>
      </c>
      <c r="BH124" s="445" t="str">
        <f t="shared" si="125"/>
        <v/>
      </c>
      <c r="BI124" s="502"/>
      <c r="BJ124" s="474" t="str">
        <f t="shared" si="126"/>
        <v/>
      </c>
      <c r="BK124" s="475" t="str">
        <f t="shared" si="126"/>
        <v/>
      </c>
      <c r="BL124" s="475" t="str">
        <f t="shared" si="126"/>
        <v/>
      </c>
      <c r="BM124" s="475" t="str">
        <f t="shared" si="126"/>
        <v/>
      </c>
      <c r="BN124" s="475" t="str">
        <f t="shared" si="126"/>
        <v/>
      </c>
      <c r="BO124" s="475" t="str">
        <f t="shared" si="126"/>
        <v/>
      </c>
      <c r="BP124" s="475" t="str">
        <f t="shared" si="126"/>
        <v/>
      </c>
      <c r="BQ124" s="475" t="str">
        <f t="shared" si="126"/>
        <v/>
      </c>
      <c r="BR124" s="475" t="str">
        <f t="shared" si="126"/>
        <v/>
      </c>
      <c r="BS124" s="475" t="str">
        <f t="shared" si="126"/>
        <v/>
      </c>
      <c r="BT124" s="475" t="str">
        <f t="shared" si="127"/>
        <v/>
      </c>
      <c r="BU124" s="475" t="str">
        <f t="shared" si="127"/>
        <v/>
      </c>
      <c r="BV124" s="475" t="str">
        <f t="shared" si="127"/>
        <v/>
      </c>
      <c r="BW124" s="475" t="str">
        <f t="shared" si="127"/>
        <v/>
      </c>
      <c r="BX124" s="475" t="str">
        <f t="shared" si="127"/>
        <v/>
      </c>
      <c r="BY124" s="475" t="str">
        <f t="shared" si="127"/>
        <v/>
      </c>
      <c r="BZ124" s="475" t="str">
        <f t="shared" si="127"/>
        <v/>
      </c>
      <c r="CA124" s="475" t="str">
        <f t="shared" si="127"/>
        <v/>
      </c>
      <c r="CB124" s="475" t="str">
        <f t="shared" si="127"/>
        <v/>
      </c>
      <c r="CC124" s="475" t="str">
        <f t="shared" si="127"/>
        <v/>
      </c>
      <c r="CD124" s="475" t="str">
        <f t="shared" si="128"/>
        <v/>
      </c>
      <c r="CE124" s="475" t="str">
        <f t="shared" si="128"/>
        <v/>
      </c>
      <c r="CF124" s="475" t="str">
        <f t="shared" si="128"/>
        <v/>
      </c>
      <c r="CG124" s="475" t="str">
        <f t="shared" si="128"/>
        <v/>
      </c>
      <c r="CH124" s="475" t="str">
        <f t="shared" si="128"/>
        <v/>
      </c>
      <c r="CI124" s="475" t="str">
        <f t="shared" si="128"/>
        <v/>
      </c>
      <c r="CJ124" s="475" t="str">
        <f t="shared" si="128"/>
        <v/>
      </c>
      <c r="CK124" s="475" t="str">
        <f t="shared" si="128"/>
        <v/>
      </c>
      <c r="CL124" s="475" t="str">
        <f t="shared" si="128"/>
        <v/>
      </c>
      <c r="CM124" s="475" t="str">
        <f t="shared" si="128"/>
        <v/>
      </c>
      <c r="CN124" s="475" t="str">
        <f t="shared" si="129"/>
        <v/>
      </c>
      <c r="CO124" s="475" t="str">
        <f t="shared" si="129"/>
        <v/>
      </c>
      <c r="CP124" s="475" t="str">
        <f t="shared" si="129"/>
        <v/>
      </c>
      <c r="CQ124" s="475" t="str">
        <f t="shared" si="129"/>
        <v/>
      </c>
      <c r="CR124" s="475" t="str">
        <f t="shared" si="129"/>
        <v/>
      </c>
      <c r="CS124" s="475" t="str">
        <f t="shared" si="129"/>
        <v/>
      </c>
      <c r="CT124" s="475" t="str">
        <f t="shared" si="129"/>
        <v/>
      </c>
      <c r="CU124" s="475" t="str">
        <f t="shared" si="129"/>
        <v/>
      </c>
      <c r="CV124" s="475" t="str">
        <f t="shared" si="129"/>
        <v/>
      </c>
      <c r="CW124" s="475" t="str">
        <f t="shared" si="129"/>
        <v/>
      </c>
      <c r="CX124" s="475" t="str">
        <f t="shared" si="129"/>
        <v/>
      </c>
      <c r="CY124" s="475" t="str">
        <f t="shared" si="129"/>
        <v/>
      </c>
      <c r="CZ124" s="495" t="str">
        <f t="shared" si="129"/>
        <v/>
      </c>
      <c r="DA124" s="502"/>
      <c r="DB124" s="460"/>
      <c r="DC124" s="465"/>
      <c r="DD124" s="463"/>
      <c r="DE124" s="512"/>
      <c r="DF124" s="516"/>
      <c r="DG124" s="508"/>
      <c r="DH124" s="463"/>
      <c r="DI124" s="461"/>
      <c r="DJ124" s="461"/>
      <c r="DK124" s="461"/>
      <c r="DL124" s="464"/>
      <c r="DM124" s="466"/>
      <c r="DN124" s="502"/>
      <c r="DO124" s="460"/>
      <c r="DP124" s="464"/>
      <c r="DQ124" s="464"/>
      <c r="DR124" s="464"/>
      <c r="DS124" s="508"/>
      <c r="DT124" s="525"/>
      <c r="DU124" s="525"/>
      <c r="DV124" s="463"/>
      <c r="DW124" s="464"/>
      <c r="DX124" s="465"/>
      <c r="DY124" s="463"/>
      <c r="DZ124" s="464"/>
      <c r="EA124" s="465"/>
      <c r="EB124" s="463"/>
      <c r="EC124" s="465"/>
      <c r="ED124" s="462"/>
      <c r="EE124" s="502"/>
      <c r="EF124" s="463"/>
      <c r="EG124" s="461"/>
      <c r="EH124" s="464"/>
      <c r="EI124" s="464"/>
      <c r="EJ124" s="464"/>
      <c r="EK124" s="464"/>
      <c r="EL124" s="464"/>
      <c r="EM124" s="464"/>
      <c r="EN124" s="464"/>
      <c r="EO124" s="464"/>
      <c r="EP124" s="464"/>
      <c r="EQ124" s="464"/>
      <c r="ER124" s="464"/>
      <c r="ES124" s="464"/>
      <c r="ET124" s="464"/>
      <c r="EU124" s="464"/>
      <c r="EV124" s="464"/>
      <c r="EW124" s="465"/>
      <c r="EX124" s="465"/>
      <c r="EY124" s="502"/>
      <c r="EZ124" s="460"/>
      <c r="FA124" s="464"/>
      <c r="FB124" s="464"/>
      <c r="FC124" s="464"/>
      <c r="FD124" s="464"/>
      <c r="FE124" s="464"/>
      <c r="FF124" s="464"/>
      <c r="FG124" s="466"/>
    </row>
    <row r="125" spans="1:163">
      <c r="A125" s="467" t="s">
        <v>312</v>
      </c>
      <c r="B125" s="471" t="str">
        <f>IF(ISNUMBER(MATCH(A125, 'Pulldown Data'!W:W, 0))=TRUE, "Y", IF(ISNUMBER(MATCH(A125, 'Pulldown Data'!X:X, 0))=TRUE, "M", ""))</f>
        <v/>
      </c>
      <c r="C125" s="504"/>
      <c r="D125" s="502"/>
      <c r="E125" s="443" t="str">
        <f t="shared" si="120"/>
        <v/>
      </c>
      <c r="F125" s="444" t="str">
        <f t="shared" si="120"/>
        <v/>
      </c>
      <c r="G125" s="444" t="str">
        <f t="shared" si="120"/>
        <v/>
      </c>
      <c r="H125" s="444" t="str">
        <f t="shared" si="120"/>
        <v/>
      </c>
      <c r="I125" s="444" t="str">
        <f t="shared" si="120"/>
        <v/>
      </c>
      <c r="J125" s="444" t="str">
        <f t="shared" si="120"/>
        <v/>
      </c>
      <c r="K125" s="444" t="str">
        <f t="shared" si="120"/>
        <v/>
      </c>
      <c r="L125" s="444" t="str">
        <f t="shared" si="120"/>
        <v/>
      </c>
      <c r="M125" s="444" t="str">
        <f t="shared" si="120"/>
        <v/>
      </c>
      <c r="N125" s="444" t="str">
        <f t="shared" si="120"/>
        <v/>
      </c>
      <c r="O125" s="444" t="str">
        <f t="shared" si="121"/>
        <v/>
      </c>
      <c r="P125" s="444" t="str">
        <f t="shared" si="121"/>
        <v/>
      </c>
      <c r="Q125" s="444" t="str">
        <f t="shared" si="121"/>
        <v/>
      </c>
      <c r="R125" s="444" t="str">
        <f t="shared" si="121"/>
        <v/>
      </c>
      <c r="S125" s="444" t="str">
        <f t="shared" si="121"/>
        <v/>
      </c>
      <c r="T125" s="444" t="str">
        <f t="shared" si="121"/>
        <v/>
      </c>
      <c r="U125" s="444" t="str">
        <f t="shared" si="121"/>
        <v/>
      </c>
      <c r="V125" s="444" t="str">
        <f t="shared" si="121"/>
        <v/>
      </c>
      <c r="W125" s="444" t="str">
        <f t="shared" si="121"/>
        <v/>
      </c>
      <c r="X125" s="444" t="str">
        <f t="shared" si="121"/>
        <v/>
      </c>
      <c r="Y125" s="444" t="str">
        <f t="shared" si="122"/>
        <v/>
      </c>
      <c r="Z125" s="444" t="str">
        <f t="shared" si="122"/>
        <v/>
      </c>
      <c r="AA125" s="444" t="str">
        <f t="shared" si="122"/>
        <v/>
      </c>
      <c r="AB125" s="444" t="str">
        <f t="shared" si="122"/>
        <v/>
      </c>
      <c r="AC125" s="444" t="str">
        <f t="shared" si="122"/>
        <v/>
      </c>
      <c r="AD125" s="444" t="str">
        <f t="shared" si="122"/>
        <v/>
      </c>
      <c r="AE125" s="444" t="str">
        <f t="shared" si="122"/>
        <v/>
      </c>
      <c r="AF125" s="444" t="str">
        <f t="shared" si="122"/>
        <v/>
      </c>
      <c r="AG125" s="444" t="str">
        <f t="shared" si="122"/>
        <v/>
      </c>
      <c r="AH125" s="444" t="str">
        <f t="shared" si="122"/>
        <v/>
      </c>
      <c r="AI125" s="444" t="str">
        <f t="shared" si="123"/>
        <v/>
      </c>
      <c r="AJ125" s="444" t="str">
        <f t="shared" si="123"/>
        <v/>
      </c>
      <c r="AK125" s="444" t="str">
        <f t="shared" si="123"/>
        <v/>
      </c>
      <c r="AL125" s="444" t="str">
        <f t="shared" si="123"/>
        <v/>
      </c>
      <c r="AM125" s="444" t="str">
        <f t="shared" si="123"/>
        <v/>
      </c>
      <c r="AN125" s="444" t="str">
        <f t="shared" si="123"/>
        <v/>
      </c>
      <c r="AO125" s="444" t="str">
        <f t="shared" si="123"/>
        <v/>
      </c>
      <c r="AP125" s="444" t="str">
        <f t="shared" si="123"/>
        <v/>
      </c>
      <c r="AQ125" s="444" t="str">
        <f t="shared" si="123"/>
        <v/>
      </c>
      <c r="AR125" s="444" t="str">
        <f t="shared" si="123"/>
        <v/>
      </c>
      <c r="AS125" s="444" t="str">
        <f t="shared" si="124"/>
        <v/>
      </c>
      <c r="AT125" s="444" t="str">
        <f t="shared" si="124"/>
        <v/>
      </c>
      <c r="AU125" s="444" t="str">
        <f t="shared" si="124"/>
        <v/>
      </c>
      <c r="AV125" s="444" t="str">
        <f t="shared" si="124"/>
        <v/>
      </c>
      <c r="AW125" s="444" t="str">
        <f t="shared" si="124"/>
        <v/>
      </c>
      <c r="AX125" s="444" t="str">
        <f t="shared" si="124"/>
        <v/>
      </c>
      <c r="AY125" s="444" t="str">
        <f t="shared" si="124"/>
        <v/>
      </c>
      <c r="AZ125" s="444" t="str">
        <f t="shared" si="124"/>
        <v/>
      </c>
      <c r="BA125" s="444" t="str">
        <f t="shared" si="124"/>
        <v/>
      </c>
      <c r="BB125" s="444" t="str">
        <f t="shared" si="124"/>
        <v/>
      </c>
      <c r="BC125" s="444" t="str">
        <f t="shared" si="125"/>
        <v/>
      </c>
      <c r="BD125" s="444" t="str">
        <f t="shared" si="125"/>
        <v/>
      </c>
      <c r="BE125" s="444" t="str">
        <f t="shared" si="125"/>
        <v/>
      </c>
      <c r="BF125" s="444" t="str">
        <f t="shared" si="125"/>
        <v/>
      </c>
      <c r="BG125" s="444" t="str">
        <f t="shared" si="125"/>
        <v/>
      </c>
      <c r="BH125" s="445" t="str">
        <f t="shared" si="125"/>
        <v/>
      </c>
      <c r="BI125" s="502"/>
      <c r="BJ125" s="474" t="str">
        <f t="shared" si="126"/>
        <v/>
      </c>
      <c r="BK125" s="475" t="str">
        <f t="shared" si="126"/>
        <v/>
      </c>
      <c r="BL125" s="475" t="str">
        <f t="shared" si="126"/>
        <v/>
      </c>
      <c r="BM125" s="475" t="str">
        <f t="shared" si="126"/>
        <v/>
      </c>
      <c r="BN125" s="475" t="str">
        <f t="shared" si="126"/>
        <v/>
      </c>
      <c r="BO125" s="475" t="str">
        <f t="shared" si="126"/>
        <v/>
      </c>
      <c r="BP125" s="475" t="str">
        <f t="shared" si="126"/>
        <v/>
      </c>
      <c r="BQ125" s="475" t="str">
        <f t="shared" si="126"/>
        <v/>
      </c>
      <c r="BR125" s="475" t="str">
        <f t="shared" si="126"/>
        <v/>
      </c>
      <c r="BS125" s="475" t="str">
        <f t="shared" si="126"/>
        <v/>
      </c>
      <c r="BT125" s="475" t="str">
        <f t="shared" si="127"/>
        <v/>
      </c>
      <c r="BU125" s="475" t="str">
        <f t="shared" si="127"/>
        <v/>
      </c>
      <c r="BV125" s="475" t="str">
        <f t="shared" si="127"/>
        <v/>
      </c>
      <c r="BW125" s="475" t="str">
        <f t="shared" si="127"/>
        <v/>
      </c>
      <c r="BX125" s="475" t="str">
        <f t="shared" si="127"/>
        <v/>
      </c>
      <c r="BY125" s="475" t="str">
        <f t="shared" si="127"/>
        <v/>
      </c>
      <c r="BZ125" s="475" t="str">
        <f t="shared" si="127"/>
        <v/>
      </c>
      <c r="CA125" s="475" t="str">
        <f t="shared" si="127"/>
        <v/>
      </c>
      <c r="CB125" s="475" t="str">
        <f t="shared" si="127"/>
        <v/>
      </c>
      <c r="CC125" s="475" t="str">
        <f t="shared" si="127"/>
        <v/>
      </c>
      <c r="CD125" s="475" t="str">
        <f t="shared" si="128"/>
        <v/>
      </c>
      <c r="CE125" s="475" t="str">
        <f t="shared" si="128"/>
        <v/>
      </c>
      <c r="CF125" s="475" t="str">
        <f t="shared" si="128"/>
        <v/>
      </c>
      <c r="CG125" s="475" t="str">
        <f t="shared" si="128"/>
        <v/>
      </c>
      <c r="CH125" s="475" t="str">
        <f t="shared" si="128"/>
        <v/>
      </c>
      <c r="CI125" s="475" t="str">
        <f t="shared" si="128"/>
        <v/>
      </c>
      <c r="CJ125" s="475" t="str">
        <f t="shared" si="128"/>
        <v/>
      </c>
      <c r="CK125" s="475" t="str">
        <f t="shared" si="128"/>
        <v/>
      </c>
      <c r="CL125" s="475" t="str">
        <f t="shared" si="128"/>
        <v/>
      </c>
      <c r="CM125" s="475" t="str">
        <f t="shared" si="128"/>
        <v/>
      </c>
      <c r="CN125" s="475" t="str">
        <f t="shared" si="129"/>
        <v/>
      </c>
      <c r="CO125" s="475" t="str">
        <f t="shared" si="129"/>
        <v/>
      </c>
      <c r="CP125" s="475" t="str">
        <f t="shared" si="129"/>
        <v/>
      </c>
      <c r="CQ125" s="475" t="str">
        <f t="shared" si="129"/>
        <v/>
      </c>
      <c r="CR125" s="475" t="str">
        <f t="shared" si="129"/>
        <v/>
      </c>
      <c r="CS125" s="475" t="str">
        <f t="shared" si="129"/>
        <v/>
      </c>
      <c r="CT125" s="475" t="str">
        <f t="shared" si="129"/>
        <v/>
      </c>
      <c r="CU125" s="475" t="str">
        <f t="shared" si="129"/>
        <v/>
      </c>
      <c r="CV125" s="475" t="str">
        <f t="shared" si="129"/>
        <v/>
      </c>
      <c r="CW125" s="475" t="str">
        <f t="shared" si="129"/>
        <v/>
      </c>
      <c r="CX125" s="475" t="str">
        <f t="shared" si="129"/>
        <v/>
      </c>
      <c r="CY125" s="475" t="str">
        <f t="shared" si="129"/>
        <v/>
      </c>
      <c r="CZ125" s="495" t="str">
        <f t="shared" si="129"/>
        <v/>
      </c>
      <c r="DA125" s="502"/>
      <c r="DB125" s="460"/>
      <c r="DC125" s="465"/>
      <c r="DD125" s="463"/>
      <c r="DE125" s="512"/>
      <c r="DF125" s="516"/>
      <c r="DG125" s="508"/>
      <c r="DH125" s="463"/>
      <c r="DI125" s="461"/>
      <c r="DJ125" s="461"/>
      <c r="DK125" s="461"/>
      <c r="DL125" s="464"/>
      <c r="DM125" s="466"/>
      <c r="DN125" s="502"/>
      <c r="DO125" s="460"/>
      <c r="DP125" s="464"/>
      <c r="DQ125" s="464"/>
      <c r="DR125" s="464"/>
      <c r="DS125" s="508"/>
      <c r="DT125" s="525"/>
      <c r="DU125" s="525"/>
      <c r="DV125" s="463"/>
      <c r="DW125" s="464"/>
      <c r="DX125" s="465"/>
      <c r="DY125" s="463"/>
      <c r="DZ125" s="464"/>
      <c r="EA125" s="465"/>
      <c r="EB125" s="463"/>
      <c r="EC125" s="465"/>
      <c r="ED125" s="462"/>
      <c r="EE125" s="502"/>
      <c r="EF125" s="463"/>
      <c r="EG125" s="461"/>
      <c r="EH125" s="464"/>
      <c r="EI125" s="464"/>
      <c r="EJ125" s="464"/>
      <c r="EK125" s="464"/>
      <c r="EL125" s="464"/>
      <c r="EM125" s="464"/>
      <c r="EN125" s="464"/>
      <c r="EO125" s="464"/>
      <c r="EP125" s="464"/>
      <c r="EQ125" s="464"/>
      <c r="ER125" s="464"/>
      <c r="ES125" s="464"/>
      <c r="ET125" s="464"/>
      <c r="EU125" s="464"/>
      <c r="EV125" s="464"/>
      <c r="EW125" s="465"/>
      <c r="EX125" s="465"/>
      <c r="EY125" s="502"/>
      <c r="EZ125" s="460"/>
      <c r="FA125" s="464"/>
      <c r="FB125" s="464"/>
      <c r="FC125" s="464"/>
      <c r="FD125" s="464"/>
      <c r="FE125" s="464"/>
      <c r="FF125" s="464"/>
      <c r="FG125" s="466"/>
    </row>
    <row r="126" spans="1:163">
      <c r="A126" s="467" t="s">
        <v>313</v>
      </c>
      <c r="B126" s="471" t="str">
        <f>IF(ISNUMBER(MATCH(A126, 'Pulldown Data'!W:W, 0))=TRUE, "Y", IF(ISNUMBER(MATCH(A126, 'Pulldown Data'!X:X, 0))=TRUE, "M", ""))</f>
        <v/>
      </c>
      <c r="C126" s="504"/>
      <c r="D126" s="502"/>
      <c r="E126" s="443" t="str">
        <f t="shared" si="120"/>
        <v/>
      </c>
      <c r="F126" s="444" t="str">
        <f t="shared" si="120"/>
        <v/>
      </c>
      <c r="G126" s="444" t="str">
        <f t="shared" si="120"/>
        <v/>
      </c>
      <c r="H126" s="444" t="str">
        <f t="shared" si="120"/>
        <v/>
      </c>
      <c r="I126" s="444" t="str">
        <f t="shared" si="120"/>
        <v/>
      </c>
      <c r="J126" s="444" t="str">
        <f t="shared" si="120"/>
        <v/>
      </c>
      <c r="K126" s="444" t="str">
        <f t="shared" si="120"/>
        <v/>
      </c>
      <c r="L126" s="444" t="str">
        <f t="shared" si="120"/>
        <v/>
      </c>
      <c r="M126" s="444" t="str">
        <f t="shared" si="120"/>
        <v/>
      </c>
      <c r="N126" s="444" t="str">
        <f t="shared" si="120"/>
        <v/>
      </c>
      <c r="O126" s="444" t="str">
        <f t="shared" si="121"/>
        <v/>
      </c>
      <c r="P126" s="444" t="str">
        <f t="shared" si="121"/>
        <v/>
      </c>
      <c r="Q126" s="444" t="str">
        <f t="shared" si="121"/>
        <v/>
      </c>
      <c r="R126" s="444" t="str">
        <f t="shared" si="121"/>
        <v/>
      </c>
      <c r="S126" s="444" t="str">
        <f t="shared" si="121"/>
        <v/>
      </c>
      <c r="T126" s="444" t="str">
        <f t="shared" si="121"/>
        <v/>
      </c>
      <c r="U126" s="444" t="str">
        <f t="shared" si="121"/>
        <v/>
      </c>
      <c r="V126" s="444" t="str">
        <f t="shared" si="121"/>
        <v/>
      </c>
      <c r="W126" s="444" t="str">
        <f t="shared" si="121"/>
        <v/>
      </c>
      <c r="X126" s="444" t="str">
        <f t="shared" si="121"/>
        <v/>
      </c>
      <c r="Y126" s="444" t="str">
        <f t="shared" si="122"/>
        <v/>
      </c>
      <c r="Z126" s="444" t="str">
        <f t="shared" si="122"/>
        <v/>
      </c>
      <c r="AA126" s="444" t="str">
        <f t="shared" si="122"/>
        <v/>
      </c>
      <c r="AB126" s="444" t="str">
        <f t="shared" si="122"/>
        <v/>
      </c>
      <c r="AC126" s="444" t="str">
        <f t="shared" si="122"/>
        <v/>
      </c>
      <c r="AD126" s="444" t="str">
        <f t="shared" si="122"/>
        <v/>
      </c>
      <c r="AE126" s="444" t="str">
        <f t="shared" si="122"/>
        <v/>
      </c>
      <c r="AF126" s="444" t="str">
        <f t="shared" si="122"/>
        <v/>
      </c>
      <c r="AG126" s="444" t="str">
        <f t="shared" si="122"/>
        <v/>
      </c>
      <c r="AH126" s="444" t="str">
        <f t="shared" si="122"/>
        <v/>
      </c>
      <c r="AI126" s="444" t="str">
        <f t="shared" si="123"/>
        <v/>
      </c>
      <c r="AJ126" s="444" t="str">
        <f t="shared" si="123"/>
        <v/>
      </c>
      <c r="AK126" s="444" t="str">
        <f t="shared" si="123"/>
        <v/>
      </c>
      <c r="AL126" s="444" t="str">
        <f t="shared" si="123"/>
        <v/>
      </c>
      <c r="AM126" s="444" t="str">
        <f t="shared" si="123"/>
        <v/>
      </c>
      <c r="AN126" s="444" t="str">
        <f t="shared" si="123"/>
        <v/>
      </c>
      <c r="AO126" s="444" t="str">
        <f t="shared" si="123"/>
        <v/>
      </c>
      <c r="AP126" s="444" t="str">
        <f t="shared" si="123"/>
        <v/>
      </c>
      <c r="AQ126" s="444" t="str">
        <f t="shared" si="123"/>
        <v/>
      </c>
      <c r="AR126" s="444" t="str">
        <f t="shared" si="123"/>
        <v/>
      </c>
      <c r="AS126" s="444" t="str">
        <f t="shared" si="124"/>
        <v/>
      </c>
      <c r="AT126" s="444" t="str">
        <f t="shared" si="124"/>
        <v/>
      </c>
      <c r="AU126" s="444" t="str">
        <f t="shared" si="124"/>
        <v/>
      </c>
      <c r="AV126" s="444" t="str">
        <f t="shared" si="124"/>
        <v/>
      </c>
      <c r="AW126" s="444" t="str">
        <f t="shared" si="124"/>
        <v/>
      </c>
      <c r="AX126" s="444" t="str">
        <f t="shared" si="124"/>
        <v/>
      </c>
      <c r="AY126" s="444" t="str">
        <f t="shared" si="124"/>
        <v/>
      </c>
      <c r="AZ126" s="444" t="str">
        <f t="shared" si="124"/>
        <v/>
      </c>
      <c r="BA126" s="444" t="str">
        <f t="shared" si="124"/>
        <v/>
      </c>
      <c r="BB126" s="444" t="str">
        <f t="shared" si="124"/>
        <v/>
      </c>
      <c r="BC126" s="444" t="str">
        <f t="shared" si="125"/>
        <v/>
      </c>
      <c r="BD126" s="444" t="str">
        <f t="shared" si="125"/>
        <v/>
      </c>
      <c r="BE126" s="444" t="str">
        <f t="shared" si="125"/>
        <v/>
      </c>
      <c r="BF126" s="444" t="str">
        <f t="shared" si="125"/>
        <v/>
      </c>
      <c r="BG126" s="444" t="str">
        <f t="shared" si="125"/>
        <v/>
      </c>
      <c r="BH126" s="445" t="str">
        <f t="shared" si="125"/>
        <v/>
      </c>
      <c r="BI126" s="502"/>
      <c r="BJ126" s="474" t="str">
        <f t="shared" si="126"/>
        <v/>
      </c>
      <c r="BK126" s="475" t="str">
        <f t="shared" si="126"/>
        <v/>
      </c>
      <c r="BL126" s="475" t="str">
        <f t="shared" si="126"/>
        <v/>
      </c>
      <c r="BM126" s="475" t="str">
        <f t="shared" si="126"/>
        <v/>
      </c>
      <c r="BN126" s="475" t="str">
        <f t="shared" si="126"/>
        <v/>
      </c>
      <c r="BO126" s="475" t="str">
        <f t="shared" si="126"/>
        <v/>
      </c>
      <c r="BP126" s="475" t="str">
        <f t="shared" si="126"/>
        <v/>
      </c>
      <c r="BQ126" s="475" t="str">
        <f t="shared" si="126"/>
        <v/>
      </c>
      <c r="BR126" s="475" t="str">
        <f t="shared" si="126"/>
        <v/>
      </c>
      <c r="BS126" s="475" t="str">
        <f t="shared" si="126"/>
        <v/>
      </c>
      <c r="BT126" s="475" t="str">
        <f t="shared" si="127"/>
        <v/>
      </c>
      <c r="BU126" s="475" t="str">
        <f t="shared" si="127"/>
        <v/>
      </c>
      <c r="BV126" s="475" t="str">
        <f t="shared" si="127"/>
        <v/>
      </c>
      <c r="BW126" s="475" t="str">
        <f t="shared" si="127"/>
        <v/>
      </c>
      <c r="BX126" s="475" t="str">
        <f t="shared" si="127"/>
        <v/>
      </c>
      <c r="BY126" s="475" t="str">
        <f t="shared" si="127"/>
        <v/>
      </c>
      <c r="BZ126" s="475" t="str">
        <f t="shared" si="127"/>
        <v/>
      </c>
      <c r="CA126" s="475" t="str">
        <f t="shared" si="127"/>
        <v/>
      </c>
      <c r="CB126" s="475" t="str">
        <f t="shared" si="127"/>
        <v/>
      </c>
      <c r="CC126" s="475" t="str">
        <f t="shared" si="127"/>
        <v/>
      </c>
      <c r="CD126" s="475" t="str">
        <f t="shared" si="128"/>
        <v/>
      </c>
      <c r="CE126" s="475" t="str">
        <f t="shared" si="128"/>
        <v/>
      </c>
      <c r="CF126" s="475" t="str">
        <f t="shared" si="128"/>
        <v/>
      </c>
      <c r="CG126" s="475" t="str">
        <f t="shared" si="128"/>
        <v/>
      </c>
      <c r="CH126" s="475" t="str">
        <f t="shared" si="128"/>
        <v/>
      </c>
      <c r="CI126" s="475" t="str">
        <f t="shared" si="128"/>
        <v/>
      </c>
      <c r="CJ126" s="475" t="str">
        <f t="shared" si="128"/>
        <v/>
      </c>
      <c r="CK126" s="475" t="str">
        <f t="shared" si="128"/>
        <v/>
      </c>
      <c r="CL126" s="475" t="str">
        <f t="shared" si="128"/>
        <v/>
      </c>
      <c r="CM126" s="475" t="str">
        <f t="shared" si="128"/>
        <v/>
      </c>
      <c r="CN126" s="475" t="str">
        <f t="shared" si="129"/>
        <v/>
      </c>
      <c r="CO126" s="475" t="str">
        <f t="shared" si="129"/>
        <v/>
      </c>
      <c r="CP126" s="475" t="str">
        <f t="shared" si="129"/>
        <v/>
      </c>
      <c r="CQ126" s="475" t="str">
        <f t="shared" si="129"/>
        <v/>
      </c>
      <c r="CR126" s="475" t="str">
        <f t="shared" si="129"/>
        <v/>
      </c>
      <c r="CS126" s="475" t="str">
        <f t="shared" si="129"/>
        <v/>
      </c>
      <c r="CT126" s="475" t="str">
        <f t="shared" si="129"/>
        <v/>
      </c>
      <c r="CU126" s="475" t="str">
        <f t="shared" si="129"/>
        <v/>
      </c>
      <c r="CV126" s="475" t="str">
        <f t="shared" si="129"/>
        <v/>
      </c>
      <c r="CW126" s="475" t="str">
        <f t="shared" si="129"/>
        <v/>
      </c>
      <c r="CX126" s="475" t="str">
        <f t="shared" si="129"/>
        <v/>
      </c>
      <c r="CY126" s="475" t="str">
        <f t="shared" si="129"/>
        <v/>
      </c>
      <c r="CZ126" s="495" t="str">
        <f t="shared" si="129"/>
        <v/>
      </c>
      <c r="DA126" s="502"/>
      <c r="DB126" s="460"/>
      <c r="DC126" s="465"/>
      <c r="DD126" s="463"/>
      <c r="DE126" s="512"/>
      <c r="DF126" s="516"/>
      <c r="DG126" s="508"/>
      <c r="DH126" s="463"/>
      <c r="DI126" s="461"/>
      <c r="DJ126" s="461"/>
      <c r="DK126" s="461"/>
      <c r="DL126" s="464"/>
      <c r="DM126" s="466"/>
      <c r="DN126" s="502"/>
      <c r="DO126" s="460"/>
      <c r="DP126" s="464"/>
      <c r="DQ126" s="464"/>
      <c r="DR126" s="464"/>
      <c r="DS126" s="508"/>
      <c r="DT126" s="525"/>
      <c r="DU126" s="525"/>
      <c r="DV126" s="463"/>
      <c r="DW126" s="464"/>
      <c r="DX126" s="465"/>
      <c r="DY126" s="463"/>
      <c r="DZ126" s="464"/>
      <c r="EA126" s="465"/>
      <c r="EB126" s="463"/>
      <c r="EC126" s="465"/>
      <c r="ED126" s="462"/>
      <c r="EE126" s="502"/>
      <c r="EF126" s="463"/>
      <c r="EG126" s="461"/>
      <c r="EH126" s="464"/>
      <c r="EI126" s="464"/>
      <c r="EJ126" s="464"/>
      <c r="EK126" s="464"/>
      <c r="EL126" s="464"/>
      <c r="EM126" s="464"/>
      <c r="EN126" s="464"/>
      <c r="EO126" s="464"/>
      <c r="EP126" s="464"/>
      <c r="EQ126" s="464"/>
      <c r="ER126" s="464"/>
      <c r="ES126" s="464"/>
      <c r="ET126" s="464"/>
      <c r="EU126" s="464"/>
      <c r="EV126" s="464"/>
      <c r="EW126" s="465"/>
      <c r="EX126" s="465"/>
      <c r="EY126" s="502"/>
      <c r="EZ126" s="460"/>
      <c r="FA126" s="464"/>
      <c r="FB126" s="464"/>
      <c r="FC126" s="464"/>
      <c r="FD126" s="464"/>
      <c r="FE126" s="464"/>
      <c r="FF126" s="464"/>
      <c r="FG126" s="466"/>
    </row>
    <row r="127" spans="1:163">
      <c r="A127" s="467" t="s">
        <v>314</v>
      </c>
      <c r="B127" s="471" t="str">
        <f>IF(ISNUMBER(MATCH(A127, 'Pulldown Data'!W:W, 0))=TRUE, "Y", IF(ISNUMBER(MATCH(A127, 'Pulldown Data'!X:X, 0))=TRUE, "M", ""))</f>
        <v/>
      </c>
      <c r="C127" s="504"/>
      <c r="D127" s="502"/>
      <c r="E127" s="443" t="str">
        <f t="shared" si="120"/>
        <v/>
      </c>
      <c r="F127" s="444" t="str">
        <f t="shared" si="120"/>
        <v/>
      </c>
      <c r="G127" s="444" t="str">
        <f t="shared" si="120"/>
        <v/>
      </c>
      <c r="H127" s="444" t="str">
        <f t="shared" si="120"/>
        <v/>
      </c>
      <c r="I127" s="444" t="str">
        <f t="shared" si="120"/>
        <v/>
      </c>
      <c r="J127" s="444" t="str">
        <f t="shared" si="120"/>
        <v/>
      </c>
      <c r="K127" s="444" t="str">
        <f t="shared" si="120"/>
        <v/>
      </c>
      <c r="L127" s="444" t="str">
        <f t="shared" si="120"/>
        <v/>
      </c>
      <c r="M127" s="444" t="str">
        <f t="shared" si="120"/>
        <v/>
      </c>
      <c r="N127" s="444" t="str">
        <f t="shared" si="120"/>
        <v/>
      </c>
      <c r="O127" s="444" t="str">
        <f t="shared" si="121"/>
        <v/>
      </c>
      <c r="P127" s="444" t="str">
        <f t="shared" si="121"/>
        <v/>
      </c>
      <c r="Q127" s="444" t="str">
        <f t="shared" si="121"/>
        <v/>
      </c>
      <c r="R127" s="444" t="str">
        <f t="shared" si="121"/>
        <v/>
      </c>
      <c r="S127" s="444" t="str">
        <f t="shared" si="121"/>
        <v/>
      </c>
      <c r="T127" s="444" t="str">
        <f t="shared" si="121"/>
        <v/>
      </c>
      <c r="U127" s="444" t="str">
        <f t="shared" si="121"/>
        <v/>
      </c>
      <c r="V127" s="444" t="str">
        <f t="shared" si="121"/>
        <v/>
      </c>
      <c r="W127" s="444" t="str">
        <f t="shared" si="121"/>
        <v/>
      </c>
      <c r="X127" s="444" t="str">
        <f t="shared" si="121"/>
        <v/>
      </c>
      <c r="Y127" s="444" t="str">
        <f t="shared" si="122"/>
        <v/>
      </c>
      <c r="Z127" s="444" t="str">
        <f t="shared" si="122"/>
        <v/>
      </c>
      <c r="AA127" s="444" t="str">
        <f t="shared" si="122"/>
        <v/>
      </c>
      <c r="AB127" s="444" t="str">
        <f t="shared" si="122"/>
        <v/>
      </c>
      <c r="AC127" s="444" t="str">
        <f t="shared" si="122"/>
        <v/>
      </c>
      <c r="AD127" s="444" t="str">
        <f t="shared" si="122"/>
        <v/>
      </c>
      <c r="AE127" s="444" t="str">
        <f t="shared" si="122"/>
        <v/>
      </c>
      <c r="AF127" s="444" t="str">
        <f t="shared" si="122"/>
        <v/>
      </c>
      <c r="AG127" s="444" t="str">
        <f t="shared" si="122"/>
        <v/>
      </c>
      <c r="AH127" s="444" t="str">
        <f t="shared" si="122"/>
        <v/>
      </c>
      <c r="AI127" s="444" t="str">
        <f t="shared" si="123"/>
        <v/>
      </c>
      <c r="AJ127" s="444" t="str">
        <f t="shared" si="123"/>
        <v/>
      </c>
      <c r="AK127" s="444" t="str">
        <f t="shared" si="123"/>
        <v/>
      </c>
      <c r="AL127" s="444" t="str">
        <f t="shared" si="123"/>
        <v/>
      </c>
      <c r="AM127" s="444" t="str">
        <f t="shared" si="123"/>
        <v/>
      </c>
      <c r="AN127" s="444" t="str">
        <f t="shared" si="123"/>
        <v/>
      </c>
      <c r="AO127" s="444" t="str">
        <f t="shared" si="123"/>
        <v/>
      </c>
      <c r="AP127" s="444" t="str">
        <f t="shared" si="123"/>
        <v/>
      </c>
      <c r="AQ127" s="444" t="str">
        <f t="shared" si="123"/>
        <v/>
      </c>
      <c r="AR127" s="444" t="str">
        <f t="shared" si="123"/>
        <v/>
      </c>
      <c r="AS127" s="444" t="str">
        <f t="shared" si="124"/>
        <v/>
      </c>
      <c r="AT127" s="444" t="str">
        <f t="shared" si="124"/>
        <v/>
      </c>
      <c r="AU127" s="444" t="str">
        <f t="shared" si="124"/>
        <v/>
      </c>
      <c r="AV127" s="444" t="str">
        <f t="shared" si="124"/>
        <v/>
      </c>
      <c r="AW127" s="444" t="str">
        <f t="shared" si="124"/>
        <v/>
      </c>
      <c r="AX127" s="444" t="str">
        <f t="shared" si="124"/>
        <v/>
      </c>
      <c r="AY127" s="444" t="str">
        <f t="shared" si="124"/>
        <v/>
      </c>
      <c r="AZ127" s="444" t="str">
        <f t="shared" si="124"/>
        <v/>
      </c>
      <c r="BA127" s="444" t="str">
        <f t="shared" si="124"/>
        <v/>
      </c>
      <c r="BB127" s="444" t="str">
        <f t="shared" si="124"/>
        <v/>
      </c>
      <c r="BC127" s="444" t="str">
        <f t="shared" si="125"/>
        <v/>
      </c>
      <c r="BD127" s="444" t="str">
        <f t="shared" si="125"/>
        <v/>
      </c>
      <c r="BE127" s="444" t="str">
        <f t="shared" si="125"/>
        <v/>
      </c>
      <c r="BF127" s="444" t="str">
        <f t="shared" si="125"/>
        <v/>
      </c>
      <c r="BG127" s="444" t="str">
        <f t="shared" si="125"/>
        <v/>
      </c>
      <c r="BH127" s="445" t="str">
        <f t="shared" si="125"/>
        <v/>
      </c>
      <c r="BI127" s="502"/>
      <c r="BJ127" s="474" t="str">
        <f t="shared" si="126"/>
        <v/>
      </c>
      <c r="BK127" s="475" t="str">
        <f t="shared" si="126"/>
        <v/>
      </c>
      <c r="BL127" s="475" t="str">
        <f t="shared" si="126"/>
        <v/>
      </c>
      <c r="BM127" s="475" t="str">
        <f t="shared" si="126"/>
        <v/>
      </c>
      <c r="BN127" s="475" t="str">
        <f t="shared" si="126"/>
        <v/>
      </c>
      <c r="BO127" s="475" t="str">
        <f t="shared" si="126"/>
        <v/>
      </c>
      <c r="BP127" s="475" t="str">
        <f t="shared" si="126"/>
        <v/>
      </c>
      <c r="BQ127" s="475" t="str">
        <f t="shared" si="126"/>
        <v/>
      </c>
      <c r="BR127" s="475" t="str">
        <f t="shared" si="126"/>
        <v/>
      </c>
      <c r="BS127" s="475" t="str">
        <f t="shared" si="126"/>
        <v/>
      </c>
      <c r="BT127" s="475" t="str">
        <f t="shared" si="127"/>
        <v/>
      </c>
      <c r="BU127" s="475" t="str">
        <f t="shared" si="127"/>
        <v/>
      </c>
      <c r="BV127" s="475" t="str">
        <f t="shared" si="127"/>
        <v/>
      </c>
      <c r="BW127" s="475" t="str">
        <f t="shared" si="127"/>
        <v/>
      </c>
      <c r="BX127" s="475" t="str">
        <f t="shared" si="127"/>
        <v/>
      </c>
      <c r="BY127" s="475" t="str">
        <f t="shared" si="127"/>
        <v/>
      </c>
      <c r="BZ127" s="475" t="str">
        <f t="shared" si="127"/>
        <v/>
      </c>
      <c r="CA127" s="475" t="str">
        <f t="shared" si="127"/>
        <v/>
      </c>
      <c r="CB127" s="475" t="str">
        <f t="shared" si="127"/>
        <v/>
      </c>
      <c r="CC127" s="475" t="str">
        <f t="shared" si="127"/>
        <v/>
      </c>
      <c r="CD127" s="475" t="str">
        <f t="shared" si="128"/>
        <v/>
      </c>
      <c r="CE127" s="475" t="str">
        <f t="shared" si="128"/>
        <v/>
      </c>
      <c r="CF127" s="475" t="str">
        <f t="shared" si="128"/>
        <v/>
      </c>
      <c r="CG127" s="475" t="str">
        <f t="shared" si="128"/>
        <v/>
      </c>
      <c r="CH127" s="475" t="str">
        <f t="shared" si="128"/>
        <v/>
      </c>
      <c r="CI127" s="475" t="str">
        <f t="shared" si="128"/>
        <v/>
      </c>
      <c r="CJ127" s="475" t="str">
        <f t="shared" si="128"/>
        <v/>
      </c>
      <c r="CK127" s="475" t="str">
        <f t="shared" si="128"/>
        <v/>
      </c>
      <c r="CL127" s="475" t="str">
        <f t="shared" si="128"/>
        <v/>
      </c>
      <c r="CM127" s="475" t="str">
        <f t="shared" si="128"/>
        <v/>
      </c>
      <c r="CN127" s="475" t="str">
        <f t="shared" si="129"/>
        <v/>
      </c>
      <c r="CO127" s="475" t="str">
        <f t="shared" si="129"/>
        <v/>
      </c>
      <c r="CP127" s="475" t="str">
        <f t="shared" si="129"/>
        <v/>
      </c>
      <c r="CQ127" s="475" t="str">
        <f t="shared" si="129"/>
        <v/>
      </c>
      <c r="CR127" s="475" t="str">
        <f t="shared" si="129"/>
        <v/>
      </c>
      <c r="CS127" s="475" t="str">
        <f t="shared" si="129"/>
        <v/>
      </c>
      <c r="CT127" s="475" t="str">
        <f t="shared" si="129"/>
        <v/>
      </c>
      <c r="CU127" s="475" t="str">
        <f t="shared" si="129"/>
        <v/>
      </c>
      <c r="CV127" s="475" t="str">
        <f t="shared" si="129"/>
        <v/>
      </c>
      <c r="CW127" s="475" t="str">
        <f t="shared" si="129"/>
        <v/>
      </c>
      <c r="CX127" s="475" t="str">
        <f t="shared" si="129"/>
        <v/>
      </c>
      <c r="CY127" s="475" t="str">
        <f t="shared" si="129"/>
        <v/>
      </c>
      <c r="CZ127" s="495" t="str">
        <f t="shared" si="129"/>
        <v/>
      </c>
      <c r="DA127" s="502"/>
      <c r="DB127" s="460"/>
      <c r="DC127" s="465"/>
      <c r="DD127" s="463"/>
      <c r="DE127" s="512"/>
      <c r="DF127" s="516"/>
      <c r="DG127" s="508"/>
      <c r="DH127" s="463"/>
      <c r="DI127" s="461"/>
      <c r="DJ127" s="461"/>
      <c r="DK127" s="461"/>
      <c r="DL127" s="464"/>
      <c r="DM127" s="466"/>
      <c r="DN127" s="502"/>
      <c r="DO127" s="460"/>
      <c r="DP127" s="464"/>
      <c r="DQ127" s="464"/>
      <c r="DR127" s="464"/>
      <c r="DS127" s="508"/>
      <c r="DT127" s="525"/>
      <c r="DU127" s="525"/>
      <c r="DV127" s="463"/>
      <c r="DW127" s="464"/>
      <c r="DX127" s="465"/>
      <c r="DY127" s="463"/>
      <c r="DZ127" s="464"/>
      <c r="EA127" s="465"/>
      <c r="EB127" s="463"/>
      <c r="EC127" s="465"/>
      <c r="ED127" s="462"/>
      <c r="EE127" s="502"/>
      <c r="EF127" s="463"/>
      <c r="EG127" s="461"/>
      <c r="EH127" s="464"/>
      <c r="EI127" s="464"/>
      <c r="EJ127" s="464"/>
      <c r="EK127" s="464"/>
      <c r="EL127" s="464"/>
      <c r="EM127" s="464"/>
      <c r="EN127" s="464"/>
      <c r="EO127" s="464"/>
      <c r="EP127" s="464"/>
      <c r="EQ127" s="464"/>
      <c r="ER127" s="464"/>
      <c r="ES127" s="464"/>
      <c r="ET127" s="464"/>
      <c r="EU127" s="464"/>
      <c r="EV127" s="464"/>
      <c r="EW127" s="465"/>
      <c r="EX127" s="465"/>
      <c r="EY127" s="502"/>
      <c r="EZ127" s="460"/>
      <c r="FA127" s="464"/>
      <c r="FB127" s="464"/>
      <c r="FC127" s="464"/>
      <c r="FD127" s="464"/>
      <c r="FE127" s="464"/>
      <c r="FF127" s="464"/>
      <c r="FG127" s="466"/>
    </row>
    <row r="128" spans="1:163">
      <c r="A128" s="467" t="s">
        <v>315</v>
      </c>
      <c r="B128" s="471" t="str">
        <f>IF(ISNUMBER(MATCH(A128, 'Pulldown Data'!W:W, 0))=TRUE, "Y", IF(ISNUMBER(MATCH(A128, 'Pulldown Data'!X:X, 0))=TRUE, "M", ""))</f>
        <v/>
      </c>
      <c r="C128" s="504"/>
      <c r="D128" s="502"/>
      <c r="E128" s="443" t="str">
        <f t="shared" si="120"/>
        <v/>
      </c>
      <c r="F128" s="444" t="str">
        <f t="shared" si="120"/>
        <v/>
      </c>
      <c r="G128" s="444" t="str">
        <f t="shared" si="120"/>
        <v/>
      </c>
      <c r="H128" s="444" t="str">
        <f t="shared" si="120"/>
        <v/>
      </c>
      <c r="I128" s="444" t="str">
        <f t="shared" si="120"/>
        <v/>
      </c>
      <c r="J128" s="444" t="str">
        <f t="shared" si="120"/>
        <v/>
      </c>
      <c r="K128" s="444" t="str">
        <f t="shared" si="120"/>
        <v/>
      </c>
      <c r="L128" s="444" t="str">
        <f t="shared" si="120"/>
        <v/>
      </c>
      <c r="M128" s="444" t="str">
        <f t="shared" si="120"/>
        <v/>
      </c>
      <c r="N128" s="444" t="str">
        <f t="shared" si="120"/>
        <v/>
      </c>
      <c r="O128" s="444" t="str">
        <f t="shared" si="121"/>
        <v/>
      </c>
      <c r="P128" s="444" t="str">
        <f t="shared" si="121"/>
        <v/>
      </c>
      <c r="Q128" s="444" t="str">
        <f t="shared" si="121"/>
        <v/>
      </c>
      <c r="R128" s="444" t="str">
        <f t="shared" si="121"/>
        <v/>
      </c>
      <c r="S128" s="444" t="str">
        <f t="shared" si="121"/>
        <v/>
      </c>
      <c r="T128" s="444" t="str">
        <f t="shared" si="121"/>
        <v/>
      </c>
      <c r="U128" s="444" t="str">
        <f t="shared" si="121"/>
        <v/>
      </c>
      <c r="V128" s="444" t="str">
        <f t="shared" si="121"/>
        <v/>
      </c>
      <c r="W128" s="444" t="str">
        <f t="shared" si="121"/>
        <v/>
      </c>
      <c r="X128" s="444" t="str">
        <f t="shared" si="121"/>
        <v/>
      </c>
      <c r="Y128" s="444" t="str">
        <f t="shared" si="122"/>
        <v/>
      </c>
      <c r="Z128" s="444" t="str">
        <f t="shared" si="122"/>
        <v/>
      </c>
      <c r="AA128" s="444" t="str">
        <f t="shared" si="122"/>
        <v/>
      </c>
      <c r="AB128" s="444" t="str">
        <f t="shared" si="122"/>
        <v/>
      </c>
      <c r="AC128" s="444" t="str">
        <f t="shared" si="122"/>
        <v/>
      </c>
      <c r="AD128" s="444" t="str">
        <f t="shared" si="122"/>
        <v/>
      </c>
      <c r="AE128" s="444" t="str">
        <f t="shared" si="122"/>
        <v/>
      </c>
      <c r="AF128" s="444" t="str">
        <f t="shared" si="122"/>
        <v/>
      </c>
      <c r="AG128" s="444" t="str">
        <f t="shared" si="122"/>
        <v/>
      </c>
      <c r="AH128" s="444" t="str">
        <f t="shared" si="122"/>
        <v/>
      </c>
      <c r="AI128" s="444" t="str">
        <f t="shared" si="123"/>
        <v/>
      </c>
      <c r="AJ128" s="444" t="str">
        <f t="shared" si="123"/>
        <v/>
      </c>
      <c r="AK128" s="444" t="str">
        <f t="shared" si="123"/>
        <v/>
      </c>
      <c r="AL128" s="444" t="str">
        <f t="shared" si="123"/>
        <v/>
      </c>
      <c r="AM128" s="444" t="str">
        <f t="shared" si="123"/>
        <v/>
      </c>
      <c r="AN128" s="444" t="str">
        <f t="shared" si="123"/>
        <v/>
      </c>
      <c r="AO128" s="444" t="str">
        <f t="shared" si="123"/>
        <v/>
      </c>
      <c r="AP128" s="444" t="str">
        <f t="shared" si="123"/>
        <v/>
      </c>
      <c r="AQ128" s="444" t="str">
        <f t="shared" si="123"/>
        <v/>
      </c>
      <c r="AR128" s="444" t="str">
        <f t="shared" si="123"/>
        <v/>
      </c>
      <c r="AS128" s="444" t="str">
        <f t="shared" si="124"/>
        <v/>
      </c>
      <c r="AT128" s="444" t="str">
        <f t="shared" si="124"/>
        <v/>
      </c>
      <c r="AU128" s="444" t="str">
        <f t="shared" si="124"/>
        <v/>
      </c>
      <c r="AV128" s="444" t="str">
        <f t="shared" si="124"/>
        <v/>
      </c>
      <c r="AW128" s="444" t="str">
        <f t="shared" si="124"/>
        <v/>
      </c>
      <c r="AX128" s="444" t="str">
        <f t="shared" si="124"/>
        <v/>
      </c>
      <c r="AY128" s="444" t="str">
        <f t="shared" si="124"/>
        <v/>
      </c>
      <c r="AZ128" s="444" t="str">
        <f t="shared" si="124"/>
        <v/>
      </c>
      <c r="BA128" s="444" t="str">
        <f t="shared" si="124"/>
        <v/>
      </c>
      <c r="BB128" s="444" t="str">
        <f t="shared" si="124"/>
        <v/>
      </c>
      <c r="BC128" s="444" t="str">
        <f t="shared" si="125"/>
        <v/>
      </c>
      <c r="BD128" s="444" t="str">
        <f t="shared" si="125"/>
        <v/>
      </c>
      <c r="BE128" s="444" t="str">
        <f t="shared" si="125"/>
        <v/>
      </c>
      <c r="BF128" s="444" t="str">
        <f t="shared" si="125"/>
        <v/>
      </c>
      <c r="BG128" s="444" t="str">
        <f t="shared" si="125"/>
        <v/>
      </c>
      <c r="BH128" s="445" t="str">
        <f t="shared" si="125"/>
        <v/>
      </c>
      <c r="BI128" s="502"/>
      <c r="BJ128" s="474" t="str">
        <f t="shared" si="126"/>
        <v/>
      </c>
      <c r="BK128" s="475" t="str">
        <f t="shared" si="126"/>
        <v/>
      </c>
      <c r="BL128" s="475" t="str">
        <f t="shared" si="126"/>
        <v/>
      </c>
      <c r="BM128" s="475" t="str">
        <f t="shared" si="126"/>
        <v/>
      </c>
      <c r="BN128" s="475" t="str">
        <f t="shared" si="126"/>
        <v/>
      </c>
      <c r="BO128" s="475" t="str">
        <f t="shared" si="126"/>
        <v/>
      </c>
      <c r="BP128" s="475" t="str">
        <f t="shared" si="126"/>
        <v/>
      </c>
      <c r="BQ128" s="475" t="str">
        <f t="shared" si="126"/>
        <v/>
      </c>
      <c r="BR128" s="475" t="str">
        <f t="shared" si="126"/>
        <v/>
      </c>
      <c r="BS128" s="475" t="str">
        <f t="shared" si="126"/>
        <v/>
      </c>
      <c r="BT128" s="475" t="str">
        <f t="shared" si="127"/>
        <v/>
      </c>
      <c r="BU128" s="475" t="str">
        <f t="shared" si="127"/>
        <v/>
      </c>
      <c r="BV128" s="475" t="str">
        <f t="shared" si="127"/>
        <v/>
      </c>
      <c r="BW128" s="475" t="str">
        <f t="shared" si="127"/>
        <v/>
      </c>
      <c r="BX128" s="475" t="str">
        <f t="shared" si="127"/>
        <v/>
      </c>
      <c r="BY128" s="475" t="str">
        <f t="shared" si="127"/>
        <v/>
      </c>
      <c r="BZ128" s="475" t="str">
        <f t="shared" si="127"/>
        <v/>
      </c>
      <c r="CA128" s="475" t="str">
        <f t="shared" si="127"/>
        <v/>
      </c>
      <c r="CB128" s="475" t="str">
        <f t="shared" si="127"/>
        <v/>
      </c>
      <c r="CC128" s="475" t="str">
        <f t="shared" si="127"/>
        <v/>
      </c>
      <c r="CD128" s="475" t="str">
        <f t="shared" si="128"/>
        <v/>
      </c>
      <c r="CE128" s="475" t="str">
        <f t="shared" si="128"/>
        <v/>
      </c>
      <c r="CF128" s="475" t="str">
        <f t="shared" si="128"/>
        <v/>
      </c>
      <c r="CG128" s="475" t="str">
        <f t="shared" si="128"/>
        <v/>
      </c>
      <c r="CH128" s="475" t="str">
        <f t="shared" si="128"/>
        <v/>
      </c>
      <c r="CI128" s="475" t="str">
        <f t="shared" si="128"/>
        <v/>
      </c>
      <c r="CJ128" s="475" t="str">
        <f t="shared" si="128"/>
        <v/>
      </c>
      <c r="CK128" s="475" t="str">
        <f t="shared" si="128"/>
        <v/>
      </c>
      <c r="CL128" s="475" t="str">
        <f t="shared" si="128"/>
        <v/>
      </c>
      <c r="CM128" s="475" t="str">
        <f t="shared" si="128"/>
        <v/>
      </c>
      <c r="CN128" s="475" t="str">
        <f t="shared" si="129"/>
        <v/>
      </c>
      <c r="CO128" s="475" t="str">
        <f t="shared" si="129"/>
        <v/>
      </c>
      <c r="CP128" s="475" t="str">
        <f t="shared" si="129"/>
        <v/>
      </c>
      <c r="CQ128" s="475" t="str">
        <f t="shared" si="129"/>
        <v/>
      </c>
      <c r="CR128" s="475" t="str">
        <f t="shared" si="129"/>
        <v/>
      </c>
      <c r="CS128" s="475" t="str">
        <f t="shared" si="129"/>
        <v/>
      </c>
      <c r="CT128" s="475" t="str">
        <f t="shared" si="129"/>
        <v/>
      </c>
      <c r="CU128" s="475" t="str">
        <f t="shared" si="129"/>
        <v/>
      </c>
      <c r="CV128" s="475" t="str">
        <f t="shared" si="129"/>
        <v/>
      </c>
      <c r="CW128" s="475" t="str">
        <f t="shared" si="129"/>
        <v/>
      </c>
      <c r="CX128" s="475" t="str">
        <f t="shared" si="129"/>
        <v/>
      </c>
      <c r="CY128" s="475" t="str">
        <f t="shared" si="129"/>
        <v/>
      </c>
      <c r="CZ128" s="495" t="str">
        <f t="shared" si="129"/>
        <v/>
      </c>
      <c r="DA128" s="502"/>
      <c r="DB128" s="460"/>
      <c r="DC128" s="465"/>
      <c r="DD128" s="463"/>
      <c r="DE128" s="512"/>
      <c r="DF128" s="516"/>
      <c r="DG128" s="508"/>
      <c r="DH128" s="463"/>
      <c r="DI128" s="461"/>
      <c r="DJ128" s="461"/>
      <c r="DK128" s="461"/>
      <c r="DL128" s="464"/>
      <c r="DM128" s="466"/>
      <c r="DN128" s="502"/>
      <c r="DO128" s="460"/>
      <c r="DP128" s="464"/>
      <c r="DQ128" s="464"/>
      <c r="DR128" s="464"/>
      <c r="DS128" s="508"/>
      <c r="DT128" s="525"/>
      <c r="DU128" s="525"/>
      <c r="DV128" s="463"/>
      <c r="DW128" s="464"/>
      <c r="DX128" s="465"/>
      <c r="DY128" s="463"/>
      <c r="DZ128" s="464"/>
      <c r="EA128" s="465"/>
      <c r="EB128" s="463"/>
      <c r="EC128" s="465"/>
      <c r="ED128" s="462"/>
      <c r="EE128" s="502"/>
      <c r="EF128" s="463"/>
      <c r="EG128" s="461"/>
      <c r="EH128" s="464"/>
      <c r="EI128" s="464"/>
      <c r="EJ128" s="464"/>
      <c r="EK128" s="464"/>
      <c r="EL128" s="464"/>
      <c r="EM128" s="464"/>
      <c r="EN128" s="464"/>
      <c r="EO128" s="464"/>
      <c r="EP128" s="464"/>
      <c r="EQ128" s="464"/>
      <c r="ER128" s="464"/>
      <c r="ES128" s="464"/>
      <c r="ET128" s="464"/>
      <c r="EU128" s="464"/>
      <c r="EV128" s="464"/>
      <c r="EW128" s="465"/>
      <c r="EX128" s="465"/>
      <c r="EY128" s="502"/>
      <c r="EZ128" s="460"/>
      <c r="FA128" s="464"/>
      <c r="FB128" s="464"/>
      <c r="FC128" s="464"/>
      <c r="FD128" s="464"/>
      <c r="FE128" s="464"/>
      <c r="FF128" s="464"/>
      <c r="FG128" s="466"/>
    </row>
    <row r="129" spans="1:163">
      <c r="A129" s="467" t="s">
        <v>316</v>
      </c>
      <c r="B129" s="471" t="str">
        <f>IF(ISNUMBER(MATCH(A129, 'Pulldown Data'!W:W, 0))=TRUE, "Y", IF(ISNUMBER(MATCH(A129, 'Pulldown Data'!X:X, 0))=TRUE, "M", ""))</f>
        <v/>
      </c>
      <c r="C129" s="504"/>
      <c r="D129" s="502"/>
      <c r="E129" s="443" t="str">
        <f t="shared" si="120"/>
        <v/>
      </c>
      <c r="F129" s="444" t="str">
        <f t="shared" si="120"/>
        <v/>
      </c>
      <c r="G129" s="444" t="str">
        <f t="shared" si="120"/>
        <v/>
      </c>
      <c r="H129" s="444" t="str">
        <f t="shared" si="120"/>
        <v/>
      </c>
      <c r="I129" s="444" t="str">
        <f t="shared" si="120"/>
        <v/>
      </c>
      <c r="J129" s="444" t="str">
        <f t="shared" si="120"/>
        <v/>
      </c>
      <c r="K129" s="444" t="str">
        <f t="shared" si="120"/>
        <v/>
      </c>
      <c r="L129" s="444" t="str">
        <f t="shared" si="120"/>
        <v/>
      </c>
      <c r="M129" s="444" t="str">
        <f t="shared" si="120"/>
        <v/>
      </c>
      <c r="N129" s="444" t="str">
        <f t="shared" si="120"/>
        <v/>
      </c>
      <c r="O129" s="444" t="str">
        <f t="shared" si="121"/>
        <v/>
      </c>
      <c r="P129" s="444" t="str">
        <f t="shared" si="121"/>
        <v/>
      </c>
      <c r="Q129" s="444" t="str">
        <f t="shared" si="121"/>
        <v/>
      </c>
      <c r="R129" s="444" t="str">
        <f t="shared" si="121"/>
        <v/>
      </c>
      <c r="S129" s="444" t="str">
        <f t="shared" si="121"/>
        <v/>
      </c>
      <c r="T129" s="444" t="str">
        <f t="shared" si="121"/>
        <v/>
      </c>
      <c r="U129" s="444" t="str">
        <f t="shared" si="121"/>
        <v/>
      </c>
      <c r="V129" s="444" t="str">
        <f t="shared" si="121"/>
        <v/>
      </c>
      <c r="W129" s="444" t="str">
        <f t="shared" si="121"/>
        <v/>
      </c>
      <c r="X129" s="444" t="str">
        <f t="shared" si="121"/>
        <v/>
      </c>
      <c r="Y129" s="444" t="str">
        <f t="shared" si="122"/>
        <v/>
      </c>
      <c r="Z129" s="444" t="str">
        <f t="shared" si="122"/>
        <v/>
      </c>
      <c r="AA129" s="444" t="str">
        <f t="shared" si="122"/>
        <v/>
      </c>
      <c r="AB129" s="444" t="str">
        <f t="shared" si="122"/>
        <v/>
      </c>
      <c r="AC129" s="444" t="str">
        <f t="shared" si="122"/>
        <v/>
      </c>
      <c r="AD129" s="444" t="str">
        <f t="shared" si="122"/>
        <v/>
      </c>
      <c r="AE129" s="444" t="str">
        <f t="shared" si="122"/>
        <v/>
      </c>
      <c r="AF129" s="444" t="str">
        <f t="shared" si="122"/>
        <v/>
      </c>
      <c r="AG129" s="444" t="str">
        <f t="shared" si="122"/>
        <v/>
      </c>
      <c r="AH129" s="444" t="str">
        <f t="shared" si="122"/>
        <v/>
      </c>
      <c r="AI129" s="444" t="str">
        <f t="shared" si="123"/>
        <v/>
      </c>
      <c r="AJ129" s="444" t="str">
        <f t="shared" si="123"/>
        <v/>
      </c>
      <c r="AK129" s="444" t="str">
        <f t="shared" si="123"/>
        <v/>
      </c>
      <c r="AL129" s="444" t="str">
        <f t="shared" si="123"/>
        <v/>
      </c>
      <c r="AM129" s="444" t="str">
        <f t="shared" si="123"/>
        <v/>
      </c>
      <c r="AN129" s="444" t="str">
        <f t="shared" si="123"/>
        <v/>
      </c>
      <c r="AO129" s="444" t="str">
        <f t="shared" si="123"/>
        <v/>
      </c>
      <c r="AP129" s="444" t="str">
        <f t="shared" si="123"/>
        <v/>
      </c>
      <c r="AQ129" s="444" t="str">
        <f t="shared" si="123"/>
        <v/>
      </c>
      <c r="AR129" s="444" t="str">
        <f t="shared" si="123"/>
        <v/>
      </c>
      <c r="AS129" s="444" t="str">
        <f t="shared" si="124"/>
        <v/>
      </c>
      <c r="AT129" s="444" t="str">
        <f t="shared" si="124"/>
        <v/>
      </c>
      <c r="AU129" s="444" t="str">
        <f t="shared" si="124"/>
        <v/>
      </c>
      <c r="AV129" s="444" t="str">
        <f t="shared" si="124"/>
        <v/>
      </c>
      <c r="AW129" s="444" t="str">
        <f t="shared" si="124"/>
        <v/>
      </c>
      <c r="AX129" s="444" t="str">
        <f t="shared" si="124"/>
        <v/>
      </c>
      <c r="AY129" s="444" t="str">
        <f t="shared" si="124"/>
        <v/>
      </c>
      <c r="AZ129" s="444" t="str">
        <f t="shared" si="124"/>
        <v/>
      </c>
      <c r="BA129" s="444" t="str">
        <f t="shared" si="124"/>
        <v/>
      </c>
      <c r="BB129" s="444" t="str">
        <f t="shared" si="124"/>
        <v/>
      </c>
      <c r="BC129" s="444" t="str">
        <f t="shared" si="125"/>
        <v/>
      </c>
      <c r="BD129" s="444" t="str">
        <f t="shared" si="125"/>
        <v/>
      </c>
      <c r="BE129" s="444" t="str">
        <f t="shared" si="125"/>
        <v/>
      </c>
      <c r="BF129" s="444" t="str">
        <f t="shared" si="125"/>
        <v/>
      </c>
      <c r="BG129" s="444" t="str">
        <f t="shared" si="125"/>
        <v/>
      </c>
      <c r="BH129" s="445" t="str">
        <f t="shared" si="125"/>
        <v/>
      </c>
      <c r="BI129" s="502"/>
      <c r="BJ129" s="474" t="str">
        <f t="shared" si="126"/>
        <v/>
      </c>
      <c r="BK129" s="475" t="str">
        <f t="shared" si="126"/>
        <v/>
      </c>
      <c r="BL129" s="475" t="str">
        <f t="shared" si="126"/>
        <v/>
      </c>
      <c r="BM129" s="475" t="str">
        <f t="shared" si="126"/>
        <v/>
      </c>
      <c r="BN129" s="475" t="str">
        <f t="shared" si="126"/>
        <v/>
      </c>
      <c r="BO129" s="475" t="str">
        <f t="shared" si="126"/>
        <v/>
      </c>
      <c r="BP129" s="475" t="str">
        <f t="shared" si="126"/>
        <v/>
      </c>
      <c r="BQ129" s="475" t="str">
        <f t="shared" si="126"/>
        <v/>
      </c>
      <c r="BR129" s="475" t="str">
        <f t="shared" si="126"/>
        <v/>
      </c>
      <c r="BS129" s="475" t="str">
        <f t="shared" si="126"/>
        <v/>
      </c>
      <c r="BT129" s="475" t="str">
        <f t="shared" si="127"/>
        <v/>
      </c>
      <c r="BU129" s="475" t="str">
        <f t="shared" si="127"/>
        <v/>
      </c>
      <c r="BV129" s="475" t="str">
        <f t="shared" si="127"/>
        <v/>
      </c>
      <c r="BW129" s="475" t="str">
        <f t="shared" si="127"/>
        <v/>
      </c>
      <c r="BX129" s="475" t="str">
        <f t="shared" si="127"/>
        <v/>
      </c>
      <c r="BY129" s="475" t="str">
        <f t="shared" si="127"/>
        <v/>
      </c>
      <c r="BZ129" s="475" t="str">
        <f t="shared" si="127"/>
        <v/>
      </c>
      <c r="CA129" s="475" t="str">
        <f t="shared" si="127"/>
        <v/>
      </c>
      <c r="CB129" s="475" t="str">
        <f t="shared" si="127"/>
        <v/>
      </c>
      <c r="CC129" s="475" t="str">
        <f t="shared" si="127"/>
        <v/>
      </c>
      <c r="CD129" s="475" t="str">
        <f t="shared" si="128"/>
        <v/>
      </c>
      <c r="CE129" s="475" t="str">
        <f t="shared" si="128"/>
        <v/>
      </c>
      <c r="CF129" s="475" t="str">
        <f t="shared" si="128"/>
        <v/>
      </c>
      <c r="CG129" s="475" t="str">
        <f t="shared" si="128"/>
        <v/>
      </c>
      <c r="CH129" s="475" t="str">
        <f t="shared" si="128"/>
        <v/>
      </c>
      <c r="CI129" s="475" t="str">
        <f t="shared" si="128"/>
        <v/>
      </c>
      <c r="CJ129" s="475" t="str">
        <f t="shared" si="128"/>
        <v/>
      </c>
      <c r="CK129" s="475" t="str">
        <f t="shared" si="128"/>
        <v/>
      </c>
      <c r="CL129" s="475" t="str">
        <f t="shared" si="128"/>
        <v/>
      </c>
      <c r="CM129" s="475" t="str">
        <f t="shared" si="128"/>
        <v/>
      </c>
      <c r="CN129" s="475" t="str">
        <f t="shared" si="129"/>
        <v/>
      </c>
      <c r="CO129" s="475" t="str">
        <f t="shared" si="129"/>
        <v/>
      </c>
      <c r="CP129" s="475" t="str">
        <f t="shared" si="129"/>
        <v/>
      </c>
      <c r="CQ129" s="475" t="str">
        <f t="shared" si="129"/>
        <v/>
      </c>
      <c r="CR129" s="475" t="str">
        <f t="shared" si="129"/>
        <v/>
      </c>
      <c r="CS129" s="475" t="str">
        <f t="shared" si="129"/>
        <v/>
      </c>
      <c r="CT129" s="475" t="str">
        <f t="shared" si="129"/>
        <v/>
      </c>
      <c r="CU129" s="475" t="str">
        <f t="shared" si="129"/>
        <v/>
      </c>
      <c r="CV129" s="475" t="str">
        <f t="shared" si="129"/>
        <v/>
      </c>
      <c r="CW129" s="475" t="str">
        <f t="shared" si="129"/>
        <v/>
      </c>
      <c r="CX129" s="475" t="str">
        <f t="shared" si="129"/>
        <v/>
      </c>
      <c r="CY129" s="475" t="str">
        <f t="shared" si="129"/>
        <v/>
      </c>
      <c r="CZ129" s="495" t="str">
        <f t="shared" si="129"/>
        <v/>
      </c>
      <c r="DA129" s="502"/>
      <c r="DB129" s="460"/>
      <c r="DC129" s="465"/>
      <c r="DD129" s="463"/>
      <c r="DE129" s="512"/>
      <c r="DF129" s="516"/>
      <c r="DG129" s="508"/>
      <c r="DH129" s="463"/>
      <c r="DI129" s="461"/>
      <c r="DJ129" s="461"/>
      <c r="DK129" s="461"/>
      <c r="DL129" s="464"/>
      <c r="DM129" s="466"/>
      <c r="DN129" s="502"/>
      <c r="DO129" s="460"/>
      <c r="DP129" s="464"/>
      <c r="DQ129" s="464"/>
      <c r="DR129" s="464"/>
      <c r="DS129" s="508"/>
      <c r="DT129" s="525"/>
      <c r="DU129" s="525"/>
      <c r="DV129" s="463"/>
      <c r="DW129" s="464"/>
      <c r="DX129" s="465"/>
      <c r="DY129" s="463"/>
      <c r="DZ129" s="464"/>
      <c r="EA129" s="465"/>
      <c r="EB129" s="463"/>
      <c r="EC129" s="465"/>
      <c r="ED129" s="462"/>
      <c r="EE129" s="502"/>
      <c r="EF129" s="463"/>
      <c r="EG129" s="461"/>
      <c r="EH129" s="464"/>
      <c r="EI129" s="464"/>
      <c r="EJ129" s="464"/>
      <c r="EK129" s="464"/>
      <c r="EL129" s="464"/>
      <c r="EM129" s="464"/>
      <c r="EN129" s="464"/>
      <c r="EO129" s="464"/>
      <c r="EP129" s="464"/>
      <c r="EQ129" s="464"/>
      <c r="ER129" s="464"/>
      <c r="ES129" s="464"/>
      <c r="ET129" s="464"/>
      <c r="EU129" s="464"/>
      <c r="EV129" s="464"/>
      <c r="EW129" s="465"/>
      <c r="EX129" s="465"/>
      <c r="EY129" s="502"/>
      <c r="EZ129" s="460"/>
      <c r="FA129" s="464"/>
      <c r="FB129" s="464"/>
      <c r="FC129" s="464"/>
      <c r="FD129" s="464"/>
      <c r="FE129" s="464"/>
      <c r="FF129" s="464"/>
      <c r="FG129" s="466"/>
    </row>
    <row r="130" spans="1:163">
      <c r="A130" s="467" t="s">
        <v>317</v>
      </c>
      <c r="B130" s="471" t="str">
        <f>IF(ISNUMBER(MATCH(A130, 'Pulldown Data'!W:W, 0))=TRUE, "Y", IF(ISNUMBER(MATCH(A130, 'Pulldown Data'!X:X, 0))=TRUE, "M", ""))</f>
        <v/>
      </c>
      <c r="C130" s="504">
        <v>45630</v>
      </c>
      <c r="D130" s="502"/>
      <c r="E130" s="443" t="str">
        <f t="shared" si="120"/>
        <v>NO</v>
      </c>
      <c r="F130" s="444" t="str">
        <f t="shared" si="120"/>
        <v>NO</v>
      </c>
      <c r="G130" s="444" t="str">
        <f t="shared" si="120"/>
        <v>YES</v>
      </c>
      <c r="H130" s="444" t="str">
        <f t="shared" si="120"/>
        <v>YES</v>
      </c>
      <c r="I130" s="444" t="str">
        <f t="shared" si="120"/>
        <v>YES</v>
      </c>
      <c r="J130" s="444" t="str">
        <f t="shared" si="120"/>
        <v>YES</v>
      </c>
      <c r="K130" s="444" t="str">
        <f t="shared" si="120"/>
        <v>NO</v>
      </c>
      <c r="L130" s="444" t="str">
        <f t="shared" si="120"/>
        <v>YES</v>
      </c>
      <c r="M130" s="444" t="str">
        <f t="shared" si="120"/>
        <v>NO</v>
      </c>
      <c r="N130" s="444" t="str">
        <f t="shared" si="120"/>
        <v>NO</v>
      </c>
      <c r="O130" s="444" t="str">
        <f t="shared" si="121"/>
        <v>NO</v>
      </c>
      <c r="P130" s="444" t="str">
        <f t="shared" si="121"/>
        <v>NO</v>
      </c>
      <c r="Q130" s="444" t="str">
        <f t="shared" si="121"/>
        <v>NO</v>
      </c>
      <c r="R130" s="444" t="str">
        <f t="shared" si="121"/>
        <v>NO</v>
      </c>
      <c r="S130" s="444" t="str">
        <f t="shared" si="121"/>
        <v>NO</v>
      </c>
      <c r="T130" s="444" t="str">
        <f t="shared" si="121"/>
        <v>YES</v>
      </c>
      <c r="U130" s="444" t="str">
        <f t="shared" si="121"/>
        <v>YES</v>
      </c>
      <c r="V130" s="444" t="str">
        <f t="shared" si="121"/>
        <v>YES</v>
      </c>
      <c r="W130" s="444" t="str">
        <f t="shared" si="121"/>
        <v>YES</v>
      </c>
      <c r="X130" s="444" t="str">
        <f t="shared" si="121"/>
        <v>NO</v>
      </c>
      <c r="Y130" s="444" t="str">
        <f t="shared" si="122"/>
        <v>YES</v>
      </c>
      <c r="Z130" s="444" t="str">
        <f t="shared" si="122"/>
        <v>NO</v>
      </c>
      <c r="AA130" s="444" t="str">
        <f t="shared" si="122"/>
        <v>YES</v>
      </c>
      <c r="AB130" s="444" t="str">
        <f t="shared" si="122"/>
        <v>YES</v>
      </c>
      <c r="AC130" s="444" t="str">
        <f t="shared" si="122"/>
        <v>YES</v>
      </c>
      <c r="AD130" s="444" t="str">
        <f t="shared" si="122"/>
        <v>NO</v>
      </c>
      <c r="AE130" s="444" t="str">
        <f t="shared" si="122"/>
        <v>NO</v>
      </c>
      <c r="AF130" s="444" t="str">
        <f t="shared" si="122"/>
        <v>NO</v>
      </c>
      <c r="AG130" s="444" t="str">
        <f t="shared" si="122"/>
        <v>NO</v>
      </c>
      <c r="AH130" s="444" t="str">
        <f t="shared" si="122"/>
        <v>NO</v>
      </c>
      <c r="AI130" s="444" t="str">
        <f t="shared" si="123"/>
        <v>NO</v>
      </c>
      <c r="AJ130" s="444" t="str">
        <f t="shared" si="123"/>
        <v>NO</v>
      </c>
      <c r="AK130" s="444" t="str">
        <f t="shared" si="123"/>
        <v>NO</v>
      </c>
      <c r="AL130" s="444" t="str">
        <f t="shared" si="123"/>
        <v>NO</v>
      </c>
      <c r="AM130" s="444" t="str">
        <f t="shared" si="123"/>
        <v>NO</v>
      </c>
      <c r="AN130" s="444" t="str">
        <f t="shared" si="123"/>
        <v>NO</v>
      </c>
      <c r="AO130" s="444" t="str">
        <f t="shared" si="123"/>
        <v>YES</v>
      </c>
      <c r="AP130" s="444" t="str">
        <f t="shared" si="123"/>
        <v>NO</v>
      </c>
      <c r="AQ130" s="444" t="str">
        <f t="shared" si="123"/>
        <v>NO</v>
      </c>
      <c r="AR130" s="444" t="str">
        <f t="shared" si="123"/>
        <v>NO</v>
      </c>
      <c r="AS130" s="444" t="str">
        <f t="shared" si="124"/>
        <v>NO</v>
      </c>
      <c r="AT130" s="444" t="str">
        <f t="shared" si="124"/>
        <v>YES</v>
      </c>
      <c r="AU130" s="444" t="str">
        <f t="shared" si="124"/>
        <v>YES</v>
      </c>
      <c r="AV130" s="444" t="str">
        <f t="shared" si="124"/>
        <v>YES</v>
      </c>
      <c r="AW130" s="444" t="str">
        <f t="shared" si="124"/>
        <v>NO</v>
      </c>
      <c r="AX130" s="444" t="str">
        <f t="shared" si="124"/>
        <v>NO</v>
      </c>
      <c r="AY130" s="444" t="str">
        <f t="shared" si="124"/>
        <v>YES</v>
      </c>
      <c r="AZ130" s="444" t="str">
        <f t="shared" si="124"/>
        <v>DEP</v>
      </c>
      <c r="BA130" s="444" t="str">
        <f t="shared" si="124"/>
        <v>NO</v>
      </c>
      <c r="BB130" s="444" t="str">
        <f t="shared" si="124"/>
        <v>NO</v>
      </c>
      <c r="BC130" s="444" t="str">
        <f t="shared" si="125"/>
        <v>NO</v>
      </c>
      <c r="BD130" s="444" t="str">
        <f t="shared" si="125"/>
        <v>NO</v>
      </c>
      <c r="BE130" s="444" t="str">
        <f t="shared" si="125"/>
        <v>NO</v>
      </c>
      <c r="BF130" s="444" t="str">
        <f t="shared" si="125"/>
        <v>YES</v>
      </c>
      <c r="BG130" s="444" t="str">
        <f t="shared" si="125"/>
        <v>NO</v>
      </c>
      <c r="BH130" s="445" t="str">
        <f t="shared" si="125"/>
        <v>NO</v>
      </c>
      <c r="BI130" s="502"/>
      <c r="BJ130" s="474" t="str">
        <f t="shared" si="126"/>
        <v>NO</v>
      </c>
      <c r="BK130" s="475" t="str">
        <f t="shared" si="126"/>
        <v>NO</v>
      </c>
      <c r="BL130" s="475" t="str">
        <f t="shared" si="126"/>
        <v>NO</v>
      </c>
      <c r="BM130" s="475" t="str">
        <f t="shared" si="126"/>
        <v>NO</v>
      </c>
      <c r="BN130" s="475" t="str">
        <f t="shared" si="126"/>
        <v>NO</v>
      </c>
      <c r="BO130" s="475" t="str">
        <f t="shared" si="126"/>
        <v>NO</v>
      </c>
      <c r="BP130" s="475" t="str">
        <f t="shared" si="126"/>
        <v>NO</v>
      </c>
      <c r="BQ130" s="475" t="str">
        <f t="shared" si="126"/>
        <v>NO</v>
      </c>
      <c r="BR130" s="475" t="str">
        <f t="shared" si="126"/>
        <v>NO</v>
      </c>
      <c r="BS130" s="475" t="str">
        <f t="shared" si="126"/>
        <v>NO</v>
      </c>
      <c r="BT130" s="475" t="str">
        <f t="shared" si="127"/>
        <v>NO</v>
      </c>
      <c r="BU130" s="475" t="str">
        <f t="shared" si="127"/>
        <v>NO</v>
      </c>
      <c r="BV130" s="475" t="str">
        <f t="shared" si="127"/>
        <v>NO</v>
      </c>
      <c r="BW130" s="475" t="str">
        <f t="shared" si="127"/>
        <v>NO</v>
      </c>
      <c r="BX130" s="475" t="str">
        <f t="shared" si="127"/>
        <v>NO</v>
      </c>
      <c r="BY130" s="475" t="str">
        <f t="shared" si="127"/>
        <v>NO</v>
      </c>
      <c r="BZ130" s="475" t="str">
        <f t="shared" si="127"/>
        <v>NO</v>
      </c>
      <c r="CA130" s="475" t="str">
        <f t="shared" si="127"/>
        <v>NO</v>
      </c>
      <c r="CB130" s="475" t="str">
        <f t="shared" si="127"/>
        <v>NO</v>
      </c>
      <c r="CC130" s="475" t="str">
        <f t="shared" si="127"/>
        <v>NO</v>
      </c>
      <c r="CD130" s="475" t="str">
        <f t="shared" si="128"/>
        <v>NO</v>
      </c>
      <c r="CE130" s="475" t="str">
        <f t="shared" si="128"/>
        <v>NO</v>
      </c>
      <c r="CF130" s="475" t="str">
        <f t="shared" si="128"/>
        <v>NO</v>
      </c>
      <c r="CG130" s="475" t="str">
        <f t="shared" si="128"/>
        <v>NO</v>
      </c>
      <c r="CH130" s="475" t="str">
        <f t="shared" si="128"/>
        <v>NO</v>
      </c>
      <c r="CI130" s="475" t="str">
        <f t="shared" si="128"/>
        <v>NO</v>
      </c>
      <c r="CJ130" s="475" t="str">
        <f t="shared" si="128"/>
        <v>NO</v>
      </c>
      <c r="CK130" s="475" t="str">
        <f t="shared" si="128"/>
        <v>NO</v>
      </c>
      <c r="CL130" s="475" t="str">
        <f t="shared" si="128"/>
        <v>NO</v>
      </c>
      <c r="CM130" s="475" t="str">
        <f t="shared" si="128"/>
        <v>NO</v>
      </c>
      <c r="CN130" s="475" t="str">
        <f t="shared" si="129"/>
        <v>NO</v>
      </c>
      <c r="CO130" s="475" t="str">
        <f t="shared" si="129"/>
        <v>NO</v>
      </c>
      <c r="CP130" s="475" t="str">
        <f t="shared" si="129"/>
        <v>NO</v>
      </c>
      <c r="CQ130" s="475" t="str">
        <f t="shared" si="129"/>
        <v>NO</v>
      </c>
      <c r="CR130" s="475" t="str">
        <f t="shared" si="129"/>
        <v>NO</v>
      </c>
      <c r="CS130" s="475" t="str">
        <f t="shared" si="129"/>
        <v>NO</v>
      </c>
      <c r="CT130" s="475" t="str">
        <f t="shared" si="129"/>
        <v>NO</v>
      </c>
      <c r="CU130" s="475" t="str">
        <f t="shared" si="129"/>
        <v>NO</v>
      </c>
      <c r="CV130" s="475" t="str">
        <f t="shared" si="129"/>
        <v>NO</v>
      </c>
      <c r="CW130" s="475" t="str">
        <f t="shared" si="129"/>
        <v>NO</v>
      </c>
      <c r="CX130" s="475" t="str">
        <f t="shared" si="129"/>
        <v>NO</v>
      </c>
      <c r="CY130" s="475" t="str">
        <f t="shared" si="129"/>
        <v>NO</v>
      </c>
      <c r="CZ130" s="495" t="str">
        <f t="shared" si="129"/>
        <v>NO</v>
      </c>
      <c r="DA130" s="502"/>
      <c r="DB130" s="460"/>
      <c r="DC130" s="465"/>
      <c r="DD130" s="463"/>
      <c r="DE130" s="512"/>
      <c r="DF130" s="516"/>
      <c r="DG130" s="508"/>
      <c r="DH130" s="463"/>
      <c r="DI130" s="461"/>
      <c r="DJ130" s="461"/>
      <c r="DK130" s="461"/>
      <c r="DL130" s="464"/>
      <c r="DM130" s="466"/>
      <c r="DN130" s="502"/>
      <c r="DO130" s="460"/>
      <c r="DP130" s="464"/>
      <c r="DQ130" s="464"/>
      <c r="DR130" s="464"/>
      <c r="DS130" s="508"/>
      <c r="DT130" s="525"/>
      <c r="DU130" s="525"/>
      <c r="DV130" s="463"/>
      <c r="DW130" s="464"/>
      <c r="DX130" s="465"/>
      <c r="DY130" s="463"/>
      <c r="DZ130" s="464"/>
      <c r="EA130" s="465"/>
      <c r="EB130" s="463"/>
      <c r="EC130" s="465"/>
      <c r="ED130" s="462"/>
      <c r="EE130" s="502"/>
      <c r="EF130" s="463"/>
      <c r="EG130" s="461"/>
      <c r="EH130" s="464"/>
      <c r="EI130" s="464"/>
      <c r="EJ130" s="464"/>
      <c r="EK130" s="464"/>
      <c r="EL130" s="464"/>
      <c r="EM130" s="464"/>
      <c r="EN130" s="464"/>
      <c r="EO130" s="464"/>
      <c r="EP130" s="464"/>
      <c r="EQ130" s="464"/>
      <c r="ER130" s="464"/>
      <c r="ES130" s="464"/>
      <c r="ET130" s="464"/>
      <c r="EU130" s="464"/>
      <c r="EV130" s="464"/>
      <c r="EW130" s="465"/>
      <c r="EX130" s="465"/>
      <c r="EY130" s="502"/>
      <c r="EZ130" s="460"/>
      <c r="FA130" s="464"/>
      <c r="FB130" s="464"/>
      <c r="FC130" s="464"/>
      <c r="FD130" s="464"/>
      <c r="FE130" s="464"/>
      <c r="FF130" s="464"/>
      <c r="FG130" s="466"/>
    </row>
    <row r="131" spans="1:163">
      <c r="A131" s="467" t="s">
        <v>318</v>
      </c>
      <c r="B131" s="471" t="str">
        <f>IF(ISNUMBER(MATCH(A131, 'Pulldown Data'!W:W, 0))=TRUE, "Y", IF(ISNUMBER(MATCH(A131, 'Pulldown Data'!X:X, 0))=TRUE, "M", ""))</f>
        <v/>
      </c>
      <c r="C131" s="504"/>
      <c r="D131" s="502"/>
      <c r="E131" s="443" t="str">
        <f t="shared" si="120"/>
        <v/>
      </c>
      <c r="F131" s="444" t="str">
        <f t="shared" si="120"/>
        <v/>
      </c>
      <c r="G131" s="444" t="str">
        <f t="shared" si="120"/>
        <v/>
      </c>
      <c r="H131" s="444" t="str">
        <f t="shared" si="120"/>
        <v/>
      </c>
      <c r="I131" s="444" t="str">
        <f t="shared" si="120"/>
        <v/>
      </c>
      <c r="J131" s="444" t="str">
        <f t="shared" si="120"/>
        <v/>
      </c>
      <c r="K131" s="444" t="str">
        <f t="shared" si="120"/>
        <v/>
      </c>
      <c r="L131" s="444" t="str">
        <f t="shared" si="120"/>
        <v/>
      </c>
      <c r="M131" s="444" t="str">
        <f t="shared" si="120"/>
        <v/>
      </c>
      <c r="N131" s="444" t="str">
        <f t="shared" si="120"/>
        <v/>
      </c>
      <c r="O131" s="444" t="str">
        <f t="shared" si="121"/>
        <v/>
      </c>
      <c r="P131" s="444" t="str">
        <f t="shared" si="121"/>
        <v/>
      </c>
      <c r="Q131" s="444" t="str">
        <f t="shared" si="121"/>
        <v/>
      </c>
      <c r="R131" s="444" t="str">
        <f t="shared" si="121"/>
        <v/>
      </c>
      <c r="S131" s="444" t="str">
        <f t="shared" si="121"/>
        <v/>
      </c>
      <c r="T131" s="444" t="str">
        <f t="shared" si="121"/>
        <v/>
      </c>
      <c r="U131" s="444" t="str">
        <f t="shared" si="121"/>
        <v/>
      </c>
      <c r="V131" s="444" t="str">
        <f t="shared" si="121"/>
        <v/>
      </c>
      <c r="W131" s="444" t="str">
        <f t="shared" si="121"/>
        <v/>
      </c>
      <c r="X131" s="444" t="str">
        <f t="shared" si="121"/>
        <v/>
      </c>
      <c r="Y131" s="444" t="str">
        <f t="shared" si="122"/>
        <v/>
      </c>
      <c r="Z131" s="444" t="str">
        <f t="shared" si="122"/>
        <v/>
      </c>
      <c r="AA131" s="444" t="str">
        <f t="shared" si="122"/>
        <v/>
      </c>
      <c r="AB131" s="444" t="str">
        <f t="shared" si="122"/>
        <v/>
      </c>
      <c r="AC131" s="444" t="str">
        <f t="shared" si="122"/>
        <v/>
      </c>
      <c r="AD131" s="444" t="str">
        <f t="shared" si="122"/>
        <v/>
      </c>
      <c r="AE131" s="444" t="str">
        <f t="shared" si="122"/>
        <v/>
      </c>
      <c r="AF131" s="444" t="str">
        <f t="shared" si="122"/>
        <v/>
      </c>
      <c r="AG131" s="444" t="str">
        <f t="shared" si="122"/>
        <v/>
      </c>
      <c r="AH131" s="444" t="str">
        <f t="shared" si="122"/>
        <v/>
      </c>
      <c r="AI131" s="444" t="str">
        <f t="shared" si="123"/>
        <v/>
      </c>
      <c r="AJ131" s="444" t="str">
        <f t="shared" si="123"/>
        <v/>
      </c>
      <c r="AK131" s="444" t="str">
        <f t="shared" si="123"/>
        <v/>
      </c>
      <c r="AL131" s="444" t="str">
        <f t="shared" si="123"/>
        <v/>
      </c>
      <c r="AM131" s="444" t="str">
        <f t="shared" si="123"/>
        <v/>
      </c>
      <c r="AN131" s="444" t="str">
        <f t="shared" si="123"/>
        <v/>
      </c>
      <c r="AO131" s="444" t="str">
        <f t="shared" si="123"/>
        <v/>
      </c>
      <c r="AP131" s="444" t="str">
        <f t="shared" si="123"/>
        <v/>
      </c>
      <c r="AQ131" s="444" t="str">
        <f t="shared" si="123"/>
        <v/>
      </c>
      <c r="AR131" s="444" t="str">
        <f t="shared" si="123"/>
        <v/>
      </c>
      <c r="AS131" s="444" t="str">
        <f t="shared" si="124"/>
        <v/>
      </c>
      <c r="AT131" s="444" t="str">
        <f t="shared" si="124"/>
        <v/>
      </c>
      <c r="AU131" s="444" t="str">
        <f t="shared" si="124"/>
        <v/>
      </c>
      <c r="AV131" s="444" t="str">
        <f t="shared" si="124"/>
        <v/>
      </c>
      <c r="AW131" s="444" t="str">
        <f t="shared" si="124"/>
        <v/>
      </c>
      <c r="AX131" s="444" t="str">
        <f t="shared" si="124"/>
        <v/>
      </c>
      <c r="AY131" s="444" t="str">
        <f t="shared" si="124"/>
        <v/>
      </c>
      <c r="AZ131" s="444" t="str">
        <f t="shared" si="124"/>
        <v/>
      </c>
      <c r="BA131" s="444" t="str">
        <f t="shared" si="124"/>
        <v/>
      </c>
      <c r="BB131" s="444" t="str">
        <f t="shared" si="124"/>
        <v/>
      </c>
      <c r="BC131" s="444" t="str">
        <f t="shared" si="125"/>
        <v/>
      </c>
      <c r="BD131" s="444" t="str">
        <f t="shared" si="125"/>
        <v/>
      </c>
      <c r="BE131" s="444" t="str">
        <f t="shared" si="125"/>
        <v/>
      </c>
      <c r="BF131" s="444" t="str">
        <f t="shared" si="125"/>
        <v/>
      </c>
      <c r="BG131" s="444" t="str">
        <f t="shared" si="125"/>
        <v/>
      </c>
      <c r="BH131" s="445" t="str">
        <f t="shared" si="125"/>
        <v/>
      </c>
      <c r="BI131" s="502"/>
      <c r="BJ131" s="474" t="str">
        <f t="shared" si="126"/>
        <v/>
      </c>
      <c r="BK131" s="475" t="str">
        <f t="shared" si="126"/>
        <v/>
      </c>
      <c r="BL131" s="475" t="str">
        <f t="shared" si="126"/>
        <v/>
      </c>
      <c r="BM131" s="475" t="str">
        <f t="shared" si="126"/>
        <v/>
      </c>
      <c r="BN131" s="475" t="str">
        <f t="shared" si="126"/>
        <v/>
      </c>
      <c r="BO131" s="475" t="str">
        <f t="shared" si="126"/>
        <v/>
      </c>
      <c r="BP131" s="475" t="str">
        <f t="shared" si="126"/>
        <v/>
      </c>
      <c r="BQ131" s="475" t="str">
        <f t="shared" si="126"/>
        <v/>
      </c>
      <c r="BR131" s="475" t="str">
        <f t="shared" si="126"/>
        <v/>
      </c>
      <c r="BS131" s="475" t="str">
        <f t="shared" si="126"/>
        <v/>
      </c>
      <c r="BT131" s="475" t="str">
        <f t="shared" si="127"/>
        <v/>
      </c>
      <c r="BU131" s="475" t="str">
        <f t="shared" si="127"/>
        <v/>
      </c>
      <c r="BV131" s="475" t="str">
        <f t="shared" si="127"/>
        <v/>
      </c>
      <c r="BW131" s="475" t="str">
        <f t="shared" si="127"/>
        <v/>
      </c>
      <c r="BX131" s="475" t="str">
        <f t="shared" si="127"/>
        <v/>
      </c>
      <c r="BY131" s="475" t="str">
        <f t="shared" si="127"/>
        <v/>
      </c>
      <c r="BZ131" s="475" t="str">
        <f t="shared" si="127"/>
        <v/>
      </c>
      <c r="CA131" s="475" t="str">
        <f t="shared" si="127"/>
        <v/>
      </c>
      <c r="CB131" s="475" t="str">
        <f t="shared" si="127"/>
        <v/>
      </c>
      <c r="CC131" s="475" t="str">
        <f t="shared" si="127"/>
        <v/>
      </c>
      <c r="CD131" s="475" t="str">
        <f t="shared" si="128"/>
        <v/>
      </c>
      <c r="CE131" s="475" t="str">
        <f t="shared" si="128"/>
        <v/>
      </c>
      <c r="CF131" s="475" t="str">
        <f t="shared" si="128"/>
        <v/>
      </c>
      <c r="CG131" s="475" t="str">
        <f t="shared" si="128"/>
        <v/>
      </c>
      <c r="CH131" s="475" t="str">
        <f t="shared" si="128"/>
        <v/>
      </c>
      <c r="CI131" s="475" t="str">
        <f t="shared" si="128"/>
        <v/>
      </c>
      <c r="CJ131" s="475" t="str">
        <f t="shared" si="128"/>
        <v/>
      </c>
      <c r="CK131" s="475" t="str">
        <f t="shared" si="128"/>
        <v/>
      </c>
      <c r="CL131" s="475" t="str">
        <f t="shared" si="128"/>
        <v/>
      </c>
      <c r="CM131" s="475" t="str">
        <f t="shared" si="128"/>
        <v/>
      </c>
      <c r="CN131" s="475" t="str">
        <f t="shared" si="129"/>
        <v/>
      </c>
      <c r="CO131" s="475" t="str">
        <f t="shared" si="129"/>
        <v/>
      </c>
      <c r="CP131" s="475" t="str">
        <f t="shared" si="129"/>
        <v/>
      </c>
      <c r="CQ131" s="475" t="str">
        <f t="shared" si="129"/>
        <v/>
      </c>
      <c r="CR131" s="475" t="str">
        <f t="shared" si="129"/>
        <v/>
      </c>
      <c r="CS131" s="475" t="str">
        <f t="shared" si="129"/>
        <v/>
      </c>
      <c r="CT131" s="475" t="str">
        <f t="shared" si="129"/>
        <v/>
      </c>
      <c r="CU131" s="475" t="str">
        <f t="shared" si="129"/>
        <v/>
      </c>
      <c r="CV131" s="475" t="str">
        <f t="shared" si="129"/>
        <v/>
      </c>
      <c r="CW131" s="475" t="str">
        <f t="shared" si="129"/>
        <v/>
      </c>
      <c r="CX131" s="475" t="str">
        <f t="shared" si="129"/>
        <v/>
      </c>
      <c r="CY131" s="475" t="str">
        <f t="shared" si="129"/>
        <v/>
      </c>
      <c r="CZ131" s="495" t="str">
        <f t="shared" si="129"/>
        <v/>
      </c>
      <c r="DA131" s="502"/>
      <c r="DB131" s="460"/>
      <c r="DC131" s="465"/>
      <c r="DD131" s="463"/>
      <c r="DE131" s="512"/>
      <c r="DF131" s="516"/>
      <c r="DG131" s="508"/>
      <c r="DH131" s="463"/>
      <c r="DI131" s="461"/>
      <c r="DJ131" s="461"/>
      <c r="DK131" s="461"/>
      <c r="DL131" s="464"/>
      <c r="DM131" s="466"/>
      <c r="DN131" s="502"/>
      <c r="DO131" s="460"/>
      <c r="DP131" s="464"/>
      <c r="DQ131" s="464"/>
      <c r="DR131" s="464"/>
      <c r="DS131" s="508"/>
      <c r="DT131" s="525"/>
      <c r="DU131" s="525"/>
      <c r="DV131" s="463"/>
      <c r="DW131" s="464"/>
      <c r="DX131" s="465"/>
      <c r="DY131" s="463"/>
      <c r="DZ131" s="464"/>
      <c r="EA131" s="465"/>
      <c r="EB131" s="463"/>
      <c r="EC131" s="465"/>
      <c r="ED131" s="462"/>
      <c r="EE131" s="502"/>
      <c r="EF131" s="463"/>
      <c r="EG131" s="461"/>
      <c r="EH131" s="464"/>
      <c r="EI131" s="464"/>
      <c r="EJ131" s="464"/>
      <c r="EK131" s="464"/>
      <c r="EL131" s="464"/>
      <c r="EM131" s="464"/>
      <c r="EN131" s="464"/>
      <c r="EO131" s="464"/>
      <c r="EP131" s="464"/>
      <c r="EQ131" s="464"/>
      <c r="ER131" s="464"/>
      <c r="ES131" s="464"/>
      <c r="ET131" s="464"/>
      <c r="EU131" s="464"/>
      <c r="EV131" s="464"/>
      <c r="EW131" s="465"/>
      <c r="EX131" s="465"/>
      <c r="EY131" s="502"/>
      <c r="EZ131" s="460"/>
      <c r="FA131" s="464"/>
      <c r="FB131" s="464"/>
      <c r="FC131" s="464"/>
      <c r="FD131" s="464"/>
      <c r="FE131" s="464"/>
      <c r="FF131" s="464"/>
      <c r="FG131" s="466"/>
    </row>
    <row r="132" spans="1:163">
      <c r="A132" s="467" t="s">
        <v>319</v>
      </c>
      <c r="B132" s="471" t="str">
        <f>IF(ISNUMBER(MATCH(A132, 'Pulldown Data'!W:W, 0))=TRUE, "Y", IF(ISNUMBER(MATCH(A132, 'Pulldown Data'!X:X, 0))=TRUE, "M", ""))</f>
        <v/>
      </c>
      <c r="C132" s="504"/>
      <c r="D132" s="502"/>
      <c r="E132" s="443" t="str">
        <f t="shared" ref="E132:N141" si="130" xml:space="preserve">
IFERROR(
_xlfn.IFNA(
   IF($B132="PLT",
      IF(INDEX(PRJGENVersions, MATCH(TRIM(E$1), PRJGENAlgosMapped, 0), MATCH($A132, PRJGENProjects, 0)), "YES", ""),
      IF(INDEX(RoadmapData, MATCH(TRIM(E$1), RoadmapDataFeatures, 0), MATCH($A132, RoadmapDataProjects, 0)) = "-", "-", INDEX(RoadmapData, MATCH(TRIM(E$1), RoadmapDataFeatures, 0), MATCH($A132, RoadmapDataProjects, 0)))),
""),
"")</f>
        <v/>
      </c>
      <c r="F132" s="444" t="str">
        <f t="shared" si="130"/>
        <v/>
      </c>
      <c r="G132" s="444" t="str">
        <f t="shared" si="130"/>
        <v/>
      </c>
      <c r="H132" s="444" t="str">
        <f t="shared" si="130"/>
        <v/>
      </c>
      <c r="I132" s="444" t="str">
        <f t="shared" si="130"/>
        <v/>
      </c>
      <c r="J132" s="444" t="str">
        <f t="shared" si="130"/>
        <v/>
      </c>
      <c r="K132" s="444" t="str">
        <f t="shared" si="130"/>
        <v/>
      </c>
      <c r="L132" s="444" t="str">
        <f t="shared" si="130"/>
        <v/>
      </c>
      <c r="M132" s="444" t="str">
        <f t="shared" si="130"/>
        <v/>
      </c>
      <c r="N132" s="444" t="str">
        <f t="shared" si="130"/>
        <v/>
      </c>
      <c r="O132" s="444" t="str">
        <f t="shared" ref="O132:X141" si="131" xml:space="preserve">
IFERROR(
_xlfn.IFNA(
   IF($B132="PLT",
      IF(INDEX(PRJGENVersions, MATCH(TRIM(O$1), PRJGENAlgosMapped, 0), MATCH($A132, PRJGENProjects, 0)), "YES", ""),
      IF(INDEX(RoadmapData, MATCH(TRIM(O$1), RoadmapDataFeatures, 0), MATCH($A132, RoadmapDataProjects, 0)) = "-", "-", INDEX(RoadmapData, MATCH(TRIM(O$1), RoadmapDataFeatures, 0), MATCH($A132, RoadmapDataProjects, 0)))),
""),
"")</f>
        <v/>
      </c>
      <c r="P132" s="444" t="str">
        <f t="shared" si="131"/>
        <v/>
      </c>
      <c r="Q132" s="444" t="str">
        <f t="shared" si="131"/>
        <v/>
      </c>
      <c r="R132" s="444" t="str">
        <f t="shared" si="131"/>
        <v/>
      </c>
      <c r="S132" s="444" t="str">
        <f t="shared" si="131"/>
        <v/>
      </c>
      <c r="T132" s="444" t="str">
        <f t="shared" si="131"/>
        <v/>
      </c>
      <c r="U132" s="444" t="str">
        <f t="shared" si="131"/>
        <v/>
      </c>
      <c r="V132" s="444" t="str">
        <f t="shared" si="131"/>
        <v/>
      </c>
      <c r="W132" s="444" t="str">
        <f t="shared" si="131"/>
        <v/>
      </c>
      <c r="X132" s="444" t="str">
        <f t="shared" si="131"/>
        <v/>
      </c>
      <c r="Y132" s="444" t="str">
        <f t="shared" ref="Y132:AH141" si="132" xml:space="preserve">
IFERROR(
_xlfn.IFNA(
   IF($B132="PLT",
      IF(INDEX(PRJGENVersions, MATCH(TRIM(Y$1), PRJGENAlgosMapped, 0), MATCH($A132, PRJGENProjects, 0)), "YES", ""),
      IF(INDEX(RoadmapData, MATCH(TRIM(Y$1), RoadmapDataFeatures, 0), MATCH($A132, RoadmapDataProjects, 0)) = "-", "-", INDEX(RoadmapData, MATCH(TRIM(Y$1), RoadmapDataFeatures, 0), MATCH($A132, RoadmapDataProjects, 0)))),
""),
"")</f>
        <v/>
      </c>
      <c r="Z132" s="444" t="str">
        <f t="shared" si="132"/>
        <v/>
      </c>
      <c r="AA132" s="444" t="str">
        <f t="shared" si="132"/>
        <v/>
      </c>
      <c r="AB132" s="444" t="str">
        <f t="shared" si="132"/>
        <v/>
      </c>
      <c r="AC132" s="444" t="str">
        <f t="shared" si="132"/>
        <v/>
      </c>
      <c r="AD132" s="444" t="str">
        <f t="shared" si="132"/>
        <v/>
      </c>
      <c r="AE132" s="444" t="str">
        <f t="shared" si="132"/>
        <v/>
      </c>
      <c r="AF132" s="444" t="str">
        <f t="shared" si="132"/>
        <v/>
      </c>
      <c r="AG132" s="444" t="str">
        <f t="shared" si="132"/>
        <v/>
      </c>
      <c r="AH132" s="444" t="str">
        <f t="shared" si="132"/>
        <v/>
      </c>
      <c r="AI132" s="444" t="str">
        <f t="shared" ref="AI132:AR141" si="133" xml:space="preserve">
IFERROR(
_xlfn.IFNA(
   IF($B132="PLT",
      IF(INDEX(PRJGENVersions, MATCH(TRIM(AI$1), PRJGENAlgosMapped, 0), MATCH($A132, PRJGENProjects, 0)), "YES", ""),
      IF(INDEX(RoadmapData, MATCH(TRIM(AI$1), RoadmapDataFeatures, 0), MATCH($A132, RoadmapDataProjects, 0)) = "-", "-", INDEX(RoadmapData, MATCH(TRIM(AI$1), RoadmapDataFeatures, 0), MATCH($A132, RoadmapDataProjects, 0)))),
""),
"")</f>
        <v/>
      </c>
      <c r="AJ132" s="444" t="str">
        <f t="shared" si="133"/>
        <v/>
      </c>
      <c r="AK132" s="444" t="str">
        <f t="shared" si="133"/>
        <v/>
      </c>
      <c r="AL132" s="444" t="str">
        <f t="shared" si="133"/>
        <v/>
      </c>
      <c r="AM132" s="444" t="str">
        <f t="shared" si="133"/>
        <v/>
      </c>
      <c r="AN132" s="444" t="str">
        <f t="shared" si="133"/>
        <v/>
      </c>
      <c r="AO132" s="444" t="str">
        <f t="shared" si="133"/>
        <v/>
      </c>
      <c r="AP132" s="444" t="str">
        <f t="shared" si="133"/>
        <v/>
      </c>
      <c r="AQ132" s="444" t="str">
        <f t="shared" si="133"/>
        <v/>
      </c>
      <c r="AR132" s="444" t="str">
        <f t="shared" si="133"/>
        <v/>
      </c>
      <c r="AS132" s="444" t="str">
        <f t="shared" ref="AS132:BB141" si="134" xml:space="preserve">
IFERROR(
_xlfn.IFNA(
   IF($B132="PLT",
      IF(INDEX(PRJGENVersions, MATCH(TRIM(AS$1), PRJGENAlgosMapped, 0), MATCH($A132, PRJGENProjects, 0)), "YES", ""),
      IF(INDEX(RoadmapData, MATCH(TRIM(AS$1), RoadmapDataFeatures, 0), MATCH($A132, RoadmapDataProjects, 0)) = "-", "-", INDEX(RoadmapData, MATCH(TRIM(AS$1), RoadmapDataFeatures, 0), MATCH($A132, RoadmapDataProjects, 0)))),
""),
"")</f>
        <v/>
      </c>
      <c r="AT132" s="444" t="str">
        <f t="shared" si="134"/>
        <v/>
      </c>
      <c r="AU132" s="444" t="str">
        <f t="shared" si="134"/>
        <v/>
      </c>
      <c r="AV132" s="444" t="str">
        <f t="shared" si="134"/>
        <v/>
      </c>
      <c r="AW132" s="444" t="str">
        <f t="shared" si="134"/>
        <v/>
      </c>
      <c r="AX132" s="444" t="str">
        <f t="shared" si="134"/>
        <v/>
      </c>
      <c r="AY132" s="444" t="str">
        <f t="shared" si="134"/>
        <v/>
      </c>
      <c r="AZ132" s="444" t="str">
        <f t="shared" si="134"/>
        <v/>
      </c>
      <c r="BA132" s="444" t="str">
        <f t="shared" si="134"/>
        <v/>
      </c>
      <c r="BB132" s="444" t="str">
        <f t="shared" si="134"/>
        <v/>
      </c>
      <c r="BC132" s="444" t="str">
        <f t="shared" ref="BC132:BH141" si="135" xml:space="preserve">
IFERROR(
_xlfn.IFNA(
   IF($B132="PLT",
      IF(INDEX(PRJGENVersions, MATCH(TRIM(BC$1), PRJGENAlgosMapped, 0), MATCH($A132, PRJGENProjects, 0)), "YES", ""),
      IF(INDEX(RoadmapData, MATCH(TRIM(BC$1), RoadmapDataFeatures, 0), MATCH($A132, RoadmapDataProjects, 0)) = "-", "-", INDEX(RoadmapData, MATCH(TRIM(BC$1), RoadmapDataFeatures, 0), MATCH($A132, RoadmapDataProjects, 0)))),
""),
"")</f>
        <v/>
      </c>
      <c r="BD132" s="444" t="str">
        <f t="shared" si="135"/>
        <v/>
      </c>
      <c r="BE132" s="444" t="str">
        <f t="shared" si="135"/>
        <v/>
      </c>
      <c r="BF132" s="444" t="str">
        <f t="shared" si="135"/>
        <v/>
      </c>
      <c r="BG132" s="444" t="str">
        <f t="shared" si="135"/>
        <v/>
      </c>
      <c r="BH132" s="445" t="str">
        <f t="shared" si="135"/>
        <v/>
      </c>
      <c r="BI132" s="502"/>
      <c r="BJ132" s="474" t="str">
        <f t="shared" ref="BJ132:BS141" si="136">_xlfn.IFNA(IF(INDEX(RoadmapData, MATCH(TRIM(BJ$1), RoadmapDataFeatures, 0), MATCH($A132, RoadmapDataProjects, 0)) = "-", "-", INDEX(RoadmapData, MATCH(TRIM(BJ$1), RoadmapDataFeatures, 0), MATCH($A132, RoadmapDataProjects, 0))), "")</f>
        <v/>
      </c>
      <c r="BK132" s="475" t="str">
        <f t="shared" si="136"/>
        <v/>
      </c>
      <c r="BL132" s="475" t="str">
        <f t="shared" si="136"/>
        <v/>
      </c>
      <c r="BM132" s="475" t="str">
        <f t="shared" si="136"/>
        <v/>
      </c>
      <c r="BN132" s="475" t="str">
        <f t="shared" si="136"/>
        <v/>
      </c>
      <c r="BO132" s="475" t="str">
        <f t="shared" si="136"/>
        <v/>
      </c>
      <c r="BP132" s="475" t="str">
        <f t="shared" si="136"/>
        <v/>
      </c>
      <c r="BQ132" s="475" t="str">
        <f t="shared" si="136"/>
        <v/>
      </c>
      <c r="BR132" s="475" t="str">
        <f t="shared" si="136"/>
        <v/>
      </c>
      <c r="BS132" s="475" t="str">
        <f t="shared" si="136"/>
        <v/>
      </c>
      <c r="BT132" s="475" t="str">
        <f t="shared" ref="BT132:CC141" si="137">_xlfn.IFNA(IF(INDEX(RoadmapData, MATCH(TRIM(BT$1), RoadmapDataFeatures, 0), MATCH($A132, RoadmapDataProjects, 0)) = "-", "-", INDEX(RoadmapData, MATCH(TRIM(BT$1), RoadmapDataFeatures, 0), MATCH($A132, RoadmapDataProjects, 0))), "")</f>
        <v/>
      </c>
      <c r="BU132" s="475" t="str">
        <f t="shared" si="137"/>
        <v/>
      </c>
      <c r="BV132" s="475" t="str">
        <f t="shared" si="137"/>
        <v/>
      </c>
      <c r="BW132" s="475" t="str">
        <f t="shared" si="137"/>
        <v/>
      </c>
      <c r="BX132" s="475" t="str">
        <f t="shared" si="137"/>
        <v/>
      </c>
      <c r="BY132" s="475" t="str">
        <f t="shared" si="137"/>
        <v/>
      </c>
      <c r="BZ132" s="475" t="str">
        <f t="shared" si="137"/>
        <v/>
      </c>
      <c r="CA132" s="475" t="str">
        <f t="shared" si="137"/>
        <v/>
      </c>
      <c r="CB132" s="475" t="str">
        <f t="shared" si="137"/>
        <v/>
      </c>
      <c r="CC132" s="475" t="str">
        <f t="shared" si="137"/>
        <v/>
      </c>
      <c r="CD132" s="475" t="str">
        <f t="shared" ref="CD132:CM141" si="138">_xlfn.IFNA(IF(INDEX(RoadmapData, MATCH(TRIM(CD$1), RoadmapDataFeatures, 0), MATCH($A132, RoadmapDataProjects, 0)) = "-", "-", INDEX(RoadmapData, MATCH(TRIM(CD$1), RoadmapDataFeatures, 0), MATCH($A132, RoadmapDataProjects, 0))), "")</f>
        <v/>
      </c>
      <c r="CE132" s="475" t="str">
        <f t="shared" si="138"/>
        <v/>
      </c>
      <c r="CF132" s="475" t="str">
        <f t="shared" si="138"/>
        <v/>
      </c>
      <c r="CG132" s="475" t="str">
        <f t="shared" si="138"/>
        <v/>
      </c>
      <c r="CH132" s="475" t="str">
        <f t="shared" si="138"/>
        <v/>
      </c>
      <c r="CI132" s="475" t="str">
        <f t="shared" si="138"/>
        <v/>
      </c>
      <c r="CJ132" s="475" t="str">
        <f t="shared" si="138"/>
        <v/>
      </c>
      <c r="CK132" s="475" t="str">
        <f t="shared" si="138"/>
        <v/>
      </c>
      <c r="CL132" s="475" t="str">
        <f t="shared" si="138"/>
        <v/>
      </c>
      <c r="CM132" s="475" t="str">
        <f t="shared" si="138"/>
        <v/>
      </c>
      <c r="CN132" s="475" t="str">
        <f t="shared" ref="CN132:CZ141" si="139">_xlfn.IFNA(IF(INDEX(RoadmapData, MATCH(TRIM(CN$1), RoadmapDataFeatures, 0), MATCH($A132, RoadmapDataProjects, 0)) = "-", "-", INDEX(RoadmapData, MATCH(TRIM(CN$1), RoadmapDataFeatures, 0), MATCH($A132, RoadmapDataProjects, 0))), "")</f>
        <v/>
      </c>
      <c r="CO132" s="475" t="str">
        <f t="shared" si="139"/>
        <v/>
      </c>
      <c r="CP132" s="475" t="str">
        <f t="shared" si="139"/>
        <v/>
      </c>
      <c r="CQ132" s="475" t="str">
        <f t="shared" si="139"/>
        <v/>
      </c>
      <c r="CR132" s="475" t="str">
        <f t="shared" si="139"/>
        <v/>
      </c>
      <c r="CS132" s="475" t="str">
        <f t="shared" si="139"/>
        <v/>
      </c>
      <c r="CT132" s="475" t="str">
        <f t="shared" si="139"/>
        <v/>
      </c>
      <c r="CU132" s="475" t="str">
        <f t="shared" si="139"/>
        <v/>
      </c>
      <c r="CV132" s="475" t="str">
        <f t="shared" si="139"/>
        <v/>
      </c>
      <c r="CW132" s="475" t="str">
        <f t="shared" si="139"/>
        <v/>
      </c>
      <c r="CX132" s="475" t="str">
        <f t="shared" si="139"/>
        <v/>
      </c>
      <c r="CY132" s="475" t="str">
        <f t="shared" si="139"/>
        <v/>
      </c>
      <c r="CZ132" s="495" t="str">
        <f t="shared" si="139"/>
        <v/>
      </c>
      <c r="DA132" s="502"/>
      <c r="DB132" s="460"/>
      <c r="DC132" s="465"/>
      <c r="DD132" s="463"/>
      <c r="DE132" s="512"/>
      <c r="DF132" s="516"/>
      <c r="DG132" s="508"/>
      <c r="DH132" s="463"/>
      <c r="DI132" s="461"/>
      <c r="DJ132" s="461"/>
      <c r="DK132" s="461"/>
      <c r="DL132" s="464"/>
      <c r="DM132" s="466"/>
      <c r="DN132" s="502"/>
      <c r="DO132" s="460"/>
      <c r="DP132" s="464"/>
      <c r="DQ132" s="464"/>
      <c r="DR132" s="464"/>
      <c r="DS132" s="508"/>
      <c r="DT132" s="525"/>
      <c r="DU132" s="525"/>
      <c r="DV132" s="463"/>
      <c r="DW132" s="464"/>
      <c r="DX132" s="465"/>
      <c r="DY132" s="463"/>
      <c r="DZ132" s="464"/>
      <c r="EA132" s="465"/>
      <c r="EB132" s="463"/>
      <c r="EC132" s="465"/>
      <c r="ED132" s="462"/>
      <c r="EE132" s="502"/>
      <c r="EF132" s="463"/>
      <c r="EG132" s="461"/>
      <c r="EH132" s="464"/>
      <c r="EI132" s="464"/>
      <c r="EJ132" s="464"/>
      <c r="EK132" s="464"/>
      <c r="EL132" s="464"/>
      <c r="EM132" s="464"/>
      <c r="EN132" s="464"/>
      <c r="EO132" s="464"/>
      <c r="EP132" s="464"/>
      <c r="EQ132" s="464"/>
      <c r="ER132" s="464"/>
      <c r="ES132" s="464"/>
      <c r="ET132" s="464"/>
      <c r="EU132" s="464"/>
      <c r="EV132" s="464"/>
      <c r="EW132" s="465"/>
      <c r="EX132" s="465"/>
      <c r="EY132" s="502"/>
      <c r="EZ132" s="460"/>
      <c r="FA132" s="464"/>
      <c r="FB132" s="464"/>
      <c r="FC132" s="464"/>
      <c r="FD132" s="464"/>
      <c r="FE132" s="464"/>
      <c r="FF132" s="464"/>
      <c r="FG132" s="466"/>
    </row>
    <row r="133" spans="1:163">
      <c r="A133" s="467" t="s">
        <v>320</v>
      </c>
      <c r="B133" s="471" t="str">
        <f>IF(ISNUMBER(MATCH(A133, 'Pulldown Data'!W:W, 0))=TRUE, "Y", IF(ISNUMBER(MATCH(A133, 'Pulldown Data'!X:X, 0))=TRUE, "M", ""))</f>
        <v/>
      </c>
      <c r="C133" s="504"/>
      <c r="D133" s="502"/>
      <c r="E133" s="443" t="str">
        <f t="shared" si="130"/>
        <v/>
      </c>
      <c r="F133" s="444" t="str">
        <f t="shared" si="130"/>
        <v/>
      </c>
      <c r="G133" s="444" t="str">
        <f t="shared" si="130"/>
        <v/>
      </c>
      <c r="H133" s="444" t="str">
        <f t="shared" si="130"/>
        <v/>
      </c>
      <c r="I133" s="444" t="str">
        <f t="shared" si="130"/>
        <v/>
      </c>
      <c r="J133" s="444" t="str">
        <f t="shared" si="130"/>
        <v/>
      </c>
      <c r="K133" s="444" t="str">
        <f t="shared" si="130"/>
        <v/>
      </c>
      <c r="L133" s="444" t="str">
        <f t="shared" si="130"/>
        <v/>
      </c>
      <c r="M133" s="444" t="str">
        <f t="shared" si="130"/>
        <v/>
      </c>
      <c r="N133" s="444" t="str">
        <f t="shared" si="130"/>
        <v/>
      </c>
      <c r="O133" s="444" t="str">
        <f t="shared" si="131"/>
        <v/>
      </c>
      <c r="P133" s="444" t="str">
        <f t="shared" si="131"/>
        <v/>
      </c>
      <c r="Q133" s="444" t="str">
        <f t="shared" si="131"/>
        <v/>
      </c>
      <c r="R133" s="444" t="str">
        <f t="shared" si="131"/>
        <v/>
      </c>
      <c r="S133" s="444" t="str">
        <f t="shared" si="131"/>
        <v/>
      </c>
      <c r="T133" s="444" t="str">
        <f t="shared" si="131"/>
        <v/>
      </c>
      <c r="U133" s="444" t="str">
        <f t="shared" si="131"/>
        <v/>
      </c>
      <c r="V133" s="444" t="str">
        <f t="shared" si="131"/>
        <v/>
      </c>
      <c r="W133" s="444" t="str">
        <f t="shared" si="131"/>
        <v/>
      </c>
      <c r="X133" s="444" t="str">
        <f t="shared" si="131"/>
        <v/>
      </c>
      <c r="Y133" s="444" t="str">
        <f t="shared" si="132"/>
        <v/>
      </c>
      <c r="Z133" s="444" t="str">
        <f t="shared" si="132"/>
        <v/>
      </c>
      <c r="AA133" s="444" t="str">
        <f t="shared" si="132"/>
        <v/>
      </c>
      <c r="AB133" s="444" t="str">
        <f t="shared" si="132"/>
        <v/>
      </c>
      <c r="AC133" s="444" t="str">
        <f t="shared" si="132"/>
        <v/>
      </c>
      <c r="AD133" s="444" t="str">
        <f t="shared" si="132"/>
        <v/>
      </c>
      <c r="AE133" s="444" t="str">
        <f t="shared" si="132"/>
        <v/>
      </c>
      <c r="AF133" s="444" t="str">
        <f t="shared" si="132"/>
        <v/>
      </c>
      <c r="AG133" s="444" t="str">
        <f t="shared" si="132"/>
        <v/>
      </c>
      <c r="AH133" s="444" t="str">
        <f t="shared" si="132"/>
        <v/>
      </c>
      <c r="AI133" s="444" t="str">
        <f t="shared" si="133"/>
        <v/>
      </c>
      <c r="AJ133" s="444" t="str">
        <f t="shared" si="133"/>
        <v/>
      </c>
      <c r="AK133" s="444" t="str">
        <f t="shared" si="133"/>
        <v/>
      </c>
      <c r="AL133" s="444" t="str">
        <f t="shared" si="133"/>
        <v/>
      </c>
      <c r="AM133" s="444" t="str">
        <f t="shared" si="133"/>
        <v/>
      </c>
      <c r="AN133" s="444" t="str">
        <f t="shared" si="133"/>
        <v/>
      </c>
      <c r="AO133" s="444" t="str">
        <f t="shared" si="133"/>
        <v/>
      </c>
      <c r="AP133" s="444" t="str">
        <f t="shared" si="133"/>
        <v/>
      </c>
      <c r="AQ133" s="444" t="str">
        <f t="shared" si="133"/>
        <v/>
      </c>
      <c r="AR133" s="444" t="str">
        <f t="shared" si="133"/>
        <v/>
      </c>
      <c r="AS133" s="444" t="str">
        <f t="shared" si="134"/>
        <v/>
      </c>
      <c r="AT133" s="444" t="str">
        <f t="shared" si="134"/>
        <v/>
      </c>
      <c r="AU133" s="444" t="str">
        <f t="shared" si="134"/>
        <v/>
      </c>
      <c r="AV133" s="444" t="str">
        <f t="shared" si="134"/>
        <v/>
      </c>
      <c r="AW133" s="444" t="str">
        <f t="shared" si="134"/>
        <v/>
      </c>
      <c r="AX133" s="444" t="str">
        <f t="shared" si="134"/>
        <v/>
      </c>
      <c r="AY133" s="444" t="str">
        <f t="shared" si="134"/>
        <v/>
      </c>
      <c r="AZ133" s="444" t="str">
        <f t="shared" si="134"/>
        <v/>
      </c>
      <c r="BA133" s="444" t="str">
        <f t="shared" si="134"/>
        <v/>
      </c>
      <c r="BB133" s="444" t="str">
        <f t="shared" si="134"/>
        <v/>
      </c>
      <c r="BC133" s="444" t="str">
        <f t="shared" si="135"/>
        <v/>
      </c>
      <c r="BD133" s="444" t="str">
        <f t="shared" si="135"/>
        <v/>
      </c>
      <c r="BE133" s="444" t="str">
        <f t="shared" si="135"/>
        <v/>
      </c>
      <c r="BF133" s="444" t="str">
        <f t="shared" si="135"/>
        <v/>
      </c>
      <c r="BG133" s="444" t="str">
        <f t="shared" si="135"/>
        <v/>
      </c>
      <c r="BH133" s="445" t="str">
        <f t="shared" si="135"/>
        <v/>
      </c>
      <c r="BI133" s="502"/>
      <c r="BJ133" s="474" t="str">
        <f t="shared" si="136"/>
        <v/>
      </c>
      <c r="BK133" s="475" t="str">
        <f t="shared" si="136"/>
        <v/>
      </c>
      <c r="BL133" s="475" t="str">
        <f t="shared" si="136"/>
        <v/>
      </c>
      <c r="BM133" s="475" t="str">
        <f t="shared" si="136"/>
        <v/>
      </c>
      <c r="BN133" s="475" t="str">
        <f t="shared" si="136"/>
        <v/>
      </c>
      <c r="BO133" s="475" t="str">
        <f t="shared" si="136"/>
        <v/>
      </c>
      <c r="BP133" s="475" t="str">
        <f t="shared" si="136"/>
        <v/>
      </c>
      <c r="BQ133" s="475" t="str">
        <f t="shared" si="136"/>
        <v/>
      </c>
      <c r="BR133" s="475" t="str">
        <f t="shared" si="136"/>
        <v/>
      </c>
      <c r="BS133" s="475" t="str">
        <f t="shared" si="136"/>
        <v/>
      </c>
      <c r="BT133" s="475" t="str">
        <f t="shared" si="137"/>
        <v/>
      </c>
      <c r="BU133" s="475" t="str">
        <f t="shared" si="137"/>
        <v/>
      </c>
      <c r="BV133" s="475" t="str">
        <f t="shared" si="137"/>
        <v/>
      </c>
      <c r="BW133" s="475" t="str">
        <f t="shared" si="137"/>
        <v/>
      </c>
      <c r="BX133" s="475" t="str">
        <f t="shared" si="137"/>
        <v/>
      </c>
      <c r="BY133" s="475" t="str">
        <f t="shared" si="137"/>
        <v/>
      </c>
      <c r="BZ133" s="475" t="str">
        <f t="shared" si="137"/>
        <v/>
      </c>
      <c r="CA133" s="475" t="str">
        <f t="shared" si="137"/>
        <v/>
      </c>
      <c r="CB133" s="475" t="str">
        <f t="shared" si="137"/>
        <v/>
      </c>
      <c r="CC133" s="475" t="str">
        <f t="shared" si="137"/>
        <v/>
      </c>
      <c r="CD133" s="475" t="str">
        <f t="shared" si="138"/>
        <v/>
      </c>
      <c r="CE133" s="475" t="str">
        <f t="shared" si="138"/>
        <v/>
      </c>
      <c r="CF133" s="475" t="str">
        <f t="shared" si="138"/>
        <v/>
      </c>
      <c r="CG133" s="475" t="str">
        <f t="shared" si="138"/>
        <v/>
      </c>
      <c r="CH133" s="475" t="str">
        <f t="shared" si="138"/>
        <v/>
      </c>
      <c r="CI133" s="475" t="str">
        <f t="shared" si="138"/>
        <v/>
      </c>
      <c r="CJ133" s="475" t="str">
        <f t="shared" si="138"/>
        <v/>
      </c>
      <c r="CK133" s="475" t="str">
        <f t="shared" si="138"/>
        <v/>
      </c>
      <c r="CL133" s="475" t="str">
        <f t="shared" si="138"/>
        <v/>
      </c>
      <c r="CM133" s="475" t="str">
        <f t="shared" si="138"/>
        <v/>
      </c>
      <c r="CN133" s="475" t="str">
        <f t="shared" si="139"/>
        <v/>
      </c>
      <c r="CO133" s="475" t="str">
        <f t="shared" si="139"/>
        <v/>
      </c>
      <c r="CP133" s="475" t="str">
        <f t="shared" si="139"/>
        <v/>
      </c>
      <c r="CQ133" s="475" t="str">
        <f t="shared" si="139"/>
        <v/>
      </c>
      <c r="CR133" s="475" t="str">
        <f t="shared" si="139"/>
        <v/>
      </c>
      <c r="CS133" s="475" t="str">
        <f t="shared" si="139"/>
        <v/>
      </c>
      <c r="CT133" s="475" t="str">
        <f t="shared" si="139"/>
        <v/>
      </c>
      <c r="CU133" s="475" t="str">
        <f t="shared" si="139"/>
        <v/>
      </c>
      <c r="CV133" s="475" t="str">
        <f t="shared" si="139"/>
        <v/>
      </c>
      <c r="CW133" s="475" t="str">
        <f t="shared" si="139"/>
        <v/>
      </c>
      <c r="CX133" s="475" t="str">
        <f t="shared" si="139"/>
        <v/>
      </c>
      <c r="CY133" s="475" t="str">
        <f t="shared" si="139"/>
        <v/>
      </c>
      <c r="CZ133" s="495" t="str">
        <f t="shared" si="139"/>
        <v/>
      </c>
      <c r="DA133" s="502"/>
      <c r="DB133" s="460"/>
      <c r="DC133" s="465"/>
      <c r="DD133" s="463"/>
      <c r="DE133" s="512"/>
      <c r="DF133" s="516"/>
      <c r="DG133" s="508"/>
      <c r="DH133" s="463"/>
      <c r="DI133" s="461"/>
      <c r="DJ133" s="461"/>
      <c r="DK133" s="461"/>
      <c r="DL133" s="464"/>
      <c r="DM133" s="466"/>
      <c r="DN133" s="502"/>
      <c r="DO133" s="460"/>
      <c r="DP133" s="464"/>
      <c r="DQ133" s="464"/>
      <c r="DR133" s="464"/>
      <c r="DS133" s="508"/>
      <c r="DT133" s="525"/>
      <c r="DU133" s="525"/>
      <c r="DV133" s="463"/>
      <c r="DW133" s="464"/>
      <c r="DX133" s="465"/>
      <c r="DY133" s="463"/>
      <c r="DZ133" s="464"/>
      <c r="EA133" s="465"/>
      <c r="EB133" s="463"/>
      <c r="EC133" s="465"/>
      <c r="ED133" s="462"/>
      <c r="EE133" s="502"/>
      <c r="EF133" s="463"/>
      <c r="EG133" s="461"/>
      <c r="EH133" s="464"/>
      <c r="EI133" s="464"/>
      <c r="EJ133" s="464"/>
      <c r="EK133" s="464"/>
      <c r="EL133" s="464"/>
      <c r="EM133" s="464"/>
      <c r="EN133" s="464"/>
      <c r="EO133" s="464"/>
      <c r="EP133" s="464"/>
      <c r="EQ133" s="464"/>
      <c r="ER133" s="464"/>
      <c r="ES133" s="464"/>
      <c r="ET133" s="464"/>
      <c r="EU133" s="464"/>
      <c r="EV133" s="464"/>
      <c r="EW133" s="465"/>
      <c r="EX133" s="465"/>
      <c r="EY133" s="502"/>
      <c r="EZ133" s="460"/>
      <c r="FA133" s="464"/>
      <c r="FB133" s="464"/>
      <c r="FC133" s="464"/>
      <c r="FD133" s="464"/>
      <c r="FE133" s="464"/>
      <c r="FF133" s="464"/>
      <c r="FG133" s="466"/>
    </row>
    <row r="134" spans="1:163">
      <c r="A134" s="467" t="s">
        <v>321</v>
      </c>
      <c r="B134" s="471" t="str">
        <f>IF(ISNUMBER(MATCH(A134, 'Pulldown Data'!W:W, 0))=TRUE, "Y", IF(ISNUMBER(MATCH(A134, 'Pulldown Data'!X:X, 0))=TRUE, "M", ""))</f>
        <v/>
      </c>
      <c r="C134" s="504"/>
      <c r="D134" s="502"/>
      <c r="E134" s="443" t="str">
        <f t="shared" si="130"/>
        <v/>
      </c>
      <c r="F134" s="444" t="str">
        <f t="shared" si="130"/>
        <v/>
      </c>
      <c r="G134" s="444" t="str">
        <f t="shared" si="130"/>
        <v/>
      </c>
      <c r="H134" s="444" t="str">
        <f t="shared" si="130"/>
        <v/>
      </c>
      <c r="I134" s="444" t="str">
        <f t="shared" si="130"/>
        <v/>
      </c>
      <c r="J134" s="444" t="str">
        <f t="shared" si="130"/>
        <v/>
      </c>
      <c r="K134" s="444" t="str">
        <f t="shared" si="130"/>
        <v/>
      </c>
      <c r="L134" s="444" t="str">
        <f t="shared" si="130"/>
        <v/>
      </c>
      <c r="M134" s="444" t="str">
        <f t="shared" si="130"/>
        <v/>
      </c>
      <c r="N134" s="444" t="str">
        <f t="shared" si="130"/>
        <v/>
      </c>
      <c r="O134" s="444" t="str">
        <f t="shared" si="131"/>
        <v/>
      </c>
      <c r="P134" s="444" t="str">
        <f t="shared" si="131"/>
        <v/>
      </c>
      <c r="Q134" s="444" t="str">
        <f t="shared" si="131"/>
        <v/>
      </c>
      <c r="R134" s="444" t="str">
        <f t="shared" si="131"/>
        <v/>
      </c>
      <c r="S134" s="444" t="str">
        <f t="shared" si="131"/>
        <v/>
      </c>
      <c r="T134" s="444" t="str">
        <f t="shared" si="131"/>
        <v/>
      </c>
      <c r="U134" s="444" t="str">
        <f t="shared" si="131"/>
        <v/>
      </c>
      <c r="V134" s="444" t="str">
        <f t="shared" si="131"/>
        <v/>
      </c>
      <c r="W134" s="444" t="str">
        <f t="shared" si="131"/>
        <v/>
      </c>
      <c r="X134" s="444" t="str">
        <f t="shared" si="131"/>
        <v/>
      </c>
      <c r="Y134" s="444" t="str">
        <f t="shared" si="132"/>
        <v/>
      </c>
      <c r="Z134" s="444" t="str">
        <f t="shared" si="132"/>
        <v/>
      </c>
      <c r="AA134" s="444" t="str">
        <f t="shared" si="132"/>
        <v/>
      </c>
      <c r="AB134" s="444" t="str">
        <f t="shared" si="132"/>
        <v/>
      </c>
      <c r="AC134" s="444" t="str">
        <f t="shared" si="132"/>
        <v/>
      </c>
      <c r="AD134" s="444" t="str">
        <f t="shared" si="132"/>
        <v/>
      </c>
      <c r="AE134" s="444" t="str">
        <f t="shared" si="132"/>
        <v/>
      </c>
      <c r="AF134" s="444" t="str">
        <f t="shared" si="132"/>
        <v/>
      </c>
      <c r="AG134" s="444" t="str">
        <f t="shared" si="132"/>
        <v/>
      </c>
      <c r="AH134" s="444" t="str">
        <f t="shared" si="132"/>
        <v/>
      </c>
      <c r="AI134" s="444" t="str">
        <f t="shared" si="133"/>
        <v/>
      </c>
      <c r="AJ134" s="444" t="str">
        <f t="shared" si="133"/>
        <v/>
      </c>
      <c r="AK134" s="444" t="str">
        <f t="shared" si="133"/>
        <v/>
      </c>
      <c r="AL134" s="444" t="str">
        <f t="shared" si="133"/>
        <v/>
      </c>
      <c r="AM134" s="444" t="str">
        <f t="shared" si="133"/>
        <v/>
      </c>
      <c r="AN134" s="444" t="str">
        <f t="shared" si="133"/>
        <v/>
      </c>
      <c r="AO134" s="444" t="str">
        <f t="shared" si="133"/>
        <v/>
      </c>
      <c r="AP134" s="444" t="str">
        <f t="shared" si="133"/>
        <v/>
      </c>
      <c r="AQ134" s="444" t="str">
        <f t="shared" si="133"/>
        <v/>
      </c>
      <c r="AR134" s="444" t="str">
        <f t="shared" si="133"/>
        <v/>
      </c>
      <c r="AS134" s="444" t="str">
        <f t="shared" si="134"/>
        <v/>
      </c>
      <c r="AT134" s="444" t="str">
        <f t="shared" si="134"/>
        <v/>
      </c>
      <c r="AU134" s="444" t="str">
        <f t="shared" si="134"/>
        <v/>
      </c>
      <c r="AV134" s="444" t="str">
        <f t="shared" si="134"/>
        <v/>
      </c>
      <c r="AW134" s="444" t="str">
        <f t="shared" si="134"/>
        <v/>
      </c>
      <c r="AX134" s="444" t="str">
        <f t="shared" si="134"/>
        <v/>
      </c>
      <c r="AY134" s="444" t="str">
        <f t="shared" si="134"/>
        <v/>
      </c>
      <c r="AZ134" s="444" t="str">
        <f t="shared" si="134"/>
        <v/>
      </c>
      <c r="BA134" s="444" t="str">
        <f t="shared" si="134"/>
        <v/>
      </c>
      <c r="BB134" s="444" t="str">
        <f t="shared" si="134"/>
        <v/>
      </c>
      <c r="BC134" s="444" t="str">
        <f t="shared" si="135"/>
        <v/>
      </c>
      <c r="BD134" s="444" t="str">
        <f t="shared" si="135"/>
        <v/>
      </c>
      <c r="BE134" s="444" t="str">
        <f t="shared" si="135"/>
        <v/>
      </c>
      <c r="BF134" s="444" t="str">
        <f t="shared" si="135"/>
        <v/>
      </c>
      <c r="BG134" s="444" t="str">
        <f t="shared" si="135"/>
        <v/>
      </c>
      <c r="BH134" s="445" t="str">
        <f t="shared" si="135"/>
        <v/>
      </c>
      <c r="BI134" s="502"/>
      <c r="BJ134" s="474" t="str">
        <f t="shared" si="136"/>
        <v/>
      </c>
      <c r="BK134" s="475" t="str">
        <f t="shared" si="136"/>
        <v/>
      </c>
      <c r="BL134" s="475" t="str">
        <f t="shared" si="136"/>
        <v/>
      </c>
      <c r="BM134" s="475" t="str">
        <f t="shared" si="136"/>
        <v/>
      </c>
      <c r="BN134" s="475" t="str">
        <f t="shared" si="136"/>
        <v/>
      </c>
      <c r="BO134" s="475" t="str">
        <f t="shared" si="136"/>
        <v/>
      </c>
      <c r="BP134" s="475" t="str">
        <f t="shared" si="136"/>
        <v/>
      </c>
      <c r="BQ134" s="475" t="str">
        <f t="shared" si="136"/>
        <v/>
      </c>
      <c r="BR134" s="475" t="str">
        <f t="shared" si="136"/>
        <v/>
      </c>
      <c r="BS134" s="475" t="str">
        <f t="shared" si="136"/>
        <v/>
      </c>
      <c r="BT134" s="475" t="str">
        <f t="shared" si="137"/>
        <v/>
      </c>
      <c r="BU134" s="475" t="str">
        <f t="shared" si="137"/>
        <v/>
      </c>
      <c r="BV134" s="475" t="str">
        <f t="shared" si="137"/>
        <v/>
      </c>
      <c r="BW134" s="475" t="str">
        <f t="shared" si="137"/>
        <v/>
      </c>
      <c r="BX134" s="475" t="str">
        <f t="shared" si="137"/>
        <v/>
      </c>
      <c r="BY134" s="475" t="str">
        <f t="shared" si="137"/>
        <v/>
      </c>
      <c r="BZ134" s="475" t="str">
        <f t="shared" si="137"/>
        <v/>
      </c>
      <c r="CA134" s="475" t="str">
        <f t="shared" si="137"/>
        <v/>
      </c>
      <c r="CB134" s="475" t="str">
        <f t="shared" si="137"/>
        <v/>
      </c>
      <c r="CC134" s="475" t="str">
        <f t="shared" si="137"/>
        <v/>
      </c>
      <c r="CD134" s="475" t="str">
        <f t="shared" si="138"/>
        <v/>
      </c>
      <c r="CE134" s="475" t="str">
        <f t="shared" si="138"/>
        <v/>
      </c>
      <c r="CF134" s="475" t="str">
        <f t="shared" si="138"/>
        <v/>
      </c>
      <c r="CG134" s="475" t="str">
        <f t="shared" si="138"/>
        <v/>
      </c>
      <c r="CH134" s="475" t="str">
        <f t="shared" si="138"/>
        <v/>
      </c>
      <c r="CI134" s="475" t="str">
        <f t="shared" si="138"/>
        <v/>
      </c>
      <c r="CJ134" s="475" t="str">
        <f t="shared" si="138"/>
        <v/>
      </c>
      <c r="CK134" s="475" t="str">
        <f t="shared" si="138"/>
        <v/>
      </c>
      <c r="CL134" s="475" t="str">
        <f t="shared" si="138"/>
        <v/>
      </c>
      <c r="CM134" s="475" t="str">
        <f t="shared" si="138"/>
        <v/>
      </c>
      <c r="CN134" s="475" t="str">
        <f t="shared" si="139"/>
        <v/>
      </c>
      <c r="CO134" s="475" t="str">
        <f t="shared" si="139"/>
        <v/>
      </c>
      <c r="CP134" s="475" t="str">
        <f t="shared" si="139"/>
        <v/>
      </c>
      <c r="CQ134" s="475" t="str">
        <f t="shared" si="139"/>
        <v/>
      </c>
      <c r="CR134" s="475" t="str">
        <f t="shared" si="139"/>
        <v/>
      </c>
      <c r="CS134" s="475" t="str">
        <f t="shared" si="139"/>
        <v/>
      </c>
      <c r="CT134" s="475" t="str">
        <f t="shared" si="139"/>
        <v/>
      </c>
      <c r="CU134" s="475" t="str">
        <f t="shared" si="139"/>
        <v/>
      </c>
      <c r="CV134" s="475" t="str">
        <f t="shared" si="139"/>
        <v/>
      </c>
      <c r="CW134" s="475" t="str">
        <f t="shared" si="139"/>
        <v/>
      </c>
      <c r="CX134" s="475" t="str">
        <f t="shared" si="139"/>
        <v/>
      </c>
      <c r="CY134" s="475" t="str">
        <f t="shared" si="139"/>
        <v/>
      </c>
      <c r="CZ134" s="495" t="str">
        <f t="shared" si="139"/>
        <v/>
      </c>
      <c r="DA134" s="502"/>
      <c r="DB134" s="460"/>
      <c r="DC134" s="465"/>
      <c r="DD134" s="463"/>
      <c r="DE134" s="512"/>
      <c r="DF134" s="516"/>
      <c r="DG134" s="508"/>
      <c r="DH134" s="463"/>
      <c r="DI134" s="461"/>
      <c r="DJ134" s="461"/>
      <c r="DK134" s="461"/>
      <c r="DL134" s="464"/>
      <c r="DM134" s="466"/>
      <c r="DN134" s="502"/>
      <c r="DO134" s="460"/>
      <c r="DP134" s="464"/>
      <c r="DQ134" s="464"/>
      <c r="DR134" s="464"/>
      <c r="DS134" s="508"/>
      <c r="DT134" s="525"/>
      <c r="DU134" s="525"/>
      <c r="DV134" s="463"/>
      <c r="DW134" s="464"/>
      <c r="DX134" s="465"/>
      <c r="DY134" s="463"/>
      <c r="DZ134" s="464"/>
      <c r="EA134" s="465"/>
      <c r="EB134" s="463"/>
      <c r="EC134" s="465"/>
      <c r="ED134" s="462"/>
      <c r="EE134" s="502"/>
      <c r="EF134" s="463"/>
      <c r="EG134" s="461"/>
      <c r="EH134" s="464"/>
      <c r="EI134" s="464"/>
      <c r="EJ134" s="464"/>
      <c r="EK134" s="464"/>
      <c r="EL134" s="464"/>
      <c r="EM134" s="464"/>
      <c r="EN134" s="464"/>
      <c r="EO134" s="464"/>
      <c r="EP134" s="464"/>
      <c r="EQ134" s="464"/>
      <c r="ER134" s="464"/>
      <c r="ES134" s="464"/>
      <c r="ET134" s="464"/>
      <c r="EU134" s="464"/>
      <c r="EV134" s="464"/>
      <c r="EW134" s="465"/>
      <c r="EX134" s="465"/>
      <c r="EY134" s="502"/>
      <c r="EZ134" s="460"/>
      <c r="FA134" s="464"/>
      <c r="FB134" s="464"/>
      <c r="FC134" s="464"/>
      <c r="FD134" s="464"/>
      <c r="FE134" s="464"/>
      <c r="FF134" s="464"/>
      <c r="FG134" s="466"/>
    </row>
    <row r="135" spans="1:163">
      <c r="A135" s="467" t="s">
        <v>322</v>
      </c>
      <c r="B135" s="471" t="str">
        <f>IF(ISNUMBER(MATCH(A135, 'Pulldown Data'!W:W, 0))=TRUE, "Y", IF(ISNUMBER(MATCH(A135, 'Pulldown Data'!X:X, 0))=TRUE, "M", ""))</f>
        <v/>
      </c>
      <c r="C135" s="504"/>
      <c r="D135" s="502"/>
      <c r="E135" s="443" t="str">
        <f t="shared" si="130"/>
        <v/>
      </c>
      <c r="F135" s="444" t="str">
        <f t="shared" si="130"/>
        <v/>
      </c>
      <c r="G135" s="444" t="str">
        <f t="shared" si="130"/>
        <v/>
      </c>
      <c r="H135" s="444" t="str">
        <f t="shared" si="130"/>
        <v/>
      </c>
      <c r="I135" s="444" t="str">
        <f t="shared" si="130"/>
        <v/>
      </c>
      <c r="J135" s="444" t="str">
        <f t="shared" si="130"/>
        <v/>
      </c>
      <c r="K135" s="444" t="str">
        <f t="shared" si="130"/>
        <v/>
      </c>
      <c r="L135" s="444" t="str">
        <f t="shared" si="130"/>
        <v/>
      </c>
      <c r="M135" s="444" t="str">
        <f t="shared" si="130"/>
        <v/>
      </c>
      <c r="N135" s="444" t="str">
        <f t="shared" si="130"/>
        <v/>
      </c>
      <c r="O135" s="444" t="str">
        <f t="shared" si="131"/>
        <v/>
      </c>
      <c r="P135" s="444" t="str">
        <f t="shared" si="131"/>
        <v/>
      </c>
      <c r="Q135" s="444" t="str">
        <f t="shared" si="131"/>
        <v/>
      </c>
      <c r="R135" s="444" t="str">
        <f t="shared" si="131"/>
        <v/>
      </c>
      <c r="S135" s="444" t="str">
        <f t="shared" si="131"/>
        <v/>
      </c>
      <c r="T135" s="444" t="str">
        <f t="shared" si="131"/>
        <v/>
      </c>
      <c r="U135" s="444" t="str">
        <f t="shared" si="131"/>
        <v/>
      </c>
      <c r="V135" s="444" t="str">
        <f t="shared" si="131"/>
        <v/>
      </c>
      <c r="W135" s="444" t="str">
        <f t="shared" si="131"/>
        <v/>
      </c>
      <c r="X135" s="444" t="str">
        <f t="shared" si="131"/>
        <v/>
      </c>
      <c r="Y135" s="444" t="str">
        <f t="shared" si="132"/>
        <v/>
      </c>
      <c r="Z135" s="444" t="str">
        <f t="shared" si="132"/>
        <v/>
      </c>
      <c r="AA135" s="444" t="str">
        <f t="shared" si="132"/>
        <v/>
      </c>
      <c r="AB135" s="444" t="str">
        <f t="shared" si="132"/>
        <v/>
      </c>
      <c r="AC135" s="444" t="str">
        <f t="shared" si="132"/>
        <v/>
      </c>
      <c r="AD135" s="444" t="str">
        <f t="shared" si="132"/>
        <v/>
      </c>
      <c r="AE135" s="444" t="str">
        <f t="shared" si="132"/>
        <v/>
      </c>
      <c r="AF135" s="444" t="str">
        <f t="shared" si="132"/>
        <v/>
      </c>
      <c r="AG135" s="444" t="str">
        <f t="shared" si="132"/>
        <v/>
      </c>
      <c r="AH135" s="444" t="str">
        <f t="shared" si="132"/>
        <v/>
      </c>
      <c r="AI135" s="444" t="str">
        <f t="shared" si="133"/>
        <v/>
      </c>
      <c r="AJ135" s="444" t="str">
        <f t="shared" si="133"/>
        <v/>
      </c>
      <c r="AK135" s="444" t="str">
        <f t="shared" si="133"/>
        <v/>
      </c>
      <c r="AL135" s="444" t="str">
        <f t="shared" si="133"/>
        <v/>
      </c>
      <c r="AM135" s="444" t="str">
        <f t="shared" si="133"/>
        <v/>
      </c>
      <c r="AN135" s="444" t="str">
        <f t="shared" si="133"/>
        <v/>
      </c>
      <c r="AO135" s="444" t="str">
        <f t="shared" si="133"/>
        <v/>
      </c>
      <c r="AP135" s="444" t="str">
        <f t="shared" si="133"/>
        <v/>
      </c>
      <c r="AQ135" s="444" t="str">
        <f t="shared" si="133"/>
        <v/>
      </c>
      <c r="AR135" s="444" t="str">
        <f t="shared" si="133"/>
        <v/>
      </c>
      <c r="AS135" s="444" t="str">
        <f t="shared" si="134"/>
        <v/>
      </c>
      <c r="AT135" s="444" t="str">
        <f t="shared" si="134"/>
        <v/>
      </c>
      <c r="AU135" s="444" t="str">
        <f t="shared" si="134"/>
        <v/>
      </c>
      <c r="AV135" s="444" t="str">
        <f t="shared" si="134"/>
        <v/>
      </c>
      <c r="AW135" s="444" t="str">
        <f t="shared" si="134"/>
        <v/>
      </c>
      <c r="AX135" s="444" t="str">
        <f t="shared" si="134"/>
        <v/>
      </c>
      <c r="AY135" s="444" t="str">
        <f t="shared" si="134"/>
        <v/>
      </c>
      <c r="AZ135" s="444" t="str">
        <f t="shared" si="134"/>
        <v/>
      </c>
      <c r="BA135" s="444" t="str">
        <f t="shared" si="134"/>
        <v/>
      </c>
      <c r="BB135" s="444" t="str">
        <f t="shared" si="134"/>
        <v/>
      </c>
      <c r="BC135" s="444" t="str">
        <f t="shared" si="135"/>
        <v/>
      </c>
      <c r="BD135" s="444" t="str">
        <f t="shared" si="135"/>
        <v/>
      </c>
      <c r="BE135" s="444" t="str">
        <f t="shared" si="135"/>
        <v/>
      </c>
      <c r="BF135" s="444" t="str">
        <f t="shared" si="135"/>
        <v/>
      </c>
      <c r="BG135" s="444" t="str">
        <f t="shared" si="135"/>
        <v/>
      </c>
      <c r="BH135" s="445" t="str">
        <f t="shared" si="135"/>
        <v/>
      </c>
      <c r="BI135" s="502"/>
      <c r="BJ135" s="474" t="str">
        <f t="shared" si="136"/>
        <v/>
      </c>
      <c r="BK135" s="475" t="str">
        <f t="shared" si="136"/>
        <v/>
      </c>
      <c r="BL135" s="475" t="str">
        <f t="shared" si="136"/>
        <v/>
      </c>
      <c r="BM135" s="475" t="str">
        <f t="shared" si="136"/>
        <v/>
      </c>
      <c r="BN135" s="475" t="str">
        <f t="shared" si="136"/>
        <v/>
      </c>
      <c r="BO135" s="475" t="str">
        <f t="shared" si="136"/>
        <v/>
      </c>
      <c r="BP135" s="475" t="str">
        <f t="shared" si="136"/>
        <v/>
      </c>
      <c r="BQ135" s="475" t="str">
        <f t="shared" si="136"/>
        <v/>
      </c>
      <c r="BR135" s="475" t="str">
        <f t="shared" si="136"/>
        <v/>
      </c>
      <c r="BS135" s="475" t="str">
        <f t="shared" si="136"/>
        <v/>
      </c>
      <c r="BT135" s="475" t="str">
        <f t="shared" si="137"/>
        <v/>
      </c>
      <c r="BU135" s="475" t="str">
        <f t="shared" si="137"/>
        <v/>
      </c>
      <c r="BV135" s="475" t="str">
        <f t="shared" si="137"/>
        <v/>
      </c>
      <c r="BW135" s="475" t="str">
        <f t="shared" si="137"/>
        <v/>
      </c>
      <c r="BX135" s="475" t="str">
        <f t="shared" si="137"/>
        <v/>
      </c>
      <c r="BY135" s="475" t="str">
        <f t="shared" si="137"/>
        <v/>
      </c>
      <c r="BZ135" s="475" t="str">
        <f t="shared" si="137"/>
        <v/>
      </c>
      <c r="CA135" s="475" t="str">
        <f t="shared" si="137"/>
        <v/>
      </c>
      <c r="CB135" s="475" t="str">
        <f t="shared" si="137"/>
        <v/>
      </c>
      <c r="CC135" s="475" t="str">
        <f t="shared" si="137"/>
        <v/>
      </c>
      <c r="CD135" s="475" t="str">
        <f t="shared" si="138"/>
        <v/>
      </c>
      <c r="CE135" s="475" t="str">
        <f t="shared" si="138"/>
        <v/>
      </c>
      <c r="CF135" s="475" t="str">
        <f t="shared" si="138"/>
        <v/>
      </c>
      <c r="CG135" s="475" t="str">
        <f t="shared" si="138"/>
        <v/>
      </c>
      <c r="CH135" s="475" t="str">
        <f t="shared" si="138"/>
        <v/>
      </c>
      <c r="CI135" s="475" t="str">
        <f t="shared" si="138"/>
        <v/>
      </c>
      <c r="CJ135" s="475" t="str">
        <f t="shared" si="138"/>
        <v/>
      </c>
      <c r="CK135" s="475" t="str">
        <f t="shared" si="138"/>
        <v/>
      </c>
      <c r="CL135" s="475" t="str">
        <f t="shared" si="138"/>
        <v/>
      </c>
      <c r="CM135" s="475" t="str">
        <f t="shared" si="138"/>
        <v/>
      </c>
      <c r="CN135" s="475" t="str">
        <f t="shared" si="139"/>
        <v/>
      </c>
      <c r="CO135" s="475" t="str">
        <f t="shared" si="139"/>
        <v/>
      </c>
      <c r="CP135" s="475" t="str">
        <f t="shared" si="139"/>
        <v/>
      </c>
      <c r="CQ135" s="475" t="str">
        <f t="shared" si="139"/>
        <v/>
      </c>
      <c r="CR135" s="475" t="str">
        <f t="shared" si="139"/>
        <v/>
      </c>
      <c r="CS135" s="475" t="str">
        <f t="shared" si="139"/>
        <v/>
      </c>
      <c r="CT135" s="475" t="str">
        <f t="shared" si="139"/>
        <v/>
      </c>
      <c r="CU135" s="475" t="str">
        <f t="shared" si="139"/>
        <v/>
      </c>
      <c r="CV135" s="475" t="str">
        <f t="shared" si="139"/>
        <v/>
      </c>
      <c r="CW135" s="475" t="str">
        <f t="shared" si="139"/>
        <v/>
      </c>
      <c r="CX135" s="475" t="str">
        <f t="shared" si="139"/>
        <v/>
      </c>
      <c r="CY135" s="475" t="str">
        <f t="shared" si="139"/>
        <v/>
      </c>
      <c r="CZ135" s="495" t="str">
        <f t="shared" si="139"/>
        <v/>
      </c>
      <c r="DA135" s="502"/>
      <c r="DB135" s="460"/>
      <c r="DC135" s="465"/>
      <c r="DD135" s="463"/>
      <c r="DE135" s="512"/>
      <c r="DF135" s="516"/>
      <c r="DG135" s="508"/>
      <c r="DH135" s="463"/>
      <c r="DI135" s="461"/>
      <c r="DJ135" s="461"/>
      <c r="DK135" s="461"/>
      <c r="DL135" s="464"/>
      <c r="DM135" s="466"/>
      <c r="DN135" s="502"/>
      <c r="DO135" s="460"/>
      <c r="DP135" s="464"/>
      <c r="DQ135" s="464"/>
      <c r="DR135" s="464"/>
      <c r="DS135" s="508"/>
      <c r="DT135" s="525"/>
      <c r="DU135" s="525"/>
      <c r="DV135" s="463"/>
      <c r="DW135" s="464"/>
      <c r="DX135" s="465"/>
      <c r="DY135" s="463"/>
      <c r="DZ135" s="464"/>
      <c r="EA135" s="465"/>
      <c r="EB135" s="463"/>
      <c r="EC135" s="465"/>
      <c r="ED135" s="462"/>
      <c r="EE135" s="502"/>
      <c r="EF135" s="463"/>
      <c r="EG135" s="461"/>
      <c r="EH135" s="464"/>
      <c r="EI135" s="464"/>
      <c r="EJ135" s="464"/>
      <c r="EK135" s="464"/>
      <c r="EL135" s="464"/>
      <c r="EM135" s="464"/>
      <c r="EN135" s="464"/>
      <c r="EO135" s="464"/>
      <c r="EP135" s="464"/>
      <c r="EQ135" s="464"/>
      <c r="ER135" s="464"/>
      <c r="ES135" s="464"/>
      <c r="ET135" s="464"/>
      <c r="EU135" s="464"/>
      <c r="EV135" s="464"/>
      <c r="EW135" s="465"/>
      <c r="EX135" s="465"/>
      <c r="EY135" s="502"/>
      <c r="EZ135" s="460"/>
      <c r="FA135" s="464"/>
      <c r="FB135" s="464"/>
      <c r="FC135" s="464"/>
      <c r="FD135" s="464"/>
      <c r="FE135" s="464"/>
      <c r="FF135" s="464"/>
      <c r="FG135" s="466"/>
    </row>
    <row r="136" spans="1:163">
      <c r="A136" s="467" t="s">
        <v>323</v>
      </c>
      <c r="B136" s="471" t="str">
        <f>IF(ISNUMBER(MATCH(A136, 'Pulldown Data'!W:W, 0))=TRUE, "Y", IF(ISNUMBER(MATCH(A136, 'Pulldown Data'!X:X, 0))=TRUE, "M", ""))</f>
        <v/>
      </c>
      <c r="C136" s="504"/>
      <c r="D136" s="502"/>
      <c r="E136" s="443" t="str">
        <f t="shared" si="130"/>
        <v/>
      </c>
      <c r="F136" s="444" t="str">
        <f t="shared" si="130"/>
        <v/>
      </c>
      <c r="G136" s="444" t="str">
        <f t="shared" si="130"/>
        <v/>
      </c>
      <c r="H136" s="444" t="str">
        <f t="shared" si="130"/>
        <v/>
      </c>
      <c r="I136" s="444" t="str">
        <f t="shared" si="130"/>
        <v/>
      </c>
      <c r="J136" s="444" t="str">
        <f t="shared" si="130"/>
        <v/>
      </c>
      <c r="K136" s="444" t="str">
        <f t="shared" si="130"/>
        <v/>
      </c>
      <c r="L136" s="444" t="str">
        <f t="shared" si="130"/>
        <v/>
      </c>
      <c r="M136" s="444" t="str">
        <f t="shared" si="130"/>
        <v/>
      </c>
      <c r="N136" s="444" t="str">
        <f t="shared" si="130"/>
        <v/>
      </c>
      <c r="O136" s="444" t="str">
        <f t="shared" si="131"/>
        <v/>
      </c>
      <c r="P136" s="444" t="str">
        <f t="shared" si="131"/>
        <v/>
      </c>
      <c r="Q136" s="444" t="str">
        <f t="shared" si="131"/>
        <v/>
      </c>
      <c r="R136" s="444" t="str">
        <f t="shared" si="131"/>
        <v/>
      </c>
      <c r="S136" s="444" t="str">
        <f t="shared" si="131"/>
        <v/>
      </c>
      <c r="T136" s="444" t="str">
        <f t="shared" si="131"/>
        <v/>
      </c>
      <c r="U136" s="444" t="str">
        <f t="shared" si="131"/>
        <v/>
      </c>
      <c r="V136" s="444" t="str">
        <f t="shared" si="131"/>
        <v/>
      </c>
      <c r="W136" s="444" t="str">
        <f t="shared" si="131"/>
        <v/>
      </c>
      <c r="X136" s="444" t="str">
        <f t="shared" si="131"/>
        <v/>
      </c>
      <c r="Y136" s="444" t="str">
        <f t="shared" si="132"/>
        <v/>
      </c>
      <c r="Z136" s="444" t="str">
        <f t="shared" si="132"/>
        <v/>
      </c>
      <c r="AA136" s="444" t="str">
        <f t="shared" si="132"/>
        <v/>
      </c>
      <c r="AB136" s="444" t="str">
        <f t="shared" si="132"/>
        <v/>
      </c>
      <c r="AC136" s="444" t="str">
        <f t="shared" si="132"/>
        <v/>
      </c>
      <c r="AD136" s="444" t="str">
        <f t="shared" si="132"/>
        <v/>
      </c>
      <c r="AE136" s="444" t="str">
        <f t="shared" si="132"/>
        <v/>
      </c>
      <c r="AF136" s="444" t="str">
        <f t="shared" si="132"/>
        <v/>
      </c>
      <c r="AG136" s="444" t="str">
        <f t="shared" si="132"/>
        <v/>
      </c>
      <c r="AH136" s="444" t="str">
        <f t="shared" si="132"/>
        <v/>
      </c>
      <c r="AI136" s="444" t="str">
        <f t="shared" si="133"/>
        <v/>
      </c>
      <c r="AJ136" s="444" t="str">
        <f t="shared" si="133"/>
        <v/>
      </c>
      <c r="AK136" s="444" t="str">
        <f t="shared" si="133"/>
        <v/>
      </c>
      <c r="AL136" s="444" t="str">
        <f t="shared" si="133"/>
        <v/>
      </c>
      <c r="AM136" s="444" t="str">
        <f t="shared" si="133"/>
        <v/>
      </c>
      <c r="AN136" s="444" t="str">
        <f t="shared" si="133"/>
        <v/>
      </c>
      <c r="AO136" s="444" t="str">
        <f t="shared" si="133"/>
        <v/>
      </c>
      <c r="AP136" s="444" t="str">
        <f t="shared" si="133"/>
        <v/>
      </c>
      <c r="AQ136" s="444" t="str">
        <f t="shared" si="133"/>
        <v/>
      </c>
      <c r="AR136" s="444" t="str">
        <f t="shared" si="133"/>
        <v/>
      </c>
      <c r="AS136" s="444" t="str">
        <f t="shared" si="134"/>
        <v/>
      </c>
      <c r="AT136" s="444" t="str">
        <f t="shared" si="134"/>
        <v/>
      </c>
      <c r="AU136" s="444" t="str">
        <f t="shared" si="134"/>
        <v/>
      </c>
      <c r="AV136" s="444" t="str">
        <f t="shared" si="134"/>
        <v/>
      </c>
      <c r="AW136" s="444" t="str">
        <f t="shared" si="134"/>
        <v/>
      </c>
      <c r="AX136" s="444" t="str">
        <f t="shared" si="134"/>
        <v/>
      </c>
      <c r="AY136" s="444" t="str">
        <f t="shared" si="134"/>
        <v/>
      </c>
      <c r="AZ136" s="444" t="str">
        <f t="shared" si="134"/>
        <v/>
      </c>
      <c r="BA136" s="444" t="str">
        <f t="shared" si="134"/>
        <v/>
      </c>
      <c r="BB136" s="444" t="str">
        <f t="shared" si="134"/>
        <v/>
      </c>
      <c r="BC136" s="444" t="str">
        <f t="shared" si="135"/>
        <v/>
      </c>
      <c r="BD136" s="444" t="str">
        <f t="shared" si="135"/>
        <v/>
      </c>
      <c r="BE136" s="444" t="str">
        <f t="shared" si="135"/>
        <v/>
      </c>
      <c r="BF136" s="444" t="str">
        <f t="shared" si="135"/>
        <v/>
      </c>
      <c r="BG136" s="444" t="str">
        <f t="shared" si="135"/>
        <v/>
      </c>
      <c r="BH136" s="445" t="str">
        <f t="shared" si="135"/>
        <v/>
      </c>
      <c r="BI136" s="502"/>
      <c r="BJ136" s="474" t="str">
        <f t="shared" si="136"/>
        <v/>
      </c>
      <c r="BK136" s="475" t="str">
        <f t="shared" si="136"/>
        <v/>
      </c>
      <c r="BL136" s="475" t="str">
        <f t="shared" si="136"/>
        <v/>
      </c>
      <c r="BM136" s="475" t="str">
        <f t="shared" si="136"/>
        <v/>
      </c>
      <c r="BN136" s="475" t="str">
        <f t="shared" si="136"/>
        <v/>
      </c>
      <c r="BO136" s="475" t="str">
        <f t="shared" si="136"/>
        <v/>
      </c>
      <c r="BP136" s="475" t="str">
        <f t="shared" si="136"/>
        <v/>
      </c>
      <c r="BQ136" s="475" t="str">
        <f t="shared" si="136"/>
        <v/>
      </c>
      <c r="BR136" s="475" t="str">
        <f t="shared" si="136"/>
        <v/>
      </c>
      <c r="BS136" s="475" t="str">
        <f t="shared" si="136"/>
        <v/>
      </c>
      <c r="BT136" s="475" t="str">
        <f t="shared" si="137"/>
        <v/>
      </c>
      <c r="BU136" s="475" t="str">
        <f t="shared" si="137"/>
        <v/>
      </c>
      <c r="BV136" s="475" t="str">
        <f t="shared" si="137"/>
        <v/>
      </c>
      <c r="BW136" s="475" t="str">
        <f t="shared" si="137"/>
        <v/>
      </c>
      <c r="BX136" s="475" t="str">
        <f t="shared" si="137"/>
        <v/>
      </c>
      <c r="BY136" s="475" t="str">
        <f t="shared" si="137"/>
        <v/>
      </c>
      <c r="BZ136" s="475" t="str">
        <f t="shared" si="137"/>
        <v/>
      </c>
      <c r="CA136" s="475" t="str">
        <f t="shared" si="137"/>
        <v/>
      </c>
      <c r="CB136" s="475" t="str">
        <f t="shared" si="137"/>
        <v/>
      </c>
      <c r="CC136" s="475" t="str">
        <f t="shared" si="137"/>
        <v/>
      </c>
      <c r="CD136" s="475" t="str">
        <f t="shared" si="138"/>
        <v/>
      </c>
      <c r="CE136" s="475" t="str">
        <f t="shared" si="138"/>
        <v/>
      </c>
      <c r="CF136" s="475" t="str">
        <f t="shared" si="138"/>
        <v/>
      </c>
      <c r="CG136" s="475" t="str">
        <f t="shared" si="138"/>
        <v/>
      </c>
      <c r="CH136" s="475" t="str">
        <f t="shared" si="138"/>
        <v/>
      </c>
      <c r="CI136" s="475" t="str">
        <f t="shared" si="138"/>
        <v/>
      </c>
      <c r="CJ136" s="475" t="str">
        <f t="shared" si="138"/>
        <v/>
      </c>
      <c r="CK136" s="475" t="str">
        <f t="shared" si="138"/>
        <v/>
      </c>
      <c r="CL136" s="475" t="str">
        <f t="shared" si="138"/>
        <v/>
      </c>
      <c r="CM136" s="475" t="str">
        <f t="shared" si="138"/>
        <v/>
      </c>
      <c r="CN136" s="475" t="str">
        <f t="shared" si="139"/>
        <v/>
      </c>
      <c r="CO136" s="475" t="str">
        <f t="shared" si="139"/>
        <v/>
      </c>
      <c r="CP136" s="475" t="str">
        <f t="shared" si="139"/>
        <v/>
      </c>
      <c r="CQ136" s="475" t="str">
        <f t="shared" si="139"/>
        <v/>
      </c>
      <c r="CR136" s="475" t="str">
        <f t="shared" si="139"/>
        <v/>
      </c>
      <c r="CS136" s="475" t="str">
        <f t="shared" si="139"/>
        <v/>
      </c>
      <c r="CT136" s="475" t="str">
        <f t="shared" si="139"/>
        <v/>
      </c>
      <c r="CU136" s="475" t="str">
        <f t="shared" si="139"/>
        <v/>
      </c>
      <c r="CV136" s="475" t="str">
        <f t="shared" si="139"/>
        <v/>
      </c>
      <c r="CW136" s="475" t="str">
        <f t="shared" si="139"/>
        <v/>
      </c>
      <c r="CX136" s="475" t="str">
        <f t="shared" si="139"/>
        <v/>
      </c>
      <c r="CY136" s="475" t="str">
        <f t="shared" si="139"/>
        <v/>
      </c>
      <c r="CZ136" s="495" t="str">
        <f t="shared" si="139"/>
        <v/>
      </c>
      <c r="DA136" s="502"/>
      <c r="DB136" s="460"/>
      <c r="DC136" s="465"/>
      <c r="DD136" s="463"/>
      <c r="DE136" s="512"/>
      <c r="DF136" s="516"/>
      <c r="DG136" s="508"/>
      <c r="DH136" s="463"/>
      <c r="DI136" s="461"/>
      <c r="DJ136" s="461"/>
      <c r="DK136" s="461"/>
      <c r="DL136" s="464"/>
      <c r="DM136" s="466"/>
      <c r="DN136" s="502"/>
      <c r="DO136" s="460"/>
      <c r="DP136" s="464"/>
      <c r="DQ136" s="464"/>
      <c r="DR136" s="464"/>
      <c r="DS136" s="508"/>
      <c r="DT136" s="525"/>
      <c r="DU136" s="525"/>
      <c r="DV136" s="463"/>
      <c r="DW136" s="464"/>
      <c r="DX136" s="465"/>
      <c r="DY136" s="463"/>
      <c r="DZ136" s="464"/>
      <c r="EA136" s="465"/>
      <c r="EB136" s="463"/>
      <c r="EC136" s="465"/>
      <c r="ED136" s="462"/>
      <c r="EE136" s="502"/>
      <c r="EF136" s="463"/>
      <c r="EG136" s="461"/>
      <c r="EH136" s="464"/>
      <c r="EI136" s="464"/>
      <c r="EJ136" s="464"/>
      <c r="EK136" s="464"/>
      <c r="EL136" s="464"/>
      <c r="EM136" s="464"/>
      <c r="EN136" s="464"/>
      <c r="EO136" s="464"/>
      <c r="EP136" s="464"/>
      <c r="EQ136" s="464"/>
      <c r="ER136" s="464"/>
      <c r="ES136" s="464"/>
      <c r="ET136" s="464"/>
      <c r="EU136" s="464"/>
      <c r="EV136" s="464"/>
      <c r="EW136" s="465"/>
      <c r="EX136" s="465"/>
      <c r="EY136" s="502"/>
      <c r="EZ136" s="460"/>
      <c r="FA136" s="464"/>
      <c r="FB136" s="464"/>
      <c r="FC136" s="464"/>
      <c r="FD136" s="464"/>
      <c r="FE136" s="464"/>
      <c r="FF136" s="464"/>
      <c r="FG136" s="466"/>
    </row>
    <row r="137" spans="1:163">
      <c r="A137" s="467" t="s">
        <v>324</v>
      </c>
      <c r="B137" s="471" t="str">
        <f>IF(ISNUMBER(MATCH(A137, 'Pulldown Data'!W:W, 0))=TRUE, "Y", IF(ISNUMBER(MATCH(A137, 'Pulldown Data'!X:X, 0))=TRUE, "M", ""))</f>
        <v/>
      </c>
      <c r="C137" s="504"/>
      <c r="D137" s="502"/>
      <c r="E137" s="443" t="str">
        <f t="shared" si="130"/>
        <v/>
      </c>
      <c r="F137" s="444" t="str">
        <f t="shared" si="130"/>
        <v/>
      </c>
      <c r="G137" s="444" t="str">
        <f t="shared" si="130"/>
        <v/>
      </c>
      <c r="H137" s="444" t="str">
        <f t="shared" si="130"/>
        <v/>
      </c>
      <c r="I137" s="444" t="str">
        <f t="shared" si="130"/>
        <v/>
      </c>
      <c r="J137" s="444" t="str">
        <f t="shared" si="130"/>
        <v/>
      </c>
      <c r="K137" s="444" t="str">
        <f t="shared" si="130"/>
        <v/>
      </c>
      <c r="L137" s="444" t="str">
        <f t="shared" si="130"/>
        <v/>
      </c>
      <c r="M137" s="444" t="str">
        <f t="shared" si="130"/>
        <v/>
      </c>
      <c r="N137" s="444" t="str">
        <f t="shared" si="130"/>
        <v/>
      </c>
      <c r="O137" s="444" t="str">
        <f t="shared" si="131"/>
        <v/>
      </c>
      <c r="P137" s="444" t="str">
        <f t="shared" si="131"/>
        <v/>
      </c>
      <c r="Q137" s="444" t="str">
        <f t="shared" si="131"/>
        <v/>
      </c>
      <c r="R137" s="444" t="str">
        <f t="shared" si="131"/>
        <v/>
      </c>
      <c r="S137" s="444" t="str">
        <f t="shared" si="131"/>
        <v/>
      </c>
      <c r="T137" s="444" t="str">
        <f t="shared" si="131"/>
        <v/>
      </c>
      <c r="U137" s="444" t="str">
        <f t="shared" si="131"/>
        <v/>
      </c>
      <c r="V137" s="444" t="str">
        <f t="shared" si="131"/>
        <v/>
      </c>
      <c r="W137" s="444" t="str">
        <f t="shared" si="131"/>
        <v/>
      </c>
      <c r="X137" s="444" t="str">
        <f t="shared" si="131"/>
        <v/>
      </c>
      <c r="Y137" s="444" t="str">
        <f t="shared" si="132"/>
        <v/>
      </c>
      <c r="Z137" s="444" t="str">
        <f t="shared" si="132"/>
        <v/>
      </c>
      <c r="AA137" s="444" t="str">
        <f t="shared" si="132"/>
        <v/>
      </c>
      <c r="AB137" s="444" t="str">
        <f t="shared" si="132"/>
        <v/>
      </c>
      <c r="AC137" s="444" t="str">
        <f t="shared" si="132"/>
        <v/>
      </c>
      <c r="AD137" s="444" t="str">
        <f t="shared" si="132"/>
        <v/>
      </c>
      <c r="AE137" s="444" t="str">
        <f t="shared" si="132"/>
        <v/>
      </c>
      <c r="AF137" s="444" t="str">
        <f t="shared" si="132"/>
        <v/>
      </c>
      <c r="AG137" s="444" t="str">
        <f t="shared" si="132"/>
        <v/>
      </c>
      <c r="AH137" s="444" t="str">
        <f t="shared" si="132"/>
        <v/>
      </c>
      <c r="AI137" s="444" t="str">
        <f t="shared" si="133"/>
        <v/>
      </c>
      <c r="AJ137" s="444" t="str">
        <f t="shared" si="133"/>
        <v/>
      </c>
      <c r="AK137" s="444" t="str">
        <f t="shared" si="133"/>
        <v/>
      </c>
      <c r="AL137" s="444" t="str">
        <f t="shared" si="133"/>
        <v/>
      </c>
      <c r="AM137" s="444" t="str">
        <f t="shared" si="133"/>
        <v/>
      </c>
      <c r="AN137" s="444" t="str">
        <f t="shared" si="133"/>
        <v/>
      </c>
      <c r="AO137" s="444" t="str">
        <f t="shared" si="133"/>
        <v/>
      </c>
      <c r="AP137" s="444" t="str">
        <f t="shared" si="133"/>
        <v/>
      </c>
      <c r="AQ137" s="444" t="str">
        <f t="shared" si="133"/>
        <v/>
      </c>
      <c r="AR137" s="444" t="str">
        <f t="shared" si="133"/>
        <v/>
      </c>
      <c r="AS137" s="444" t="str">
        <f t="shared" si="134"/>
        <v/>
      </c>
      <c r="AT137" s="444" t="str">
        <f t="shared" si="134"/>
        <v/>
      </c>
      <c r="AU137" s="444" t="str">
        <f t="shared" si="134"/>
        <v/>
      </c>
      <c r="AV137" s="444" t="str">
        <f t="shared" si="134"/>
        <v/>
      </c>
      <c r="AW137" s="444" t="str">
        <f t="shared" si="134"/>
        <v/>
      </c>
      <c r="AX137" s="444" t="str">
        <f t="shared" si="134"/>
        <v/>
      </c>
      <c r="AY137" s="444" t="str">
        <f t="shared" si="134"/>
        <v/>
      </c>
      <c r="AZ137" s="444" t="str">
        <f t="shared" si="134"/>
        <v/>
      </c>
      <c r="BA137" s="444" t="str">
        <f t="shared" si="134"/>
        <v/>
      </c>
      <c r="BB137" s="444" t="str">
        <f t="shared" si="134"/>
        <v/>
      </c>
      <c r="BC137" s="444" t="str">
        <f t="shared" si="135"/>
        <v/>
      </c>
      <c r="BD137" s="444" t="str">
        <f t="shared" si="135"/>
        <v/>
      </c>
      <c r="BE137" s="444" t="str">
        <f t="shared" si="135"/>
        <v/>
      </c>
      <c r="BF137" s="444" t="str">
        <f t="shared" si="135"/>
        <v/>
      </c>
      <c r="BG137" s="444" t="str">
        <f t="shared" si="135"/>
        <v/>
      </c>
      <c r="BH137" s="445" t="str">
        <f t="shared" si="135"/>
        <v/>
      </c>
      <c r="BI137" s="502"/>
      <c r="BJ137" s="474" t="str">
        <f t="shared" si="136"/>
        <v/>
      </c>
      <c r="BK137" s="475" t="str">
        <f t="shared" si="136"/>
        <v/>
      </c>
      <c r="BL137" s="475" t="str">
        <f t="shared" si="136"/>
        <v/>
      </c>
      <c r="BM137" s="475" t="str">
        <f t="shared" si="136"/>
        <v/>
      </c>
      <c r="BN137" s="475" t="str">
        <f t="shared" si="136"/>
        <v/>
      </c>
      <c r="BO137" s="475" t="str">
        <f t="shared" si="136"/>
        <v/>
      </c>
      <c r="BP137" s="475" t="str">
        <f t="shared" si="136"/>
        <v/>
      </c>
      <c r="BQ137" s="475" t="str">
        <f t="shared" si="136"/>
        <v/>
      </c>
      <c r="BR137" s="475" t="str">
        <f t="shared" si="136"/>
        <v/>
      </c>
      <c r="BS137" s="475" t="str">
        <f t="shared" si="136"/>
        <v/>
      </c>
      <c r="BT137" s="475" t="str">
        <f t="shared" si="137"/>
        <v/>
      </c>
      <c r="BU137" s="475" t="str">
        <f t="shared" si="137"/>
        <v/>
      </c>
      <c r="BV137" s="475" t="str">
        <f t="shared" si="137"/>
        <v/>
      </c>
      <c r="BW137" s="475" t="str">
        <f t="shared" si="137"/>
        <v/>
      </c>
      <c r="BX137" s="475" t="str">
        <f t="shared" si="137"/>
        <v/>
      </c>
      <c r="BY137" s="475" t="str">
        <f t="shared" si="137"/>
        <v/>
      </c>
      <c r="BZ137" s="475" t="str">
        <f t="shared" si="137"/>
        <v/>
      </c>
      <c r="CA137" s="475" t="str">
        <f t="shared" si="137"/>
        <v/>
      </c>
      <c r="CB137" s="475" t="str">
        <f t="shared" si="137"/>
        <v/>
      </c>
      <c r="CC137" s="475" t="str">
        <f t="shared" si="137"/>
        <v/>
      </c>
      <c r="CD137" s="475" t="str">
        <f t="shared" si="138"/>
        <v/>
      </c>
      <c r="CE137" s="475" t="str">
        <f t="shared" si="138"/>
        <v/>
      </c>
      <c r="CF137" s="475" t="str">
        <f t="shared" si="138"/>
        <v/>
      </c>
      <c r="CG137" s="475" t="str">
        <f t="shared" si="138"/>
        <v/>
      </c>
      <c r="CH137" s="475" t="str">
        <f t="shared" si="138"/>
        <v/>
      </c>
      <c r="CI137" s="475" t="str">
        <f t="shared" si="138"/>
        <v/>
      </c>
      <c r="CJ137" s="475" t="str">
        <f t="shared" si="138"/>
        <v/>
      </c>
      <c r="CK137" s="475" t="str">
        <f t="shared" si="138"/>
        <v/>
      </c>
      <c r="CL137" s="475" t="str">
        <f t="shared" si="138"/>
        <v/>
      </c>
      <c r="CM137" s="475" t="str">
        <f t="shared" si="138"/>
        <v/>
      </c>
      <c r="CN137" s="475" t="str">
        <f t="shared" si="139"/>
        <v/>
      </c>
      <c r="CO137" s="475" t="str">
        <f t="shared" si="139"/>
        <v/>
      </c>
      <c r="CP137" s="475" t="str">
        <f t="shared" si="139"/>
        <v/>
      </c>
      <c r="CQ137" s="475" t="str">
        <f t="shared" si="139"/>
        <v/>
      </c>
      <c r="CR137" s="475" t="str">
        <f t="shared" si="139"/>
        <v/>
      </c>
      <c r="CS137" s="475" t="str">
        <f t="shared" si="139"/>
        <v/>
      </c>
      <c r="CT137" s="475" t="str">
        <f t="shared" si="139"/>
        <v/>
      </c>
      <c r="CU137" s="475" t="str">
        <f t="shared" si="139"/>
        <v/>
      </c>
      <c r="CV137" s="475" t="str">
        <f t="shared" si="139"/>
        <v/>
      </c>
      <c r="CW137" s="475" t="str">
        <f t="shared" si="139"/>
        <v/>
      </c>
      <c r="CX137" s="475" t="str">
        <f t="shared" si="139"/>
        <v/>
      </c>
      <c r="CY137" s="475" t="str">
        <f t="shared" si="139"/>
        <v/>
      </c>
      <c r="CZ137" s="495" t="str">
        <f t="shared" si="139"/>
        <v/>
      </c>
      <c r="DA137" s="502"/>
      <c r="DB137" s="460"/>
      <c r="DC137" s="465"/>
      <c r="DD137" s="463"/>
      <c r="DE137" s="512"/>
      <c r="DF137" s="516"/>
      <c r="DG137" s="508"/>
      <c r="DH137" s="463"/>
      <c r="DI137" s="461"/>
      <c r="DJ137" s="461"/>
      <c r="DK137" s="461"/>
      <c r="DL137" s="464"/>
      <c r="DM137" s="466"/>
      <c r="DN137" s="502"/>
      <c r="DO137" s="460"/>
      <c r="DP137" s="464"/>
      <c r="DQ137" s="464"/>
      <c r="DR137" s="464"/>
      <c r="DS137" s="508"/>
      <c r="DT137" s="525"/>
      <c r="DU137" s="525"/>
      <c r="DV137" s="463"/>
      <c r="DW137" s="464"/>
      <c r="DX137" s="465"/>
      <c r="DY137" s="463"/>
      <c r="DZ137" s="464"/>
      <c r="EA137" s="465"/>
      <c r="EB137" s="463"/>
      <c r="EC137" s="465"/>
      <c r="ED137" s="462"/>
      <c r="EE137" s="502"/>
      <c r="EF137" s="463"/>
      <c r="EG137" s="461"/>
      <c r="EH137" s="464"/>
      <c r="EI137" s="464"/>
      <c r="EJ137" s="464"/>
      <c r="EK137" s="464"/>
      <c r="EL137" s="464"/>
      <c r="EM137" s="464"/>
      <c r="EN137" s="464"/>
      <c r="EO137" s="464"/>
      <c r="EP137" s="464"/>
      <c r="EQ137" s="464"/>
      <c r="ER137" s="464"/>
      <c r="ES137" s="464"/>
      <c r="ET137" s="464"/>
      <c r="EU137" s="464"/>
      <c r="EV137" s="464"/>
      <c r="EW137" s="465"/>
      <c r="EX137" s="465"/>
      <c r="EY137" s="502"/>
      <c r="EZ137" s="460"/>
      <c r="FA137" s="464"/>
      <c r="FB137" s="464"/>
      <c r="FC137" s="464"/>
      <c r="FD137" s="464"/>
      <c r="FE137" s="464"/>
      <c r="FF137" s="464"/>
      <c r="FG137" s="466"/>
    </row>
    <row r="138" spans="1:163">
      <c r="A138" s="467" t="s">
        <v>325</v>
      </c>
      <c r="B138" s="471" t="str">
        <f>IF(ISNUMBER(MATCH(A138, 'Pulldown Data'!W:W, 0))=TRUE, "Y", IF(ISNUMBER(MATCH(A138, 'Pulldown Data'!X:X, 0))=TRUE, "M", ""))</f>
        <v/>
      </c>
      <c r="C138" s="504"/>
      <c r="D138" s="502"/>
      <c r="E138" s="443" t="str">
        <f t="shared" si="130"/>
        <v/>
      </c>
      <c r="F138" s="444" t="str">
        <f t="shared" si="130"/>
        <v/>
      </c>
      <c r="G138" s="444" t="str">
        <f t="shared" si="130"/>
        <v/>
      </c>
      <c r="H138" s="444" t="str">
        <f t="shared" si="130"/>
        <v/>
      </c>
      <c r="I138" s="444" t="str">
        <f t="shared" si="130"/>
        <v/>
      </c>
      <c r="J138" s="444" t="str">
        <f t="shared" si="130"/>
        <v/>
      </c>
      <c r="K138" s="444" t="str">
        <f t="shared" si="130"/>
        <v/>
      </c>
      <c r="L138" s="444" t="str">
        <f t="shared" si="130"/>
        <v/>
      </c>
      <c r="M138" s="444" t="str">
        <f t="shared" si="130"/>
        <v/>
      </c>
      <c r="N138" s="444" t="str">
        <f t="shared" si="130"/>
        <v/>
      </c>
      <c r="O138" s="444" t="str">
        <f t="shared" si="131"/>
        <v/>
      </c>
      <c r="P138" s="444" t="str">
        <f t="shared" si="131"/>
        <v/>
      </c>
      <c r="Q138" s="444" t="str">
        <f t="shared" si="131"/>
        <v/>
      </c>
      <c r="R138" s="444" t="str">
        <f t="shared" si="131"/>
        <v/>
      </c>
      <c r="S138" s="444" t="str">
        <f t="shared" si="131"/>
        <v/>
      </c>
      <c r="T138" s="444" t="str">
        <f t="shared" si="131"/>
        <v/>
      </c>
      <c r="U138" s="444" t="str">
        <f t="shared" si="131"/>
        <v/>
      </c>
      <c r="V138" s="444" t="str">
        <f t="shared" si="131"/>
        <v/>
      </c>
      <c r="W138" s="444" t="str">
        <f t="shared" si="131"/>
        <v/>
      </c>
      <c r="X138" s="444" t="str">
        <f t="shared" si="131"/>
        <v/>
      </c>
      <c r="Y138" s="444" t="str">
        <f t="shared" si="132"/>
        <v/>
      </c>
      <c r="Z138" s="444" t="str">
        <f t="shared" si="132"/>
        <v/>
      </c>
      <c r="AA138" s="444" t="str">
        <f t="shared" si="132"/>
        <v/>
      </c>
      <c r="AB138" s="444" t="str">
        <f t="shared" si="132"/>
        <v/>
      </c>
      <c r="AC138" s="444" t="str">
        <f t="shared" si="132"/>
        <v/>
      </c>
      <c r="AD138" s="444" t="str">
        <f t="shared" si="132"/>
        <v/>
      </c>
      <c r="AE138" s="444" t="str">
        <f t="shared" si="132"/>
        <v/>
      </c>
      <c r="AF138" s="444" t="str">
        <f t="shared" si="132"/>
        <v/>
      </c>
      <c r="AG138" s="444" t="str">
        <f t="shared" si="132"/>
        <v/>
      </c>
      <c r="AH138" s="444" t="str">
        <f t="shared" si="132"/>
        <v/>
      </c>
      <c r="AI138" s="444" t="str">
        <f t="shared" si="133"/>
        <v/>
      </c>
      <c r="AJ138" s="444" t="str">
        <f t="shared" si="133"/>
        <v/>
      </c>
      <c r="AK138" s="444" t="str">
        <f t="shared" si="133"/>
        <v/>
      </c>
      <c r="AL138" s="444" t="str">
        <f t="shared" si="133"/>
        <v/>
      </c>
      <c r="AM138" s="444" t="str">
        <f t="shared" si="133"/>
        <v/>
      </c>
      <c r="AN138" s="444" t="str">
        <f t="shared" si="133"/>
        <v/>
      </c>
      <c r="AO138" s="444" t="str">
        <f t="shared" si="133"/>
        <v/>
      </c>
      <c r="AP138" s="444" t="str">
        <f t="shared" si="133"/>
        <v/>
      </c>
      <c r="AQ138" s="444" t="str">
        <f t="shared" si="133"/>
        <v/>
      </c>
      <c r="AR138" s="444" t="str">
        <f t="shared" si="133"/>
        <v/>
      </c>
      <c r="AS138" s="444" t="str">
        <f t="shared" si="134"/>
        <v/>
      </c>
      <c r="AT138" s="444" t="str">
        <f t="shared" si="134"/>
        <v/>
      </c>
      <c r="AU138" s="444" t="str">
        <f t="shared" si="134"/>
        <v/>
      </c>
      <c r="AV138" s="444" t="str">
        <f t="shared" si="134"/>
        <v/>
      </c>
      <c r="AW138" s="444" t="str">
        <f t="shared" si="134"/>
        <v/>
      </c>
      <c r="AX138" s="444" t="str">
        <f t="shared" si="134"/>
        <v/>
      </c>
      <c r="AY138" s="444" t="str">
        <f t="shared" si="134"/>
        <v/>
      </c>
      <c r="AZ138" s="444" t="str">
        <f t="shared" si="134"/>
        <v/>
      </c>
      <c r="BA138" s="444" t="str">
        <f t="shared" si="134"/>
        <v/>
      </c>
      <c r="BB138" s="444" t="str">
        <f t="shared" si="134"/>
        <v/>
      </c>
      <c r="BC138" s="444" t="str">
        <f t="shared" si="135"/>
        <v/>
      </c>
      <c r="BD138" s="444" t="str">
        <f t="shared" si="135"/>
        <v/>
      </c>
      <c r="BE138" s="444" t="str">
        <f t="shared" si="135"/>
        <v/>
      </c>
      <c r="BF138" s="444" t="str">
        <f t="shared" si="135"/>
        <v/>
      </c>
      <c r="BG138" s="444" t="str">
        <f t="shared" si="135"/>
        <v/>
      </c>
      <c r="BH138" s="445" t="str">
        <f t="shared" si="135"/>
        <v/>
      </c>
      <c r="BI138" s="502"/>
      <c r="BJ138" s="474" t="str">
        <f t="shared" si="136"/>
        <v/>
      </c>
      <c r="BK138" s="475" t="str">
        <f t="shared" si="136"/>
        <v/>
      </c>
      <c r="BL138" s="475" t="str">
        <f t="shared" si="136"/>
        <v/>
      </c>
      <c r="BM138" s="475" t="str">
        <f t="shared" si="136"/>
        <v/>
      </c>
      <c r="BN138" s="475" t="str">
        <f t="shared" si="136"/>
        <v/>
      </c>
      <c r="BO138" s="475" t="str">
        <f t="shared" si="136"/>
        <v/>
      </c>
      <c r="BP138" s="475" t="str">
        <f t="shared" si="136"/>
        <v/>
      </c>
      <c r="BQ138" s="475" t="str">
        <f t="shared" si="136"/>
        <v/>
      </c>
      <c r="BR138" s="475" t="str">
        <f t="shared" si="136"/>
        <v/>
      </c>
      <c r="BS138" s="475" t="str">
        <f t="shared" si="136"/>
        <v/>
      </c>
      <c r="BT138" s="475" t="str">
        <f t="shared" si="137"/>
        <v/>
      </c>
      <c r="BU138" s="475" t="str">
        <f t="shared" si="137"/>
        <v/>
      </c>
      <c r="BV138" s="475" t="str">
        <f t="shared" si="137"/>
        <v/>
      </c>
      <c r="BW138" s="475" t="str">
        <f t="shared" si="137"/>
        <v/>
      </c>
      <c r="BX138" s="475" t="str">
        <f t="shared" si="137"/>
        <v/>
      </c>
      <c r="BY138" s="475" t="str">
        <f t="shared" si="137"/>
        <v/>
      </c>
      <c r="BZ138" s="475" t="str">
        <f t="shared" si="137"/>
        <v/>
      </c>
      <c r="CA138" s="475" t="str">
        <f t="shared" si="137"/>
        <v/>
      </c>
      <c r="CB138" s="475" t="str">
        <f t="shared" si="137"/>
        <v/>
      </c>
      <c r="CC138" s="475" t="str">
        <f t="shared" si="137"/>
        <v/>
      </c>
      <c r="CD138" s="475" t="str">
        <f t="shared" si="138"/>
        <v/>
      </c>
      <c r="CE138" s="475" t="str">
        <f t="shared" si="138"/>
        <v/>
      </c>
      <c r="CF138" s="475" t="str">
        <f t="shared" si="138"/>
        <v/>
      </c>
      <c r="CG138" s="475" t="str">
        <f t="shared" si="138"/>
        <v/>
      </c>
      <c r="CH138" s="475" t="str">
        <f t="shared" si="138"/>
        <v/>
      </c>
      <c r="CI138" s="475" t="str">
        <f t="shared" si="138"/>
        <v/>
      </c>
      <c r="CJ138" s="475" t="str">
        <f t="shared" si="138"/>
        <v/>
      </c>
      <c r="CK138" s="475" t="str">
        <f t="shared" si="138"/>
        <v/>
      </c>
      <c r="CL138" s="475" t="str">
        <f t="shared" si="138"/>
        <v/>
      </c>
      <c r="CM138" s="475" t="str">
        <f t="shared" si="138"/>
        <v/>
      </c>
      <c r="CN138" s="475" t="str">
        <f t="shared" si="139"/>
        <v/>
      </c>
      <c r="CO138" s="475" t="str">
        <f t="shared" si="139"/>
        <v/>
      </c>
      <c r="CP138" s="475" t="str">
        <f t="shared" si="139"/>
        <v/>
      </c>
      <c r="CQ138" s="475" t="str">
        <f t="shared" si="139"/>
        <v/>
      </c>
      <c r="CR138" s="475" t="str">
        <f t="shared" si="139"/>
        <v/>
      </c>
      <c r="CS138" s="475" t="str">
        <f t="shared" si="139"/>
        <v/>
      </c>
      <c r="CT138" s="475" t="str">
        <f t="shared" si="139"/>
        <v/>
      </c>
      <c r="CU138" s="475" t="str">
        <f t="shared" si="139"/>
        <v/>
      </c>
      <c r="CV138" s="475" t="str">
        <f t="shared" si="139"/>
        <v/>
      </c>
      <c r="CW138" s="475" t="str">
        <f t="shared" si="139"/>
        <v/>
      </c>
      <c r="CX138" s="475" t="str">
        <f t="shared" si="139"/>
        <v/>
      </c>
      <c r="CY138" s="475" t="str">
        <f t="shared" si="139"/>
        <v/>
      </c>
      <c r="CZ138" s="495" t="str">
        <f t="shared" si="139"/>
        <v/>
      </c>
      <c r="DA138" s="502"/>
      <c r="DB138" s="460"/>
      <c r="DC138" s="465"/>
      <c r="DD138" s="463"/>
      <c r="DE138" s="512"/>
      <c r="DF138" s="516"/>
      <c r="DG138" s="508"/>
      <c r="DH138" s="463"/>
      <c r="DI138" s="461"/>
      <c r="DJ138" s="461"/>
      <c r="DK138" s="461"/>
      <c r="DL138" s="464"/>
      <c r="DM138" s="466"/>
      <c r="DN138" s="502"/>
      <c r="DO138" s="460"/>
      <c r="DP138" s="464"/>
      <c r="DQ138" s="464"/>
      <c r="DR138" s="464"/>
      <c r="DS138" s="508"/>
      <c r="DT138" s="525"/>
      <c r="DU138" s="525"/>
      <c r="DV138" s="463"/>
      <c r="DW138" s="464"/>
      <c r="DX138" s="465"/>
      <c r="DY138" s="463"/>
      <c r="DZ138" s="464"/>
      <c r="EA138" s="465"/>
      <c r="EB138" s="463"/>
      <c r="EC138" s="465"/>
      <c r="ED138" s="462"/>
      <c r="EE138" s="502"/>
      <c r="EF138" s="463"/>
      <c r="EG138" s="461"/>
      <c r="EH138" s="464"/>
      <c r="EI138" s="464"/>
      <c r="EJ138" s="464"/>
      <c r="EK138" s="464"/>
      <c r="EL138" s="464"/>
      <c r="EM138" s="464"/>
      <c r="EN138" s="464"/>
      <c r="EO138" s="464"/>
      <c r="EP138" s="464"/>
      <c r="EQ138" s="464"/>
      <c r="ER138" s="464"/>
      <c r="ES138" s="464"/>
      <c r="ET138" s="464"/>
      <c r="EU138" s="464"/>
      <c r="EV138" s="464"/>
      <c r="EW138" s="465"/>
      <c r="EX138" s="465"/>
      <c r="EY138" s="502"/>
      <c r="EZ138" s="460"/>
      <c r="FA138" s="464"/>
      <c r="FB138" s="464"/>
      <c r="FC138" s="464"/>
      <c r="FD138" s="464"/>
      <c r="FE138" s="464"/>
      <c r="FF138" s="464"/>
      <c r="FG138" s="466"/>
    </row>
    <row r="139" spans="1:163">
      <c r="A139" s="467" t="s">
        <v>326</v>
      </c>
      <c r="B139" s="471" t="str">
        <f>IF(ISNUMBER(MATCH(A139, 'Pulldown Data'!W:W, 0))=TRUE, "Y", IF(ISNUMBER(MATCH(A139, 'Pulldown Data'!X:X, 0))=TRUE, "M", ""))</f>
        <v/>
      </c>
      <c r="C139" s="504">
        <v>45630</v>
      </c>
      <c r="D139" s="502"/>
      <c r="E139" s="443" t="str">
        <f t="shared" si="130"/>
        <v>NO</v>
      </c>
      <c r="F139" s="444" t="str">
        <f t="shared" si="130"/>
        <v>NO</v>
      </c>
      <c r="G139" s="444" t="str">
        <f t="shared" si="130"/>
        <v>NO</v>
      </c>
      <c r="H139" s="444" t="str">
        <f t="shared" si="130"/>
        <v>NO</v>
      </c>
      <c r="I139" s="444" t="str">
        <f t="shared" si="130"/>
        <v>NO</v>
      </c>
      <c r="J139" s="444" t="str">
        <f t="shared" si="130"/>
        <v>NO</v>
      </c>
      <c r="K139" s="444" t="str">
        <f t="shared" si="130"/>
        <v>NO</v>
      </c>
      <c r="L139" s="444" t="str">
        <f t="shared" si="130"/>
        <v>NO</v>
      </c>
      <c r="M139" s="444" t="str">
        <f t="shared" si="130"/>
        <v>NO</v>
      </c>
      <c r="N139" s="444" t="str">
        <f t="shared" si="130"/>
        <v>NO</v>
      </c>
      <c r="O139" s="444" t="str">
        <f t="shared" si="131"/>
        <v>NO</v>
      </c>
      <c r="P139" s="444" t="str">
        <f t="shared" si="131"/>
        <v>NO</v>
      </c>
      <c r="Q139" s="444" t="str">
        <f t="shared" si="131"/>
        <v>NO</v>
      </c>
      <c r="R139" s="444" t="str">
        <f t="shared" si="131"/>
        <v>NO</v>
      </c>
      <c r="S139" s="444" t="str">
        <f t="shared" si="131"/>
        <v>NO</v>
      </c>
      <c r="T139" s="444" t="str">
        <f t="shared" si="131"/>
        <v>NO</v>
      </c>
      <c r="U139" s="444" t="str">
        <f t="shared" si="131"/>
        <v>NO</v>
      </c>
      <c r="V139" s="444" t="str">
        <f t="shared" si="131"/>
        <v>NO</v>
      </c>
      <c r="W139" s="444" t="str">
        <f t="shared" si="131"/>
        <v>NO</v>
      </c>
      <c r="X139" s="444" t="str">
        <f t="shared" si="131"/>
        <v>NO</v>
      </c>
      <c r="Y139" s="444" t="str">
        <f t="shared" si="132"/>
        <v>NO</v>
      </c>
      <c r="Z139" s="444" t="str">
        <f t="shared" si="132"/>
        <v>NO</v>
      </c>
      <c r="AA139" s="444" t="str">
        <f t="shared" si="132"/>
        <v>NO</v>
      </c>
      <c r="AB139" s="444" t="str">
        <f t="shared" si="132"/>
        <v>NO</v>
      </c>
      <c r="AC139" s="444" t="str">
        <f t="shared" si="132"/>
        <v>NO</v>
      </c>
      <c r="AD139" s="444" t="str">
        <f t="shared" si="132"/>
        <v>YES</v>
      </c>
      <c r="AE139" s="444" t="str">
        <f t="shared" si="132"/>
        <v>YES</v>
      </c>
      <c r="AF139" s="444" t="str">
        <f t="shared" si="132"/>
        <v>YES</v>
      </c>
      <c r="AG139" s="444" t="str">
        <f t="shared" si="132"/>
        <v>YES</v>
      </c>
      <c r="AH139" s="444" t="str">
        <f t="shared" si="132"/>
        <v>YES</v>
      </c>
      <c r="AI139" s="444" t="str">
        <f t="shared" si="133"/>
        <v>YES</v>
      </c>
      <c r="AJ139" s="444" t="str">
        <f t="shared" si="133"/>
        <v>YES</v>
      </c>
      <c r="AK139" s="444" t="str">
        <f t="shared" si="133"/>
        <v>NO</v>
      </c>
      <c r="AL139" s="444" t="str">
        <f t="shared" si="133"/>
        <v>NO</v>
      </c>
      <c r="AM139" s="444" t="str">
        <f t="shared" si="133"/>
        <v>NO</v>
      </c>
      <c r="AN139" s="444" t="str">
        <f t="shared" si="133"/>
        <v>NO</v>
      </c>
      <c r="AO139" s="444" t="str">
        <f t="shared" si="133"/>
        <v>NO</v>
      </c>
      <c r="AP139" s="444" t="str">
        <f t="shared" si="133"/>
        <v>NO</v>
      </c>
      <c r="AQ139" s="444" t="str">
        <f t="shared" si="133"/>
        <v>NO</v>
      </c>
      <c r="AR139" s="444" t="str">
        <f t="shared" si="133"/>
        <v>NO</v>
      </c>
      <c r="AS139" s="444" t="str">
        <f t="shared" si="134"/>
        <v>NO</v>
      </c>
      <c r="AT139" s="444" t="str">
        <f t="shared" si="134"/>
        <v>NO</v>
      </c>
      <c r="AU139" s="444" t="str">
        <f t="shared" si="134"/>
        <v>NO</v>
      </c>
      <c r="AV139" s="444" t="str">
        <f t="shared" si="134"/>
        <v>NO</v>
      </c>
      <c r="AW139" s="444" t="str">
        <f t="shared" si="134"/>
        <v>NO</v>
      </c>
      <c r="AX139" s="444" t="str">
        <f t="shared" si="134"/>
        <v>NO</v>
      </c>
      <c r="AY139" s="444" t="str">
        <f t="shared" si="134"/>
        <v>NO</v>
      </c>
      <c r="AZ139" s="444" t="str">
        <f t="shared" si="134"/>
        <v>NO</v>
      </c>
      <c r="BA139" s="444" t="str">
        <f t="shared" si="134"/>
        <v>NO</v>
      </c>
      <c r="BB139" s="444" t="str">
        <f t="shared" si="134"/>
        <v>YES</v>
      </c>
      <c r="BC139" s="444" t="str">
        <f t="shared" si="135"/>
        <v>NO</v>
      </c>
      <c r="BD139" s="444" t="str">
        <f t="shared" si="135"/>
        <v>NO</v>
      </c>
      <c r="BE139" s="444" t="str">
        <f t="shared" si="135"/>
        <v>NO</v>
      </c>
      <c r="BF139" s="444" t="str">
        <f t="shared" si="135"/>
        <v>NO</v>
      </c>
      <c r="BG139" s="444" t="str">
        <f t="shared" si="135"/>
        <v>NO</v>
      </c>
      <c r="BH139" s="445" t="str">
        <f t="shared" si="135"/>
        <v>NO</v>
      </c>
      <c r="BI139" s="502"/>
      <c r="BJ139" s="474" t="str">
        <f t="shared" si="136"/>
        <v>NO</v>
      </c>
      <c r="BK139" s="475" t="str">
        <f t="shared" si="136"/>
        <v>NO</v>
      </c>
      <c r="BL139" s="475" t="str">
        <f t="shared" si="136"/>
        <v>NO</v>
      </c>
      <c r="BM139" s="475" t="str">
        <f t="shared" si="136"/>
        <v>NO</v>
      </c>
      <c r="BN139" s="475" t="str">
        <f t="shared" si="136"/>
        <v>NO</v>
      </c>
      <c r="BO139" s="475" t="str">
        <f t="shared" si="136"/>
        <v>NO</v>
      </c>
      <c r="BP139" s="475" t="str">
        <f t="shared" si="136"/>
        <v>NO</v>
      </c>
      <c r="BQ139" s="475" t="str">
        <f t="shared" si="136"/>
        <v>NO</v>
      </c>
      <c r="BR139" s="475" t="str">
        <f t="shared" si="136"/>
        <v>NO</v>
      </c>
      <c r="BS139" s="475" t="str">
        <f t="shared" si="136"/>
        <v>NO</v>
      </c>
      <c r="BT139" s="475" t="str">
        <f t="shared" si="137"/>
        <v>NO</v>
      </c>
      <c r="BU139" s="475" t="str">
        <f t="shared" si="137"/>
        <v>NO</v>
      </c>
      <c r="BV139" s="475" t="str">
        <f t="shared" si="137"/>
        <v>NO</v>
      </c>
      <c r="BW139" s="475" t="str">
        <f t="shared" si="137"/>
        <v>NO</v>
      </c>
      <c r="BX139" s="475" t="str">
        <f t="shared" si="137"/>
        <v>NO</v>
      </c>
      <c r="BY139" s="475" t="str">
        <f t="shared" si="137"/>
        <v>NO</v>
      </c>
      <c r="BZ139" s="475" t="str">
        <f t="shared" si="137"/>
        <v>NO</v>
      </c>
      <c r="CA139" s="475" t="str">
        <f t="shared" si="137"/>
        <v>NO</v>
      </c>
      <c r="CB139" s="475" t="str">
        <f t="shared" si="137"/>
        <v>NO</v>
      </c>
      <c r="CC139" s="475" t="str">
        <f t="shared" si="137"/>
        <v>NO</v>
      </c>
      <c r="CD139" s="475" t="str">
        <f t="shared" si="138"/>
        <v>NO</v>
      </c>
      <c r="CE139" s="475" t="str">
        <f t="shared" si="138"/>
        <v>NO</v>
      </c>
      <c r="CF139" s="475" t="str">
        <f t="shared" si="138"/>
        <v>NO</v>
      </c>
      <c r="CG139" s="475" t="str">
        <f t="shared" si="138"/>
        <v>NO</v>
      </c>
      <c r="CH139" s="475" t="str">
        <f t="shared" si="138"/>
        <v>NO</v>
      </c>
      <c r="CI139" s="475" t="str">
        <f t="shared" si="138"/>
        <v>NO</v>
      </c>
      <c r="CJ139" s="475" t="str">
        <f t="shared" si="138"/>
        <v>NO</v>
      </c>
      <c r="CK139" s="475" t="str">
        <f t="shared" si="138"/>
        <v>NO</v>
      </c>
      <c r="CL139" s="475" t="str">
        <f t="shared" si="138"/>
        <v>NO</v>
      </c>
      <c r="CM139" s="475" t="str">
        <f t="shared" si="138"/>
        <v>NO</v>
      </c>
      <c r="CN139" s="475" t="str">
        <f t="shared" si="139"/>
        <v>NO</v>
      </c>
      <c r="CO139" s="475" t="str">
        <f t="shared" si="139"/>
        <v>NO</v>
      </c>
      <c r="CP139" s="475" t="str">
        <f t="shared" si="139"/>
        <v>NO</v>
      </c>
      <c r="CQ139" s="475" t="str">
        <f t="shared" si="139"/>
        <v>NO</v>
      </c>
      <c r="CR139" s="475" t="str">
        <f t="shared" si="139"/>
        <v>NO</v>
      </c>
      <c r="CS139" s="475" t="str">
        <f t="shared" si="139"/>
        <v>NO</v>
      </c>
      <c r="CT139" s="475" t="str">
        <f t="shared" si="139"/>
        <v>NO</v>
      </c>
      <c r="CU139" s="475" t="str">
        <f t="shared" si="139"/>
        <v>NO</v>
      </c>
      <c r="CV139" s="475" t="str">
        <f t="shared" si="139"/>
        <v>NO</v>
      </c>
      <c r="CW139" s="475" t="str">
        <f t="shared" si="139"/>
        <v>NO</v>
      </c>
      <c r="CX139" s="475" t="str">
        <f t="shared" si="139"/>
        <v>NO</v>
      </c>
      <c r="CY139" s="475" t="str">
        <f t="shared" si="139"/>
        <v>NO</v>
      </c>
      <c r="CZ139" s="495" t="str">
        <f t="shared" si="139"/>
        <v>NO</v>
      </c>
      <c r="DA139" s="502"/>
      <c r="DB139" s="460"/>
      <c r="DC139" s="465"/>
      <c r="DD139" s="463"/>
      <c r="DE139" s="512"/>
      <c r="DF139" s="516"/>
      <c r="DG139" s="508"/>
      <c r="DH139" s="463"/>
      <c r="DI139" s="461"/>
      <c r="DJ139" s="461"/>
      <c r="DK139" s="461"/>
      <c r="DL139" s="464"/>
      <c r="DM139" s="466"/>
      <c r="DN139" s="502"/>
      <c r="DO139" s="460"/>
      <c r="DP139" s="464"/>
      <c r="DQ139" s="464"/>
      <c r="DR139" s="464"/>
      <c r="DS139" s="508"/>
      <c r="DT139" s="525"/>
      <c r="DU139" s="525"/>
      <c r="DV139" s="463"/>
      <c r="DW139" s="464"/>
      <c r="DX139" s="465"/>
      <c r="DY139" s="463"/>
      <c r="DZ139" s="464"/>
      <c r="EA139" s="465"/>
      <c r="EB139" s="463"/>
      <c r="EC139" s="465"/>
      <c r="ED139" s="462"/>
      <c r="EE139" s="502"/>
      <c r="EF139" s="463"/>
      <c r="EG139" s="461"/>
      <c r="EH139" s="464"/>
      <c r="EI139" s="464"/>
      <c r="EJ139" s="464"/>
      <c r="EK139" s="464"/>
      <c r="EL139" s="464"/>
      <c r="EM139" s="464"/>
      <c r="EN139" s="464"/>
      <c r="EO139" s="464"/>
      <c r="EP139" s="464"/>
      <c r="EQ139" s="464"/>
      <c r="ER139" s="464"/>
      <c r="ES139" s="464"/>
      <c r="ET139" s="464"/>
      <c r="EU139" s="464"/>
      <c r="EV139" s="464"/>
      <c r="EW139" s="465"/>
      <c r="EX139" s="465"/>
      <c r="EY139" s="502"/>
      <c r="EZ139" s="460"/>
      <c r="FA139" s="464"/>
      <c r="FB139" s="464"/>
      <c r="FC139" s="464"/>
      <c r="FD139" s="464"/>
      <c r="FE139" s="464"/>
      <c r="FF139" s="464"/>
      <c r="FG139" s="466"/>
    </row>
    <row r="140" spans="1:163">
      <c r="A140" s="467" t="s">
        <v>327</v>
      </c>
      <c r="B140" s="471" t="str">
        <f>IF(ISNUMBER(MATCH(A140, 'Pulldown Data'!W:W, 0))=TRUE, "Y", IF(ISNUMBER(MATCH(A140, 'Pulldown Data'!X:X, 0))=TRUE, "M", ""))</f>
        <v/>
      </c>
      <c r="C140" s="504"/>
      <c r="D140" s="502"/>
      <c r="E140" s="443" t="str">
        <f t="shared" si="130"/>
        <v/>
      </c>
      <c r="F140" s="444" t="str">
        <f t="shared" si="130"/>
        <v/>
      </c>
      <c r="G140" s="444" t="str">
        <f t="shared" si="130"/>
        <v/>
      </c>
      <c r="H140" s="444" t="str">
        <f t="shared" si="130"/>
        <v/>
      </c>
      <c r="I140" s="444" t="str">
        <f t="shared" si="130"/>
        <v/>
      </c>
      <c r="J140" s="444" t="str">
        <f t="shared" si="130"/>
        <v/>
      </c>
      <c r="K140" s="444" t="str">
        <f t="shared" si="130"/>
        <v/>
      </c>
      <c r="L140" s="444" t="str">
        <f t="shared" si="130"/>
        <v/>
      </c>
      <c r="M140" s="444" t="str">
        <f t="shared" si="130"/>
        <v/>
      </c>
      <c r="N140" s="444" t="str">
        <f t="shared" si="130"/>
        <v/>
      </c>
      <c r="O140" s="444" t="str">
        <f t="shared" si="131"/>
        <v/>
      </c>
      <c r="P140" s="444" t="str">
        <f t="shared" si="131"/>
        <v/>
      </c>
      <c r="Q140" s="444" t="str">
        <f t="shared" si="131"/>
        <v/>
      </c>
      <c r="R140" s="444" t="str">
        <f t="shared" si="131"/>
        <v/>
      </c>
      <c r="S140" s="444" t="str">
        <f t="shared" si="131"/>
        <v/>
      </c>
      <c r="T140" s="444" t="str">
        <f t="shared" si="131"/>
        <v/>
      </c>
      <c r="U140" s="444" t="str">
        <f t="shared" si="131"/>
        <v/>
      </c>
      <c r="V140" s="444" t="str">
        <f t="shared" si="131"/>
        <v/>
      </c>
      <c r="W140" s="444" t="str">
        <f t="shared" si="131"/>
        <v/>
      </c>
      <c r="X140" s="444" t="str">
        <f t="shared" si="131"/>
        <v/>
      </c>
      <c r="Y140" s="444" t="str">
        <f t="shared" si="132"/>
        <v/>
      </c>
      <c r="Z140" s="444" t="str">
        <f t="shared" si="132"/>
        <v/>
      </c>
      <c r="AA140" s="444" t="str">
        <f t="shared" si="132"/>
        <v/>
      </c>
      <c r="AB140" s="444" t="str">
        <f t="shared" si="132"/>
        <v/>
      </c>
      <c r="AC140" s="444" t="str">
        <f t="shared" si="132"/>
        <v/>
      </c>
      <c r="AD140" s="444" t="str">
        <f t="shared" si="132"/>
        <v/>
      </c>
      <c r="AE140" s="444" t="str">
        <f t="shared" si="132"/>
        <v/>
      </c>
      <c r="AF140" s="444" t="str">
        <f t="shared" si="132"/>
        <v/>
      </c>
      <c r="AG140" s="444" t="str">
        <f t="shared" si="132"/>
        <v/>
      </c>
      <c r="AH140" s="444" t="str">
        <f t="shared" si="132"/>
        <v/>
      </c>
      <c r="AI140" s="444" t="str">
        <f t="shared" si="133"/>
        <v/>
      </c>
      <c r="AJ140" s="444" t="str">
        <f t="shared" si="133"/>
        <v/>
      </c>
      <c r="AK140" s="444" t="str">
        <f t="shared" si="133"/>
        <v/>
      </c>
      <c r="AL140" s="444" t="str">
        <f t="shared" si="133"/>
        <v/>
      </c>
      <c r="AM140" s="444" t="str">
        <f t="shared" si="133"/>
        <v/>
      </c>
      <c r="AN140" s="444" t="str">
        <f t="shared" si="133"/>
        <v/>
      </c>
      <c r="AO140" s="444" t="str">
        <f t="shared" si="133"/>
        <v/>
      </c>
      <c r="AP140" s="444" t="str">
        <f t="shared" si="133"/>
        <v/>
      </c>
      <c r="AQ140" s="444" t="str">
        <f t="shared" si="133"/>
        <v/>
      </c>
      <c r="AR140" s="444" t="str">
        <f t="shared" si="133"/>
        <v/>
      </c>
      <c r="AS140" s="444" t="str">
        <f t="shared" si="134"/>
        <v/>
      </c>
      <c r="AT140" s="444" t="str">
        <f t="shared" si="134"/>
        <v/>
      </c>
      <c r="AU140" s="444" t="str">
        <f t="shared" si="134"/>
        <v/>
      </c>
      <c r="AV140" s="444" t="str">
        <f t="shared" si="134"/>
        <v/>
      </c>
      <c r="AW140" s="444" t="str">
        <f t="shared" si="134"/>
        <v/>
      </c>
      <c r="AX140" s="444" t="str">
        <f t="shared" si="134"/>
        <v/>
      </c>
      <c r="AY140" s="444" t="str">
        <f t="shared" si="134"/>
        <v/>
      </c>
      <c r="AZ140" s="444" t="str">
        <f t="shared" si="134"/>
        <v/>
      </c>
      <c r="BA140" s="444" t="str">
        <f t="shared" si="134"/>
        <v/>
      </c>
      <c r="BB140" s="444" t="str">
        <f t="shared" si="134"/>
        <v/>
      </c>
      <c r="BC140" s="444" t="str">
        <f t="shared" si="135"/>
        <v/>
      </c>
      <c r="BD140" s="444" t="str">
        <f t="shared" si="135"/>
        <v/>
      </c>
      <c r="BE140" s="444" t="str">
        <f t="shared" si="135"/>
        <v/>
      </c>
      <c r="BF140" s="444" t="str">
        <f t="shared" si="135"/>
        <v/>
      </c>
      <c r="BG140" s="444" t="str">
        <f t="shared" si="135"/>
        <v/>
      </c>
      <c r="BH140" s="445" t="str">
        <f t="shared" si="135"/>
        <v/>
      </c>
      <c r="BI140" s="502"/>
      <c r="BJ140" s="474" t="str">
        <f t="shared" si="136"/>
        <v/>
      </c>
      <c r="BK140" s="475" t="str">
        <f t="shared" si="136"/>
        <v/>
      </c>
      <c r="BL140" s="475" t="str">
        <f t="shared" si="136"/>
        <v/>
      </c>
      <c r="BM140" s="475" t="str">
        <f t="shared" si="136"/>
        <v/>
      </c>
      <c r="BN140" s="475" t="str">
        <f t="shared" si="136"/>
        <v/>
      </c>
      <c r="BO140" s="475" t="str">
        <f t="shared" si="136"/>
        <v/>
      </c>
      <c r="BP140" s="475" t="str">
        <f t="shared" si="136"/>
        <v/>
      </c>
      <c r="BQ140" s="475" t="str">
        <f t="shared" si="136"/>
        <v/>
      </c>
      <c r="BR140" s="475" t="str">
        <f t="shared" si="136"/>
        <v/>
      </c>
      <c r="BS140" s="475" t="str">
        <f t="shared" si="136"/>
        <v/>
      </c>
      <c r="BT140" s="475" t="str">
        <f t="shared" si="137"/>
        <v/>
      </c>
      <c r="BU140" s="475" t="str">
        <f t="shared" si="137"/>
        <v/>
      </c>
      <c r="BV140" s="475" t="str">
        <f t="shared" si="137"/>
        <v/>
      </c>
      <c r="BW140" s="475" t="str">
        <f t="shared" si="137"/>
        <v/>
      </c>
      <c r="BX140" s="475" t="str">
        <f t="shared" si="137"/>
        <v/>
      </c>
      <c r="BY140" s="475" t="str">
        <f t="shared" si="137"/>
        <v/>
      </c>
      <c r="BZ140" s="475" t="str">
        <f t="shared" si="137"/>
        <v/>
      </c>
      <c r="CA140" s="475" t="str">
        <f t="shared" si="137"/>
        <v/>
      </c>
      <c r="CB140" s="475" t="str">
        <f t="shared" si="137"/>
        <v/>
      </c>
      <c r="CC140" s="475" t="str">
        <f t="shared" si="137"/>
        <v/>
      </c>
      <c r="CD140" s="475" t="str">
        <f t="shared" si="138"/>
        <v/>
      </c>
      <c r="CE140" s="475" t="str">
        <f t="shared" si="138"/>
        <v/>
      </c>
      <c r="CF140" s="475" t="str">
        <f t="shared" si="138"/>
        <v/>
      </c>
      <c r="CG140" s="475" t="str">
        <f t="shared" si="138"/>
        <v/>
      </c>
      <c r="CH140" s="475" t="str">
        <f t="shared" si="138"/>
        <v/>
      </c>
      <c r="CI140" s="475" t="str">
        <f t="shared" si="138"/>
        <v/>
      </c>
      <c r="CJ140" s="475" t="str">
        <f t="shared" si="138"/>
        <v/>
      </c>
      <c r="CK140" s="475" t="str">
        <f t="shared" si="138"/>
        <v/>
      </c>
      <c r="CL140" s="475" t="str">
        <f t="shared" si="138"/>
        <v/>
      </c>
      <c r="CM140" s="475" t="str">
        <f t="shared" si="138"/>
        <v/>
      </c>
      <c r="CN140" s="475" t="str">
        <f t="shared" si="139"/>
        <v/>
      </c>
      <c r="CO140" s="475" t="str">
        <f t="shared" si="139"/>
        <v/>
      </c>
      <c r="CP140" s="475" t="str">
        <f t="shared" si="139"/>
        <v/>
      </c>
      <c r="CQ140" s="475" t="str">
        <f t="shared" si="139"/>
        <v/>
      </c>
      <c r="CR140" s="475" t="str">
        <f t="shared" si="139"/>
        <v/>
      </c>
      <c r="CS140" s="475" t="str">
        <f t="shared" si="139"/>
        <v/>
      </c>
      <c r="CT140" s="475" t="str">
        <f t="shared" si="139"/>
        <v/>
      </c>
      <c r="CU140" s="475" t="str">
        <f t="shared" si="139"/>
        <v/>
      </c>
      <c r="CV140" s="475" t="str">
        <f t="shared" si="139"/>
        <v/>
      </c>
      <c r="CW140" s="475" t="str">
        <f t="shared" si="139"/>
        <v/>
      </c>
      <c r="CX140" s="475" t="str">
        <f t="shared" si="139"/>
        <v/>
      </c>
      <c r="CY140" s="475" t="str">
        <f t="shared" si="139"/>
        <v/>
      </c>
      <c r="CZ140" s="495" t="str">
        <f t="shared" si="139"/>
        <v/>
      </c>
      <c r="DA140" s="502"/>
      <c r="DB140" s="460"/>
      <c r="DC140" s="465"/>
      <c r="DD140" s="463"/>
      <c r="DE140" s="512"/>
      <c r="DF140" s="516"/>
      <c r="DG140" s="508"/>
      <c r="DH140" s="463"/>
      <c r="DI140" s="461"/>
      <c r="DJ140" s="461"/>
      <c r="DK140" s="461"/>
      <c r="DL140" s="464"/>
      <c r="DM140" s="466"/>
      <c r="DN140" s="502"/>
      <c r="DO140" s="460"/>
      <c r="DP140" s="464"/>
      <c r="DQ140" s="464"/>
      <c r="DR140" s="464"/>
      <c r="DS140" s="508"/>
      <c r="DT140" s="525"/>
      <c r="DU140" s="525"/>
      <c r="DV140" s="463"/>
      <c r="DW140" s="464"/>
      <c r="DX140" s="465"/>
      <c r="DY140" s="463"/>
      <c r="DZ140" s="464"/>
      <c r="EA140" s="465"/>
      <c r="EB140" s="463"/>
      <c r="EC140" s="465"/>
      <c r="ED140" s="462"/>
      <c r="EE140" s="502"/>
      <c r="EF140" s="463"/>
      <c r="EG140" s="461"/>
      <c r="EH140" s="464"/>
      <c r="EI140" s="464"/>
      <c r="EJ140" s="464"/>
      <c r="EK140" s="464"/>
      <c r="EL140" s="464"/>
      <c r="EM140" s="464"/>
      <c r="EN140" s="464"/>
      <c r="EO140" s="464"/>
      <c r="EP140" s="464"/>
      <c r="EQ140" s="464"/>
      <c r="ER140" s="464"/>
      <c r="ES140" s="464"/>
      <c r="ET140" s="464"/>
      <c r="EU140" s="464"/>
      <c r="EV140" s="464"/>
      <c r="EW140" s="465"/>
      <c r="EX140" s="465"/>
      <c r="EY140" s="502"/>
      <c r="EZ140" s="460"/>
      <c r="FA140" s="464"/>
      <c r="FB140" s="464"/>
      <c r="FC140" s="464"/>
      <c r="FD140" s="464"/>
      <c r="FE140" s="464"/>
      <c r="FF140" s="464"/>
      <c r="FG140" s="466"/>
    </row>
    <row r="141" spans="1:163">
      <c r="A141" s="467" t="s">
        <v>328</v>
      </c>
      <c r="B141" s="471" t="str">
        <f>IF(ISNUMBER(MATCH(A141, 'Pulldown Data'!W:W, 0))=TRUE, "Y", IF(ISNUMBER(MATCH(A141, 'Pulldown Data'!X:X, 0))=TRUE, "M", ""))</f>
        <v/>
      </c>
      <c r="C141" s="504"/>
      <c r="D141" s="502"/>
      <c r="E141" s="443" t="str">
        <f t="shared" si="130"/>
        <v/>
      </c>
      <c r="F141" s="444" t="str">
        <f t="shared" si="130"/>
        <v/>
      </c>
      <c r="G141" s="444" t="str">
        <f t="shared" si="130"/>
        <v/>
      </c>
      <c r="H141" s="444" t="str">
        <f t="shared" si="130"/>
        <v/>
      </c>
      <c r="I141" s="444" t="str">
        <f t="shared" si="130"/>
        <v/>
      </c>
      <c r="J141" s="444" t="str">
        <f t="shared" si="130"/>
        <v/>
      </c>
      <c r="K141" s="444" t="str">
        <f t="shared" si="130"/>
        <v/>
      </c>
      <c r="L141" s="444" t="str">
        <f t="shared" si="130"/>
        <v/>
      </c>
      <c r="M141" s="444" t="str">
        <f t="shared" si="130"/>
        <v/>
      </c>
      <c r="N141" s="444" t="str">
        <f t="shared" si="130"/>
        <v/>
      </c>
      <c r="O141" s="444" t="str">
        <f t="shared" si="131"/>
        <v/>
      </c>
      <c r="P141" s="444" t="str">
        <f t="shared" si="131"/>
        <v/>
      </c>
      <c r="Q141" s="444" t="str">
        <f t="shared" si="131"/>
        <v/>
      </c>
      <c r="R141" s="444" t="str">
        <f t="shared" si="131"/>
        <v/>
      </c>
      <c r="S141" s="444" t="str">
        <f t="shared" si="131"/>
        <v/>
      </c>
      <c r="T141" s="444" t="str">
        <f t="shared" si="131"/>
        <v/>
      </c>
      <c r="U141" s="444" t="str">
        <f t="shared" si="131"/>
        <v/>
      </c>
      <c r="V141" s="444" t="str">
        <f t="shared" si="131"/>
        <v/>
      </c>
      <c r="W141" s="444" t="str">
        <f t="shared" si="131"/>
        <v/>
      </c>
      <c r="X141" s="444" t="str">
        <f t="shared" si="131"/>
        <v/>
      </c>
      <c r="Y141" s="444" t="str">
        <f t="shared" si="132"/>
        <v/>
      </c>
      <c r="Z141" s="444" t="str">
        <f t="shared" si="132"/>
        <v/>
      </c>
      <c r="AA141" s="444" t="str">
        <f t="shared" si="132"/>
        <v/>
      </c>
      <c r="AB141" s="444" t="str">
        <f t="shared" si="132"/>
        <v/>
      </c>
      <c r="AC141" s="444" t="str">
        <f t="shared" si="132"/>
        <v/>
      </c>
      <c r="AD141" s="444" t="str">
        <f t="shared" si="132"/>
        <v/>
      </c>
      <c r="AE141" s="444" t="str">
        <f t="shared" si="132"/>
        <v/>
      </c>
      <c r="AF141" s="444" t="str">
        <f t="shared" si="132"/>
        <v/>
      </c>
      <c r="AG141" s="444" t="str">
        <f t="shared" si="132"/>
        <v/>
      </c>
      <c r="AH141" s="444" t="str">
        <f t="shared" si="132"/>
        <v/>
      </c>
      <c r="AI141" s="444" t="str">
        <f t="shared" si="133"/>
        <v/>
      </c>
      <c r="AJ141" s="444" t="str">
        <f t="shared" si="133"/>
        <v/>
      </c>
      <c r="AK141" s="444" t="str">
        <f t="shared" si="133"/>
        <v/>
      </c>
      <c r="AL141" s="444" t="str">
        <f t="shared" si="133"/>
        <v/>
      </c>
      <c r="AM141" s="444" t="str">
        <f t="shared" si="133"/>
        <v/>
      </c>
      <c r="AN141" s="444" t="str">
        <f t="shared" si="133"/>
        <v/>
      </c>
      <c r="AO141" s="444" t="str">
        <f t="shared" si="133"/>
        <v/>
      </c>
      <c r="AP141" s="444" t="str">
        <f t="shared" si="133"/>
        <v/>
      </c>
      <c r="AQ141" s="444" t="str">
        <f t="shared" si="133"/>
        <v/>
      </c>
      <c r="AR141" s="444" t="str">
        <f t="shared" si="133"/>
        <v/>
      </c>
      <c r="AS141" s="444" t="str">
        <f t="shared" si="134"/>
        <v/>
      </c>
      <c r="AT141" s="444" t="str">
        <f t="shared" si="134"/>
        <v/>
      </c>
      <c r="AU141" s="444" t="str">
        <f t="shared" si="134"/>
        <v/>
      </c>
      <c r="AV141" s="444" t="str">
        <f t="shared" si="134"/>
        <v/>
      </c>
      <c r="AW141" s="444" t="str">
        <f t="shared" si="134"/>
        <v/>
      </c>
      <c r="AX141" s="444" t="str">
        <f t="shared" si="134"/>
        <v/>
      </c>
      <c r="AY141" s="444" t="str">
        <f t="shared" si="134"/>
        <v/>
      </c>
      <c r="AZ141" s="444" t="str">
        <f t="shared" si="134"/>
        <v/>
      </c>
      <c r="BA141" s="444" t="str">
        <f t="shared" si="134"/>
        <v/>
      </c>
      <c r="BB141" s="444" t="str">
        <f t="shared" si="134"/>
        <v/>
      </c>
      <c r="BC141" s="444" t="str">
        <f t="shared" si="135"/>
        <v/>
      </c>
      <c r="BD141" s="444" t="str">
        <f t="shared" si="135"/>
        <v/>
      </c>
      <c r="BE141" s="444" t="str">
        <f t="shared" si="135"/>
        <v/>
      </c>
      <c r="BF141" s="444" t="str">
        <f t="shared" si="135"/>
        <v/>
      </c>
      <c r="BG141" s="444" t="str">
        <f t="shared" si="135"/>
        <v/>
      </c>
      <c r="BH141" s="445" t="str">
        <f t="shared" si="135"/>
        <v/>
      </c>
      <c r="BI141" s="502"/>
      <c r="BJ141" s="474" t="str">
        <f t="shared" si="136"/>
        <v/>
      </c>
      <c r="BK141" s="475" t="str">
        <f t="shared" si="136"/>
        <v/>
      </c>
      <c r="BL141" s="475" t="str">
        <f t="shared" si="136"/>
        <v/>
      </c>
      <c r="BM141" s="475" t="str">
        <f t="shared" si="136"/>
        <v/>
      </c>
      <c r="BN141" s="475" t="str">
        <f t="shared" si="136"/>
        <v/>
      </c>
      <c r="BO141" s="475" t="str">
        <f t="shared" si="136"/>
        <v/>
      </c>
      <c r="BP141" s="475" t="str">
        <f t="shared" si="136"/>
        <v/>
      </c>
      <c r="BQ141" s="475" t="str">
        <f t="shared" si="136"/>
        <v/>
      </c>
      <c r="BR141" s="475" t="str">
        <f t="shared" si="136"/>
        <v/>
      </c>
      <c r="BS141" s="475" t="str">
        <f t="shared" si="136"/>
        <v/>
      </c>
      <c r="BT141" s="475" t="str">
        <f t="shared" si="137"/>
        <v/>
      </c>
      <c r="BU141" s="475" t="str">
        <f t="shared" si="137"/>
        <v/>
      </c>
      <c r="BV141" s="475" t="str">
        <f t="shared" si="137"/>
        <v/>
      </c>
      <c r="BW141" s="475" t="str">
        <f t="shared" si="137"/>
        <v/>
      </c>
      <c r="BX141" s="475" t="str">
        <f t="shared" si="137"/>
        <v/>
      </c>
      <c r="BY141" s="475" t="str">
        <f t="shared" si="137"/>
        <v/>
      </c>
      <c r="BZ141" s="475" t="str">
        <f t="shared" si="137"/>
        <v/>
      </c>
      <c r="CA141" s="475" t="str">
        <f t="shared" si="137"/>
        <v/>
      </c>
      <c r="CB141" s="475" t="str">
        <f t="shared" si="137"/>
        <v/>
      </c>
      <c r="CC141" s="475" t="str">
        <f t="shared" si="137"/>
        <v/>
      </c>
      <c r="CD141" s="475" t="str">
        <f t="shared" si="138"/>
        <v/>
      </c>
      <c r="CE141" s="475" t="str">
        <f t="shared" si="138"/>
        <v/>
      </c>
      <c r="CF141" s="475" t="str">
        <f t="shared" si="138"/>
        <v/>
      </c>
      <c r="CG141" s="475" t="str">
        <f t="shared" si="138"/>
        <v/>
      </c>
      <c r="CH141" s="475" t="str">
        <f t="shared" si="138"/>
        <v/>
      </c>
      <c r="CI141" s="475" t="str">
        <f t="shared" si="138"/>
        <v/>
      </c>
      <c r="CJ141" s="475" t="str">
        <f t="shared" si="138"/>
        <v/>
      </c>
      <c r="CK141" s="475" t="str">
        <f t="shared" si="138"/>
        <v/>
      </c>
      <c r="CL141" s="475" t="str">
        <f t="shared" si="138"/>
        <v/>
      </c>
      <c r="CM141" s="475" t="str">
        <f t="shared" si="138"/>
        <v/>
      </c>
      <c r="CN141" s="475" t="str">
        <f t="shared" si="139"/>
        <v/>
      </c>
      <c r="CO141" s="475" t="str">
        <f t="shared" si="139"/>
        <v/>
      </c>
      <c r="CP141" s="475" t="str">
        <f t="shared" si="139"/>
        <v/>
      </c>
      <c r="CQ141" s="475" t="str">
        <f t="shared" si="139"/>
        <v/>
      </c>
      <c r="CR141" s="475" t="str">
        <f t="shared" si="139"/>
        <v/>
      </c>
      <c r="CS141" s="475" t="str">
        <f t="shared" si="139"/>
        <v/>
      </c>
      <c r="CT141" s="475" t="str">
        <f t="shared" si="139"/>
        <v/>
      </c>
      <c r="CU141" s="475" t="str">
        <f t="shared" si="139"/>
        <v/>
      </c>
      <c r="CV141" s="475" t="str">
        <f t="shared" si="139"/>
        <v/>
      </c>
      <c r="CW141" s="475" t="str">
        <f t="shared" si="139"/>
        <v/>
      </c>
      <c r="CX141" s="475" t="str">
        <f t="shared" si="139"/>
        <v/>
      </c>
      <c r="CY141" s="475" t="str">
        <f t="shared" si="139"/>
        <v/>
      </c>
      <c r="CZ141" s="495" t="str">
        <f t="shared" si="139"/>
        <v/>
      </c>
      <c r="DA141" s="502"/>
      <c r="DB141" s="460"/>
      <c r="DC141" s="465"/>
      <c r="DD141" s="463"/>
      <c r="DE141" s="512"/>
      <c r="DF141" s="516"/>
      <c r="DG141" s="508"/>
      <c r="DH141" s="463"/>
      <c r="DI141" s="461"/>
      <c r="DJ141" s="461"/>
      <c r="DK141" s="461"/>
      <c r="DL141" s="464"/>
      <c r="DM141" s="466"/>
      <c r="DN141" s="502"/>
      <c r="DO141" s="460"/>
      <c r="DP141" s="464"/>
      <c r="DQ141" s="464"/>
      <c r="DR141" s="464"/>
      <c r="DS141" s="508"/>
      <c r="DT141" s="525"/>
      <c r="DU141" s="525"/>
      <c r="DV141" s="463"/>
      <c r="DW141" s="464"/>
      <c r="DX141" s="465"/>
      <c r="DY141" s="463"/>
      <c r="DZ141" s="464"/>
      <c r="EA141" s="465"/>
      <c r="EB141" s="463"/>
      <c r="EC141" s="465"/>
      <c r="ED141" s="462"/>
      <c r="EE141" s="502"/>
      <c r="EF141" s="463"/>
      <c r="EG141" s="461"/>
      <c r="EH141" s="464"/>
      <c r="EI141" s="464"/>
      <c r="EJ141" s="464"/>
      <c r="EK141" s="464"/>
      <c r="EL141" s="464"/>
      <c r="EM141" s="464"/>
      <c r="EN141" s="464"/>
      <c r="EO141" s="464"/>
      <c r="EP141" s="464"/>
      <c r="EQ141" s="464"/>
      <c r="ER141" s="464"/>
      <c r="ES141" s="464"/>
      <c r="ET141" s="464"/>
      <c r="EU141" s="464"/>
      <c r="EV141" s="464"/>
      <c r="EW141" s="465"/>
      <c r="EX141" s="465"/>
      <c r="EY141" s="502"/>
      <c r="EZ141" s="460"/>
      <c r="FA141" s="464"/>
      <c r="FB141" s="464"/>
      <c r="FC141" s="464"/>
      <c r="FD141" s="464"/>
      <c r="FE141" s="464"/>
      <c r="FF141" s="464"/>
      <c r="FG141" s="466"/>
    </row>
    <row r="142" spans="1:163">
      <c r="A142" s="467" t="s">
        <v>329</v>
      </c>
      <c r="B142" s="471" t="str">
        <f>IF(ISNUMBER(MATCH(A142, 'Pulldown Data'!W:W, 0))=TRUE, "Y", IF(ISNUMBER(MATCH(A142, 'Pulldown Data'!X:X, 0))=TRUE, "M", ""))</f>
        <v/>
      </c>
      <c r="C142" s="504">
        <v>45630</v>
      </c>
      <c r="D142" s="502"/>
      <c r="E142" s="443" t="str">
        <f t="shared" ref="E142:N151" si="140" xml:space="preserve">
IFERROR(
_xlfn.IFNA(
   IF($B142="PLT",
      IF(INDEX(PRJGENVersions, MATCH(TRIM(E$1), PRJGENAlgosMapped, 0), MATCH($A142, PRJGENProjects, 0)), "YES", ""),
      IF(INDEX(RoadmapData, MATCH(TRIM(E$1), RoadmapDataFeatures, 0), MATCH($A142, RoadmapDataProjects, 0)) = "-", "-", INDEX(RoadmapData, MATCH(TRIM(E$1), RoadmapDataFeatures, 0), MATCH($A142, RoadmapDataProjects, 0)))),
""),
"")</f>
        <v>NO</v>
      </c>
      <c r="F142" s="444" t="str">
        <f t="shared" si="140"/>
        <v>NO</v>
      </c>
      <c r="G142" s="444" t="str">
        <f t="shared" si="140"/>
        <v>YES</v>
      </c>
      <c r="H142" s="444" t="str">
        <f t="shared" si="140"/>
        <v>YES</v>
      </c>
      <c r="I142" s="444" t="str">
        <f t="shared" si="140"/>
        <v>YES</v>
      </c>
      <c r="J142" s="444" t="str">
        <f t="shared" si="140"/>
        <v>YES</v>
      </c>
      <c r="K142" s="444" t="str">
        <f t="shared" si="140"/>
        <v>NO</v>
      </c>
      <c r="L142" s="444" t="str">
        <f t="shared" si="140"/>
        <v>YES</v>
      </c>
      <c r="M142" s="444" t="str">
        <f t="shared" si="140"/>
        <v>NO</v>
      </c>
      <c r="N142" s="444" t="str">
        <f t="shared" si="140"/>
        <v>NO</v>
      </c>
      <c r="O142" s="444" t="str">
        <f t="shared" ref="O142:X151" si="141" xml:space="preserve">
IFERROR(
_xlfn.IFNA(
   IF($B142="PLT",
      IF(INDEX(PRJGENVersions, MATCH(TRIM(O$1), PRJGENAlgosMapped, 0), MATCH($A142, PRJGENProjects, 0)), "YES", ""),
      IF(INDEX(RoadmapData, MATCH(TRIM(O$1), RoadmapDataFeatures, 0), MATCH($A142, RoadmapDataProjects, 0)) = "-", "-", INDEX(RoadmapData, MATCH(TRIM(O$1), RoadmapDataFeatures, 0), MATCH($A142, RoadmapDataProjects, 0)))),
""),
"")</f>
        <v>NO</v>
      </c>
      <c r="P142" s="444" t="str">
        <f t="shared" si="141"/>
        <v>NO</v>
      </c>
      <c r="Q142" s="444" t="str">
        <f t="shared" si="141"/>
        <v>NO</v>
      </c>
      <c r="R142" s="444" t="str">
        <f t="shared" si="141"/>
        <v>NO</v>
      </c>
      <c r="S142" s="444" t="str">
        <f t="shared" si="141"/>
        <v>NO</v>
      </c>
      <c r="T142" s="444" t="str">
        <f t="shared" si="141"/>
        <v>NO</v>
      </c>
      <c r="U142" s="444" t="str">
        <f t="shared" si="141"/>
        <v>NO</v>
      </c>
      <c r="V142" s="444" t="str">
        <f t="shared" si="141"/>
        <v>NO</v>
      </c>
      <c r="W142" s="444" t="str">
        <f t="shared" si="141"/>
        <v>YES</v>
      </c>
      <c r="X142" s="444" t="str">
        <f t="shared" si="141"/>
        <v>NO</v>
      </c>
      <c r="Y142" s="444" t="str">
        <f t="shared" ref="Y142:AH151" si="142" xml:space="preserve">
IFERROR(
_xlfn.IFNA(
   IF($B142="PLT",
      IF(INDEX(PRJGENVersions, MATCH(TRIM(Y$1), PRJGENAlgosMapped, 0), MATCH($A142, PRJGENProjects, 0)), "YES", ""),
      IF(INDEX(RoadmapData, MATCH(TRIM(Y$1), RoadmapDataFeatures, 0), MATCH($A142, RoadmapDataProjects, 0)) = "-", "-", INDEX(RoadmapData, MATCH(TRIM(Y$1), RoadmapDataFeatures, 0), MATCH($A142, RoadmapDataProjects, 0)))),
""),
"")</f>
        <v>NO</v>
      </c>
      <c r="Z142" s="444" t="str">
        <f t="shared" si="142"/>
        <v>NO</v>
      </c>
      <c r="AA142" s="444" t="str">
        <f t="shared" si="142"/>
        <v>NO</v>
      </c>
      <c r="AB142" s="444" t="str">
        <f t="shared" si="142"/>
        <v>NO</v>
      </c>
      <c r="AC142" s="444" t="str">
        <f t="shared" si="142"/>
        <v>NO</v>
      </c>
      <c r="AD142" s="444" t="str">
        <f t="shared" si="142"/>
        <v>YES</v>
      </c>
      <c r="AE142" s="444" t="str">
        <f t="shared" si="142"/>
        <v>YES</v>
      </c>
      <c r="AF142" s="444" t="str">
        <f t="shared" si="142"/>
        <v>YES</v>
      </c>
      <c r="AG142" s="444" t="str">
        <f t="shared" si="142"/>
        <v>YES</v>
      </c>
      <c r="AH142" s="444" t="str">
        <f t="shared" si="142"/>
        <v>YES</v>
      </c>
      <c r="AI142" s="444" t="str">
        <f t="shared" ref="AI142:AR151" si="143" xml:space="preserve">
IFERROR(
_xlfn.IFNA(
   IF($B142="PLT",
      IF(INDEX(PRJGENVersions, MATCH(TRIM(AI$1), PRJGENAlgosMapped, 0), MATCH($A142, PRJGENProjects, 0)), "YES", ""),
      IF(INDEX(RoadmapData, MATCH(TRIM(AI$1), RoadmapDataFeatures, 0), MATCH($A142, RoadmapDataProjects, 0)) = "-", "-", INDEX(RoadmapData, MATCH(TRIM(AI$1), RoadmapDataFeatures, 0), MATCH($A142, RoadmapDataProjects, 0)))),
""),
"")</f>
        <v>YES</v>
      </c>
      <c r="AJ142" s="444" t="str">
        <f t="shared" si="143"/>
        <v>YES</v>
      </c>
      <c r="AK142" s="444" t="str">
        <f t="shared" si="143"/>
        <v>NO</v>
      </c>
      <c r="AL142" s="444" t="str">
        <f t="shared" si="143"/>
        <v>NO</v>
      </c>
      <c r="AM142" s="444" t="str">
        <f t="shared" si="143"/>
        <v>NO</v>
      </c>
      <c r="AN142" s="444" t="str">
        <f t="shared" si="143"/>
        <v>YES</v>
      </c>
      <c r="AO142" s="444" t="str">
        <f t="shared" si="143"/>
        <v>YES</v>
      </c>
      <c r="AP142" s="444" t="str">
        <f t="shared" si="143"/>
        <v>NO</v>
      </c>
      <c r="AQ142" s="444" t="str">
        <f t="shared" si="143"/>
        <v>YES</v>
      </c>
      <c r="AR142" s="444" t="str">
        <f t="shared" si="143"/>
        <v>NO</v>
      </c>
      <c r="AS142" s="444" t="str">
        <f t="shared" ref="AS142:BB151" si="144" xml:space="preserve">
IFERROR(
_xlfn.IFNA(
   IF($B142="PLT",
      IF(INDEX(PRJGENVersions, MATCH(TRIM(AS$1), PRJGENAlgosMapped, 0), MATCH($A142, PRJGENProjects, 0)), "YES", ""),
      IF(INDEX(RoadmapData, MATCH(TRIM(AS$1), RoadmapDataFeatures, 0), MATCH($A142, RoadmapDataProjects, 0)) = "-", "-", INDEX(RoadmapData, MATCH(TRIM(AS$1), RoadmapDataFeatures, 0), MATCH($A142, RoadmapDataProjects, 0)))),
""),
"")</f>
        <v>NO</v>
      </c>
      <c r="AT142" s="444" t="str">
        <f t="shared" si="144"/>
        <v>YES</v>
      </c>
      <c r="AU142" s="444" t="str">
        <f t="shared" si="144"/>
        <v>YES</v>
      </c>
      <c r="AV142" s="444" t="str">
        <f t="shared" si="144"/>
        <v>YES</v>
      </c>
      <c r="AW142" s="444" t="str">
        <f t="shared" si="144"/>
        <v>NO</v>
      </c>
      <c r="AX142" s="444" t="str">
        <f t="shared" si="144"/>
        <v>NO</v>
      </c>
      <c r="AY142" s="444" t="str">
        <f t="shared" si="144"/>
        <v>YES</v>
      </c>
      <c r="AZ142" s="444" t="str">
        <f t="shared" si="144"/>
        <v>YES</v>
      </c>
      <c r="BA142" s="444" t="str">
        <f t="shared" si="144"/>
        <v>NO</v>
      </c>
      <c r="BB142" s="444" t="str">
        <f t="shared" si="144"/>
        <v>YES</v>
      </c>
      <c r="BC142" s="444" t="str">
        <f t="shared" ref="BC142:BH151" si="145" xml:space="preserve">
IFERROR(
_xlfn.IFNA(
   IF($B142="PLT",
      IF(INDEX(PRJGENVersions, MATCH(TRIM(BC$1), PRJGENAlgosMapped, 0), MATCH($A142, PRJGENProjects, 0)), "YES", ""),
      IF(INDEX(RoadmapData, MATCH(TRIM(BC$1), RoadmapDataFeatures, 0), MATCH($A142, RoadmapDataProjects, 0)) = "-", "-", INDEX(RoadmapData, MATCH(TRIM(BC$1), RoadmapDataFeatures, 0), MATCH($A142, RoadmapDataProjects, 0)))),
""),
"")</f>
        <v>NO</v>
      </c>
      <c r="BD142" s="444" t="str">
        <f t="shared" si="145"/>
        <v>NO</v>
      </c>
      <c r="BE142" s="444" t="str">
        <f t="shared" si="145"/>
        <v>NO</v>
      </c>
      <c r="BF142" s="444" t="str">
        <f t="shared" si="145"/>
        <v>NO</v>
      </c>
      <c r="BG142" s="444" t="str">
        <f t="shared" si="145"/>
        <v>YES</v>
      </c>
      <c r="BH142" s="445" t="str">
        <f t="shared" si="145"/>
        <v>NO</v>
      </c>
      <c r="BI142" s="502"/>
      <c r="BJ142" s="474" t="str">
        <f t="shared" ref="BJ142:BS151" si="146">_xlfn.IFNA(IF(INDEX(RoadmapData, MATCH(TRIM(BJ$1), RoadmapDataFeatures, 0), MATCH($A142, RoadmapDataProjects, 0)) = "-", "-", INDEX(RoadmapData, MATCH(TRIM(BJ$1), RoadmapDataFeatures, 0), MATCH($A142, RoadmapDataProjects, 0))), "")</f>
        <v>NO</v>
      </c>
      <c r="BK142" s="475" t="str">
        <f t="shared" si="146"/>
        <v>NO</v>
      </c>
      <c r="BL142" s="475" t="str">
        <f t="shared" si="146"/>
        <v>NO</v>
      </c>
      <c r="BM142" s="475" t="str">
        <f t="shared" si="146"/>
        <v>NO</v>
      </c>
      <c r="BN142" s="475" t="str">
        <f t="shared" si="146"/>
        <v>NO</v>
      </c>
      <c r="BO142" s="475" t="str">
        <f t="shared" si="146"/>
        <v>NO</v>
      </c>
      <c r="BP142" s="475" t="str">
        <f t="shared" si="146"/>
        <v>NO</v>
      </c>
      <c r="BQ142" s="475" t="str">
        <f t="shared" si="146"/>
        <v>NO</v>
      </c>
      <c r="BR142" s="475" t="str">
        <f t="shared" si="146"/>
        <v>NO</v>
      </c>
      <c r="BS142" s="475" t="str">
        <f t="shared" si="146"/>
        <v>NO</v>
      </c>
      <c r="BT142" s="475" t="str">
        <f t="shared" ref="BT142:CC151" si="147">_xlfn.IFNA(IF(INDEX(RoadmapData, MATCH(TRIM(BT$1), RoadmapDataFeatures, 0), MATCH($A142, RoadmapDataProjects, 0)) = "-", "-", INDEX(RoadmapData, MATCH(TRIM(BT$1), RoadmapDataFeatures, 0), MATCH($A142, RoadmapDataProjects, 0))), "")</f>
        <v>NO</v>
      </c>
      <c r="BU142" s="475" t="str">
        <f t="shared" si="147"/>
        <v>NO</v>
      </c>
      <c r="BV142" s="475" t="str">
        <f t="shared" si="147"/>
        <v>NO</v>
      </c>
      <c r="BW142" s="475" t="str">
        <f t="shared" si="147"/>
        <v>NO</v>
      </c>
      <c r="BX142" s="475" t="str">
        <f t="shared" si="147"/>
        <v>NO</v>
      </c>
      <c r="BY142" s="475" t="str">
        <f t="shared" si="147"/>
        <v>NO</v>
      </c>
      <c r="BZ142" s="475" t="str">
        <f t="shared" si="147"/>
        <v>NO</v>
      </c>
      <c r="CA142" s="475" t="str">
        <f t="shared" si="147"/>
        <v>NO</v>
      </c>
      <c r="CB142" s="475" t="str">
        <f t="shared" si="147"/>
        <v>NO</v>
      </c>
      <c r="CC142" s="475" t="str">
        <f t="shared" si="147"/>
        <v>NO</v>
      </c>
      <c r="CD142" s="475" t="str">
        <f t="shared" ref="CD142:CM151" si="148">_xlfn.IFNA(IF(INDEX(RoadmapData, MATCH(TRIM(CD$1), RoadmapDataFeatures, 0), MATCH($A142, RoadmapDataProjects, 0)) = "-", "-", INDEX(RoadmapData, MATCH(TRIM(CD$1), RoadmapDataFeatures, 0), MATCH($A142, RoadmapDataProjects, 0))), "")</f>
        <v>NO</v>
      </c>
      <c r="CE142" s="475" t="str">
        <f t="shared" si="148"/>
        <v>NO</v>
      </c>
      <c r="CF142" s="475" t="str">
        <f t="shared" si="148"/>
        <v>NO</v>
      </c>
      <c r="CG142" s="475" t="str">
        <f t="shared" si="148"/>
        <v>NO</v>
      </c>
      <c r="CH142" s="475" t="str">
        <f t="shared" si="148"/>
        <v>NO</v>
      </c>
      <c r="CI142" s="475" t="str">
        <f t="shared" si="148"/>
        <v>NO</v>
      </c>
      <c r="CJ142" s="475" t="str">
        <f t="shared" si="148"/>
        <v>NO</v>
      </c>
      <c r="CK142" s="475" t="str">
        <f t="shared" si="148"/>
        <v>NO</v>
      </c>
      <c r="CL142" s="475" t="str">
        <f t="shared" si="148"/>
        <v>NO</v>
      </c>
      <c r="CM142" s="475" t="str">
        <f t="shared" si="148"/>
        <v>NO</v>
      </c>
      <c r="CN142" s="475" t="str">
        <f t="shared" ref="CN142:CZ151" si="149">_xlfn.IFNA(IF(INDEX(RoadmapData, MATCH(TRIM(CN$1), RoadmapDataFeatures, 0), MATCH($A142, RoadmapDataProjects, 0)) = "-", "-", INDEX(RoadmapData, MATCH(TRIM(CN$1), RoadmapDataFeatures, 0), MATCH($A142, RoadmapDataProjects, 0))), "")</f>
        <v>NO</v>
      </c>
      <c r="CO142" s="475" t="str">
        <f t="shared" si="149"/>
        <v>NO</v>
      </c>
      <c r="CP142" s="475" t="str">
        <f t="shared" si="149"/>
        <v>NO</v>
      </c>
      <c r="CQ142" s="475" t="str">
        <f t="shared" si="149"/>
        <v>NO</v>
      </c>
      <c r="CR142" s="475" t="str">
        <f t="shared" si="149"/>
        <v>NO</v>
      </c>
      <c r="CS142" s="475" t="str">
        <f t="shared" si="149"/>
        <v>NO</v>
      </c>
      <c r="CT142" s="475" t="str">
        <f t="shared" si="149"/>
        <v>NO</v>
      </c>
      <c r="CU142" s="475" t="str">
        <f t="shared" si="149"/>
        <v>NO</v>
      </c>
      <c r="CV142" s="475" t="str">
        <f t="shared" si="149"/>
        <v>NO</v>
      </c>
      <c r="CW142" s="475" t="str">
        <f t="shared" si="149"/>
        <v>NO</v>
      </c>
      <c r="CX142" s="475" t="str">
        <f t="shared" si="149"/>
        <v>NO</v>
      </c>
      <c r="CY142" s="475" t="str">
        <f t="shared" si="149"/>
        <v>NO</v>
      </c>
      <c r="CZ142" s="495" t="str">
        <f t="shared" si="149"/>
        <v>NO</v>
      </c>
      <c r="DA142" s="502"/>
      <c r="DB142" s="460"/>
      <c r="DC142" s="465"/>
      <c r="DD142" s="463"/>
      <c r="DE142" s="512"/>
      <c r="DF142" s="516"/>
      <c r="DG142" s="508"/>
      <c r="DH142" s="463"/>
      <c r="DI142" s="461"/>
      <c r="DJ142" s="461"/>
      <c r="DK142" s="461"/>
      <c r="DL142" s="464"/>
      <c r="DM142" s="466"/>
      <c r="DN142" s="502"/>
      <c r="DO142" s="460"/>
      <c r="DP142" s="464"/>
      <c r="DQ142" s="464"/>
      <c r="DR142" s="464"/>
      <c r="DS142" s="508"/>
      <c r="DT142" s="525"/>
      <c r="DU142" s="525"/>
      <c r="DV142" s="463"/>
      <c r="DW142" s="464"/>
      <c r="DX142" s="465"/>
      <c r="DY142" s="463"/>
      <c r="DZ142" s="464"/>
      <c r="EA142" s="465"/>
      <c r="EB142" s="463"/>
      <c r="EC142" s="465"/>
      <c r="ED142" s="462"/>
      <c r="EE142" s="502"/>
      <c r="EF142" s="463"/>
      <c r="EG142" s="461"/>
      <c r="EH142" s="464"/>
      <c r="EI142" s="464"/>
      <c r="EJ142" s="464"/>
      <c r="EK142" s="464"/>
      <c r="EL142" s="464"/>
      <c r="EM142" s="464"/>
      <c r="EN142" s="464"/>
      <c r="EO142" s="464"/>
      <c r="EP142" s="464"/>
      <c r="EQ142" s="464"/>
      <c r="ER142" s="464"/>
      <c r="ES142" s="464"/>
      <c r="ET142" s="464"/>
      <c r="EU142" s="464"/>
      <c r="EV142" s="464"/>
      <c r="EW142" s="465"/>
      <c r="EX142" s="465"/>
      <c r="EY142" s="502"/>
      <c r="EZ142" s="460"/>
      <c r="FA142" s="464"/>
      <c r="FB142" s="464"/>
      <c r="FC142" s="464"/>
      <c r="FD142" s="464"/>
      <c r="FE142" s="464"/>
      <c r="FF142" s="464"/>
      <c r="FG142" s="466"/>
    </row>
    <row r="143" spans="1:163">
      <c r="A143" s="467" t="s">
        <v>330</v>
      </c>
      <c r="B143" s="471" t="str">
        <f>IF(ISNUMBER(MATCH(A143, 'Pulldown Data'!W:W, 0))=TRUE, "Y", IF(ISNUMBER(MATCH(A143, 'Pulldown Data'!X:X, 0))=TRUE, "M", ""))</f>
        <v/>
      </c>
      <c r="C143" s="504"/>
      <c r="D143" s="502"/>
      <c r="E143" s="443" t="str">
        <f t="shared" si="140"/>
        <v/>
      </c>
      <c r="F143" s="444" t="str">
        <f t="shared" si="140"/>
        <v/>
      </c>
      <c r="G143" s="444" t="str">
        <f t="shared" si="140"/>
        <v/>
      </c>
      <c r="H143" s="444" t="str">
        <f t="shared" si="140"/>
        <v/>
      </c>
      <c r="I143" s="444" t="str">
        <f t="shared" si="140"/>
        <v/>
      </c>
      <c r="J143" s="444" t="str">
        <f t="shared" si="140"/>
        <v/>
      </c>
      <c r="K143" s="444" t="str">
        <f t="shared" si="140"/>
        <v/>
      </c>
      <c r="L143" s="444" t="str">
        <f t="shared" si="140"/>
        <v/>
      </c>
      <c r="M143" s="444" t="str">
        <f t="shared" si="140"/>
        <v/>
      </c>
      <c r="N143" s="444" t="str">
        <f t="shared" si="140"/>
        <v/>
      </c>
      <c r="O143" s="444" t="str">
        <f t="shared" si="141"/>
        <v/>
      </c>
      <c r="P143" s="444" t="str">
        <f t="shared" si="141"/>
        <v/>
      </c>
      <c r="Q143" s="444" t="str">
        <f t="shared" si="141"/>
        <v/>
      </c>
      <c r="R143" s="444" t="str">
        <f t="shared" si="141"/>
        <v/>
      </c>
      <c r="S143" s="444" t="str">
        <f t="shared" si="141"/>
        <v/>
      </c>
      <c r="T143" s="444" t="str">
        <f t="shared" si="141"/>
        <v/>
      </c>
      <c r="U143" s="444" t="str">
        <f t="shared" si="141"/>
        <v/>
      </c>
      <c r="V143" s="444" t="str">
        <f t="shared" si="141"/>
        <v/>
      </c>
      <c r="W143" s="444" t="str">
        <f t="shared" si="141"/>
        <v/>
      </c>
      <c r="X143" s="444" t="str">
        <f t="shared" si="141"/>
        <v/>
      </c>
      <c r="Y143" s="444" t="str">
        <f t="shared" si="142"/>
        <v/>
      </c>
      <c r="Z143" s="444" t="str">
        <f t="shared" si="142"/>
        <v/>
      </c>
      <c r="AA143" s="444" t="str">
        <f t="shared" si="142"/>
        <v/>
      </c>
      <c r="AB143" s="444" t="str">
        <f t="shared" si="142"/>
        <v/>
      </c>
      <c r="AC143" s="444" t="str">
        <f t="shared" si="142"/>
        <v/>
      </c>
      <c r="AD143" s="444" t="str">
        <f t="shared" si="142"/>
        <v/>
      </c>
      <c r="AE143" s="444" t="str">
        <f t="shared" si="142"/>
        <v/>
      </c>
      <c r="AF143" s="444" t="str">
        <f t="shared" si="142"/>
        <v/>
      </c>
      <c r="AG143" s="444" t="str">
        <f t="shared" si="142"/>
        <v/>
      </c>
      <c r="AH143" s="444" t="str">
        <f t="shared" si="142"/>
        <v/>
      </c>
      <c r="AI143" s="444" t="str">
        <f t="shared" si="143"/>
        <v/>
      </c>
      <c r="AJ143" s="444" t="str">
        <f t="shared" si="143"/>
        <v/>
      </c>
      <c r="AK143" s="444" t="str">
        <f t="shared" si="143"/>
        <v/>
      </c>
      <c r="AL143" s="444" t="str">
        <f t="shared" si="143"/>
        <v/>
      </c>
      <c r="AM143" s="444" t="str">
        <f t="shared" si="143"/>
        <v/>
      </c>
      <c r="AN143" s="444" t="str">
        <f t="shared" si="143"/>
        <v/>
      </c>
      <c r="AO143" s="444" t="str">
        <f t="shared" si="143"/>
        <v/>
      </c>
      <c r="AP143" s="444" t="str">
        <f t="shared" si="143"/>
        <v/>
      </c>
      <c r="AQ143" s="444" t="str">
        <f t="shared" si="143"/>
        <v/>
      </c>
      <c r="AR143" s="444" t="str">
        <f t="shared" si="143"/>
        <v/>
      </c>
      <c r="AS143" s="444" t="str">
        <f t="shared" si="144"/>
        <v/>
      </c>
      <c r="AT143" s="444" t="str">
        <f t="shared" si="144"/>
        <v/>
      </c>
      <c r="AU143" s="444" t="str">
        <f t="shared" si="144"/>
        <v/>
      </c>
      <c r="AV143" s="444" t="str">
        <f t="shared" si="144"/>
        <v/>
      </c>
      <c r="AW143" s="444" t="str">
        <f t="shared" si="144"/>
        <v/>
      </c>
      <c r="AX143" s="444" t="str">
        <f t="shared" si="144"/>
        <v/>
      </c>
      <c r="AY143" s="444" t="str">
        <f t="shared" si="144"/>
        <v/>
      </c>
      <c r="AZ143" s="444" t="str">
        <f t="shared" si="144"/>
        <v/>
      </c>
      <c r="BA143" s="444" t="str">
        <f t="shared" si="144"/>
        <v/>
      </c>
      <c r="BB143" s="444" t="str">
        <f t="shared" si="144"/>
        <v/>
      </c>
      <c r="BC143" s="444" t="str">
        <f t="shared" si="145"/>
        <v/>
      </c>
      <c r="BD143" s="444" t="str">
        <f t="shared" si="145"/>
        <v/>
      </c>
      <c r="BE143" s="444" t="str">
        <f t="shared" si="145"/>
        <v/>
      </c>
      <c r="BF143" s="444" t="str">
        <f t="shared" si="145"/>
        <v/>
      </c>
      <c r="BG143" s="444" t="str">
        <f t="shared" si="145"/>
        <v/>
      </c>
      <c r="BH143" s="445" t="str">
        <f t="shared" si="145"/>
        <v/>
      </c>
      <c r="BI143" s="502"/>
      <c r="BJ143" s="474" t="str">
        <f t="shared" si="146"/>
        <v/>
      </c>
      <c r="BK143" s="475" t="str">
        <f t="shared" si="146"/>
        <v/>
      </c>
      <c r="BL143" s="475" t="str">
        <f t="shared" si="146"/>
        <v/>
      </c>
      <c r="BM143" s="475" t="str">
        <f t="shared" si="146"/>
        <v/>
      </c>
      <c r="BN143" s="475" t="str">
        <f t="shared" si="146"/>
        <v/>
      </c>
      <c r="BO143" s="475" t="str">
        <f t="shared" si="146"/>
        <v/>
      </c>
      <c r="BP143" s="475" t="str">
        <f t="shared" si="146"/>
        <v/>
      </c>
      <c r="BQ143" s="475" t="str">
        <f t="shared" si="146"/>
        <v/>
      </c>
      <c r="BR143" s="475" t="str">
        <f t="shared" si="146"/>
        <v/>
      </c>
      <c r="BS143" s="475" t="str">
        <f t="shared" si="146"/>
        <v/>
      </c>
      <c r="BT143" s="475" t="str">
        <f t="shared" si="147"/>
        <v/>
      </c>
      <c r="BU143" s="475" t="str">
        <f t="shared" si="147"/>
        <v/>
      </c>
      <c r="BV143" s="475" t="str">
        <f t="shared" si="147"/>
        <v/>
      </c>
      <c r="BW143" s="475" t="str">
        <f t="shared" si="147"/>
        <v/>
      </c>
      <c r="BX143" s="475" t="str">
        <f t="shared" si="147"/>
        <v/>
      </c>
      <c r="BY143" s="475" t="str">
        <f t="shared" si="147"/>
        <v/>
      </c>
      <c r="BZ143" s="475" t="str">
        <f t="shared" si="147"/>
        <v/>
      </c>
      <c r="CA143" s="475" t="str">
        <f t="shared" si="147"/>
        <v/>
      </c>
      <c r="CB143" s="475" t="str">
        <f t="shared" si="147"/>
        <v/>
      </c>
      <c r="CC143" s="475" t="str">
        <f t="shared" si="147"/>
        <v/>
      </c>
      <c r="CD143" s="475" t="str">
        <f t="shared" si="148"/>
        <v/>
      </c>
      <c r="CE143" s="475" t="str">
        <f t="shared" si="148"/>
        <v/>
      </c>
      <c r="CF143" s="475" t="str">
        <f t="shared" si="148"/>
        <v/>
      </c>
      <c r="CG143" s="475" t="str">
        <f t="shared" si="148"/>
        <v/>
      </c>
      <c r="CH143" s="475" t="str">
        <f t="shared" si="148"/>
        <v/>
      </c>
      <c r="CI143" s="475" t="str">
        <f t="shared" si="148"/>
        <v/>
      </c>
      <c r="CJ143" s="475" t="str">
        <f t="shared" si="148"/>
        <v/>
      </c>
      <c r="CK143" s="475" t="str">
        <f t="shared" si="148"/>
        <v/>
      </c>
      <c r="CL143" s="475" t="str">
        <f t="shared" si="148"/>
        <v/>
      </c>
      <c r="CM143" s="475" t="str">
        <f t="shared" si="148"/>
        <v/>
      </c>
      <c r="CN143" s="475" t="str">
        <f t="shared" si="149"/>
        <v/>
      </c>
      <c r="CO143" s="475" t="str">
        <f t="shared" si="149"/>
        <v/>
      </c>
      <c r="CP143" s="475" t="str">
        <f t="shared" si="149"/>
        <v/>
      </c>
      <c r="CQ143" s="475" t="str">
        <f t="shared" si="149"/>
        <v/>
      </c>
      <c r="CR143" s="475" t="str">
        <f t="shared" si="149"/>
        <v/>
      </c>
      <c r="CS143" s="475" t="str">
        <f t="shared" si="149"/>
        <v/>
      </c>
      <c r="CT143" s="475" t="str">
        <f t="shared" si="149"/>
        <v/>
      </c>
      <c r="CU143" s="475" t="str">
        <f t="shared" si="149"/>
        <v/>
      </c>
      <c r="CV143" s="475" t="str">
        <f t="shared" si="149"/>
        <v/>
      </c>
      <c r="CW143" s="475" t="str">
        <f t="shared" si="149"/>
        <v/>
      </c>
      <c r="CX143" s="475" t="str">
        <f t="shared" si="149"/>
        <v/>
      </c>
      <c r="CY143" s="475" t="str">
        <f t="shared" si="149"/>
        <v/>
      </c>
      <c r="CZ143" s="495" t="str">
        <f t="shared" si="149"/>
        <v/>
      </c>
      <c r="DA143" s="502"/>
      <c r="DB143" s="460"/>
      <c r="DC143" s="465"/>
      <c r="DD143" s="463"/>
      <c r="DE143" s="512"/>
      <c r="DF143" s="516"/>
      <c r="DG143" s="508"/>
      <c r="DH143" s="463"/>
      <c r="DI143" s="461"/>
      <c r="DJ143" s="461"/>
      <c r="DK143" s="461"/>
      <c r="DL143" s="464"/>
      <c r="DM143" s="466"/>
      <c r="DN143" s="502"/>
      <c r="DO143" s="460"/>
      <c r="DP143" s="464"/>
      <c r="DQ143" s="464"/>
      <c r="DR143" s="464"/>
      <c r="DS143" s="508"/>
      <c r="DT143" s="525"/>
      <c r="DU143" s="525"/>
      <c r="DV143" s="463"/>
      <c r="DW143" s="464"/>
      <c r="DX143" s="465"/>
      <c r="DY143" s="463"/>
      <c r="DZ143" s="464"/>
      <c r="EA143" s="465"/>
      <c r="EB143" s="463"/>
      <c r="EC143" s="465"/>
      <c r="ED143" s="462"/>
      <c r="EE143" s="502"/>
      <c r="EF143" s="463"/>
      <c r="EG143" s="461"/>
      <c r="EH143" s="464"/>
      <c r="EI143" s="464"/>
      <c r="EJ143" s="464"/>
      <c r="EK143" s="464"/>
      <c r="EL143" s="464"/>
      <c r="EM143" s="464"/>
      <c r="EN143" s="464"/>
      <c r="EO143" s="464"/>
      <c r="EP143" s="464"/>
      <c r="EQ143" s="464"/>
      <c r="ER143" s="464"/>
      <c r="ES143" s="464"/>
      <c r="ET143" s="464"/>
      <c r="EU143" s="464"/>
      <c r="EV143" s="464"/>
      <c r="EW143" s="465"/>
      <c r="EX143" s="465"/>
      <c r="EY143" s="502"/>
      <c r="EZ143" s="460"/>
      <c r="FA143" s="464"/>
      <c r="FB143" s="464"/>
      <c r="FC143" s="464"/>
      <c r="FD143" s="464"/>
      <c r="FE143" s="464"/>
      <c r="FF143" s="464"/>
      <c r="FG143" s="466"/>
    </row>
    <row r="144" spans="1:163">
      <c r="A144" s="467" t="s">
        <v>331</v>
      </c>
      <c r="B144" s="471" t="str">
        <f>IF(ISNUMBER(MATCH(A144, 'Pulldown Data'!W:W, 0))=TRUE, "Y", IF(ISNUMBER(MATCH(A144, 'Pulldown Data'!X:X, 0))=TRUE, "M", ""))</f>
        <v/>
      </c>
      <c r="C144" s="504">
        <v>45630</v>
      </c>
      <c r="D144" s="502"/>
      <c r="E144" s="443" t="str">
        <f t="shared" si="140"/>
        <v>NO</v>
      </c>
      <c r="F144" s="444" t="str">
        <f t="shared" si="140"/>
        <v>NO</v>
      </c>
      <c r="G144" s="444" t="str">
        <f t="shared" si="140"/>
        <v>NO</v>
      </c>
      <c r="H144" s="444" t="str">
        <f t="shared" si="140"/>
        <v>NO</v>
      </c>
      <c r="I144" s="444" t="str">
        <f t="shared" si="140"/>
        <v>NO</v>
      </c>
      <c r="J144" s="444" t="str">
        <f t="shared" si="140"/>
        <v>NO</v>
      </c>
      <c r="K144" s="444" t="str">
        <f t="shared" si="140"/>
        <v>NO</v>
      </c>
      <c r="L144" s="444" t="str">
        <f t="shared" si="140"/>
        <v>NO</v>
      </c>
      <c r="M144" s="444" t="str">
        <f t="shared" si="140"/>
        <v>NO</v>
      </c>
      <c r="N144" s="444" t="str">
        <f t="shared" si="140"/>
        <v>NO</v>
      </c>
      <c r="O144" s="444" t="str">
        <f t="shared" si="141"/>
        <v>NO</v>
      </c>
      <c r="P144" s="444" t="str">
        <f t="shared" si="141"/>
        <v>NO</v>
      </c>
      <c r="Q144" s="444" t="str">
        <f t="shared" si="141"/>
        <v>NO</v>
      </c>
      <c r="R144" s="444" t="str">
        <f t="shared" si="141"/>
        <v>NO</v>
      </c>
      <c r="S144" s="444" t="str">
        <f t="shared" si="141"/>
        <v>NO</v>
      </c>
      <c r="T144" s="444" t="str">
        <f t="shared" si="141"/>
        <v>NO</v>
      </c>
      <c r="U144" s="444" t="str">
        <f t="shared" si="141"/>
        <v>NO</v>
      </c>
      <c r="V144" s="444" t="str">
        <f t="shared" si="141"/>
        <v>NO</v>
      </c>
      <c r="W144" s="444" t="str">
        <f t="shared" si="141"/>
        <v>NO</v>
      </c>
      <c r="X144" s="444" t="str">
        <f t="shared" si="141"/>
        <v>NO</v>
      </c>
      <c r="Y144" s="444" t="str">
        <f t="shared" si="142"/>
        <v>NO</v>
      </c>
      <c r="Z144" s="444" t="str">
        <f t="shared" si="142"/>
        <v>NO</v>
      </c>
      <c r="AA144" s="444" t="str">
        <f t="shared" si="142"/>
        <v>NO</v>
      </c>
      <c r="AB144" s="444" t="str">
        <f t="shared" si="142"/>
        <v>NO</v>
      </c>
      <c r="AC144" s="444" t="str">
        <f t="shared" si="142"/>
        <v>NO</v>
      </c>
      <c r="AD144" s="444" t="str">
        <f t="shared" si="142"/>
        <v>NO</v>
      </c>
      <c r="AE144" s="444" t="str">
        <f t="shared" si="142"/>
        <v>NO</v>
      </c>
      <c r="AF144" s="444" t="str">
        <f t="shared" si="142"/>
        <v>NO</v>
      </c>
      <c r="AG144" s="444" t="str">
        <f t="shared" si="142"/>
        <v>NO</v>
      </c>
      <c r="AH144" s="444" t="str">
        <f t="shared" si="142"/>
        <v>YES</v>
      </c>
      <c r="AI144" s="444" t="str">
        <f t="shared" si="143"/>
        <v>YES</v>
      </c>
      <c r="AJ144" s="444" t="str">
        <f t="shared" si="143"/>
        <v>NO</v>
      </c>
      <c r="AK144" s="444" t="str">
        <f t="shared" si="143"/>
        <v>NO</v>
      </c>
      <c r="AL144" s="444" t="str">
        <f t="shared" si="143"/>
        <v>NO</v>
      </c>
      <c r="AM144" s="444" t="str">
        <f t="shared" si="143"/>
        <v>NO</v>
      </c>
      <c r="AN144" s="444" t="str">
        <f t="shared" si="143"/>
        <v>NO</v>
      </c>
      <c r="AO144" s="444" t="str">
        <f t="shared" si="143"/>
        <v>NO</v>
      </c>
      <c r="AP144" s="444" t="str">
        <f t="shared" si="143"/>
        <v>NO</v>
      </c>
      <c r="AQ144" s="444" t="str">
        <f t="shared" si="143"/>
        <v>NO</v>
      </c>
      <c r="AR144" s="444" t="str">
        <f t="shared" si="143"/>
        <v>NO</v>
      </c>
      <c r="AS144" s="444" t="str">
        <f t="shared" si="144"/>
        <v>NO</v>
      </c>
      <c r="AT144" s="444" t="str">
        <f t="shared" si="144"/>
        <v>NO</v>
      </c>
      <c r="AU144" s="444" t="str">
        <f t="shared" si="144"/>
        <v>NO</v>
      </c>
      <c r="AV144" s="444" t="str">
        <f t="shared" si="144"/>
        <v>NO</v>
      </c>
      <c r="AW144" s="444" t="str">
        <f t="shared" si="144"/>
        <v>NO</v>
      </c>
      <c r="AX144" s="444" t="str">
        <f t="shared" si="144"/>
        <v>NO</v>
      </c>
      <c r="AY144" s="444" t="str">
        <f t="shared" si="144"/>
        <v>NO</v>
      </c>
      <c r="AZ144" s="444" t="str">
        <f t="shared" si="144"/>
        <v>NO</v>
      </c>
      <c r="BA144" s="444" t="str">
        <f t="shared" si="144"/>
        <v>NO</v>
      </c>
      <c r="BB144" s="444" t="str">
        <f t="shared" si="144"/>
        <v>NO</v>
      </c>
      <c r="BC144" s="444" t="str">
        <f t="shared" si="145"/>
        <v>NO</v>
      </c>
      <c r="BD144" s="444" t="str">
        <f t="shared" si="145"/>
        <v>NO</v>
      </c>
      <c r="BE144" s="444" t="str">
        <f t="shared" si="145"/>
        <v>NO</v>
      </c>
      <c r="BF144" s="444" t="str">
        <f t="shared" si="145"/>
        <v>NO</v>
      </c>
      <c r="BG144" s="444" t="str">
        <f t="shared" si="145"/>
        <v>NO</v>
      </c>
      <c r="BH144" s="445" t="str">
        <f t="shared" si="145"/>
        <v>NO</v>
      </c>
      <c r="BI144" s="502"/>
      <c r="BJ144" s="474" t="str">
        <f t="shared" si="146"/>
        <v>NO</v>
      </c>
      <c r="BK144" s="475" t="str">
        <f t="shared" si="146"/>
        <v>NO</v>
      </c>
      <c r="BL144" s="475" t="str">
        <f t="shared" si="146"/>
        <v>NO</v>
      </c>
      <c r="BM144" s="475" t="str">
        <f t="shared" si="146"/>
        <v>NO</v>
      </c>
      <c r="BN144" s="475" t="str">
        <f t="shared" si="146"/>
        <v>NO</v>
      </c>
      <c r="BO144" s="475" t="str">
        <f t="shared" si="146"/>
        <v>YES</v>
      </c>
      <c r="BP144" s="475" t="str">
        <f t="shared" si="146"/>
        <v>NO</v>
      </c>
      <c r="BQ144" s="475" t="str">
        <f t="shared" si="146"/>
        <v>NO</v>
      </c>
      <c r="BR144" s="475" t="str">
        <f t="shared" si="146"/>
        <v>NO</v>
      </c>
      <c r="BS144" s="475" t="str">
        <f t="shared" si="146"/>
        <v>NO</v>
      </c>
      <c r="BT144" s="475" t="str">
        <f t="shared" si="147"/>
        <v>NO</v>
      </c>
      <c r="BU144" s="475" t="str">
        <f t="shared" si="147"/>
        <v>NO</v>
      </c>
      <c r="BV144" s="475" t="str">
        <f t="shared" si="147"/>
        <v>NO</v>
      </c>
      <c r="BW144" s="475" t="str">
        <f t="shared" si="147"/>
        <v>YES</v>
      </c>
      <c r="BX144" s="475" t="str">
        <f t="shared" si="147"/>
        <v>NO</v>
      </c>
      <c r="BY144" s="475" t="str">
        <f t="shared" si="147"/>
        <v>NO</v>
      </c>
      <c r="BZ144" s="475" t="str">
        <f t="shared" si="147"/>
        <v>NO</v>
      </c>
      <c r="CA144" s="475" t="str">
        <f t="shared" si="147"/>
        <v>NO</v>
      </c>
      <c r="CB144" s="475" t="str">
        <f t="shared" si="147"/>
        <v>NO</v>
      </c>
      <c r="CC144" s="475" t="str">
        <f t="shared" si="147"/>
        <v>NO</v>
      </c>
      <c r="CD144" s="475" t="str">
        <f t="shared" si="148"/>
        <v>NO</v>
      </c>
      <c r="CE144" s="475" t="str">
        <f t="shared" si="148"/>
        <v>NO</v>
      </c>
      <c r="CF144" s="475" t="str">
        <f t="shared" si="148"/>
        <v>NO</v>
      </c>
      <c r="CG144" s="475" t="str">
        <f t="shared" si="148"/>
        <v>NO</v>
      </c>
      <c r="CH144" s="475" t="str">
        <f t="shared" si="148"/>
        <v>NO</v>
      </c>
      <c r="CI144" s="475" t="str">
        <f t="shared" si="148"/>
        <v>NO</v>
      </c>
      <c r="CJ144" s="475" t="str">
        <f t="shared" si="148"/>
        <v>NO</v>
      </c>
      <c r="CK144" s="475" t="str">
        <f t="shared" si="148"/>
        <v>NO</v>
      </c>
      <c r="CL144" s="475" t="str">
        <f t="shared" si="148"/>
        <v>NO</v>
      </c>
      <c r="CM144" s="475" t="str">
        <f t="shared" si="148"/>
        <v>NO</v>
      </c>
      <c r="CN144" s="475" t="str">
        <f t="shared" si="149"/>
        <v>NO</v>
      </c>
      <c r="CO144" s="475" t="str">
        <f t="shared" si="149"/>
        <v>YES</v>
      </c>
      <c r="CP144" s="475" t="str">
        <f t="shared" si="149"/>
        <v>NO</v>
      </c>
      <c r="CQ144" s="475" t="str">
        <f t="shared" si="149"/>
        <v>NO</v>
      </c>
      <c r="CR144" s="475" t="str">
        <f t="shared" si="149"/>
        <v>NO</v>
      </c>
      <c r="CS144" s="475" t="str">
        <f t="shared" si="149"/>
        <v>NO</v>
      </c>
      <c r="CT144" s="475" t="str">
        <f t="shared" si="149"/>
        <v>NO</v>
      </c>
      <c r="CU144" s="475" t="str">
        <f t="shared" si="149"/>
        <v>NO</v>
      </c>
      <c r="CV144" s="475" t="str">
        <f t="shared" si="149"/>
        <v>NO</v>
      </c>
      <c r="CW144" s="475" t="str">
        <f t="shared" si="149"/>
        <v>NO</v>
      </c>
      <c r="CX144" s="475" t="str">
        <f t="shared" si="149"/>
        <v>NO</v>
      </c>
      <c r="CY144" s="475" t="str">
        <f t="shared" si="149"/>
        <v>NO</v>
      </c>
      <c r="CZ144" s="495" t="str">
        <f t="shared" si="149"/>
        <v>NO</v>
      </c>
      <c r="DA144" s="502"/>
      <c r="DB144" s="460"/>
      <c r="DC144" s="465"/>
      <c r="DD144" s="463"/>
      <c r="DE144" s="512"/>
      <c r="DF144" s="516"/>
      <c r="DG144" s="508"/>
      <c r="DH144" s="463"/>
      <c r="DI144" s="461"/>
      <c r="DJ144" s="461"/>
      <c r="DK144" s="461"/>
      <c r="DL144" s="464"/>
      <c r="DM144" s="466"/>
      <c r="DN144" s="502"/>
      <c r="DO144" s="460"/>
      <c r="DP144" s="464"/>
      <c r="DQ144" s="464"/>
      <c r="DR144" s="464"/>
      <c r="DS144" s="508"/>
      <c r="DT144" s="525"/>
      <c r="DU144" s="525"/>
      <c r="DV144" s="463"/>
      <c r="DW144" s="464"/>
      <c r="DX144" s="465"/>
      <c r="DY144" s="463"/>
      <c r="DZ144" s="464"/>
      <c r="EA144" s="465"/>
      <c r="EB144" s="463"/>
      <c r="EC144" s="465"/>
      <c r="ED144" s="462"/>
      <c r="EE144" s="502"/>
      <c r="EF144" s="463"/>
      <c r="EG144" s="461"/>
      <c r="EH144" s="464"/>
      <c r="EI144" s="464"/>
      <c r="EJ144" s="464"/>
      <c r="EK144" s="464"/>
      <c r="EL144" s="464"/>
      <c r="EM144" s="464"/>
      <c r="EN144" s="464"/>
      <c r="EO144" s="464"/>
      <c r="EP144" s="464"/>
      <c r="EQ144" s="464"/>
      <c r="ER144" s="464"/>
      <c r="ES144" s="464"/>
      <c r="ET144" s="464"/>
      <c r="EU144" s="464"/>
      <c r="EV144" s="464"/>
      <c r="EW144" s="465"/>
      <c r="EX144" s="465"/>
      <c r="EY144" s="502"/>
      <c r="EZ144" s="460"/>
      <c r="FA144" s="464"/>
      <c r="FB144" s="464"/>
      <c r="FC144" s="464"/>
      <c r="FD144" s="464"/>
      <c r="FE144" s="464"/>
      <c r="FF144" s="464"/>
      <c r="FG144" s="466"/>
    </row>
    <row r="145" spans="1:163">
      <c r="A145" s="467" t="s">
        <v>332</v>
      </c>
      <c r="B145" s="471" t="str">
        <f>IF(ISNUMBER(MATCH(A145, 'Pulldown Data'!W:W, 0))=TRUE, "Y", IF(ISNUMBER(MATCH(A145, 'Pulldown Data'!X:X, 0))=TRUE, "M", ""))</f>
        <v/>
      </c>
      <c r="C145" s="504">
        <v>45630</v>
      </c>
      <c r="D145" s="502"/>
      <c r="E145" s="443" t="str">
        <f t="shared" si="140"/>
        <v>YES</v>
      </c>
      <c r="F145" s="444" t="str">
        <f t="shared" si="140"/>
        <v>NO</v>
      </c>
      <c r="G145" s="444" t="str">
        <f t="shared" si="140"/>
        <v>YES</v>
      </c>
      <c r="H145" s="444" t="str">
        <f t="shared" si="140"/>
        <v>YES</v>
      </c>
      <c r="I145" s="444" t="str">
        <f t="shared" si="140"/>
        <v>YES</v>
      </c>
      <c r="J145" s="444" t="str">
        <f t="shared" si="140"/>
        <v>YES</v>
      </c>
      <c r="K145" s="444" t="str">
        <f t="shared" si="140"/>
        <v>NO</v>
      </c>
      <c r="L145" s="444" t="str">
        <f t="shared" si="140"/>
        <v>YES</v>
      </c>
      <c r="M145" s="444" t="str">
        <f t="shared" si="140"/>
        <v>YES</v>
      </c>
      <c r="N145" s="444" t="str">
        <f t="shared" si="140"/>
        <v>NO</v>
      </c>
      <c r="O145" s="444" t="str">
        <f t="shared" si="141"/>
        <v>NO</v>
      </c>
      <c r="P145" s="444" t="str">
        <f t="shared" si="141"/>
        <v>NO</v>
      </c>
      <c r="Q145" s="444" t="str">
        <f t="shared" si="141"/>
        <v>NO</v>
      </c>
      <c r="R145" s="444" t="str">
        <f t="shared" si="141"/>
        <v>NO</v>
      </c>
      <c r="S145" s="444" t="str">
        <f t="shared" si="141"/>
        <v>NO</v>
      </c>
      <c r="T145" s="444" t="str">
        <f t="shared" si="141"/>
        <v>YES</v>
      </c>
      <c r="U145" s="444" t="str">
        <f t="shared" si="141"/>
        <v>YES</v>
      </c>
      <c r="V145" s="444" t="str">
        <f t="shared" si="141"/>
        <v>YES</v>
      </c>
      <c r="W145" s="444" t="str">
        <f t="shared" si="141"/>
        <v>YES</v>
      </c>
      <c r="X145" s="444" t="str">
        <f t="shared" si="141"/>
        <v>YES</v>
      </c>
      <c r="Y145" s="444" t="str">
        <f t="shared" si="142"/>
        <v>NO</v>
      </c>
      <c r="Z145" s="444" t="str">
        <f t="shared" si="142"/>
        <v>NO</v>
      </c>
      <c r="AA145" s="444" t="str">
        <f t="shared" si="142"/>
        <v>NO</v>
      </c>
      <c r="AB145" s="444" t="str">
        <f t="shared" si="142"/>
        <v>NO</v>
      </c>
      <c r="AC145" s="444" t="str">
        <f t="shared" si="142"/>
        <v>NO</v>
      </c>
      <c r="AD145" s="444" t="str">
        <f t="shared" si="142"/>
        <v>YES</v>
      </c>
      <c r="AE145" s="444" t="str">
        <f t="shared" si="142"/>
        <v>YES</v>
      </c>
      <c r="AF145" s="444" t="str">
        <f t="shared" si="142"/>
        <v>YES</v>
      </c>
      <c r="AG145" s="444" t="str">
        <f t="shared" si="142"/>
        <v>YES</v>
      </c>
      <c r="AH145" s="444" t="str">
        <f t="shared" si="142"/>
        <v>YES</v>
      </c>
      <c r="AI145" s="444" t="str">
        <f t="shared" si="143"/>
        <v>NO</v>
      </c>
      <c r="AJ145" s="444" t="str">
        <f t="shared" si="143"/>
        <v>YES</v>
      </c>
      <c r="AK145" s="444" t="str">
        <f t="shared" si="143"/>
        <v>NO</v>
      </c>
      <c r="AL145" s="444" t="str">
        <f t="shared" si="143"/>
        <v>NO</v>
      </c>
      <c r="AM145" s="444" t="str">
        <f t="shared" si="143"/>
        <v>YES</v>
      </c>
      <c r="AN145" s="444" t="str">
        <f t="shared" si="143"/>
        <v>YES</v>
      </c>
      <c r="AO145" s="444" t="str">
        <f t="shared" si="143"/>
        <v>YES</v>
      </c>
      <c r="AP145" s="444" t="str">
        <f t="shared" si="143"/>
        <v>NO</v>
      </c>
      <c r="AQ145" s="444" t="str">
        <f t="shared" si="143"/>
        <v>YES</v>
      </c>
      <c r="AR145" s="444" t="str">
        <f t="shared" si="143"/>
        <v>YES</v>
      </c>
      <c r="AS145" s="444" t="str">
        <f t="shared" si="144"/>
        <v>NO</v>
      </c>
      <c r="AT145" s="444" t="str">
        <f t="shared" si="144"/>
        <v>YES</v>
      </c>
      <c r="AU145" s="444" t="str">
        <f t="shared" si="144"/>
        <v>YES</v>
      </c>
      <c r="AV145" s="444" t="str">
        <f t="shared" si="144"/>
        <v>YES</v>
      </c>
      <c r="AW145" s="444" t="str">
        <f t="shared" si="144"/>
        <v>NO</v>
      </c>
      <c r="AX145" s="444" t="str">
        <f t="shared" si="144"/>
        <v>YES</v>
      </c>
      <c r="AY145" s="444" t="str">
        <f t="shared" si="144"/>
        <v>NO</v>
      </c>
      <c r="AZ145" s="444" t="str">
        <f t="shared" si="144"/>
        <v>NO</v>
      </c>
      <c r="BA145" s="444" t="str">
        <f t="shared" si="144"/>
        <v>NO</v>
      </c>
      <c r="BB145" s="444" t="str">
        <f t="shared" si="144"/>
        <v>NO</v>
      </c>
      <c r="BC145" s="444" t="str">
        <f t="shared" si="145"/>
        <v>NO</v>
      </c>
      <c r="BD145" s="444" t="str">
        <f t="shared" si="145"/>
        <v>NO</v>
      </c>
      <c r="BE145" s="444" t="str">
        <f t="shared" si="145"/>
        <v>NO</v>
      </c>
      <c r="BF145" s="444" t="str">
        <f t="shared" si="145"/>
        <v>NO</v>
      </c>
      <c r="BG145" s="444" t="str">
        <f t="shared" si="145"/>
        <v>NO</v>
      </c>
      <c r="BH145" s="445" t="str">
        <f t="shared" si="145"/>
        <v>NO</v>
      </c>
      <c r="BI145" s="502"/>
      <c r="BJ145" s="474" t="str">
        <f t="shared" si="146"/>
        <v>NO</v>
      </c>
      <c r="BK145" s="475" t="str">
        <f t="shared" si="146"/>
        <v>NO</v>
      </c>
      <c r="BL145" s="475" t="str">
        <f t="shared" si="146"/>
        <v>NO</v>
      </c>
      <c r="BM145" s="475" t="str">
        <f t="shared" si="146"/>
        <v>NO</v>
      </c>
      <c r="BN145" s="475" t="str">
        <f t="shared" si="146"/>
        <v>NO</v>
      </c>
      <c r="BO145" s="475" t="str">
        <f t="shared" si="146"/>
        <v>NO</v>
      </c>
      <c r="BP145" s="475" t="str">
        <f t="shared" si="146"/>
        <v>NO</v>
      </c>
      <c r="BQ145" s="475" t="str">
        <f t="shared" si="146"/>
        <v>NO</v>
      </c>
      <c r="BR145" s="475" t="str">
        <f t="shared" si="146"/>
        <v>NO</v>
      </c>
      <c r="BS145" s="475" t="str">
        <f t="shared" si="146"/>
        <v>NO</v>
      </c>
      <c r="BT145" s="475" t="str">
        <f t="shared" si="147"/>
        <v>NO</v>
      </c>
      <c r="BU145" s="475" t="str">
        <f t="shared" si="147"/>
        <v>NO</v>
      </c>
      <c r="BV145" s="475" t="str">
        <f t="shared" si="147"/>
        <v>NO</v>
      </c>
      <c r="BW145" s="475" t="str">
        <f t="shared" si="147"/>
        <v>NO</v>
      </c>
      <c r="BX145" s="475" t="str">
        <f t="shared" si="147"/>
        <v>NO</v>
      </c>
      <c r="BY145" s="475" t="str">
        <f t="shared" si="147"/>
        <v>NO</v>
      </c>
      <c r="BZ145" s="475" t="str">
        <f t="shared" si="147"/>
        <v>NO</v>
      </c>
      <c r="CA145" s="475" t="str">
        <f t="shared" si="147"/>
        <v>NO</v>
      </c>
      <c r="CB145" s="475" t="str">
        <f t="shared" si="147"/>
        <v>NO</v>
      </c>
      <c r="CC145" s="475" t="str">
        <f t="shared" si="147"/>
        <v>NO</v>
      </c>
      <c r="CD145" s="475" t="str">
        <f t="shared" si="148"/>
        <v>NO</v>
      </c>
      <c r="CE145" s="475" t="str">
        <f t="shared" si="148"/>
        <v>NO</v>
      </c>
      <c r="CF145" s="475" t="str">
        <f t="shared" si="148"/>
        <v>NO</v>
      </c>
      <c r="CG145" s="475" t="str">
        <f t="shared" si="148"/>
        <v>NO</v>
      </c>
      <c r="CH145" s="475" t="str">
        <f t="shared" si="148"/>
        <v>NO</v>
      </c>
      <c r="CI145" s="475" t="str">
        <f t="shared" si="148"/>
        <v>NO</v>
      </c>
      <c r="CJ145" s="475" t="str">
        <f t="shared" si="148"/>
        <v>NO</v>
      </c>
      <c r="CK145" s="475" t="str">
        <f t="shared" si="148"/>
        <v>NO</v>
      </c>
      <c r="CL145" s="475" t="str">
        <f t="shared" si="148"/>
        <v>NO</v>
      </c>
      <c r="CM145" s="475" t="str">
        <f t="shared" si="148"/>
        <v>NO</v>
      </c>
      <c r="CN145" s="475" t="str">
        <f t="shared" si="149"/>
        <v>NO</v>
      </c>
      <c r="CO145" s="475" t="str">
        <f t="shared" si="149"/>
        <v>NO</v>
      </c>
      <c r="CP145" s="475" t="str">
        <f t="shared" si="149"/>
        <v>NO</v>
      </c>
      <c r="CQ145" s="475" t="str">
        <f t="shared" si="149"/>
        <v>NO</v>
      </c>
      <c r="CR145" s="475" t="str">
        <f t="shared" si="149"/>
        <v>NO</v>
      </c>
      <c r="CS145" s="475" t="str">
        <f t="shared" si="149"/>
        <v>NO</v>
      </c>
      <c r="CT145" s="475" t="str">
        <f t="shared" si="149"/>
        <v>NO</v>
      </c>
      <c r="CU145" s="475" t="str">
        <f t="shared" si="149"/>
        <v>NO</v>
      </c>
      <c r="CV145" s="475" t="str">
        <f t="shared" si="149"/>
        <v>NO</v>
      </c>
      <c r="CW145" s="475" t="str">
        <f t="shared" si="149"/>
        <v>NO</v>
      </c>
      <c r="CX145" s="475" t="str">
        <f t="shared" si="149"/>
        <v>NO</v>
      </c>
      <c r="CY145" s="475" t="str">
        <f t="shared" si="149"/>
        <v>NO</v>
      </c>
      <c r="CZ145" s="495" t="str">
        <f t="shared" si="149"/>
        <v>NO</v>
      </c>
      <c r="DA145" s="502"/>
      <c r="DB145" s="460"/>
      <c r="DC145" s="465"/>
      <c r="DD145" s="463"/>
      <c r="DE145" s="512"/>
      <c r="DF145" s="516"/>
      <c r="DG145" s="508"/>
      <c r="DH145" s="463"/>
      <c r="DI145" s="461"/>
      <c r="DJ145" s="461"/>
      <c r="DK145" s="461"/>
      <c r="DL145" s="464"/>
      <c r="DM145" s="466"/>
      <c r="DN145" s="502"/>
      <c r="DO145" s="460"/>
      <c r="DP145" s="464"/>
      <c r="DQ145" s="464"/>
      <c r="DR145" s="464"/>
      <c r="DS145" s="508"/>
      <c r="DT145" s="525"/>
      <c r="DU145" s="525"/>
      <c r="DV145" s="463"/>
      <c r="DW145" s="464"/>
      <c r="DX145" s="465"/>
      <c r="DY145" s="463"/>
      <c r="DZ145" s="464"/>
      <c r="EA145" s="465"/>
      <c r="EB145" s="463"/>
      <c r="EC145" s="465"/>
      <c r="ED145" s="462"/>
      <c r="EE145" s="502"/>
      <c r="EF145" s="463"/>
      <c r="EG145" s="461"/>
      <c r="EH145" s="464"/>
      <c r="EI145" s="464"/>
      <c r="EJ145" s="464"/>
      <c r="EK145" s="464"/>
      <c r="EL145" s="464"/>
      <c r="EM145" s="464"/>
      <c r="EN145" s="464"/>
      <c r="EO145" s="464"/>
      <c r="EP145" s="464"/>
      <c r="EQ145" s="464"/>
      <c r="ER145" s="464"/>
      <c r="ES145" s="464"/>
      <c r="ET145" s="464"/>
      <c r="EU145" s="464"/>
      <c r="EV145" s="464"/>
      <c r="EW145" s="465"/>
      <c r="EX145" s="465"/>
      <c r="EY145" s="502"/>
      <c r="EZ145" s="460"/>
      <c r="FA145" s="464"/>
      <c r="FB145" s="464"/>
      <c r="FC145" s="464"/>
      <c r="FD145" s="464"/>
      <c r="FE145" s="464"/>
      <c r="FF145" s="464"/>
      <c r="FG145" s="466"/>
    </row>
    <row r="146" spans="1:163">
      <c r="A146" s="467" t="s">
        <v>333</v>
      </c>
      <c r="B146" s="471" t="str">
        <f>IF(ISNUMBER(MATCH(A146, 'Pulldown Data'!W:W, 0))=TRUE, "Y", IF(ISNUMBER(MATCH(A146, 'Pulldown Data'!X:X, 0))=TRUE, "M", ""))</f>
        <v/>
      </c>
      <c r="C146" s="504">
        <v>45630</v>
      </c>
      <c r="D146" s="502"/>
      <c r="E146" s="443" t="str">
        <f t="shared" si="140"/>
        <v>NO</v>
      </c>
      <c r="F146" s="444" t="str">
        <f t="shared" si="140"/>
        <v>NO</v>
      </c>
      <c r="G146" s="444" t="str">
        <f t="shared" si="140"/>
        <v>YES</v>
      </c>
      <c r="H146" s="444" t="str">
        <f t="shared" si="140"/>
        <v>YES</v>
      </c>
      <c r="I146" s="444" t="str">
        <f t="shared" si="140"/>
        <v>YES</v>
      </c>
      <c r="J146" s="444" t="str">
        <f t="shared" si="140"/>
        <v>YES</v>
      </c>
      <c r="K146" s="444" t="str">
        <f t="shared" si="140"/>
        <v>NO</v>
      </c>
      <c r="L146" s="444" t="str">
        <f t="shared" si="140"/>
        <v>YES</v>
      </c>
      <c r="M146" s="444" t="str">
        <f t="shared" si="140"/>
        <v>YES</v>
      </c>
      <c r="N146" s="444" t="str">
        <f t="shared" si="140"/>
        <v>NO</v>
      </c>
      <c r="O146" s="444" t="str">
        <f t="shared" si="141"/>
        <v>NO</v>
      </c>
      <c r="P146" s="444" t="str">
        <f t="shared" si="141"/>
        <v>N/A</v>
      </c>
      <c r="Q146" s="444" t="str">
        <f t="shared" si="141"/>
        <v>N/A</v>
      </c>
      <c r="R146" s="444" t="str">
        <f t="shared" si="141"/>
        <v>N/A</v>
      </c>
      <c r="S146" s="444" t="str">
        <f t="shared" si="141"/>
        <v>N/A</v>
      </c>
      <c r="T146" s="444" t="str">
        <f t="shared" si="141"/>
        <v>YES</v>
      </c>
      <c r="U146" s="444" t="str">
        <f t="shared" si="141"/>
        <v>YES</v>
      </c>
      <c r="V146" s="444" t="str">
        <f t="shared" si="141"/>
        <v>YES</v>
      </c>
      <c r="W146" s="444" t="str">
        <f t="shared" si="141"/>
        <v>YES</v>
      </c>
      <c r="X146" s="444" t="str">
        <f t="shared" si="141"/>
        <v>N/A</v>
      </c>
      <c r="Y146" s="444" t="str">
        <f t="shared" si="142"/>
        <v>N/A</v>
      </c>
      <c r="Z146" s="444" t="str">
        <f t="shared" si="142"/>
        <v>N/A</v>
      </c>
      <c r="AA146" s="444" t="str">
        <f t="shared" si="142"/>
        <v>N/A</v>
      </c>
      <c r="AB146" s="444" t="str">
        <f t="shared" si="142"/>
        <v>N/A</v>
      </c>
      <c r="AC146" s="444" t="str">
        <f t="shared" si="142"/>
        <v>N/A</v>
      </c>
      <c r="AD146" s="444" t="str">
        <f t="shared" si="142"/>
        <v>YES</v>
      </c>
      <c r="AE146" s="444" t="str">
        <f t="shared" si="142"/>
        <v>YES</v>
      </c>
      <c r="AF146" s="444" t="str">
        <f t="shared" si="142"/>
        <v>N/A</v>
      </c>
      <c r="AG146" s="444" t="str">
        <f t="shared" si="142"/>
        <v>N/A</v>
      </c>
      <c r="AH146" s="444" t="str">
        <f t="shared" si="142"/>
        <v>YES</v>
      </c>
      <c r="AI146" s="444" t="str">
        <f t="shared" si="143"/>
        <v>NO</v>
      </c>
      <c r="AJ146" s="444" t="str">
        <f t="shared" si="143"/>
        <v>YES</v>
      </c>
      <c r="AK146" s="444" t="str">
        <f t="shared" si="143"/>
        <v>NO</v>
      </c>
      <c r="AL146" s="444" t="str">
        <f t="shared" si="143"/>
        <v>YES</v>
      </c>
      <c r="AM146" s="444" t="str">
        <f t="shared" si="143"/>
        <v>NO</v>
      </c>
      <c r="AN146" s="444" t="str">
        <f t="shared" si="143"/>
        <v>YES</v>
      </c>
      <c r="AO146" s="444" t="str">
        <f t="shared" si="143"/>
        <v>YES</v>
      </c>
      <c r="AP146" s="444" t="str">
        <f t="shared" si="143"/>
        <v>NO</v>
      </c>
      <c r="AQ146" s="444" t="str">
        <f t="shared" si="143"/>
        <v>YES</v>
      </c>
      <c r="AR146" s="444" t="str">
        <f t="shared" si="143"/>
        <v>NO</v>
      </c>
      <c r="AS146" s="444" t="str">
        <f t="shared" si="144"/>
        <v>NO</v>
      </c>
      <c r="AT146" s="444" t="str">
        <f t="shared" si="144"/>
        <v>YES</v>
      </c>
      <c r="AU146" s="444" t="str">
        <f t="shared" si="144"/>
        <v>YES</v>
      </c>
      <c r="AV146" s="444" t="str">
        <f t="shared" si="144"/>
        <v>YES</v>
      </c>
      <c r="AW146" s="444" t="str">
        <f t="shared" si="144"/>
        <v>NO</v>
      </c>
      <c r="AX146" s="444" t="str">
        <f t="shared" si="144"/>
        <v>YES</v>
      </c>
      <c r="AY146" s="444" t="str">
        <f t="shared" si="144"/>
        <v>DEP</v>
      </c>
      <c r="AZ146" s="444" t="str">
        <f t="shared" si="144"/>
        <v>DEP</v>
      </c>
      <c r="BA146" s="444" t="str">
        <f t="shared" si="144"/>
        <v>DEP</v>
      </c>
      <c r="BB146" s="444" t="str">
        <f t="shared" si="144"/>
        <v>NO</v>
      </c>
      <c r="BC146" s="444" t="str">
        <f t="shared" si="145"/>
        <v>NO</v>
      </c>
      <c r="BD146" s="444" t="str">
        <f t="shared" si="145"/>
        <v>NO</v>
      </c>
      <c r="BE146" s="444" t="str">
        <f t="shared" si="145"/>
        <v>NO</v>
      </c>
      <c r="BF146" s="444" t="str">
        <f t="shared" si="145"/>
        <v>YES</v>
      </c>
      <c r="BG146" s="444" t="str">
        <f t="shared" si="145"/>
        <v>NO</v>
      </c>
      <c r="BH146" s="445" t="str">
        <f t="shared" si="145"/>
        <v>NO</v>
      </c>
      <c r="BI146" s="502"/>
      <c r="BJ146" s="474" t="str">
        <f t="shared" si="146"/>
        <v>NO</v>
      </c>
      <c r="BK146" s="475" t="str">
        <f t="shared" si="146"/>
        <v>NO</v>
      </c>
      <c r="BL146" s="475" t="str">
        <f t="shared" si="146"/>
        <v>NO</v>
      </c>
      <c r="BM146" s="475" t="str">
        <f t="shared" si="146"/>
        <v>NO</v>
      </c>
      <c r="BN146" s="475" t="str">
        <f t="shared" si="146"/>
        <v>NO</v>
      </c>
      <c r="BO146" s="475" t="str">
        <f t="shared" si="146"/>
        <v>NO</v>
      </c>
      <c r="BP146" s="475" t="str">
        <f t="shared" si="146"/>
        <v>NO</v>
      </c>
      <c r="BQ146" s="475" t="str">
        <f t="shared" si="146"/>
        <v>NO</v>
      </c>
      <c r="BR146" s="475" t="str">
        <f t="shared" si="146"/>
        <v>NO</v>
      </c>
      <c r="BS146" s="475" t="str">
        <f t="shared" si="146"/>
        <v>NO</v>
      </c>
      <c r="BT146" s="475" t="str">
        <f t="shared" si="147"/>
        <v>NO</v>
      </c>
      <c r="BU146" s="475" t="str">
        <f t="shared" si="147"/>
        <v>NO</v>
      </c>
      <c r="BV146" s="475" t="str">
        <f t="shared" si="147"/>
        <v>NO</v>
      </c>
      <c r="BW146" s="475" t="str">
        <f t="shared" si="147"/>
        <v>YES</v>
      </c>
      <c r="BX146" s="475" t="str">
        <f t="shared" si="147"/>
        <v>NO</v>
      </c>
      <c r="BY146" s="475" t="str">
        <f t="shared" si="147"/>
        <v>NO</v>
      </c>
      <c r="BZ146" s="475" t="str">
        <f t="shared" si="147"/>
        <v>NO</v>
      </c>
      <c r="CA146" s="475" t="str">
        <f t="shared" si="147"/>
        <v>NO</v>
      </c>
      <c r="CB146" s="475" t="str">
        <f t="shared" si="147"/>
        <v>NO</v>
      </c>
      <c r="CC146" s="475" t="str">
        <f t="shared" si="147"/>
        <v>NO</v>
      </c>
      <c r="CD146" s="475" t="str">
        <f t="shared" si="148"/>
        <v>NO</v>
      </c>
      <c r="CE146" s="475" t="str">
        <f t="shared" si="148"/>
        <v>NO</v>
      </c>
      <c r="CF146" s="475" t="str">
        <f t="shared" si="148"/>
        <v>NO</v>
      </c>
      <c r="CG146" s="475" t="str">
        <f t="shared" si="148"/>
        <v>NO</v>
      </c>
      <c r="CH146" s="475" t="str">
        <f t="shared" si="148"/>
        <v>NO</v>
      </c>
      <c r="CI146" s="475" t="str">
        <f t="shared" si="148"/>
        <v>NO</v>
      </c>
      <c r="CJ146" s="475" t="str">
        <f t="shared" si="148"/>
        <v>NO</v>
      </c>
      <c r="CK146" s="475" t="str">
        <f t="shared" si="148"/>
        <v>NO</v>
      </c>
      <c r="CL146" s="475" t="str">
        <f t="shared" si="148"/>
        <v>NO</v>
      </c>
      <c r="CM146" s="475" t="str">
        <f t="shared" si="148"/>
        <v>NO</v>
      </c>
      <c r="CN146" s="475" t="str">
        <f t="shared" si="149"/>
        <v>YES</v>
      </c>
      <c r="CO146" s="475" t="str">
        <f t="shared" si="149"/>
        <v>YES</v>
      </c>
      <c r="CP146" s="475" t="str">
        <f t="shared" si="149"/>
        <v>NO</v>
      </c>
      <c r="CQ146" s="475" t="str">
        <f t="shared" si="149"/>
        <v>NO</v>
      </c>
      <c r="CR146" s="475" t="str">
        <f t="shared" si="149"/>
        <v>NO</v>
      </c>
      <c r="CS146" s="475" t="str">
        <f t="shared" si="149"/>
        <v>NO</v>
      </c>
      <c r="CT146" s="475" t="str">
        <f t="shared" si="149"/>
        <v>NO</v>
      </c>
      <c r="CU146" s="475" t="str">
        <f t="shared" si="149"/>
        <v>NO</v>
      </c>
      <c r="CV146" s="475" t="str">
        <f t="shared" si="149"/>
        <v>NO</v>
      </c>
      <c r="CW146" s="475" t="str">
        <f t="shared" si="149"/>
        <v>NO</v>
      </c>
      <c r="CX146" s="475" t="str">
        <f t="shared" si="149"/>
        <v>NO</v>
      </c>
      <c r="CY146" s="475" t="str">
        <f t="shared" si="149"/>
        <v>NO</v>
      </c>
      <c r="CZ146" s="495" t="str">
        <f t="shared" si="149"/>
        <v>NO</v>
      </c>
      <c r="DA146" s="502"/>
      <c r="DB146" s="460"/>
      <c r="DC146" s="465"/>
      <c r="DD146" s="463"/>
      <c r="DE146" s="512"/>
      <c r="DF146" s="516"/>
      <c r="DG146" s="508"/>
      <c r="DH146" s="463"/>
      <c r="DI146" s="461"/>
      <c r="DJ146" s="461"/>
      <c r="DK146" s="461"/>
      <c r="DL146" s="464"/>
      <c r="DM146" s="466"/>
      <c r="DN146" s="502"/>
      <c r="DO146" s="460"/>
      <c r="DP146" s="464"/>
      <c r="DQ146" s="464"/>
      <c r="DR146" s="464"/>
      <c r="DS146" s="508"/>
      <c r="DT146" s="525"/>
      <c r="DU146" s="525"/>
      <c r="DV146" s="463"/>
      <c r="DW146" s="464"/>
      <c r="DX146" s="465"/>
      <c r="DY146" s="463"/>
      <c r="DZ146" s="464"/>
      <c r="EA146" s="465"/>
      <c r="EB146" s="463"/>
      <c r="EC146" s="465"/>
      <c r="ED146" s="462"/>
      <c r="EE146" s="502"/>
      <c r="EF146" s="463"/>
      <c r="EG146" s="461"/>
      <c r="EH146" s="464"/>
      <c r="EI146" s="464"/>
      <c r="EJ146" s="464"/>
      <c r="EK146" s="464"/>
      <c r="EL146" s="464"/>
      <c r="EM146" s="464"/>
      <c r="EN146" s="464"/>
      <c r="EO146" s="464"/>
      <c r="EP146" s="464"/>
      <c r="EQ146" s="464"/>
      <c r="ER146" s="464"/>
      <c r="ES146" s="464"/>
      <c r="ET146" s="464"/>
      <c r="EU146" s="464"/>
      <c r="EV146" s="464"/>
      <c r="EW146" s="465"/>
      <c r="EX146" s="465"/>
      <c r="EY146" s="502"/>
      <c r="EZ146" s="460"/>
      <c r="FA146" s="464"/>
      <c r="FB146" s="464"/>
      <c r="FC146" s="464"/>
      <c r="FD146" s="464"/>
      <c r="FE146" s="464"/>
      <c r="FF146" s="464"/>
      <c r="FG146" s="466"/>
    </row>
    <row r="147" spans="1:163">
      <c r="A147" s="467" t="s">
        <v>334</v>
      </c>
      <c r="B147" s="471" t="str">
        <f>IF(ISNUMBER(MATCH(A147, 'Pulldown Data'!W:W, 0))=TRUE, "Y", IF(ISNUMBER(MATCH(A147, 'Pulldown Data'!X:X, 0))=TRUE, "M", ""))</f>
        <v/>
      </c>
      <c r="C147" s="504">
        <v>45630</v>
      </c>
      <c r="D147" s="502"/>
      <c r="E147" s="443" t="str">
        <f t="shared" si="140"/>
        <v>YES</v>
      </c>
      <c r="F147" s="444" t="str">
        <f t="shared" si="140"/>
        <v>NO</v>
      </c>
      <c r="G147" s="444" t="str">
        <f t="shared" si="140"/>
        <v>YES</v>
      </c>
      <c r="H147" s="444" t="str">
        <f t="shared" si="140"/>
        <v>YES</v>
      </c>
      <c r="I147" s="444" t="str">
        <f t="shared" si="140"/>
        <v>YES</v>
      </c>
      <c r="J147" s="444" t="str">
        <f t="shared" si="140"/>
        <v>YES</v>
      </c>
      <c r="K147" s="444" t="str">
        <f t="shared" si="140"/>
        <v>NO</v>
      </c>
      <c r="L147" s="444" t="str">
        <f t="shared" si="140"/>
        <v>YES</v>
      </c>
      <c r="M147" s="444" t="str">
        <f t="shared" si="140"/>
        <v>NO</v>
      </c>
      <c r="N147" s="444" t="str">
        <f t="shared" si="140"/>
        <v>NO</v>
      </c>
      <c r="O147" s="444" t="str">
        <f t="shared" si="141"/>
        <v>NO</v>
      </c>
      <c r="P147" s="444" t="str">
        <f t="shared" si="141"/>
        <v>YES</v>
      </c>
      <c r="Q147" s="444" t="str">
        <f t="shared" si="141"/>
        <v>YES</v>
      </c>
      <c r="R147" s="444" t="str">
        <f t="shared" si="141"/>
        <v>YES</v>
      </c>
      <c r="S147" s="444" t="str">
        <f t="shared" si="141"/>
        <v>YES</v>
      </c>
      <c r="T147" s="444" t="str">
        <f t="shared" si="141"/>
        <v>YES</v>
      </c>
      <c r="U147" s="444" t="str">
        <f t="shared" si="141"/>
        <v>YES</v>
      </c>
      <c r="V147" s="444" t="str">
        <f t="shared" si="141"/>
        <v>YES</v>
      </c>
      <c r="W147" s="444" t="str">
        <f t="shared" si="141"/>
        <v>NO</v>
      </c>
      <c r="X147" s="444" t="str">
        <f t="shared" si="141"/>
        <v>NO</v>
      </c>
      <c r="Y147" s="444" t="str">
        <f t="shared" si="142"/>
        <v>NO</v>
      </c>
      <c r="Z147" s="444" t="str">
        <f t="shared" si="142"/>
        <v>NO</v>
      </c>
      <c r="AA147" s="444" t="str">
        <f t="shared" si="142"/>
        <v>NO</v>
      </c>
      <c r="AB147" s="444" t="str">
        <f t="shared" si="142"/>
        <v>NO</v>
      </c>
      <c r="AC147" s="444" t="str">
        <f t="shared" si="142"/>
        <v>NO</v>
      </c>
      <c r="AD147" s="444" t="str">
        <f t="shared" si="142"/>
        <v>YES</v>
      </c>
      <c r="AE147" s="444" t="str">
        <f t="shared" si="142"/>
        <v>YES</v>
      </c>
      <c r="AF147" s="444" t="str">
        <f t="shared" si="142"/>
        <v>YES</v>
      </c>
      <c r="AG147" s="444" t="str">
        <f t="shared" si="142"/>
        <v>YES</v>
      </c>
      <c r="AH147" s="444" t="str">
        <f t="shared" si="142"/>
        <v>NO</v>
      </c>
      <c r="AI147" s="444" t="str">
        <f t="shared" si="143"/>
        <v>NO</v>
      </c>
      <c r="AJ147" s="444" t="str">
        <f t="shared" si="143"/>
        <v>YES</v>
      </c>
      <c r="AK147" s="444" t="str">
        <f t="shared" si="143"/>
        <v>NO</v>
      </c>
      <c r="AL147" s="444" t="str">
        <f t="shared" si="143"/>
        <v>NO</v>
      </c>
      <c r="AM147" s="444" t="str">
        <f t="shared" si="143"/>
        <v>YES</v>
      </c>
      <c r="AN147" s="444" t="str">
        <f t="shared" si="143"/>
        <v>NO</v>
      </c>
      <c r="AO147" s="444" t="str">
        <f t="shared" si="143"/>
        <v>NO</v>
      </c>
      <c r="AP147" s="444" t="str">
        <f t="shared" si="143"/>
        <v>YES</v>
      </c>
      <c r="AQ147" s="444" t="str">
        <f t="shared" si="143"/>
        <v>YES</v>
      </c>
      <c r="AR147" s="444" t="str">
        <f t="shared" si="143"/>
        <v>YES</v>
      </c>
      <c r="AS147" s="444" t="str">
        <f t="shared" si="144"/>
        <v>NO</v>
      </c>
      <c r="AT147" s="444" t="str">
        <f t="shared" si="144"/>
        <v>YES</v>
      </c>
      <c r="AU147" s="444" t="str">
        <f t="shared" si="144"/>
        <v>NO</v>
      </c>
      <c r="AV147" s="444" t="str">
        <f t="shared" si="144"/>
        <v>NO</v>
      </c>
      <c r="AW147" s="444" t="str">
        <f t="shared" si="144"/>
        <v>NO</v>
      </c>
      <c r="AX147" s="444" t="str">
        <f t="shared" si="144"/>
        <v>NO</v>
      </c>
      <c r="AY147" s="444" t="str">
        <f t="shared" si="144"/>
        <v>NO</v>
      </c>
      <c r="AZ147" s="444" t="str">
        <f t="shared" si="144"/>
        <v>NO</v>
      </c>
      <c r="BA147" s="444" t="str">
        <f t="shared" si="144"/>
        <v>NO</v>
      </c>
      <c r="BB147" s="444" t="str">
        <f t="shared" si="144"/>
        <v>NO</v>
      </c>
      <c r="BC147" s="444" t="str">
        <f t="shared" si="145"/>
        <v>NO</v>
      </c>
      <c r="BD147" s="444" t="str">
        <f t="shared" si="145"/>
        <v>NO</v>
      </c>
      <c r="BE147" s="444" t="str">
        <f t="shared" si="145"/>
        <v>NO</v>
      </c>
      <c r="BF147" s="444" t="str">
        <f t="shared" si="145"/>
        <v>NO</v>
      </c>
      <c r="BG147" s="444" t="str">
        <f t="shared" si="145"/>
        <v>NO</v>
      </c>
      <c r="BH147" s="445" t="str">
        <f t="shared" si="145"/>
        <v>NO</v>
      </c>
      <c r="BI147" s="502"/>
      <c r="BJ147" s="474" t="str">
        <f t="shared" si="146"/>
        <v>NO</v>
      </c>
      <c r="BK147" s="475" t="str">
        <f t="shared" si="146"/>
        <v>NO</v>
      </c>
      <c r="BL147" s="475" t="str">
        <f t="shared" si="146"/>
        <v>NO</v>
      </c>
      <c r="BM147" s="475" t="str">
        <f t="shared" si="146"/>
        <v>NO</v>
      </c>
      <c r="BN147" s="475" t="str">
        <f t="shared" si="146"/>
        <v>NO</v>
      </c>
      <c r="BO147" s="475" t="str">
        <f t="shared" si="146"/>
        <v>NO</v>
      </c>
      <c r="BP147" s="475" t="str">
        <f t="shared" si="146"/>
        <v>NO</v>
      </c>
      <c r="BQ147" s="475" t="str">
        <f t="shared" si="146"/>
        <v>NO</v>
      </c>
      <c r="BR147" s="475" t="str">
        <f t="shared" si="146"/>
        <v>NO</v>
      </c>
      <c r="BS147" s="475" t="str">
        <f t="shared" si="146"/>
        <v>NO</v>
      </c>
      <c r="BT147" s="475" t="str">
        <f t="shared" si="147"/>
        <v>NO</v>
      </c>
      <c r="BU147" s="475" t="str">
        <f t="shared" si="147"/>
        <v>NO</v>
      </c>
      <c r="BV147" s="475" t="str">
        <f t="shared" si="147"/>
        <v>NO</v>
      </c>
      <c r="BW147" s="475" t="str">
        <f t="shared" si="147"/>
        <v>NO</v>
      </c>
      <c r="BX147" s="475" t="str">
        <f t="shared" si="147"/>
        <v>NO</v>
      </c>
      <c r="BY147" s="475" t="str">
        <f t="shared" si="147"/>
        <v>NO</v>
      </c>
      <c r="BZ147" s="475" t="str">
        <f t="shared" si="147"/>
        <v>NO</v>
      </c>
      <c r="CA147" s="475" t="str">
        <f t="shared" si="147"/>
        <v>NO</v>
      </c>
      <c r="CB147" s="475" t="str">
        <f t="shared" si="147"/>
        <v>NO</v>
      </c>
      <c r="CC147" s="475" t="str">
        <f t="shared" si="147"/>
        <v>NO</v>
      </c>
      <c r="CD147" s="475" t="str">
        <f t="shared" si="148"/>
        <v>NO</v>
      </c>
      <c r="CE147" s="475" t="str">
        <f t="shared" si="148"/>
        <v>NO</v>
      </c>
      <c r="CF147" s="475" t="str">
        <f t="shared" si="148"/>
        <v>NO</v>
      </c>
      <c r="CG147" s="475" t="str">
        <f t="shared" si="148"/>
        <v>NO</v>
      </c>
      <c r="CH147" s="475" t="str">
        <f t="shared" si="148"/>
        <v>NO</v>
      </c>
      <c r="CI147" s="475" t="str">
        <f t="shared" si="148"/>
        <v>NO</v>
      </c>
      <c r="CJ147" s="475" t="str">
        <f t="shared" si="148"/>
        <v>NO</v>
      </c>
      <c r="CK147" s="475" t="str">
        <f t="shared" si="148"/>
        <v>NO</v>
      </c>
      <c r="CL147" s="475" t="str">
        <f t="shared" si="148"/>
        <v>NO</v>
      </c>
      <c r="CM147" s="475" t="str">
        <f t="shared" si="148"/>
        <v>NO</v>
      </c>
      <c r="CN147" s="475" t="str">
        <f t="shared" si="149"/>
        <v>NO</v>
      </c>
      <c r="CO147" s="475" t="str">
        <f t="shared" si="149"/>
        <v>NO</v>
      </c>
      <c r="CP147" s="475" t="str">
        <f t="shared" si="149"/>
        <v>NO</v>
      </c>
      <c r="CQ147" s="475" t="str">
        <f t="shared" si="149"/>
        <v>NO</v>
      </c>
      <c r="CR147" s="475" t="str">
        <f t="shared" si="149"/>
        <v>NO</v>
      </c>
      <c r="CS147" s="475" t="str">
        <f t="shared" si="149"/>
        <v>NO</v>
      </c>
      <c r="CT147" s="475" t="str">
        <f t="shared" si="149"/>
        <v>NO</v>
      </c>
      <c r="CU147" s="475" t="str">
        <f t="shared" si="149"/>
        <v>NO</v>
      </c>
      <c r="CV147" s="475" t="str">
        <f t="shared" si="149"/>
        <v>NO</v>
      </c>
      <c r="CW147" s="475" t="str">
        <f t="shared" si="149"/>
        <v>NO</v>
      </c>
      <c r="CX147" s="475" t="str">
        <f t="shared" si="149"/>
        <v>NO</v>
      </c>
      <c r="CY147" s="475" t="str">
        <f t="shared" si="149"/>
        <v>NO</v>
      </c>
      <c r="CZ147" s="495" t="str">
        <f t="shared" si="149"/>
        <v>NO</v>
      </c>
      <c r="DA147" s="502"/>
      <c r="DB147" s="460"/>
      <c r="DC147" s="465"/>
      <c r="DD147" s="463"/>
      <c r="DE147" s="512"/>
      <c r="DF147" s="516"/>
      <c r="DG147" s="508"/>
      <c r="DH147" s="463"/>
      <c r="DI147" s="461"/>
      <c r="DJ147" s="461"/>
      <c r="DK147" s="461"/>
      <c r="DL147" s="464"/>
      <c r="DM147" s="466"/>
      <c r="DN147" s="502"/>
      <c r="DO147" s="460"/>
      <c r="DP147" s="464"/>
      <c r="DQ147" s="464"/>
      <c r="DR147" s="464"/>
      <c r="DS147" s="508"/>
      <c r="DT147" s="525"/>
      <c r="DU147" s="525"/>
      <c r="DV147" s="463"/>
      <c r="DW147" s="464"/>
      <c r="DX147" s="465"/>
      <c r="DY147" s="463"/>
      <c r="DZ147" s="464"/>
      <c r="EA147" s="465"/>
      <c r="EB147" s="463"/>
      <c r="EC147" s="465"/>
      <c r="ED147" s="462"/>
      <c r="EE147" s="502"/>
      <c r="EF147" s="463"/>
      <c r="EG147" s="461"/>
      <c r="EH147" s="464"/>
      <c r="EI147" s="464"/>
      <c r="EJ147" s="464"/>
      <c r="EK147" s="464"/>
      <c r="EL147" s="464"/>
      <c r="EM147" s="464"/>
      <c r="EN147" s="464"/>
      <c r="EO147" s="464"/>
      <c r="EP147" s="464"/>
      <c r="EQ147" s="464"/>
      <c r="ER147" s="464"/>
      <c r="ES147" s="464"/>
      <c r="ET147" s="464"/>
      <c r="EU147" s="464"/>
      <c r="EV147" s="464"/>
      <c r="EW147" s="465"/>
      <c r="EX147" s="465"/>
      <c r="EY147" s="502"/>
      <c r="EZ147" s="460"/>
      <c r="FA147" s="464"/>
      <c r="FB147" s="464"/>
      <c r="FC147" s="464"/>
      <c r="FD147" s="464"/>
      <c r="FE147" s="464"/>
      <c r="FF147" s="464"/>
      <c r="FG147" s="466"/>
    </row>
    <row r="148" spans="1:163">
      <c r="A148" s="467" t="s">
        <v>335</v>
      </c>
      <c r="B148" s="471" t="str">
        <f>IF(ISNUMBER(MATCH(A148, 'Pulldown Data'!W:W, 0))=TRUE, "Y", IF(ISNUMBER(MATCH(A148, 'Pulldown Data'!X:X, 0))=TRUE, "M", ""))</f>
        <v/>
      </c>
      <c r="C148" s="504">
        <v>45630</v>
      </c>
      <c r="D148" s="502"/>
      <c r="E148" s="443" t="str">
        <f t="shared" si="140"/>
        <v>YES</v>
      </c>
      <c r="F148" s="444" t="str">
        <f t="shared" si="140"/>
        <v>YES</v>
      </c>
      <c r="G148" s="444" t="str">
        <f t="shared" si="140"/>
        <v>NO</v>
      </c>
      <c r="H148" s="444" t="str">
        <f t="shared" si="140"/>
        <v>YES</v>
      </c>
      <c r="I148" s="444" t="str">
        <f t="shared" si="140"/>
        <v>YES</v>
      </c>
      <c r="J148" s="444" t="str">
        <f t="shared" si="140"/>
        <v>YES</v>
      </c>
      <c r="K148" s="444" t="str">
        <f t="shared" si="140"/>
        <v>NO</v>
      </c>
      <c r="L148" s="444" t="str">
        <f t="shared" si="140"/>
        <v>NO</v>
      </c>
      <c r="M148" s="444" t="str">
        <f t="shared" si="140"/>
        <v>NO</v>
      </c>
      <c r="N148" s="444" t="str">
        <f t="shared" si="140"/>
        <v>NO</v>
      </c>
      <c r="O148" s="444" t="str">
        <f t="shared" si="141"/>
        <v>NO</v>
      </c>
      <c r="P148" s="444" t="str">
        <f t="shared" si="141"/>
        <v>NO</v>
      </c>
      <c r="Q148" s="444" t="str">
        <f t="shared" si="141"/>
        <v>NO</v>
      </c>
      <c r="R148" s="444" t="str">
        <f t="shared" si="141"/>
        <v>NO</v>
      </c>
      <c r="S148" s="444" t="str">
        <f t="shared" si="141"/>
        <v>NO</v>
      </c>
      <c r="T148" s="444" t="str">
        <f t="shared" si="141"/>
        <v>NO</v>
      </c>
      <c r="U148" s="444" t="str">
        <f t="shared" si="141"/>
        <v>NO</v>
      </c>
      <c r="V148" s="444" t="str">
        <f t="shared" si="141"/>
        <v>NO</v>
      </c>
      <c r="W148" s="444" t="str">
        <f t="shared" si="141"/>
        <v>YES</v>
      </c>
      <c r="X148" s="444" t="str">
        <f t="shared" si="141"/>
        <v>NO</v>
      </c>
      <c r="Y148" s="444" t="str">
        <f t="shared" si="142"/>
        <v>NO</v>
      </c>
      <c r="Z148" s="444" t="str">
        <f t="shared" si="142"/>
        <v>NO</v>
      </c>
      <c r="AA148" s="444" t="str">
        <f t="shared" si="142"/>
        <v>NO</v>
      </c>
      <c r="AB148" s="444" t="str">
        <f t="shared" si="142"/>
        <v>NO</v>
      </c>
      <c r="AC148" s="444" t="str">
        <f t="shared" si="142"/>
        <v>NO</v>
      </c>
      <c r="AD148" s="444" t="str">
        <f t="shared" si="142"/>
        <v>NO</v>
      </c>
      <c r="AE148" s="444" t="str">
        <f t="shared" si="142"/>
        <v>NO</v>
      </c>
      <c r="AF148" s="444" t="str">
        <f t="shared" si="142"/>
        <v>NO</v>
      </c>
      <c r="AG148" s="444" t="str">
        <f t="shared" si="142"/>
        <v>NO</v>
      </c>
      <c r="AH148" s="444" t="str">
        <f t="shared" si="142"/>
        <v>NO</v>
      </c>
      <c r="AI148" s="444" t="str">
        <f t="shared" si="143"/>
        <v>NO</v>
      </c>
      <c r="AJ148" s="444" t="str">
        <f t="shared" si="143"/>
        <v>NO</v>
      </c>
      <c r="AK148" s="444" t="str">
        <f t="shared" si="143"/>
        <v>NO</v>
      </c>
      <c r="AL148" s="444" t="str">
        <f t="shared" si="143"/>
        <v>NO</v>
      </c>
      <c r="AM148" s="444" t="str">
        <f t="shared" si="143"/>
        <v>NO</v>
      </c>
      <c r="AN148" s="444" t="str">
        <f t="shared" si="143"/>
        <v>YES</v>
      </c>
      <c r="AO148" s="444" t="str">
        <f t="shared" si="143"/>
        <v>YES</v>
      </c>
      <c r="AP148" s="444" t="str">
        <f t="shared" si="143"/>
        <v>NO</v>
      </c>
      <c r="AQ148" s="444" t="str">
        <f t="shared" si="143"/>
        <v>NO</v>
      </c>
      <c r="AR148" s="444" t="str">
        <f t="shared" si="143"/>
        <v>NO</v>
      </c>
      <c r="AS148" s="444" t="str">
        <f t="shared" si="144"/>
        <v>NO</v>
      </c>
      <c r="AT148" s="444" t="str">
        <f t="shared" si="144"/>
        <v>YES</v>
      </c>
      <c r="AU148" s="444" t="str">
        <f t="shared" si="144"/>
        <v>NO</v>
      </c>
      <c r="AV148" s="444" t="str">
        <f t="shared" si="144"/>
        <v>NO</v>
      </c>
      <c r="AW148" s="444" t="str">
        <f t="shared" si="144"/>
        <v>NO</v>
      </c>
      <c r="AX148" s="444" t="str">
        <f t="shared" si="144"/>
        <v>NO</v>
      </c>
      <c r="AY148" s="444" t="str">
        <f t="shared" si="144"/>
        <v>NO</v>
      </c>
      <c r="AZ148" s="444" t="str">
        <f t="shared" si="144"/>
        <v>NO</v>
      </c>
      <c r="BA148" s="444" t="str">
        <f t="shared" si="144"/>
        <v>NO</v>
      </c>
      <c r="BB148" s="444" t="str">
        <f t="shared" si="144"/>
        <v>NO</v>
      </c>
      <c r="BC148" s="444" t="str">
        <f t="shared" si="145"/>
        <v>NO</v>
      </c>
      <c r="BD148" s="444" t="str">
        <f t="shared" si="145"/>
        <v>NO</v>
      </c>
      <c r="BE148" s="444" t="str">
        <f t="shared" si="145"/>
        <v>NO</v>
      </c>
      <c r="BF148" s="444" t="str">
        <f t="shared" si="145"/>
        <v>NO</v>
      </c>
      <c r="BG148" s="444" t="str">
        <f t="shared" si="145"/>
        <v>YES</v>
      </c>
      <c r="BH148" s="445" t="str">
        <f t="shared" si="145"/>
        <v>NO</v>
      </c>
      <c r="BI148" s="502"/>
      <c r="BJ148" s="474" t="str">
        <f t="shared" si="146"/>
        <v>NO</v>
      </c>
      <c r="BK148" s="475" t="str">
        <f t="shared" si="146"/>
        <v>NO</v>
      </c>
      <c r="BL148" s="475" t="str">
        <f t="shared" si="146"/>
        <v>NO</v>
      </c>
      <c r="BM148" s="475" t="str">
        <f t="shared" si="146"/>
        <v>NO</v>
      </c>
      <c r="BN148" s="475" t="str">
        <f t="shared" si="146"/>
        <v>NO</v>
      </c>
      <c r="BO148" s="475" t="str">
        <f t="shared" si="146"/>
        <v>NO</v>
      </c>
      <c r="BP148" s="475" t="str">
        <f t="shared" si="146"/>
        <v>NO</v>
      </c>
      <c r="BQ148" s="475" t="str">
        <f t="shared" si="146"/>
        <v>NO</v>
      </c>
      <c r="BR148" s="475" t="str">
        <f t="shared" si="146"/>
        <v>NO</v>
      </c>
      <c r="BS148" s="475" t="str">
        <f t="shared" si="146"/>
        <v>NO</v>
      </c>
      <c r="BT148" s="475" t="str">
        <f t="shared" si="147"/>
        <v>NO</v>
      </c>
      <c r="BU148" s="475" t="str">
        <f t="shared" si="147"/>
        <v>NO</v>
      </c>
      <c r="BV148" s="475" t="str">
        <f t="shared" si="147"/>
        <v>NO</v>
      </c>
      <c r="BW148" s="475" t="str">
        <f t="shared" si="147"/>
        <v>NO</v>
      </c>
      <c r="BX148" s="475" t="str">
        <f t="shared" si="147"/>
        <v>NO</v>
      </c>
      <c r="BY148" s="475" t="str">
        <f t="shared" si="147"/>
        <v>NO</v>
      </c>
      <c r="BZ148" s="475" t="str">
        <f t="shared" si="147"/>
        <v>NO</v>
      </c>
      <c r="CA148" s="475" t="str">
        <f t="shared" si="147"/>
        <v>NO</v>
      </c>
      <c r="CB148" s="475" t="str">
        <f t="shared" si="147"/>
        <v>NO</v>
      </c>
      <c r="CC148" s="475" t="str">
        <f t="shared" si="147"/>
        <v>NO</v>
      </c>
      <c r="CD148" s="475" t="str">
        <f t="shared" si="148"/>
        <v>NO</v>
      </c>
      <c r="CE148" s="475" t="str">
        <f t="shared" si="148"/>
        <v>NO</v>
      </c>
      <c r="CF148" s="475" t="str">
        <f t="shared" si="148"/>
        <v>NO</v>
      </c>
      <c r="CG148" s="475" t="str">
        <f t="shared" si="148"/>
        <v>NO</v>
      </c>
      <c r="CH148" s="475" t="str">
        <f t="shared" si="148"/>
        <v>NO</v>
      </c>
      <c r="CI148" s="475" t="str">
        <f t="shared" si="148"/>
        <v>NO</v>
      </c>
      <c r="CJ148" s="475" t="str">
        <f t="shared" si="148"/>
        <v>NO</v>
      </c>
      <c r="CK148" s="475" t="str">
        <f t="shared" si="148"/>
        <v>NO</v>
      </c>
      <c r="CL148" s="475" t="str">
        <f t="shared" si="148"/>
        <v>NO</v>
      </c>
      <c r="CM148" s="475" t="str">
        <f t="shared" si="148"/>
        <v>NO</v>
      </c>
      <c r="CN148" s="475" t="str">
        <f t="shared" si="149"/>
        <v>NO</v>
      </c>
      <c r="CO148" s="475" t="str">
        <f t="shared" si="149"/>
        <v>NO</v>
      </c>
      <c r="CP148" s="475" t="str">
        <f t="shared" si="149"/>
        <v>NO</v>
      </c>
      <c r="CQ148" s="475" t="str">
        <f t="shared" si="149"/>
        <v>NO</v>
      </c>
      <c r="CR148" s="475" t="str">
        <f t="shared" si="149"/>
        <v>NO</v>
      </c>
      <c r="CS148" s="475" t="str">
        <f t="shared" si="149"/>
        <v>NO</v>
      </c>
      <c r="CT148" s="475" t="str">
        <f t="shared" si="149"/>
        <v>NO</v>
      </c>
      <c r="CU148" s="475" t="str">
        <f t="shared" si="149"/>
        <v>NO</v>
      </c>
      <c r="CV148" s="475" t="str">
        <f t="shared" si="149"/>
        <v>NO</v>
      </c>
      <c r="CW148" s="475" t="str">
        <f t="shared" si="149"/>
        <v>NO</v>
      </c>
      <c r="CX148" s="475" t="str">
        <f t="shared" si="149"/>
        <v>NO</v>
      </c>
      <c r="CY148" s="475" t="str">
        <f t="shared" si="149"/>
        <v>NO</v>
      </c>
      <c r="CZ148" s="495" t="str">
        <f t="shared" si="149"/>
        <v>NO</v>
      </c>
      <c r="DA148" s="502"/>
      <c r="DB148" s="460"/>
      <c r="DC148" s="465"/>
      <c r="DD148" s="463"/>
      <c r="DE148" s="512"/>
      <c r="DF148" s="516"/>
      <c r="DG148" s="508"/>
      <c r="DH148" s="463"/>
      <c r="DI148" s="461"/>
      <c r="DJ148" s="461"/>
      <c r="DK148" s="461"/>
      <c r="DL148" s="464"/>
      <c r="DM148" s="466"/>
      <c r="DN148" s="502"/>
      <c r="DO148" s="460"/>
      <c r="DP148" s="464"/>
      <c r="DQ148" s="464"/>
      <c r="DR148" s="464"/>
      <c r="DS148" s="508"/>
      <c r="DT148" s="525"/>
      <c r="DU148" s="525"/>
      <c r="DV148" s="463"/>
      <c r="DW148" s="464"/>
      <c r="DX148" s="465"/>
      <c r="DY148" s="463"/>
      <c r="DZ148" s="464"/>
      <c r="EA148" s="465"/>
      <c r="EB148" s="463"/>
      <c r="EC148" s="465"/>
      <c r="ED148" s="462"/>
      <c r="EE148" s="502"/>
      <c r="EF148" s="463"/>
      <c r="EG148" s="461"/>
      <c r="EH148" s="464"/>
      <c r="EI148" s="464"/>
      <c r="EJ148" s="464"/>
      <c r="EK148" s="464"/>
      <c r="EL148" s="464"/>
      <c r="EM148" s="464"/>
      <c r="EN148" s="464"/>
      <c r="EO148" s="464"/>
      <c r="EP148" s="464"/>
      <c r="EQ148" s="464"/>
      <c r="ER148" s="464"/>
      <c r="ES148" s="464"/>
      <c r="ET148" s="464"/>
      <c r="EU148" s="464"/>
      <c r="EV148" s="464"/>
      <c r="EW148" s="465"/>
      <c r="EX148" s="465"/>
      <c r="EY148" s="502"/>
      <c r="EZ148" s="460"/>
      <c r="FA148" s="464"/>
      <c r="FB148" s="464"/>
      <c r="FC148" s="464"/>
      <c r="FD148" s="464"/>
      <c r="FE148" s="464"/>
      <c r="FF148" s="464"/>
      <c r="FG148" s="466"/>
    </row>
    <row r="149" spans="1:163">
      <c r="A149" s="467" t="s">
        <v>336</v>
      </c>
      <c r="B149" s="471" t="str">
        <f>IF(ISNUMBER(MATCH(A149, 'Pulldown Data'!W:W, 0))=TRUE, "Y", IF(ISNUMBER(MATCH(A149, 'Pulldown Data'!X:X, 0))=TRUE, "M", ""))</f>
        <v/>
      </c>
      <c r="C149" s="504">
        <v>45630</v>
      </c>
      <c r="D149" s="502"/>
      <c r="E149" s="443" t="str">
        <f t="shared" si="140"/>
        <v>NO</v>
      </c>
      <c r="F149" s="444" t="str">
        <f t="shared" si="140"/>
        <v>NO</v>
      </c>
      <c r="G149" s="444" t="str">
        <f t="shared" si="140"/>
        <v>YES</v>
      </c>
      <c r="H149" s="444" t="str">
        <f t="shared" si="140"/>
        <v>YES</v>
      </c>
      <c r="I149" s="444" t="str">
        <f t="shared" si="140"/>
        <v>YES</v>
      </c>
      <c r="J149" s="444" t="str">
        <f t="shared" si="140"/>
        <v>YES</v>
      </c>
      <c r="K149" s="444" t="str">
        <f t="shared" si="140"/>
        <v>NO</v>
      </c>
      <c r="L149" s="444" t="str">
        <f t="shared" si="140"/>
        <v>YES</v>
      </c>
      <c r="M149" s="444" t="str">
        <f t="shared" si="140"/>
        <v>YES</v>
      </c>
      <c r="N149" s="444" t="str">
        <f t="shared" si="140"/>
        <v>YES</v>
      </c>
      <c r="O149" s="444" t="str">
        <f t="shared" si="141"/>
        <v>YES</v>
      </c>
      <c r="P149" s="444" t="str">
        <f t="shared" si="141"/>
        <v>YES</v>
      </c>
      <c r="Q149" s="444" t="str">
        <f t="shared" si="141"/>
        <v>YES</v>
      </c>
      <c r="R149" s="444" t="str">
        <f t="shared" si="141"/>
        <v>NO</v>
      </c>
      <c r="S149" s="444" t="str">
        <f t="shared" si="141"/>
        <v>NO</v>
      </c>
      <c r="T149" s="444" t="str">
        <f t="shared" si="141"/>
        <v>YES</v>
      </c>
      <c r="U149" s="444" t="str">
        <f t="shared" si="141"/>
        <v>YES</v>
      </c>
      <c r="V149" s="444" t="str">
        <f t="shared" si="141"/>
        <v>YES</v>
      </c>
      <c r="W149" s="444" t="str">
        <f t="shared" si="141"/>
        <v>YES</v>
      </c>
      <c r="X149" s="444" t="str">
        <f t="shared" si="141"/>
        <v>NO</v>
      </c>
      <c r="Y149" s="444" t="str">
        <f t="shared" si="142"/>
        <v>NO</v>
      </c>
      <c r="Z149" s="444" t="str">
        <f t="shared" si="142"/>
        <v>NO</v>
      </c>
      <c r="AA149" s="444" t="str">
        <f t="shared" si="142"/>
        <v>NO</v>
      </c>
      <c r="AB149" s="444" t="str">
        <f t="shared" si="142"/>
        <v>NO</v>
      </c>
      <c r="AC149" s="444" t="str">
        <f t="shared" si="142"/>
        <v>NO</v>
      </c>
      <c r="AD149" s="444" t="str">
        <f t="shared" si="142"/>
        <v>NO</v>
      </c>
      <c r="AE149" s="444" t="str">
        <f t="shared" si="142"/>
        <v>YES</v>
      </c>
      <c r="AF149" s="444" t="str">
        <f t="shared" si="142"/>
        <v>NO</v>
      </c>
      <c r="AG149" s="444" t="str">
        <f t="shared" si="142"/>
        <v>NO</v>
      </c>
      <c r="AH149" s="444" t="str">
        <f t="shared" si="142"/>
        <v>NO</v>
      </c>
      <c r="AI149" s="444" t="str">
        <f t="shared" si="143"/>
        <v>NO</v>
      </c>
      <c r="AJ149" s="444" t="str">
        <f t="shared" si="143"/>
        <v>YES</v>
      </c>
      <c r="AK149" s="444" t="str">
        <f t="shared" si="143"/>
        <v>NO</v>
      </c>
      <c r="AL149" s="444" t="str">
        <f t="shared" si="143"/>
        <v>NO</v>
      </c>
      <c r="AM149" s="444" t="str">
        <f t="shared" si="143"/>
        <v>YES</v>
      </c>
      <c r="AN149" s="444" t="str">
        <f t="shared" si="143"/>
        <v>NO</v>
      </c>
      <c r="AO149" s="444" t="str">
        <f t="shared" si="143"/>
        <v>NO</v>
      </c>
      <c r="AP149" s="444" t="str">
        <f t="shared" si="143"/>
        <v>NO</v>
      </c>
      <c r="AQ149" s="444" t="str">
        <f t="shared" si="143"/>
        <v>YES</v>
      </c>
      <c r="AR149" s="444" t="str">
        <f t="shared" si="143"/>
        <v>NO</v>
      </c>
      <c r="AS149" s="444" t="str">
        <f t="shared" si="144"/>
        <v>NO</v>
      </c>
      <c r="AT149" s="444" t="str">
        <f t="shared" si="144"/>
        <v>DEP</v>
      </c>
      <c r="AU149" s="444" t="str">
        <f t="shared" si="144"/>
        <v>DEP</v>
      </c>
      <c r="AV149" s="444" t="str">
        <f t="shared" si="144"/>
        <v>DEP</v>
      </c>
      <c r="AW149" s="444" t="str">
        <f t="shared" si="144"/>
        <v>NO</v>
      </c>
      <c r="AX149" s="444" t="str">
        <f t="shared" si="144"/>
        <v>DEP</v>
      </c>
      <c r="AY149" s="444" t="str">
        <f t="shared" si="144"/>
        <v>DEP</v>
      </c>
      <c r="AZ149" s="444" t="str">
        <f t="shared" si="144"/>
        <v>DEP</v>
      </c>
      <c r="BA149" s="444" t="str">
        <f t="shared" si="144"/>
        <v>NO</v>
      </c>
      <c r="BB149" s="444" t="str">
        <f t="shared" si="144"/>
        <v>YES</v>
      </c>
      <c r="BC149" s="444" t="str">
        <f t="shared" si="145"/>
        <v>NO</v>
      </c>
      <c r="BD149" s="444" t="str">
        <f t="shared" si="145"/>
        <v>NO</v>
      </c>
      <c r="BE149" s="444" t="str">
        <f t="shared" si="145"/>
        <v>YES</v>
      </c>
      <c r="BF149" s="444" t="str">
        <f t="shared" si="145"/>
        <v>YES</v>
      </c>
      <c r="BG149" s="444" t="str">
        <f t="shared" si="145"/>
        <v>YES</v>
      </c>
      <c r="BH149" s="445" t="str">
        <f t="shared" si="145"/>
        <v>NO</v>
      </c>
      <c r="BI149" s="502"/>
      <c r="BJ149" s="474" t="str">
        <f t="shared" si="146"/>
        <v>NO</v>
      </c>
      <c r="BK149" s="475" t="str">
        <f t="shared" si="146"/>
        <v>NO</v>
      </c>
      <c r="BL149" s="475" t="str">
        <f t="shared" si="146"/>
        <v>NO</v>
      </c>
      <c r="BM149" s="475" t="str">
        <f t="shared" si="146"/>
        <v>NO</v>
      </c>
      <c r="BN149" s="475" t="str">
        <f t="shared" si="146"/>
        <v>NO</v>
      </c>
      <c r="BO149" s="475" t="str">
        <f t="shared" si="146"/>
        <v>NO</v>
      </c>
      <c r="BP149" s="475" t="str">
        <f t="shared" si="146"/>
        <v>YES</v>
      </c>
      <c r="BQ149" s="475" t="str">
        <f t="shared" si="146"/>
        <v>NO</v>
      </c>
      <c r="BR149" s="475" t="str">
        <f t="shared" si="146"/>
        <v>NO</v>
      </c>
      <c r="BS149" s="475" t="str">
        <f t="shared" si="146"/>
        <v>NO</v>
      </c>
      <c r="BT149" s="475" t="str">
        <f t="shared" si="147"/>
        <v>NO</v>
      </c>
      <c r="BU149" s="475" t="str">
        <f t="shared" si="147"/>
        <v>NO</v>
      </c>
      <c r="BV149" s="475" t="str">
        <f t="shared" si="147"/>
        <v>NO</v>
      </c>
      <c r="BW149" s="475" t="str">
        <f t="shared" si="147"/>
        <v>NO</v>
      </c>
      <c r="BX149" s="475" t="str">
        <f t="shared" si="147"/>
        <v>NO</v>
      </c>
      <c r="BY149" s="475" t="str">
        <f t="shared" si="147"/>
        <v>NO</v>
      </c>
      <c r="BZ149" s="475" t="str">
        <f t="shared" si="147"/>
        <v>NO</v>
      </c>
      <c r="CA149" s="475" t="str">
        <f t="shared" si="147"/>
        <v>NO</v>
      </c>
      <c r="CB149" s="475" t="str">
        <f t="shared" si="147"/>
        <v>NO</v>
      </c>
      <c r="CC149" s="475" t="str">
        <f t="shared" si="147"/>
        <v>NO</v>
      </c>
      <c r="CD149" s="475" t="str">
        <f t="shared" si="148"/>
        <v>NO</v>
      </c>
      <c r="CE149" s="475" t="str">
        <f t="shared" si="148"/>
        <v>NO</v>
      </c>
      <c r="CF149" s="475" t="str">
        <f t="shared" si="148"/>
        <v>NO</v>
      </c>
      <c r="CG149" s="475" t="str">
        <f t="shared" si="148"/>
        <v>NO</v>
      </c>
      <c r="CH149" s="475" t="str">
        <f t="shared" si="148"/>
        <v>NO</v>
      </c>
      <c r="CI149" s="475" t="str">
        <f t="shared" si="148"/>
        <v>NO</v>
      </c>
      <c r="CJ149" s="475" t="str">
        <f t="shared" si="148"/>
        <v>NO</v>
      </c>
      <c r="CK149" s="475" t="str">
        <f t="shared" si="148"/>
        <v>NO</v>
      </c>
      <c r="CL149" s="475" t="str">
        <f t="shared" si="148"/>
        <v>NO</v>
      </c>
      <c r="CM149" s="475" t="str">
        <f t="shared" si="148"/>
        <v>NO</v>
      </c>
      <c r="CN149" s="475" t="str">
        <f t="shared" si="149"/>
        <v>NO</v>
      </c>
      <c r="CO149" s="475" t="str">
        <f t="shared" si="149"/>
        <v>NO</v>
      </c>
      <c r="CP149" s="475" t="str">
        <f t="shared" si="149"/>
        <v>NO</v>
      </c>
      <c r="CQ149" s="475" t="str">
        <f t="shared" si="149"/>
        <v>NO</v>
      </c>
      <c r="CR149" s="475" t="str">
        <f t="shared" si="149"/>
        <v>NO</v>
      </c>
      <c r="CS149" s="475" t="str">
        <f t="shared" si="149"/>
        <v>NO</v>
      </c>
      <c r="CT149" s="475" t="str">
        <f t="shared" si="149"/>
        <v>NO</v>
      </c>
      <c r="CU149" s="475" t="str">
        <f t="shared" si="149"/>
        <v>NO</v>
      </c>
      <c r="CV149" s="475" t="str">
        <f t="shared" si="149"/>
        <v>NO</v>
      </c>
      <c r="CW149" s="475" t="str">
        <f t="shared" si="149"/>
        <v>NO</v>
      </c>
      <c r="CX149" s="475" t="str">
        <f t="shared" si="149"/>
        <v>NO</v>
      </c>
      <c r="CY149" s="475" t="str">
        <f t="shared" si="149"/>
        <v>NO</v>
      </c>
      <c r="CZ149" s="495" t="str">
        <f t="shared" si="149"/>
        <v>NO</v>
      </c>
      <c r="DA149" s="502"/>
      <c r="DB149" s="460">
        <v>2</v>
      </c>
      <c r="DC149" s="465">
        <v>3.1</v>
      </c>
      <c r="DD149" s="463" t="s">
        <v>337</v>
      </c>
      <c r="DE149" s="513" t="s">
        <v>338</v>
      </c>
      <c r="DF149" s="517"/>
      <c r="DG149" s="508" t="s">
        <v>339</v>
      </c>
      <c r="DH149" s="463"/>
      <c r="DI149" s="461"/>
      <c r="DJ149" s="461"/>
      <c r="DK149" s="461"/>
      <c r="DL149" s="464"/>
      <c r="DM149" s="466"/>
      <c r="DN149" s="502"/>
      <c r="DO149" s="460" t="s">
        <v>339</v>
      </c>
      <c r="DP149" s="464" t="s">
        <v>339</v>
      </c>
      <c r="DQ149" s="464"/>
      <c r="DR149" s="464" t="s">
        <v>339</v>
      </c>
      <c r="DS149" s="508" t="s">
        <v>339</v>
      </c>
      <c r="DT149" s="525"/>
      <c r="DU149" s="525"/>
      <c r="DV149" s="463" t="s">
        <v>339</v>
      </c>
      <c r="DW149" s="464"/>
      <c r="DX149" s="465" t="s">
        <v>339</v>
      </c>
      <c r="DY149" s="463"/>
      <c r="DZ149" s="464"/>
      <c r="EA149" s="465" t="s">
        <v>339</v>
      </c>
      <c r="EB149" s="463" t="s">
        <v>339</v>
      </c>
      <c r="EC149" s="465" t="s">
        <v>339</v>
      </c>
      <c r="ED149" s="462">
        <v>61</v>
      </c>
      <c r="EE149" s="502"/>
      <c r="EF149" s="463"/>
      <c r="EG149" s="461"/>
      <c r="EH149" s="464" t="s">
        <v>339</v>
      </c>
      <c r="EI149" s="464"/>
      <c r="EJ149" s="464"/>
      <c r="EK149" s="464"/>
      <c r="EL149" s="464"/>
      <c r="EM149" s="464"/>
      <c r="EN149" s="464" t="s">
        <v>339</v>
      </c>
      <c r="EO149" s="464"/>
      <c r="EP149" s="464"/>
      <c r="EQ149" s="464"/>
      <c r="ER149" s="464"/>
      <c r="ES149" s="464"/>
      <c r="ET149" s="464"/>
      <c r="EU149" s="464" t="s">
        <v>339</v>
      </c>
      <c r="EV149" s="464"/>
      <c r="EW149" s="465"/>
      <c r="EX149" s="465"/>
      <c r="EY149" s="502"/>
      <c r="EZ149" s="460" t="s">
        <v>339</v>
      </c>
      <c r="FA149" s="464"/>
      <c r="FB149" s="464"/>
      <c r="FC149" s="464"/>
      <c r="FD149" s="464"/>
      <c r="FE149" s="464"/>
      <c r="FF149" s="464"/>
      <c r="FG149" s="466"/>
    </row>
    <row r="150" spans="1:163">
      <c r="A150" s="467" t="s">
        <v>340</v>
      </c>
      <c r="B150" s="471" t="str">
        <f>IF(ISNUMBER(MATCH(A150, 'Pulldown Data'!W:W, 0))=TRUE, "Y", IF(ISNUMBER(MATCH(A150, 'Pulldown Data'!X:X, 0))=TRUE, "M", ""))</f>
        <v/>
      </c>
      <c r="C150" s="504">
        <v>45630</v>
      </c>
      <c r="D150" s="502"/>
      <c r="E150" s="443" t="str">
        <f t="shared" si="140"/>
        <v>NO</v>
      </c>
      <c r="F150" s="444" t="str">
        <f t="shared" si="140"/>
        <v>NO</v>
      </c>
      <c r="G150" s="444" t="str">
        <f t="shared" si="140"/>
        <v>YES</v>
      </c>
      <c r="H150" s="444" t="str">
        <f t="shared" si="140"/>
        <v>YES</v>
      </c>
      <c r="I150" s="444" t="str">
        <f t="shared" si="140"/>
        <v>YES</v>
      </c>
      <c r="J150" s="444" t="str">
        <f t="shared" si="140"/>
        <v>YES</v>
      </c>
      <c r="K150" s="444" t="str">
        <f t="shared" si="140"/>
        <v>NO</v>
      </c>
      <c r="L150" s="444" t="str">
        <f t="shared" si="140"/>
        <v>YES</v>
      </c>
      <c r="M150" s="444" t="str">
        <f t="shared" si="140"/>
        <v>YES</v>
      </c>
      <c r="N150" s="444" t="str">
        <f t="shared" si="140"/>
        <v>YES</v>
      </c>
      <c r="O150" s="444" t="str">
        <f t="shared" si="141"/>
        <v>YES</v>
      </c>
      <c r="P150" s="444" t="str">
        <f t="shared" si="141"/>
        <v>YES</v>
      </c>
      <c r="Q150" s="444" t="str">
        <f t="shared" si="141"/>
        <v>YES</v>
      </c>
      <c r="R150" s="444" t="str">
        <f t="shared" si="141"/>
        <v>NO</v>
      </c>
      <c r="S150" s="444" t="str">
        <f t="shared" si="141"/>
        <v>NO</v>
      </c>
      <c r="T150" s="444" t="str">
        <f t="shared" si="141"/>
        <v>YES</v>
      </c>
      <c r="U150" s="444" t="str">
        <f t="shared" si="141"/>
        <v>YES</v>
      </c>
      <c r="V150" s="444" t="str">
        <f t="shared" si="141"/>
        <v>YES</v>
      </c>
      <c r="W150" s="444" t="str">
        <f t="shared" si="141"/>
        <v>YES</v>
      </c>
      <c r="X150" s="444" t="str">
        <f t="shared" si="141"/>
        <v>NO</v>
      </c>
      <c r="Y150" s="444" t="str">
        <f t="shared" si="142"/>
        <v>NO</v>
      </c>
      <c r="Z150" s="444" t="str">
        <f t="shared" si="142"/>
        <v>NO</v>
      </c>
      <c r="AA150" s="444" t="str">
        <f t="shared" si="142"/>
        <v>YES</v>
      </c>
      <c r="AB150" s="444" t="str">
        <f t="shared" si="142"/>
        <v>YES</v>
      </c>
      <c r="AC150" s="444" t="str">
        <f t="shared" si="142"/>
        <v>YES</v>
      </c>
      <c r="AD150" s="444" t="str">
        <f t="shared" si="142"/>
        <v>YES</v>
      </c>
      <c r="AE150" s="444" t="str">
        <f t="shared" si="142"/>
        <v>YES</v>
      </c>
      <c r="AF150" s="444" t="str">
        <f t="shared" si="142"/>
        <v>YES</v>
      </c>
      <c r="AG150" s="444" t="str">
        <f t="shared" si="142"/>
        <v>YES</v>
      </c>
      <c r="AH150" s="444" t="str">
        <f t="shared" si="142"/>
        <v>YES</v>
      </c>
      <c r="AI150" s="444" t="str">
        <f t="shared" si="143"/>
        <v>NO</v>
      </c>
      <c r="AJ150" s="444" t="str">
        <f t="shared" si="143"/>
        <v>YES</v>
      </c>
      <c r="AK150" s="444" t="str">
        <f t="shared" si="143"/>
        <v>NO</v>
      </c>
      <c r="AL150" s="444" t="str">
        <f t="shared" si="143"/>
        <v>YES</v>
      </c>
      <c r="AM150" s="444" t="str">
        <f t="shared" si="143"/>
        <v>YES</v>
      </c>
      <c r="AN150" s="444" t="str">
        <f t="shared" si="143"/>
        <v>NO</v>
      </c>
      <c r="AO150" s="444" t="str">
        <f t="shared" si="143"/>
        <v>YES</v>
      </c>
      <c r="AP150" s="444" t="str">
        <f t="shared" si="143"/>
        <v>NO</v>
      </c>
      <c r="AQ150" s="444" t="str">
        <f t="shared" si="143"/>
        <v>YES</v>
      </c>
      <c r="AR150" s="444" t="str">
        <f t="shared" si="143"/>
        <v>NO</v>
      </c>
      <c r="AS150" s="444" t="str">
        <f t="shared" si="144"/>
        <v>NO</v>
      </c>
      <c r="AT150" s="444" t="str">
        <f t="shared" si="144"/>
        <v>YES</v>
      </c>
      <c r="AU150" s="444" t="str">
        <f t="shared" si="144"/>
        <v>YES</v>
      </c>
      <c r="AV150" s="444" t="str">
        <f t="shared" si="144"/>
        <v>YES</v>
      </c>
      <c r="AW150" s="444" t="str">
        <f t="shared" si="144"/>
        <v>NO</v>
      </c>
      <c r="AX150" s="444" t="str">
        <f t="shared" si="144"/>
        <v>DEP</v>
      </c>
      <c r="AY150" s="444" t="str">
        <f t="shared" si="144"/>
        <v>DEP</v>
      </c>
      <c r="AZ150" s="444" t="str">
        <f t="shared" si="144"/>
        <v>DEP</v>
      </c>
      <c r="BA150" s="444" t="str">
        <f t="shared" si="144"/>
        <v>DEP</v>
      </c>
      <c r="BB150" s="444" t="str">
        <f t="shared" si="144"/>
        <v>YES</v>
      </c>
      <c r="BC150" s="444" t="str">
        <f t="shared" si="145"/>
        <v>NO</v>
      </c>
      <c r="BD150" s="444" t="str">
        <f t="shared" si="145"/>
        <v>NO</v>
      </c>
      <c r="BE150" s="444" t="str">
        <f t="shared" si="145"/>
        <v>NO</v>
      </c>
      <c r="BF150" s="444" t="str">
        <f t="shared" si="145"/>
        <v>YES</v>
      </c>
      <c r="BG150" s="444" t="str">
        <f t="shared" si="145"/>
        <v>YES</v>
      </c>
      <c r="BH150" s="445" t="str">
        <f t="shared" si="145"/>
        <v>NO</v>
      </c>
      <c r="BI150" s="502"/>
      <c r="BJ150" s="474" t="str">
        <f t="shared" si="146"/>
        <v>NO</v>
      </c>
      <c r="BK150" s="475" t="str">
        <f t="shared" si="146"/>
        <v>NO</v>
      </c>
      <c r="BL150" s="475" t="str">
        <f t="shared" si="146"/>
        <v>NO</v>
      </c>
      <c r="BM150" s="475" t="str">
        <f t="shared" si="146"/>
        <v>NO</v>
      </c>
      <c r="BN150" s="475" t="str">
        <f t="shared" si="146"/>
        <v>NO</v>
      </c>
      <c r="BO150" s="475" t="str">
        <f t="shared" si="146"/>
        <v>NO</v>
      </c>
      <c r="BP150" s="475" t="str">
        <f t="shared" si="146"/>
        <v>NO</v>
      </c>
      <c r="BQ150" s="475" t="str">
        <f t="shared" si="146"/>
        <v>NO</v>
      </c>
      <c r="BR150" s="475" t="str">
        <f t="shared" si="146"/>
        <v>NO</v>
      </c>
      <c r="BS150" s="475" t="str">
        <f t="shared" si="146"/>
        <v>NO</v>
      </c>
      <c r="BT150" s="475" t="str">
        <f t="shared" si="147"/>
        <v>NO</v>
      </c>
      <c r="BU150" s="475" t="str">
        <f t="shared" si="147"/>
        <v>NO</v>
      </c>
      <c r="BV150" s="475" t="str">
        <f t="shared" si="147"/>
        <v>NO</v>
      </c>
      <c r="BW150" s="475" t="str">
        <f t="shared" si="147"/>
        <v>YES</v>
      </c>
      <c r="BX150" s="475" t="str">
        <f t="shared" si="147"/>
        <v>NO</v>
      </c>
      <c r="BY150" s="475" t="str">
        <f t="shared" si="147"/>
        <v>NO</v>
      </c>
      <c r="BZ150" s="475" t="str">
        <f t="shared" si="147"/>
        <v>NO</v>
      </c>
      <c r="CA150" s="475" t="str">
        <f t="shared" si="147"/>
        <v>NO</v>
      </c>
      <c r="CB150" s="475" t="str">
        <f t="shared" si="147"/>
        <v>NO</v>
      </c>
      <c r="CC150" s="475" t="str">
        <f t="shared" si="147"/>
        <v>NO</v>
      </c>
      <c r="CD150" s="475" t="str">
        <f t="shared" si="148"/>
        <v>NO</v>
      </c>
      <c r="CE150" s="475" t="str">
        <f t="shared" si="148"/>
        <v>NO</v>
      </c>
      <c r="CF150" s="475" t="str">
        <f t="shared" si="148"/>
        <v>NO</v>
      </c>
      <c r="CG150" s="475" t="str">
        <f t="shared" si="148"/>
        <v>NO</v>
      </c>
      <c r="CH150" s="475" t="str">
        <f t="shared" si="148"/>
        <v>NO</v>
      </c>
      <c r="CI150" s="475" t="str">
        <f t="shared" si="148"/>
        <v>NO</v>
      </c>
      <c r="CJ150" s="475" t="str">
        <f t="shared" si="148"/>
        <v>NO</v>
      </c>
      <c r="CK150" s="475" t="str">
        <f t="shared" si="148"/>
        <v>NO</v>
      </c>
      <c r="CL150" s="475" t="str">
        <f t="shared" si="148"/>
        <v>NO</v>
      </c>
      <c r="CM150" s="475" t="str">
        <f t="shared" si="148"/>
        <v>NO</v>
      </c>
      <c r="CN150" s="475" t="str">
        <f t="shared" si="149"/>
        <v>YES</v>
      </c>
      <c r="CO150" s="475" t="str">
        <f t="shared" si="149"/>
        <v>YES</v>
      </c>
      <c r="CP150" s="475" t="str">
        <f t="shared" si="149"/>
        <v>NO</v>
      </c>
      <c r="CQ150" s="475" t="str">
        <f t="shared" si="149"/>
        <v>NO</v>
      </c>
      <c r="CR150" s="475" t="str">
        <f t="shared" si="149"/>
        <v>NO</v>
      </c>
      <c r="CS150" s="475" t="str">
        <f t="shared" si="149"/>
        <v>NO</v>
      </c>
      <c r="CT150" s="475" t="str">
        <f t="shared" si="149"/>
        <v>NO</v>
      </c>
      <c r="CU150" s="475" t="str">
        <f t="shared" si="149"/>
        <v>NO</v>
      </c>
      <c r="CV150" s="475" t="str">
        <f t="shared" si="149"/>
        <v>NO</v>
      </c>
      <c r="CW150" s="475" t="str">
        <f t="shared" si="149"/>
        <v>NO</v>
      </c>
      <c r="CX150" s="475" t="str">
        <f t="shared" si="149"/>
        <v>NO</v>
      </c>
      <c r="CY150" s="475" t="str">
        <f t="shared" si="149"/>
        <v>NO</v>
      </c>
      <c r="CZ150" s="495" t="str">
        <f t="shared" si="149"/>
        <v>NO</v>
      </c>
      <c r="DA150" s="502"/>
      <c r="DB150" s="460">
        <v>2</v>
      </c>
      <c r="DC150" s="465">
        <v>3.1</v>
      </c>
      <c r="DD150" s="463" t="s">
        <v>337</v>
      </c>
      <c r="DE150" s="513" t="s">
        <v>338</v>
      </c>
      <c r="DF150" s="516"/>
      <c r="DG150" s="508" t="s">
        <v>339</v>
      </c>
      <c r="DH150" s="463"/>
      <c r="DI150" s="461"/>
      <c r="DJ150" s="461"/>
      <c r="DK150" s="461"/>
      <c r="DL150" s="464"/>
      <c r="DM150" s="466"/>
      <c r="DN150" s="502"/>
      <c r="DO150" s="460" t="s">
        <v>339</v>
      </c>
      <c r="DP150" s="464" t="s">
        <v>339</v>
      </c>
      <c r="DQ150" s="464"/>
      <c r="DR150" s="464" t="s">
        <v>339</v>
      </c>
      <c r="DS150" s="508" t="s">
        <v>339</v>
      </c>
      <c r="DT150" s="525"/>
      <c r="DU150" s="525"/>
      <c r="DV150" s="463"/>
      <c r="DW150" s="464"/>
      <c r="DX150" s="465"/>
      <c r="DY150" s="463"/>
      <c r="DZ150" s="464"/>
      <c r="EA150" s="465"/>
      <c r="EB150" s="463"/>
      <c r="EC150" s="465"/>
      <c r="ED150" s="462">
        <v>61</v>
      </c>
      <c r="EE150" s="502"/>
      <c r="EF150" s="463"/>
      <c r="EG150" s="461"/>
      <c r="EH150" s="464" t="s">
        <v>339</v>
      </c>
      <c r="EI150" s="464"/>
      <c r="EJ150" s="464"/>
      <c r="EK150" s="464"/>
      <c r="EL150" s="464"/>
      <c r="EM150" s="464"/>
      <c r="EN150" s="464" t="s">
        <v>339</v>
      </c>
      <c r="EO150" s="464"/>
      <c r="EP150" s="464"/>
      <c r="EQ150" s="464"/>
      <c r="ER150" s="464"/>
      <c r="ES150" s="464"/>
      <c r="ET150" s="464"/>
      <c r="EU150" s="464"/>
      <c r="EV150" s="464"/>
      <c r="EW150" s="465"/>
      <c r="EX150" s="465"/>
      <c r="EY150" s="502"/>
      <c r="EZ150" s="460"/>
      <c r="FA150" s="464"/>
      <c r="FB150" s="464"/>
      <c r="FC150" s="464"/>
      <c r="FD150" s="464"/>
      <c r="FE150" s="464"/>
      <c r="FF150" s="464"/>
      <c r="FG150" s="466"/>
    </row>
    <row r="151" spans="1:163">
      <c r="A151" s="467" t="s">
        <v>341</v>
      </c>
      <c r="B151" s="471" t="str">
        <f>IF(ISNUMBER(MATCH(A151, 'Pulldown Data'!W:W, 0))=TRUE, "Y", IF(ISNUMBER(MATCH(A151, 'Pulldown Data'!X:X, 0))=TRUE, "M", ""))</f>
        <v/>
      </c>
      <c r="C151" s="504"/>
      <c r="D151" s="502"/>
      <c r="E151" s="443" t="str">
        <f t="shared" si="140"/>
        <v/>
      </c>
      <c r="F151" s="444" t="str">
        <f t="shared" si="140"/>
        <v/>
      </c>
      <c r="G151" s="444" t="str">
        <f t="shared" si="140"/>
        <v/>
      </c>
      <c r="H151" s="444" t="str">
        <f t="shared" si="140"/>
        <v/>
      </c>
      <c r="I151" s="444" t="str">
        <f t="shared" si="140"/>
        <v/>
      </c>
      <c r="J151" s="444" t="str">
        <f t="shared" si="140"/>
        <v/>
      </c>
      <c r="K151" s="444" t="str">
        <f t="shared" si="140"/>
        <v/>
      </c>
      <c r="L151" s="444" t="str">
        <f t="shared" si="140"/>
        <v/>
      </c>
      <c r="M151" s="444" t="str">
        <f t="shared" si="140"/>
        <v/>
      </c>
      <c r="N151" s="444" t="str">
        <f t="shared" si="140"/>
        <v/>
      </c>
      <c r="O151" s="444" t="str">
        <f t="shared" si="141"/>
        <v/>
      </c>
      <c r="P151" s="444" t="str">
        <f t="shared" si="141"/>
        <v/>
      </c>
      <c r="Q151" s="444" t="str">
        <f t="shared" si="141"/>
        <v/>
      </c>
      <c r="R151" s="444" t="str">
        <f t="shared" si="141"/>
        <v/>
      </c>
      <c r="S151" s="444" t="str">
        <f t="shared" si="141"/>
        <v/>
      </c>
      <c r="T151" s="444" t="str">
        <f t="shared" si="141"/>
        <v/>
      </c>
      <c r="U151" s="444" t="str">
        <f t="shared" si="141"/>
        <v/>
      </c>
      <c r="V151" s="444" t="str">
        <f t="shared" si="141"/>
        <v/>
      </c>
      <c r="W151" s="444" t="str">
        <f t="shared" si="141"/>
        <v/>
      </c>
      <c r="X151" s="444" t="str">
        <f t="shared" si="141"/>
        <v/>
      </c>
      <c r="Y151" s="444" t="str">
        <f t="shared" si="142"/>
        <v/>
      </c>
      <c r="Z151" s="444" t="str">
        <f t="shared" si="142"/>
        <v/>
      </c>
      <c r="AA151" s="444" t="str">
        <f t="shared" si="142"/>
        <v/>
      </c>
      <c r="AB151" s="444" t="str">
        <f t="shared" si="142"/>
        <v/>
      </c>
      <c r="AC151" s="444" t="str">
        <f t="shared" si="142"/>
        <v/>
      </c>
      <c r="AD151" s="444" t="str">
        <f t="shared" si="142"/>
        <v/>
      </c>
      <c r="AE151" s="444" t="str">
        <f t="shared" si="142"/>
        <v/>
      </c>
      <c r="AF151" s="444" t="str">
        <f t="shared" si="142"/>
        <v/>
      </c>
      <c r="AG151" s="444" t="str">
        <f t="shared" si="142"/>
        <v/>
      </c>
      <c r="AH151" s="444" t="str">
        <f t="shared" si="142"/>
        <v/>
      </c>
      <c r="AI151" s="444" t="str">
        <f t="shared" si="143"/>
        <v/>
      </c>
      <c r="AJ151" s="444" t="str">
        <f t="shared" si="143"/>
        <v/>
      </c>
      <c r="AK151" s="444" t="str">
        <f t="shared" si="143"/>
        <v/>
      </c>
      <c r="AL151" s="444" t="str">
        <f t="shared" si="143"/>
        <v/>
      </c>
      <c r="AM151" s="444" t="str">
        <f t="shared" si="143"/>
        <v/>
      </c>
      <c r="AN151" s="444" t="str">
        <f t="shared" si="143"/>
        <v/>
      </c>
      <c r="AO151" s="444" t="str">
        <f t="shared" si="143"/>
        <v/>
      </c>
      <c r="AP151" s="444" t="str">
        <f t="shared" si="143"/>
        <v/>
      </c>
      <c r="AQ151" s="444" t="str">
        <f t="shared" si="143"/>
        <v/>
      </c>
      <c r="AR151" s="444" t="str">
        <f t="shared" si="143"/>
        <v/>
      </c>
      <c r="AS151" s="444" t="str">
        <f t="shared" si="144"/>
        <v/>
      </c>
      <c r="AT151" s="444" t="str">
        <f t="shared" si="144"/>
        <v/>
      </c>
      <c r="AU151" s="444" t="str">
        <f t="shared" si="144"/>
        <v/>
      </c>
      <c r="AV151" s="444" t="str">
        <f t="shared" si="144"/>
        <v/>
      </c>
      <c r="AW151" s="444" t="str">
        <f t="shared" si="144"/>
        <v/>
      </c>
      <c r="AX151" s="444" t="str">
        <f t="shared" si="144"/>
        <v/>
      </c>
      <c r="AY151" s="444" t="str">
        <f t="shared" si="144"/>
        <v/>
      </c>
      <c r="AZ151" s="444" t="str">
        <f t="shared" si="144"/>
        <v/>
      </c>
      <c r="BA151" s="444" t="str">
        <f t="shared" si="144"/>
        <v/>
      </c>
      <c r="BB151" s="444" t="str">
        <f t="shared" si="144"/>
        <v/>
      </c>
      <c r="BC151" s="444" t="str">
        <f t="shared" si="145"/>
        <v/>
      </c>
      <c r="BD151" s="444" t="str">
        <f t="shared" si="145"/>
        <v/>
      </c>
      <c r="BE151" s="444" t="str">
        <f t="shared" si="145"/>
        <v/>
      </c>
      <c r="BF151" s="444" t="str">
        <f t="shared" si="145"/>
        <v/>
      </c>
      <c r="BG151" s="444" t="str">
        <f t="shared" si="145"/>
        <v/>
      </c>
      <c r="BH151" s="445" t="str">
        <f t="shared" si="145"/>
        <v/>
      </c>
      <c r="BI151" s="502"/>
      <c r="BJ151" s="474" t="str">
        <f t="shared" si="146"/>
        <v/>
      </c>
      <c r="BK151" s="475" t="str">
        <f t="shared" si="146"/>
        <v/>
      </c>
      <c r="BL151" s="475" t="str">
        <f t="shared" si="146"/>
        <v/>
      </c>
      <c r="BM151" s="475" t="str">
        <f t="shared" si="146"/>
        <v/>
      </c>
      <c r="BN151" s="475" t="str">
        <f t="shared" si="146"/>
        <v/>
      </c>
      <c r="BO151" s="475" t="str">
        <f t="shared" si="146"/>
        <v/>
      </c>
      <c r="BP151" s="475" t="str">
        <f t="shared" si="146"/>
        <v/>
      </c>
      <c r="BQ151" s="475" t="str">
        <f t="shared" si="146"/>
        <v/>
      </c>
      <c r="BR151" s="475" t="str">
        <f t="shared" si="146"/>
        <v/>
      </c>
      <c r="BS151" s="475" t="str">
        <f t="shared" si="146"/>
        <v/>
      </c>
      <c r="BT151" s="475" t="str">
        <f t="shared" si="147"/>
        <v/>
      </c>
      <c r="BU151" s="475" t="str">
        <f t="shared" si="147"/>
        <v/>
      </c>
      <c r="BV151" s="475" t="str">
        <f t="shared" si="147"/>
        <v/>
      </c>
      <c r="BW151" s="475" t="str">
        <f t="shared" si="147"/>
        <v/>
      </c>
      <c r="BX151" s="475" t="str">
        <f t="shared" si="147"/>
        <v/>
      </c>
      <c r="BY151" s="475" t="str">
        <f t="shared" si="147"/>
        <v/>
      </c>
      <c r="BZ151" s="475" t="str">
        <f t="shared" si="147"/>
        <v/>
      </c>
      <c r="CA151" s="475" t="str">
        <f t="shared" si="147"/>
        <v/>
      </c>
      <c r="CB151" s="475" t="str">
        <f t="shared" si="147"/>
        <v/>
      </c>
      <c r="CC151" s="475" t="str">
        <f t="shared" si="147"/>
        <v/>
      </c>
      <c r="CD151" s="475" t="str">
        <f t="shared" si="148"/>
        <v/>
      </c>
      <c r="CE151" s="475" t="str">
        <f t="shared" si="148"/>
        <v/>
      </c>
      <c r="CF151" s="475" t="str">
        <f t="shared" si="148"/>
        <v/>
      </c>
      <c r="CG151" s="475" t="str">
        <f t="shared" si="148"/>
        <v/>
      </c>
      <c r="CH151" s="475" t="str">
        <f t="shared" si="148"/>
        <v/>
      </c>
      <c r="CI151" s="475" t="str">
        <f t="shared" si="148"/>
        <v/>
      </c>
      <c r="CJ151" s="475" t="str">
        <f t="shared" si="148"/>
        <v/>
      </c>
      <c r="CK151" s="475" t="str">
        <f t="shared" si="148"/>
        <v/>
      </c>
      <c r="CL151" s="475" t="str">
        <f t="shared" si="148"/>
        <v/>
      </c>
      <c r="CM151" s="475" t="str">
        <f t="shared" si="148"/>
        <v/>
      </c>
      <c r="CN151" s="475" t="str">
        <f t="shared" si="149"/>
        <v/>
      </c>
      <c r="CO151" s="475" t="str">
        <f t="shared" si="149"/>
        <v/>
      </c>
      <c r="CP151" s="475" t="str">
        <f t="shared" si="149"/>
        <v/>
      </c>
      <c r="CQ151" s="475" t="str">
        <f t="shared" si="149"/>
        <v/>
      </c>
      <c r="CR151" s="475" t="str">
        <f t="shared" si="149"/>
        <v/>
      </c>
      <c r="CS151" s="475" t="str">
        <f t="shared" si="149"/>
        <v/>
      </c>
      <c r="CT151" s="475" t="str">
        <f t="shared" si="149"/>
        <v/>
      </c>
      <c r="CU151" s="475" t="str">
        <f t="shared" si="149"/>
        <v/>
      </c>
      <c r="CV151" s="475" t="str">
        <f t="shared" si="149"/>
        <v/>
      </c>
      <c r="CW151" s="475" t="str">
        <f t="shared" si="149"/>
        <v/>
      </c>
      <c r="CX151" s="475" t="str">
        <f t="shared" si="149"/>
        <v/>
      </c>
      <c r="CY151" s="475" t="str">
        <f t="shared" si="149"/>
        <v/>
      </c>
      <c r="CZ151" s="495" t="str">
        <f t="shared" si="149"/>
        <v/>
      </c>
      <c r="DA151" s="502"/>
      <c r="DB151" s="460">
        <v>2</v>
      </c>
      <c r="DC151" s="465">
        <v>3.1</v>
      </c>
      <c r="DD151" s="463" t="s">
        <v>337</v>
      </c>
      <c r="DE151" s="513" t="s">
        <v>338</v>
      </c>
      <c r="DF151" s="516"/>
      <c r="DG151" s="508" t="s">
        <v>339</v>
      </c>
      <c r="DH151" s="463"/>
      <c r="DI151" s="461"/>
      <c r="DJ151" s="461"/>
      <c r="DK151" s="461"/>
      <c r="DL151" s="464"/>
      <c r="DM151" s="466"/>
      <c r="DN151" s="502"/>
      <c r="DO151" s="460" t="s">
        <v>339</v>
      </c>
      <c r="DP151" s="464" t="s">
        <v>339</v>
      </c>
      <c r="DQ151" s="464"/>
      <c r="DR151" s="464" t="s">
        <v>339</v>
      </c>
      <c r="DS151" s="508" t="s">
        <v>339</v>
      </c>
      <c r="DT151" s="525"/>
      <c r="DU151" s="525"/>
      <c r="DV151" s="463"/>
      <c r="DW151" s="464"/>
      <c r="DX151" s="465"/>
      <c r="DY151" s="463"/>
      <c r="DZ151" s="464"/>
      <c r="EA151" s="465"/>
      <c r="EB151" s="463"/>
      <c r="EC151" s="465"/>
      <c r="ED151" s="462">
        <v>61</v>
      </c>
      <c r="EE151" s="502"/>
      <c r="EF151" s="463"/>
      <c r="EG151" s="461"/>
      <c r="EH151" s="464" t="s">
        <v>339</v>
      </c>
      <c r="EI151" s="464"/>
      <c r="EJ151" s="464"/>
      <c r="EK151" s="464"/>
      <c r="EL151" s="464"/>
      <c r="EM151" s="464"/>
      <c r="EN151" s="464" t="s">
        <v>339</v>
      </c>
      <c r="EO151" s="464"/>
      <c r="EP151" s="464"/>
      <c r="EQ151" s="464"/>
      <c r="ER151" s="464"/>
      <c r="ES151" s="464"/>
      <c r="ET151" s="464"/>
      <c r="EU151" s="464"/>
      <c r="EV151" s="464"/>
      <c r="EW151" s="465"/>
      <c r="EX151" s="465"/>
      <c r="EY151" s="502"/>
      <c r="EZ151" s="460"/>
      <c r="FA151" s="464"/>
      <c r="FB151" s="464"/>
      <c r="FC151" s="464"/>
      <c r="FD151" s="464"/>
      <c r="FE151" s="464"/>
      <c r="FF151" s="464"/>
      <c r="FG151" s="466"/>
    </row>
    <row r="152" spans="1:163">
      <c r="A152" s="467" t="s">
        <v>342</v>
      </c>
      <c r="B152" s="471" t="str">
        <f>IF(ISNUMBER(MATCH(A152, 'Pulldown Data'!W:W, 0))=TRUE, "Y", IF(ISNUMBER(MATCH(A152, 'Pulldown Data'!X:X, 0))=TRUE, "M", ""))</f>
        <v/>
      </c>
      <c r="C152" s="504"/>
      <c r="D152" s="502"/>
      <c r="E152" s="443" t="str">
        <f t="shared" ref="E152:N161" si="150" xml:space="preserve">
IFERROR(
_xlfn.IFNA(
   IF($B152="PLT",
      IF(INDEX(PRJGENVersions, MATCH(TRIM(E$1), PRJGENAlgosMapped, 0), MATCH($A152, PRJGENProjects, 0)), "YES", ""),
      IF(INDEX(RoadmapData, MATCH(TRIM(E$1), RoadmapDataFeatures, 0), MATCH($A152, RoadmapDataProjects, 0)) = "-", "-", INDEX(RoadmapData, MATCH(TRIM(E$1), RoadmapDataFeatures, 0), MATCH($A152, RoadmapDataProjects, 0)))),
""),
"")</f>
        <v/>
      </c>
      <c r="F152" s="444" t="str">
        <f t="shared" si="150"/>
        <v/>
      </c>
      <c r="G152" s="444" t="str">
        <f t="shared" si="150"/>
        <v/>
      </c>
      <c r="H152" s="444" t="str">
        <f t="shared" si="150"/>
        <v/>
      </c>
      <c r="I152" s="444" t="str">
        <f t="shared" si="150"/>
        <v/>
      </c>
      <c r="J152" s="444" t="str">
        <f t="shared" si="150"/>
        <v/>
      </c>
      <c r="K152" s="444" t="str">
        <f t="shared" si="150"/>
        <v/>
      </c>
      <c r="L152" s="444" t="str">
        <f t="shared" si="150"/>
        <v/>
      </c>
      <c r="M152" s="444" t="str">
        <f t="shared" si="150"/>
        <v/>
      </c>
      <c r="N152" s="444" t="str">
        <f t="shared" si="150"/>
        <v/>
      </c>
      <c r="O152" s="444" t="str">
        <f t="shared" ref="O152:X161" si="151" xml:space="preserve">
IFERROR(
_xlfn.IFNA(
   IF($B152="PLT",
      IF(INDEX(PRJGENVersions, MATCH(TRIM(O$1), PRJGENAlgosMapped, 0), MATCH($A152, PRJGENProjects, 0)), "YES", ""),
      IF(INDEX(RoadmapData, MATCH(TRIM(O$1), RoadmapDataFeatures, 0), MATCH($A152, RoadmapDataProjects, 0)) = "-", "-", INDEX(RoadmapData, MATCH(TRIM(O$1), RoadmapDataFeatures, 0), MATCH($A152, RoadmapDataProjects, 0)))),
""),
"")</f>
        <v/>
      </c>
      <c r="P152" s="444" t="str">
        <f t="shared" si="151"/>
        <v/>
      </c>
      <c r="Q152" s="444" t="str">
        <f t="shared" si="151"/>
        <v/>
      </c>
      <c r="R152" s="444" t="str">
        <f t="shared" si="151"/>
        <v/>
      </c>
      <c r="S152" s="444" t="str">
        <f t="shared" si="151"/>
        <v/>
      </c>
      <c r="T152" s="444" t="str">
        <f t="shared" si="151"/>
        <v/>
      </c>
      <c r="U152" s="444" t="str">
        <f t="shared" si="151"/>
        <v/>
      </c>
      <c r="V152" s="444" t="str">
        <f t="shared" si="151"/>
        <v/>
      </c>
      <c r="W152" s="444" t="str">
        <f t="shared" si="151"/>
        <v/>
      </c>
      <c r="X152" s="444" t="str">
        <f t="shared" si="151"/>
        <v/>
      </c>
      <c r="Y152" s="444" t="str">
        <f t="shared" ref="Y152:AH161" si="152" xml:space="preserve">
IFERROR(
_xlfn.IFNA(
   IF($B152="PLT",
      IF(INDEX(PRJGENVersions, MATCH(TRIM(Y$1), PRJGENAlgosMapped, 0), MATCH($A152, PRJGENProjects, 0)), "YES", ""),
      IF(INDEX(RoadmapData, MATCH(TRIM(Y$1), RoadmapDataFeatures, 0), MATCH($A152, RoadmapDataProjects, 0)) = "-", "-", INDEX(RoadmapData, MATCH(TRIM(Y$1), RoadmapDataFeatures, 0), MATCH($A152, RoadmapDataProjects, 0)))),
""),
"")</f>
        <v/>
      </c>
      <c r="Z152" s="444" t="str">
        <f t="shared" si="152"/>
        <v/>
      </c>
      <c r="AA152" s="444" t="str">
        <f t="shared" si="152"/>
        <v/>
      </c>
      <c r="AB152" s="444" t="str">
        <f t="shared" si="152"/>
        <v/>
      </c>
      <c r="AC152" s="444" t="str">
        <f t="shared" si="152"/>
        <v/>
      </c>
      <c r="AD152" s="444" t="str">
        <f t="shared" si="152"/>
        <v/>
      </c>
      <c r="AE152" s="444" t="str">
        <f t="shared" si="152"/>
        <v/>
      </c>
      <c r="AF152" s="444" t="str">
        <f t="shared" si="152"/>
        <v/>
      </c>
      <c r="AG152" s="444" t="str">
        <f t="shared" si="152"/>
        <v/>
      </c>
      <c r="AH152" s="444" t="str">
        <f t="shared" si="152"/>
        <v/>
      </c>
      <c r="AI152" s="444" t="str">
        <f t="shared" ref="AI152:AR161" si="153" xml:space="preserve">
IFERROR(
_xlfn.IFNA(
   IF($B152="PLT",
      IF(INDEX(PRJGENVersions, MATCH(TRIM(AI$1), PRJGENAlgosMapped, 0), MATCH($A152, PRJGENProjects, 0)), "YES", ""),
      IF(INDEX(RoadmapData, MATCH(TRIM(AI$1), RoadmapDataFeatures, 0), MATCH($A152, RoadmapDataProjects, 0)) = "-", "-", INDEX(RoadmapData, MATCH(TRIM(AI$1), RoadmapDataFeatures, 0), MATCH($A152, RoadmapDataProjects, 0)))),
""),
"")</f>
        <v/>
      </c>
      <c r="AJ152" s="444" t="str">
        <f t="shared" si="153"/>
        <v/>
      </c>
      <c r="AK152" s="444" t="str">
        <f t="shared" si="153"/>
        <v/>
      </c>
      <c r="AL152" s="444" t="str">
        <f t="shared" si="153"/>
        <v/>
      </c>
      <c r="AM152" s="444" t="str">
        <f t="shared" si="153"/>
        <v/>
      </c>
      <c r="AN152" s="444" t="str">
        <f t="shared" si="153"/>
        <v/>
      </c>
      <c r="AO152" s="444" t="str">
        <f t="shared" si="153"/>
        <v/>
      </c>
      <c r="AP152" s="444" t="str">
        <f t="shared" si="153"/>
        <v/>
      </c>
      <c r="AQ152" s="444" t="str">
        <f t="shared" si="153"/>
        <v/>
      </c>
      <c r="AR152" s="444" t="str">
        <f t="shared" si="153"/>
        <v/>
      </c>
      <c r="AS152" s="444" t="str">
        <f t="shared" ref="AS152:BB161" si="154" xml:space="preserve">
IFERROR(
_xlfn.IFNA(
   IF($B152="PLT",
      IF(INDEX(PRJGENVersions, MATCH(TRIM(AS$1), PRJGENAlgosMapped, 0), MATCH($A152, PRJGENProjects, 0)), "YES", ""),
      IF(INDEX(RoadmapData, MATCH(TRIM(AS$1), RoadmapDataFeatures, 0), MATCH($A152, RoadmapDataProjects, 0)) = "-", "-", INDEX(RoadmapData, MATCH(TRIM(AS$1), RoadmapDataFeatures, 0), MATCH($A152, RoadmapDataProjects, 0)))),
""),
"")</f>
        <v/>
      </c>
      <c r="AT152" s="444" t="str">
        <f t="shared" si="154"/>
        <v/>
      </c>
      <c r="AU152" s="444" t="str">
        <f t="shared" si="154"/>
        <v/>
      </c>
      <c r="AV152" s="444" t="str">
        <f t="shared" si="154"/>
        <v/>
      </c>
      <c r="AW152" s="444" t="str">
        <f t="shared" si="154"/>
        <v/>
      </c>
      <c r="AX152" s="444" t="str">
        <f t="shared" si="154"/>
        <v/>
      </c>
      <c r="AY152" s="444" t="str">
        <f t="shared" si="154"/>
        <v/>
      </c>
      <c r="AZ152" s="444" t="str">
        <f t="shared" si="154"/>
        <v/>
      </c>
      <c r="BA152" s="444" t="str">
        <f t="shared" si="154"/>
        <v/>
      </c>
      <c r="BB152" s="444" t="str">
        <f t="shared" si="154"/>
        <v/>
      </c>
      <c r="BC152" s="444" t="str">
        <f t="shared" ref="BC152:BH161" si="155" xml:space="preserve">
IFERROR(
_xlfn.IFNA(
   IF($B152="PLT",
      IF(INDEX(PRJGENVersions, MATCH(TRIM(BC$1), PRJGENAlgosMapped, 0), MATCH($A152, PRJGENProjects, 0)), "YES", ""),
      IF(INDEX(RoadmapData, MATCH(TRIM(BC$1), RoadmapDataFeatures, 0), MATCH($A152, RoadmapDataProjects, 0)) = "-", "-", INDEX(RoadmapData, MATCH(TRIM(BC$1), RoadmapDataFeatures, 0), MATCH($A152, RoadmapDataProjects, 0)))),
""),
"")</f>
        <v/>
      </c>
      <c r="BD152" s="444" t="str">
        <f t="shared" si="155"/>
        <v/>
      </c>
      <c r="BE152" s="444" t="str">
        <f t="shared" si="155"/>
        <v/>
      </c>
      <c r="BF152" s="444" t="str">
        <f t="shared" si="155"/>
        <v/>
      </c>
      <c r="BG152" s="444" t="str">
        <f t="shared" si="155"/>
        <v/>
      </c>
      <c r="BH152" s="445" t="str">
        <f t="shared" si="155"/>
        <v/>
      </c>
      <c r="BI152" s="502"/>
      <c r="BJ152" s="474" t="str">
        <f t="shared" ref="BJ152:BS161" si="156">_xlfn.IFNA(IF(INDEX(RoadmapData, MATCH(TRIM(BJ$1), RoadmapDataFeatures, 0), MATCH($A152, RoadmapDataProjects, 0)) = "-", "-", INDEX(RoadmapData, MATCH(TRIM(BJ$1), RoadmapDataFeatures, 0), MATCH($A152, RoadmapDataProjects, 0))), "")</f>
        <v/>
      </c>
      <c r="BK152" s="475" t="str">
        <f t="shared" si="156"/>
        <v/>
      </c>
      <c r="BL152" s="475" t="str">
        <f t="shared" si="156"/>
        <v/>
      </c>
      <c r="BM152" s="475" t="str">
        <f t="shared" si="156"/>
        <v/>
      </c>
      <c r="BN152" s="475" t="str">
        <f t="shared" si="156"/>
        <v/>
      </c>
      <c r="BO152" s="475" t="str">
        <f t="shared" si="156"/>
        <v/>
      </c>
      <c r="BP152" s="475" t="str">
        <f t="shared" si="156"/>
        <v/>
      </c>
      <c r="BQ152" s="475" t="str">
        <f t="shared" si="156"/>
        <v/>
      </c>
      <c r="BR152" s="475" t="str">
        <f t="shared" si="156"/>
        <v/>
      </c>
      <c r="BS152" s="475" t="str">
        <f t="shared" si="156"/>
        <v/>
      </c>
      <c r="BT152" s="475" t="str">
        <f t="shared" ref="BT152:CC161" si="157">_xlfn.IFNA(IF(INDEX(RoadmapData, MATCH(TRIM(BT$1), RoadmapDataFeatures, 0), MATCH($A152, RoadmapDataProjects, 0)) = "-", "-", INDEX(RoadmapData, MATCH(TRIM(BT$1), RoadmapDataFeatures, 0), MATCH($A152, RoadmapDataProjects, 0))), "")</f>
        <v/>
      </c>
      <c r="BU152" s="475" t="str">
        <f t="shared" si="157"/>
        <v/>
      </c>
      <c r="BV152" s="475" t="str">
        <f t="shared" si="157"/>
        <v/>
      </c>
      <c r="BW152" s="475" t="str">
        <f t="shared" si="157"/>
        <v/>
      </c>
      <c r="BX152" s="475" t="str">
        <f t="shared" si="157"/>
        <v/>
      </c>
      <c r="BY152" s="475" t="str">
        <f t="shared" si="157"/>
        <v/>
      </c>
      <c r="BZ152" s="475" t="str">
        <f t="shared" si="157"/>
        <v/>
      </c>
      <c r="CA152" s="475" t="str">
        <f t="shared" si="157"/>
        <v/>
      </c>
      <c r="CB152" s="475" t="str">
        <f t="shared" si="157"/>
        <v/>
      </c>
      <c r="CC152" s="475" t="str">
        <f t="shared" si="157"/>
        <v/>
      </c>
      <c r="CD152" s="475" t="str">
        <f t="shared" ref="CD152:CM161" si="158">_xlfn.IFNA(IF(INDEX(RoadmapData, MATCH(TRIM(CD$1), RoadmapDataFeatures, 0), MATCH($A152, RoadmapDataProjects, 0)) = "-", "-", INDEX(RoadmapData, MATCH(TRIM(CD$1), RoadmapDataFeatures, 0), MATCH($A152, RoadmapDataProjects, 0))), "")</f>
        <v/>
      </c>
      <c r="CE152" s="475" t="str">
        <f t="shared" si="158"/>
        <v/>
      </c>
      <c r="CF152" s="475" t="str">
        <f t="shared" si="158"/>
        <v/>
      </c>
      <c r="CG152" s="475" t="str">
        <f t="shared" si="158"/>
        <v/>
      </c>
      <c r="CH152" s="475" t="str">
        <f t="shared" si="158"/>
        <v/>
      </c>
      <c r="CI152" s="475" t="str">
        <f t="shared" si="158"/>
        <v/>
      </c>
      <c r="CJ152" s="475" t="str">
        <f t="shared" si="158"/>
        <v/>
      </c>
      <c r="CK152" s="475" t="str">
        <f t="shared" si="158"/>
        <v/>
      </c>
      <c r="CL152" s="475" t="str">
        <f t="shared" si="158"/>
        <v/>
      </c>
      <c r="CM152" s="475" t="str">
        <f t="shared" si="158"/>
        <v/>
      </c>
      <c r="CN152" s="475" t="str">
        <f t="shared" ref="CN152:CZ161" si="159">_xlfn.IFNA(IF(INDEX(RoadmapData, MATCH(TRIM(CN$1), RoadmapDataFeatures, 0), MATCH($A152, RoadmapDataProjects, 0)) = "-", "-", INDEX(RoadmapData, MATCH(TRIM(CN$1), RoadmapDataFeatures, 0), MATCH($A152, RoadmapDataProjects, 0))), "")</f>
        <v/>
      </c>
      <c r="CO152" s="475" t="str">
        <f t="shared" si="159"/>
        <v/>
      </c>
      <c r="CP152" s="475" t="str">
        <f t="shared" si="159"/>
        <v/>
      </c>
      <c r="CQ152" s="475" t="str">
        <f t="shared" si="159"/>
        <v/>
      </c>
      <c r="CR152" s="475" t="str">
        <f t="shared" si="159"/>
        <v/>
      </c>
      <c r="CS152" s="475" t="str">
        <f t="shared" si="159"/>
        <v/>
      </c>
      <c r="CT152" s="475" t="str">
        <f t="shared" si="159"/>
        <v/>
      </c>
      <c r="CU152" s="475" t="str">
        <f t="shared" si="159"/>
        <v/>
      </c>
      <c r="CV152" s="475" t="str">
        <f t="shared" si="159"/>
        <v/>
      </c>
      <c r="CW152" s="475" t="str">
        <f t="shared" si="159"/>
        <v/>
      </c>
      <c r="CX152" s="475" t="str">
        <f t="shared" si="159"/>
        <v/>
      </c>
      <c r="CY152" s="475" t="str">
        <f t="shared" si="159"/>
        <v/>
      </c>
      <c r="CZ152" s="495" t="str">
        <f t="shared" si="159"/>
        <v/>
      </c>
      <c r="DA152" s="502"/>
      <c r="DB152" s="460">
        <v>2</v>
      </c>
      <c r="DC152" s="465">
        <v>3.1</v>
      </c>
      <c r="DD152" s="463" t="s">
        <v>337</v>
      </c>
      <c r="DE152" s="513" t="s">
        <v>338</v>
      </c>
      <c r="DF152" s="516"/>
      <c r="DG152" s="508" t="s">
        <v>339</v>
      </c>
      <c r="DH152" s="463"/>
      <c r="DI152" s="461"/>
      <c r="DJ152" s="461"/>
      <c r="DK152" s="461"/>
      <c r="DL152" s="464"/>
      <c r="DM152" s="466"/>
      <c r="DN152" s="502"/>
      <c r="DO152" s="460" t="s">
        <v>339</v>
      </c>
      <c r="DP152" s="464" t="s">
        <v>339</v>
      </c>
      <c r="DQ152" s="464"/>
      <c r="DR152" s="464" t="s">
        <v>339</v>
      </c>
      <c r="DS152" s="508" t="s">
        <v>339</v>
      </c>
      <c r="DT152" s="525"/>
      <c r="DU152" s="525"/>
      <c r="DV152" s="463"/>
      <c r="DW152" s="464"/>
      <c r="DX152" s="465"/>
      <c r="DY152" s="463"/>
      <c r="DZ152" s="464"/>
      <c r="EA152" s="465"/>
      <c r="EB152" s="463"/>
      <c r="EC152" s="465"/>
      <c r="ED152" s="462">
        <v>61</v>
      </c>
      <c r="EE152" s="502"/>
      <c r="EF152" s="463"/>
      <c r="EG152" s="461"/>
      <c r="EH152" s="464" t="s">
        <v>339</v>
      </c>
      <c r="EI152" s="464"/>
      <c r="EJ152" s="464"/>
      <c r="EK152" s="464"/>
      <c r="EL152" s="464"/>
      <c r="EM152" s="464"/>
      <c r="EN152" s="464" t="s">
        <v>339</v>
      </c>
      <c r="EO152" s="464"/>
      <c r="EP152" s="464"/>
      <c r="EQ152" s="464"/>
      <c r="ER152" s="464"/>
      <c r="ES152" s="464"/>
      <c r="ET152" s="464"/>
      <c r="EU152" s="464"/>
      <c r="EV152" s="464"/>
      <c r="EW152" s="465"/>
      <c r="EX152" s="465"/>
      <c r="EY152" s="502"/>
      <c r="EZ152" s="460"/>
      <c r="FA152" s="464"/>
      <c r="FB152" s="464"/>
      <c r="FC152" s="464"/>
      <c r="FD152" s="464"/>
      <c r="FE152" s="464"/>
      <c r="FF152" s="464"/>
      <c r="FG152" s="466"/>
    </row>
    <row r="153" spans="1:163">
      <c r="A153" s="467" t="s">
        <v>343</v>
      </c>
      <c r="B153" s="471" t="str">
        <f>IF(ISNUMBER(MATCH(A153, 'Pulldown Data'!W:W, 0))=TRUE, "Y", IF(ISNUMBER(MATCH(A153, 'Pulldown Data'!X:X, 0))=TRUE, "M", ""))</f>
        <v/>
      </c>
      <c r="C153" s="504"/>
      <c r="D153" s="502"/>
      <c r="E153" s="443" t="str">
        <f t="shared" si="150"/>
        <v/>
      </c>
      <c r="F153" s="444" t="str">
        <f t="shared" si="150"/>
        <v/>
      </c>
      <c r="G153" s="444" t="str">
        <f t="shared" si="150"/>
        <v/>
      </c>
      <c r="H153" s="444" t="str">
        <f t="shared" si="150"/>
        <v/>
      </c>
      <c r="I153" s="444" t="str">
        <f t="shared" si="150"/>
        <v/>
      </c>
      <c r="J153" s="444" t="str">
        <f t="shared" si="150"/>
        <v/>
      </c>
      <c r="K153" s="444" t="str">
        <f t="shared" si="150"/>
        <v/>
      </c>
      <c r="L153" s="444" t="str">
        <f t="shared" si="150"/>
        <v/>
      </c>
      <c r="M153" s="444" t="str">
        <f t="shared" si="150"/>
        <v/>
      </c>
      <c r="N153" s="444" t="str">
        <f t="shared" si="150"/>
        <v/>
      </c>
      <c r="O153" s="444" t="str">
        <f t="shared" si="151"/>
        <v/>
      </c>
      <c r="P153" s="444" t="str">
        <f t="shared" si="151"/>
        <v/>
      </c>
      <c r="Q153" s="444" t="str">
        <f t="shared" si="151"/>
        <v/>
      </c>
      <c r="R153" s="444" t="str">
        <f t="shared" si="151"/>
        <v/>
      </c>
      <c r="S153" s="444" t="str">
        <f t="shared" si="151"/>
        <v/>
      </c>
      <c r="T153" s="444" t="str">
        <f t="shared" si="151"/>
        <v/>
      </c>
      <c r="U153" s="444" t="str">
        <f t="shared" si="151"/>
        <v/>
      </c>
      <c r="V153" s="444" t="str">
        <f t="shared" si="151"/>
        <v/>
      </c>
      <c r="W153" s="444" t="str">
        <f t="shared" si="151"/>
        <v/>
      </c>
      <c r="X153" s="444" t="str">
        <f t="shared" si="151"/>
        <v/>
      </c>
      <c r="Y153" s="444" t="str">
        <f t="shared" si="152"/>
        <v/>
      </c>
      <c r="Z153" s="444" t="str">
        <f t="shared" si="152"/>
        <v/>
      </c>
      <c r="AA153" s="444" t="str">
        <f t="shared" si="152"/>
        <v/>
      </c>
      <c r="AB153" s="444" t="str">
        <f t="shared" si="152"/>
        <v/>
      </c>
      <c r="AC153" s="444" t="str">
        <f t="shared" si="152"/>
        <v/>
      </c>
      <c r="AD153" s="444" t="str">
        <f t="shared" si="152"/>
        <v/>
      </c>
      <c r="AE153" s="444" t="str">
        <f t="shared" si="152"/>
        <v/>
      </c>
      <c r="AF153" s="444" t="str">
        <f t="shared" si="152"/>
        <v/>
      </c>
      <c r="AG153" s="444" t="str">
        <f t="shared" si="152"/>
        <v/>
      </c>
      <c r="AH153" s="444" t="str">
        <f t="shared" si="152"/>
        <v/>
      </c>
      <c r="AI153" s="444" t="str">
        <f t="shared" si="153"/>
        <v/>
      </c>
      <c r="AJ153" s="444" t="str">
        <f t="shared" si="153"/>
        <v/>
      </c>
      <c r="AK153" s="444" t="str">
        <f t="shared" si="153"/>
        <v/>
      </c>
      <c r="AL153" s="444" t="str">
        <f t="shared" si="153"/>
        <v/>
      </c>
      <c r="AM153" s="444" t="str">
        <f t="shared" si="153"/>
        <v/>
      </c>
      <c r="AN153" s="444" t="str">
        <f t="shared" si="153"/>
        <v/>
      </c>
      <c r="AO153" s="444" t="str">
        <f t="shared" si="153"/>
        <v/>
      </c>
      <c r="AP153" s="444" t="str">
        <f t="shared" si="153"/>
        <v/>
      </c>
      <c r="AQ153" s="444" t="str">
        <f t="shared" si="153"/>
        <v/>
      </c>
      <c r="AR153" s="444" t="str">
        <f t="shared" si="153"/>
        <v/>
      </c>
      <c r="AS153" s="444" t="str">
        <f t="shared" si="154"/>
        <v/>
      </c>
      <c r="AT153" s="444" t="str">
        <f t="shared" si="154"/>
        <v/>
      </c>
      <c r="AU153" s="444" t="str">
        <f t="shared" si="154"/>
        <v/>
      </c>
      <c r="AV153" s="444" t="str">
        <f t="shared" si="154"/>
        <v/>
      </c>
      <c r="AW153" s="444" t="str">
        <f t="shared" si="154"/>
        <v/>
      </c>
      <c r="AX153" s="444" t="str">
        <f t="shared" si="154"/>
        <v/>
      </c>
      <c r="AY153" s="444" t="str">
        <f t="shared" si="154"/>
        <v/>
      </c>
      <c r="AZ153" s="444" t="str">
        <f t="shared" si="154"/>
        <v/>
      </c>
      <c r="BA153" s="444" t="str">
        <f t="shared" si="154"/>
        <v/>
      </c>
      <c r="BB153" s="444" t="str">
        <f t="shared" si="154"/>
        <v/>
      </c>
      <c r="BC153" s="444" t="str">
        <f t="shared" si="155"/>
        <v/>
      </c>
      <c r="BD153" s="444" t="str">
        <f t="shared" si="155"/>
        <v/>
      </c>
      <c r="BE153" s="444" t="str">
        <f t="shared" si="155"/>
        <v/>
      </c>
      <c r="BF153" s="444" t="str">
        <f t="shared" si="155"/>
        <v/>
      </c>
      <c r="BG153" s="444" t="str">
        <f t="shared" si="155"/>
        <v/>
      </c>
      <c r="BH153" s="445" t="str">
        <f t="shared" si="155"/>
        <v/>
      </c>
      <c r="BI153" s="502"/>
      <c r="BJ153" s="474" t="str">
        <f t="shared" si="156"/>
        <v/>
      </c>
      <c r="BK153" s="475" t="str">
        <f t="shared" si="156"/>
        <v/>
      </c>
      <c r="BL153" s="475" t="str">
        <f t="shared" si="156"/>
        <v/>
      </c>
      <c r="BM153" s="475" t="str">
        <f t="shared" si="156"/>
        <v/>
      </c>
      <c r="BN153" s="475" t="str">
        <f t="shared" si="156"/>
        <v/>
      </c>
      <c r="BO153" s="475" t="str">
        <f t="shared" si="156"/>
        <v/>
      </c>
      <c r="BP153" s="475" t="str">
        <f t="shared" si="156"/>
        <v/>
      </c>
      <c r="BQ153" s="475" t="str">
        <f t="shared" si="156"/>
        <v/>
      </c>
      <c r="BR153" s="475" t="str">
        <f t="shared" si="156"/>
        <v/>
      </c>
      <c r="BS153" s="475" t="str">
        <f t="shared" si="156"/>
        <v/>
      </c>
      <c r="BT153" s="475" t="str">
        <f t="shared" si="157"/>
        <v/>
      </c>
      <c r="BU153" s="475" t="str">
        <f t="shared" si="157"/>
        <v/>
      </c>
      <c r="BV153" s="475" t="str">
        <f t="shared" si="157"/>
        <v/>
      </c>
      <c r="BW153" s="475" t="str">
        <f t="shared" si="157"/>
        <v/>
      </c>
      <c r="BX153" s="475" t="str">
        <f t="shared" si="157"/>
        <v/>
      </c>
      <c r="BY153" s="475" t="str">
        <f t="shared" si="157"/>
        <v/>
      </c>
      <c r="BZ153" s="475" t="str">
        <f t="shared" si="157"/>
        <v/>
      </c>
      <c r="CA153" s="475" t="str">
        <f t="shared" si="157"/>
        <v/>
      </c>
      <c r="CB153" s="475" t="str">
        <f t="shared" si="157"/>
        <v/>
      </c>
      <c r="CC153" s="475" t="str">
        <f t="shared" si="157"/>
        <v/>
      </c>
      <c r="CD153" s="475" t="str">
        <f t="shared" si="158"/>
        <v/>
      </c>
      <c r="CE153" s="475" t="str">
        <f t="shared" si="158"/>
        <v/>
      </c>
      <c r="CF153" s="475" t="str">
        <f t="shared" si="158"/>
        <v/>
      </c>
      <c r="CG153" s="475" t="str">
        <f t="shared" si="158"/>
        <v/>
      </c>
      <c r="CH153" s="475" t="str">
        <f t="shared" si="158"/>
        <v/>
      </c>
      <c r="CI153" s="475" t="str">
        <f t="shared" si="158"/>
        <v/>
      </c>
      <c r="CJ153" s="475" t="str">
        <f t="shared" si="158"/>
        <v/>
      </c>
      <c r="CK153" s="475" t="str">
        <f t="shared" si="158"/>
        <v/>
      </c>
      <c r="CL153" s="475" t="str">
        <f t="shared" si="158"/>
        <v/>
      </c>
      <c r="CM153" s="475" t="str">
        <f t="shared" si="158"/>
        <v/>
      </c>
      <c r="CN153" s="475" t="str">
        <f t="shared" si="159"/>
        <v/>
      </c>
      <c r="CO153" s="475" t="str">
        <f t="shared" si="159"/>
        <v/>
      </c>
      <c r="CP153" s="475" t="str">
        <f t="shared" si="159"/>
        <v/>
      </c>
      <c r="CQ153" s="475" t="str">
        <f t="shared" si="159"/>
        <v/>
      </c>
      <c r="CR153" s="475" t="str">
        <f t="shared" si="159"/>
        <v/>
      </c>
      <c r="CS153" s="475" t="str">
        <f t="shared" si="159"/>
        <v/>
      </c>
      <c r="CT153" s="475" t="str">
        <f t="shared" si="159"/>
        <v/>
      </c>
      <c r="CU153" s="475" t="str">
        <f t="shared" si="159"/>
        <v/>
      </c>
      <c r="CV153" s="475" t="str">
        <f t="shared" si="159"/>
        <v/>
      </c>
      <c r="CW153" s="475" t="str">
        <f t="shared" si="159"/>
        <v/>
      </c>
      <c r="CX153" s="475" t="str">
        <f t="shared" si="159"/>
        <v/>
      </c>
      <c r="CY153" s="475" t="str">
        <f t="shared" si="159"/>
        <v/>
      </c>
      <c r="CZ153" s="495" t="str">
        <f t="shared" si="159"/>
        <v/>
      </c>
      <c r="DA153" s="502"/>
      <c r="DB153" s="460">
        <v>2</v>
      </c>
      <c r="DC153" s="465">
        <v>3.1</v>
      </c>
      <c r="DD153" s="463" t="s">
        <v>337</v>
      </c>
      <c r="DE153" s="513" t="s">
        <v>338</v>
      </c>
      <c r="DF153" s="516"/>
      <c r="DG153" s="508" t="s">
        <v>339</v>
      </c>
      <c r="DH153" s="463"/>
      <c r="DI153" s="461"/>
      <c r="DJ153" s="461"/>
      <c r="DK153" s="461"/>
      <c r="DL153" s="464"/>
      <c r="DM153" s="466"/>
      <c r="DN153" s="502"/>
      <c r="DO153" s="460" t="s">
        <v>339</v>
      </c>
      <c r="DP153" s="464" t="s">
        <v>339</v>
      </c>
      <c r="DQ153" s="464"/>
      <c r="DR153" s="464" t="s">
        <v>339</v>
      </c>
      <c r="DS153" s="508" t="s">
        <v>339</v>
      </c>
      <c r="DT153" s="525"/>
      <c r="DU153" s="525"/>
      <c r="DV153" s="463"/>
      <c r="DW153" s="464"/>
      <c r="DX153" s="465"/>
      <c r="DY153" s="463"/>
      <c r="DZ153" s="464"/>
      <c r="EA153" s="465"/>
      <c r="EB153" s="463"/>
      <c r="EC153" s="465"/>
      <c r="ED153" s="462">
        <v>61</v>
      </c>
      <c r="EE153" s="502"/>
      <c r="EF153" s="463"/>
      <c r="EG153" s="461"/>
      <c r="EH153" s="464" t="s">
        <v>339</v>
      </c>
      <c r="EI153" s="464"/>
      <c r="EJ153" s="464"/>
      <c r="EK153" s="464"/>
      <c r="EL153" s="464"/>
      <c r="EM153" s="464"/>
      <c r="EN153" s="464" t="s">
        <v>339</v>
      </c>
      <c r="EO153" s="464"/>
      <c r="EP153" s="464"/>
      <c r="EQ153" s="464"/>
      <c r="ER153" s="464"/>
      <c r="ES153" s="464"/>
      <c r="ET153" s="464"/>
      <c r="EU153" s="464"/>
      <c r="EV153" s="464"/>
      <c r="EW153" s="465"/>
      <c r="EX153" s="465"/>
      <c r="EY153" s="502"/>
      <c r="EZ153" s="460"/>
      <c r="FA153" s="464"/>
      <c r="FB153" s="464"/>
      <c r="FC153" s="464"/>
      <c r="FD153" s="464"/>
      <c r="FE153" s="464"/>
      <c r="FF153" s="464"/>
      <c r="FG153" s="466"/>
    </row>
    <row r="154" spans="1:163">
      <c r="A154" s="467" t="s">
        <v>344</v>
      </c>
      <c r="B154" s="471" t="str">
        <f>IF(ISNUMBER(MATCH(A154, 'Pulldown Data'!W:W, 0))=TRUE, "Y", IF(ISNUMBER(MATCH(A154, 'Pulldown Data'!X:X, 0))=TRUE, "M", ""))</f>
        <v/>
      </c>
      <c r="C154" s="504">
        <v>45630</v>
      </c>
      <c r="D154" s="502"/>
      <c r="E154" s="443" t="str">
        <f t="shared" si="150"/>
        <v>NO</v>
      </c>
      <c r="F154" s="444" t="str">
        <f t="shared" si="150"/>
        <v>NO</v>
      </c>
      <c r="G154" s="444" t="str">
        <f t="shared" si="150"/>
        <v>YES</v>
      </c>
      <c r="H154" s="444" t="str">
        <f t="shared" si="150"/>
        <v>YES</v>
      </c>
      <c r="I154" s="444" t="str">
        <f t="shared" si="150"/>
        <v>YES</v>
      </c>
      <c r="J154" s="444" t="str">
        <f t="shared" si="150"/>
        <v>YES</v>
      </c>
      <c r="K154" s="444" t="str">
        <f t="shared" si="150"/>
        <v>NO</v>
      </c>
      <c r="L154" s="444" t="str">
        <f t="shared" si="150"/>
        <v>YES</v>
      </c>
      <c r="M154" s="444" t="str">
        <f t="shared" si="150"/>
        <v>NO</v>
      </c>
      <c r="N154" s="444" t="str">
        <f t="shared" si="150"/>
        <v>NO</v>
      </c>
      <c r="O154" s="444" t="str">
        <f t="shared" si="151"/>
        <v>NO</v>
      </c>
      <c r="P154" s="444" t="str">
        <f t="shared" si="151"/>
        <v>YES</v>
      </c>
      <c r="Q154" s="444" t="str">
        <f t="shared" si="151"/>
        <v>YES</v>
      </c>
      <c r="R154" s="444" t="str">
        <f t="shared" si="151"/>
        <v>NO</v>
      </c>
      <c r="S154" s="444" t="str">
        <f t="shared" si="151"/>
        <v>NO</v>
      </c>
      <c r="T154" s="444" t="str">
        <f t="shared" si="151"/>
        <v>YES</v>
      </c>
      <c r="U154" s="444" t="str">
        <f t="shared" si="151"/>
        <v>YES</v>
      </c>
      <c r="V154" s="444" t="str">
        <f t="shared" si="151"/>
        <v>YES</v>
      </c>
      <c r="W154" s="444" t="str">
        <f t="shared" si="151"/>
        <v>YES</v>
      </c>
      <c r="X154" s="444" t="str">
        <f t="shared" si="151"/>
        <v>NO</v>
      </c>
      <c r="Y154" s="444" t="str">
        <f t="shared" si="152"/>
        <v>NO</v>
      </c>
      <c r="Z154" s="444" t="str">
        <f t="shared" si="152"/>
        <v>NO</v>
      </c>
      <c r="AA154" s="444" t="str">
        <f t="shared" si="152"/>
        <v>NO</v>
      </c>
      <c r="AB154" s="444" t="str">
        <f t="shared" si="152"/>
        <v>YES</v>
      </c>
      <c r="AC154" s="444" t="str">
        <f t="shared" si="152"/>
        <v>YES</v>
      </c>
      <c r="AD154" s="444" t="str">
        <f t="shared" si="152"/>
        <v>NO</v>
      </c>
      <c r="AE154" s="444" t="str">
        <f t="shared" si="152"/>
        <v>NO</v>
      </c>
      <c r="AF154" s="444" t="str">
        <f t="shared" si="152"/>
        <v>NO</v>
      </c>
      <c r="AG154" s="444" t="str">
        <f t="shared" si="152"/>
        <v>NO</v>
      </c>
      <c r="AH154" s="444" t="str">
        <f t="shared" si="152"/>
        <v>NO</v>
      </c>
      <c r="AI154" s="444" t="str">
        <f t="shared" si="153"/>
        <v>NO</v>
      </c>
      <c r="AJ154" s="444" t="str">
        <f t="shared" si="153"/>
        <v>NO</v>
      </c>
      <c r="AK154" s="444" t="str">
        <f t="shared" si="153"/>
        <v>NO</v>
      </c>
      <c r="AL154" s="444" t="str">
        <f t="shared" si="153"/>
        <v>YES</v>
      </c>
      <c r="AM154" s="444" t="str">
        <f t="shared" si="153"/>
        <v>YES</v>
      </c>
      <c r="AN154" s="444" t="str">
        <f t="shared" si="153"/>
        <v>NO</v>
      </c>
      <c r="AO154" s="444" t="str">
        <f t="shared" si="153"/>
        <v>YES</v>
      </c>
      <c r="AP154" s="444" t="str">
        <f t="shared" si="153"/>
        <v>NO</v>
      </c>
      <c r="AQ154" s="444" t="str">
        <f t="shared" si="153"/>
        <v>NO</v>
      </c>
      <c r="AR154" s="444" t="str">
        <f t="shared" si="153"/>
        <v>NO</v>
      </c>
      <c r="AS154" s="444" t="str">
        <f t="shared" si="154"/>
        <v>NO</v>
      </c>
      <c r="AT154" s="444" t="str">
        <f t="shared" si="154"/>
        <v>YES</v>
      </c>
      <c r="AU154" s="444" t="str">
        <f t="shared" si="154"/>
        <v>YES</v>
      </c>
      <c r="AV154" s="444" t="str">
        <f t="shared" si="154"/>
        <v>YES</v>
      </c>
      <c r="AW154" s="444" t="str">
        <f t="shared" si="154"/>
        <v>YES</v>
      </c>
      <c r="AX154" s="444" t="str">
        <f t="shared" si="154"/>
        <v>DEP</v>
      </c>
      <c r="AY154" s="444" t="str">
        <f t="shared" si="154"/>
        <v>YES</v>
      </c>
      <c r="AZ154" s="444" t="str">
        <f t="shared" si="154"/>
        <v>DEP</v>
      </c>
      <c r="BA154" s="444" t="str">
        <f t="shared" si="154"/>
        <v>NO</v>
      </c>
      <c r="BB154" s="444" t="str">
        <f t="shared" si="154"/>
        <v>YES</v>
      </c>
      <c r="BC154" s="444" t="str">
        <f t="shared" si="155"/>
        <v>NO</v>
      </c>
      <c r="BD154" s="444" t="str">
        <f t="shared" si="155"/>
        <v>NO</v>
      </c>
      <c r="BE154" s="444" t="str">
        <f t="shared" si="155"/>
        <v>YES</v>
      </c>
      <c r="BF154" s="444" t="str">
        <f t="shared" si="155"/>
        <v>YES</v>
      </c>
      <c r="BG154" s="444" t="str">
        <f t="shared" si="155"/>
        <v>YES</v>
      </c>
      <c r="BH154" s="445" t="str">
        <f t="shared" si="155"/>
        <v>NO</v>
      </c>
      <c r="BI154" s="502"/>
      <c r="BJ154" s="474" t="str">
        <f t="shared" si="156"/>
        <v>NO</v>
      </c>
      <c r="BK154" s="475" t="str">
        <f t="shared" si="156"/>
        <v>NO</v>
      </c>
      <c r="BL154" s="475" t="str">
        <f t="shared" si="156"/>
        <v>NO</v>
      </c>
      <c r="BM154" s="475" t="str">
        <f t="shared" si="156"/>
        <v>NO</v>
      </c>
      <c r="BN154" s="475" t="str">
        <f t="shared" si="156"/>
        <v>NO</v>
      </c>
      <c r="BO154" s="475" t="str">
        <f t="shared" si="156"/>
        <v>NO</v>
      </c>
      <c r="BP154" s="475" t="str">
        <f t="shared" si="156"/>
        <v>NO</v>
      </c>
      <c r="BQ154" s="475" t="str">
        <f t="shared" si="156"/>
        <v>NO</v>
      </c>
      <c r="BR154" s="475" t="str">
        <f t="shared" si="156"/>
        <v>NO</v>
      </c>
      <c r="BS154" s="475" t="str">
        <f t="shared" si="156"/>
        <v>NO</v>
      </c>
      <c r="BT154" s="475" t="str">
        <f t="shared" si="157"/>
        <v>NO</v>
      </c>
      <c r="BU154" s="475" t="str">
        <f t="shared" si="157"/>
        <v>NO</v>
      </c>
      <c r="BV154" s="475" t="str">
        <f t="shared" si="157"/>
        <v>NO</v>
      </c>
      <c r="BW154" s="475" t="str">
        <f t="shared" si="157"/>
        <v>NO</v>
      </c>
      <c r="BX154" s="475" t="str">
        <f t="shared" si="157"/>
        <v>NO</v>
      </c>
      <c r="BY154" s="475" t="str">
        <f t="shared" si="157"/>
        <v>NO</v>
      </c>
      <c r="BZ154" s="475" t="str">
        <f t="shared" si="157"/>
        <v>NO</v>
      </c>
      <c r="CA154" s="475" t="str">
        <f t="shared" si="157"/>
        <v>NO</v>
      </c>
      <c r="CB154" s="475" t="str">
        <f t="shared" si="157"/>
        <v>NO</v>
      </c>
      <c r="CC154" s="475" t="str">
        <f t="shared" si="157"/>
        <v>NO</v>
      </c>
      <c r="CD154" s="475" t="str">
        <f t="shared" si="158"/>
        <v>NO</v>
      </c>
      <c r="CE154" s="475" t="str">
        <f t="shared" si="158"/>
        <v>NO</v>
      </c>
      <c r="CF154" s="475" t="str">
        <f t="shared" si="158"/>
        <v>NO</v>
      </c>
      <c r="CG154" s="475" t="str">
        <f t="shared" si="158"/>
        <v>NO</v>
      </c>
      <c r="CH154" s="475" t="str">
        <f t="shared" si="158"/>
        <v>NO</v>
      </c>
      <c r="CI154" s="475" t="str">
        <f t="shared" si="158"/>
        <v>NO</v>
      </c>
      <c r="CJ154" s="475" t="str">
        <f t="shared" si="158"/>
        <v>NO</v>
      </c>
      <c r="CK154" s="475" t="str">
        <f t="shared" si="158"/>
        <v>NO</v>
      </c>
      <c r="CL154" s="475" t="str">
        <f t="shared" si="158"/>
        <v>NO</v>
      </c>
      <c r="CM154" s="475" t="str">
        <f t="shared" si="158"/>
        <v>NO</v>
      </c>
      <c r="CN154" s="475" t="str">
        <f t="shared" si="159"/>
        <v>NO</v>
      </c>
      <c r="CO154" s="475" t="str">
        <f t="shared" si="159"/>
        <v>NO</v>
      </c>
      <c r="CP154" s="475" t="str">
        <f t="shared" si="159"/>
        <v>NO</v>
      </c>
      <c r="CQ154" s="475" t="str">
        <f t="shared" si="159"/>
        <v>NO</v>
      </c>
      <c r="CR154" s="475" t="str">
        <f t="shared" si="159"/>
        <v>NO</v>
      </c>
      <c r="CS154" s="475" t="str">
        <f t="shared" si="159"/>
        <v>NO</v>
      </c>
      <c r="CT154" s="475" t="str">
        <f t="shared" si="159"/>
        <v>NO</v>
      </c>
      <c r="CU154" s="475" t="str">
        <f t="shared" si="159"/>
        <v>NO</v>
      </c>
      <c r="CV154" s="475" t="str">
        <f t="shared" si="159"/>
        <v>NO</v>
      </c>
      <c r="CW154" s="475" t="str">
        <f t="shared" si="159"/>
        <v>NO</v>
      </c>
      <c r="CX154" s="475" t="str">
        <f t="shared" si="159"/>
        <v>NO</v>
      </c>
      <c r="CY154" s="475" t="str">
        <f t="shared" si="159"/>
        <v>NO</v>
      </c>
      <c r="CZ154" s="495" t="str">
        <f t="shared" si="159"/>
        <v>NO</v>
      </c>
      <c r="DA154" s="502"/>
      <c r="DB154" s="460"/>
      <c r="DC154" s="465"/>
      <c r="DD154" s="463"/>
      <c r="DE154" s="512"/>
      <c r="DF154" s="516"/>
      <c r="DG154" s="508"/>
      <c r="DH154" s="463"/>
      <c r="DI154" s="461"/>
      <c r="DJ154" s="461"/>
      <c r="DK154" s="461"/>
      <c r="DL154" s="464"/>
      <c r="DM154" s="466"/>
      <c r="DN154" s="502"/>
      <c r="DO154" s="460"/>
      <c r="DP154" s="464"/>
      <c r="DQ154" s="464"/>
      <c r="DR154" s="464"/>
      <c r="DS154" s="508"/>
      <c r="DT154" s="525"/>
      <c r="DU154" s="525"/>
      <c r="DV154" s="463"/>
      <c r="DW154" s="464"/>
      <c r="DX154" s="465"/>
      <c r="DY154" s="463"/>
      <c r="DZ154" s="464"/>
      <c r="EA154" s="465"/>
      <c r="EB154" s="463"/>
      <c r="EC154" s="465"/>
      <c r="ED154" s="462"/>
      <c r="EE154" s="502"/>
      <c r="EF154" s="463"/>
      <c r="EG154" s="461"/>
      <c r="EH154" s="464"/>
      <c r="EI154" s="464"/>
      <c r="EJ154" s="464"/>
      <c r="EK154" s="464"/>
      <c r="EL154" s="464"/>
      <c r="EM154" s="464"/>
      <c r="EN154" s="464"/>
      <c r="EO154" s="464"/>
      <c r="EP154" s="464"/>
      <c r="EQ154" s="464"/>
      <c r="ER154" s="464"/>
      <c r="ES154" s="464"/>
      <c r="ET154" s="464"/>
      <c r="EU154" s="464"/>
      <c r="EV154" s="464"/>
      <c r="EW154" s="465"/>
      <c r="EX154" s="465"/>
      <c r="EY154" s="502"/>
      <c r="EZ154" s="460"/>
      <c r="FA154" s="464"/>
      <c r="FB154" s="464"/>
      <c r="FC154" s="464"/>
      <c r="FD154" s="464"/>
      <c r="FE154" s="464"/>
      <c r="FF154" s="464"/>
      <c r="FG154" s="466"/>
    </row>
    <row r="155" spans="1:163">
      <c r="A155" s="467" t="s">
        <v>345</v>
      </c>
      <c r="B155" s="471" t="str">
        <f>IF(ISNUMBER(MATCH(A155, 'Pulldown Data'!W:W, 0))=TRUE, "Y", IF(ISNUMBER(MATCH(A155, 'Pulldown Data'!X:X, 0))=TRUE, "M", ""))</f>
        <v/>
      </c>
      <c r="C155" s="504">
        <v>45630</v>
      </c>
      <c r="D155" s="502"/>
      <c r="E155" s="443" t="str">
        <f t="shared" si="150"/>
        <v>YES</v>
      </c>
      <c r="F155" s="444" t="str">
        <f t="shared" si="150"/>
        <v>NO</v>
      </c>
      <c r="G155" s="444" t="str">
        <f t="shared" si="150"/>
        <v>NO</v>
      </c>
      <c r="H155" s="444" t="str">
        <f t="shared" si="150"/>
        <v>YES</v>
      </c>
      <c r="I155" s="444" t="str">
        <f t="shared" si="150"/>
        <v>YES</v>
      </c>
      <c r="J155" s="444" t="str">
        <f t="shared" si="150"/>
        <v>YES</v>
      </c>
      <c r="K155" s="444" t="str">
        <f t="shared" si="150"/>
        <v>NO</v>
      </c>
      <c r="L155" s="444" t="str">
        <f t="shared" si="150"/>
        <v>YES</v>
      </c>
      <c r="M155" s="444" t="str">
        <f t="shared" si="150"/>
        <v>YES</v>
      </c>
      <c r="N155" s="444" t="str">
        <f t="shared" si="150"/>
        <v>YES</v>
      </c>
      <c r="O155" s="444" t="str">
        <f t="shared" si="151"/>
        <v>YES</v>
      </c>
      <c r="P155" s="444" t="str">
        <f t="shared" si="151"/>
        <v>YES</v>
      </c>
      <c r="Q155" s="444" t="str">
        <f t="shared" si="151"/>
        <v>YES</v>
      </c>
      <c r="R155" s="444" t="str">
        <f t="shared" si="151"/>
        <v>NO</v>
      </c>
      <c r="S155" s="444" t="str">
        <f t="shared" si="151"/>
        <v>NO</v>
      </c>
      <c r="T155" s="444" t="str">
        <f t="shared" si="151"/>
        <v>YES</v>
      </c>
      <c r="U155" s="444" t="str">
        <f t="shared" si="151"/>
        <v>YES</v>
      </c>
      <c r="V155" s="444" t="str">
        <f t="shared" si="151"/>
        <v>YES</v>
      </c>
      <c r="W155" s="444" t="str">
        <f t="shared" si="151"/>
        <v>YES</v>
      </c>
      <c r="X155" s="444" t="str">
        <f t="shared" si="151"/>
        <v>NO</v>
      </c>
      <c r="Y155" s="444" t="str">
        <f t="shared" si="152"/>
        <v>NO</v>
      </c>
      <c r="Z155" s="444" t="str">
        <f t="shared" si="152"/>
        <v>NO</v>
      </c>
      <c r="AA155" s="444" t="str">
        <f t="shared" si="152"/>
        <v>NO</v>
      </c>
      <c r="AB155" s="444" t="str">
        <f t="shared" si="152"/>
        <v>YES</v>
      </c>
      <c r="AC155" s="444" t="str">
        <f t="shared" si="152"/>
        <v>NO</v>
      </c>
      <c r="AD155" s="444" t="str">
        <f t="shared" si="152"/>
        <v>NO</v>
      </c>
      <c r="AE155" s="444" t="str">
        <f t="shared" si="152"/>
        <v>NO</v>
      </c>
      <c r="AF155" s="444" t="str">
        <f t="shared" si="152"/>
        <v>NO</v>
      </c>
      <c r="AG155" s="444" t="str">
        <f t="shared" si="152"/>
        <v>NO</v>
      </c>
      <c r="AH155" s="444" t="str">
        <f t="shared" si="152"/>
        <v>NO</v>
      </c>
      <c r="AI155" s="444" t="str">
        <f t="shared" si="153"/>
        <v>YES</v>
      </c>
      <c r="AJ155" s="444" t="str">
        <f t="shared" si="153"/>
        <v>NO</v>
      </c>
      <c r="AK155" s="444" t="str">
        <f t="shared" si="153"/>
        <v>NO</v>
      </c>
      <c r="AL155" s="444" t="str">
        <f t="shared" si="153"/>
        <v>YES</v>
      </c>
      <c r="AM155" s="444" t="str">
        <f t="shared" si="153"/>
        <v>NO</v>
      </c>
      <c r="AN155" s="444" t="str">
        <f t="shared" si="153"/>
        <v>NO</v>
      </c>
      <c r="AO155" s="444" t="str">
        <f t="shared" si="153"/>
        <v>NO</v>
      </c>
      <c r="AP155" s="444" t="str">
        <f t="shared" si="153"/>
        <v>NO</v>
      </c>
      <c r="AQ155" s="444" t="str">
        <f t="shared" si="153"/>
        <v>YES</v>
      </c>
      <c r="AR155" s="444" t="str">
        <f t="shared" si="153"/>
        <v>NO</v>
      </c>
      <c r="AS155" s="444" t="str">
        <f t="shared" si="154"/>
        <v>NO</v>
      </c>
      <c r="AT155" s="444" t="str">
        <f t="shared" si="154"/>
        <v>DEP</v>
      </c>
      <c r="AU155" s="444" t="str">
        <f t="shared" si="154"/>
        <v>DEP</v>
      </c>
      <c r="AV155" s="444" t="str">
        <f t="shared" si="154"/>
        <v>DEP</v>
      </c>
      <c r="AW155" s="444" t="str">
        <f t="shared" si="154"/>
        <v>NO</v>
      </c>
      <c r="AX155" s="444" t="str">
        <f t="shared" si="154"/>
        <v>DEP</v>
      </c>
      <c r="AY155" s="444" t="str">
        <f t="shared" si="154"/>
        <v>DEP</v>
      </c>
      <c r="AZ155" s="444" t="str">
        <f t="shared" si="154"/>
        <v>DEP</v>
      </c>
      <c r="BA155" s="444" t="str">
        <f t="shared" si="154"/>
        <v>NO</v>
      </c>
      <c r="BB155" s="444" t="str">
        <f t="shared" si="154"/>
        <v>YES</v>
      </c>
      <c r="BC155" s="444" t="str">
        <f t="shared" si="155"/>
        <v>NO</v>
      </c>
      <c r="BD155" s="444" t="str">
        <f t="shared" si="155"/>
        <v>NO</v>
      </c>
      <c r="BE155" s="444" t="str">
        <f t="shared" si="155"/>
        <v>YES</v>
      </c>
      <c r="BF155" s="444" t="str">
        <f t="shared" si="155"/>
        <v>YES</v>
      </c>
      <c r="BG155" s="444" t="str">
        <f t="shared" si="155"/>
        <v>YES</v>
      </c>
      <c r="BH155" s="445" t="str">
        <f t="shared" si="155"/>
        <v>NO</v>
      </c>
      <c r="BI155" s="502"/>
      <c r="BJ155" s="474" t="str">
        <f t="shared" si="156"/>
        <v>NO</v>
      </c>
      <c r="BK155" s="475" t="str">
        <f t="shared" si="156"/>
        <v>NO</v>
      </c>
      <c r="BL155" s="475" t="str">
        <f t="shared" si="156"/>
        <v>NO</v>
      </c>
      <c r="BM155" s="475" t="str">
        <f t="shared" si="156"/>
        <v>NO</v>
      </c>
      <c r="BN155" s="475" t="str">
        <f t="shared" si="156"/>
        <v>NO</v>
      </c>
      <c r="BO155" s="475" t="str">
        <f t="shared" si="156"/>
        <v>NO</v>
      </c>
      <c r="BP155" s="475" t="str">
        <f t="shared" si="156"/>
        <v>NO</v>
      </c>
      <c r="BQ155" s="475" t="str">
        <f t="shared" si="156"/>
        <v>NO</v>
      </c>
      <c r="BR155" s="475" t="str">
        <f t="shared" si="156"/>
        <v>NO</v>
      </c>
      <c r="BS155" s="475" t="str">
        <f t="shared" si="156"/>
        <v>NO</v>
      </c>
      <c r="BT155" s="475" t="str">
        <f t="shared" si="157"/>
        <v>NO</v>
      </c>
      <c r="BU155" s="475" t="str">
        <f t="shared" si="157"/>
        <v>NO</v>
      </c>
      <c r="BV155" s="475" t="str">
        <f t="shared" si="157"/>
        <v>NO</v>
      </c>
      <c r="BW155" s="475" t="str">
        <f t="shared" si="157"/>
        <v>NO</v>
      </c>
      <c r="BX155" s="475" t="str">
        <f t="shared" si="157"/>
        <v>NO</v>
      </c>
      <c r="BY155" s="475" t="str">
        <f t="shared" si="157"/>
        <v>NO</v>
      </c>
      <c r="BZ155" s="475" t="str">
        <f t="shared" si="157"/>
        <v>NO</v>
      </c>
      <c r="CA155" s="475" t="str">
        <f t="shared" si="157"/>
        <v>NO</v>
      </c>
      <c r="CB155" s="475" t="str">
        <f t="shared" si="157"/>
        <v>NO</v>
      </c>
      <c r="CC155" s="475" t="str">
        <f t="shared" si="157"/>
        <v>NO</v>
      </c>
      <c r="CD155" s="475" t="str">
        <f t="shared" si="158"/>
        <v>NO</v>
      </c>
      <c r="CE155" s="475" t="str">
        <f t="shared" si="158"/>
        <v>NO</v>
      </c>
      <c r="CF155" s="475" t="str">
        <f t="shared" si="158"/>
        <v>NO</v>
      </c>
      <c r="CG155" s="475" t="str">
        <f t="shared" si="158"/>
        <v>NO</v>
      </c>
      <c r="CH155" s="475" t="str">
        <f t="shared" si="158"/>
        <v>NO</v>
      </c>
      <c r="CI155" s="475" t="str">
        <f t="shared" si="158"/>
        <v>NO</v>
      </c>
      <c r="CJ155" s="475" t="str">
        <f t="shared" si="158"/>
        <v>NO</v>
      </c>
      <c r="CK155" s="475" t="str">
        <f t="shared" si="158"/>
        <v>NO</v>
      </c>
      <c r="CL155" s="475" t="str">
        <f t="shared" si="158"/>
        <v>NO</v>
      </c>
      <c r="CM155" s="475" t="str">
        <f t="shared" si="158"/>
        <v>NO</v>
      </c>
      <c r="CN155" s="475" t="str">
        <f t="shared" si="159"/>
        <v>NO</v>
      </c>
      <c r="CO155" s="475" t="str">
        <f t="shared" si="159"/>
        <v>NO</v>
      </c>
      <c r="CP155" s="475" t="str">
        <f t="shared" si="159"/>
        <v>NO</v>
      </c>
      <c r="CQ155" s="475" t="str">
        <f t="shared" si="159"/>
        <v>NO</v>
      </c>
      <c r="CR155" s="475" t="str">
        <f t="shared" si="159"/>
        <v>NO</v>
      </c>
      <c r="CS155" s="475" t="str">
        <f t="shared" si="159"/>
        <v>NO</v>
      </c>
      <c r="CT155" s="475" t="str">
        <f t="shared" si="159"/>
        <v>NO</v>
      </c>
      <c r="CU155" s="475" t="str">
        <f t="shared" si="159"/>
        <v>NO</v>
      </c>
      <c r="CV155" s="475" t="str">
        <f t="shared" si="159"/>
        <v>NO</v>
      </c>
      <c r="CW155" s="475" t="str">
        <f t="shared" si="159"/>
        <v>NO</v>
      </c>
      <c r="CX155" s="475" t="str">
        <f t="shared" si="159"/>
        <v>NO</v>
      </c>
      <c r="CY155" s="475" t="str">
        <f t="shared" si="159"/>
        <v>NO</v>
      </c>
      <c r="CZ155" s="495" t="str">
        <f t="shared" si="159"/>
        <v>NO</v>
      </c>
      <c r="DA155" s="502"/>
      <c r="DB155" s="460">
        <v>2</v>
      </c>
      <c r="DC155" s="465">
        <v>3.1</v>
      </c>
      <c r="DD155" s="463" t="s">
        <v>346</v>
      </c>
      <c r="DE155" s="513" t="s">
        <v>338</v>
      </c>
      <c r="DF155" s="516"/>
      <c r="DG155" s="508" t="s">
        <v>339</v>
      </c>
      <c r="DH155" s="463"/>
      <c r="DI155" s="461"/>
      <c r="DJ155" s="461"/>
      <c r="DK155" s="461"/>
      <c r="DL155" s="464"/>
      <c r="DM155" s="466"/>
      <c r="DN155" s="502"/>
      <c r="DO155" s="460" t="s">
        <v>339</v>
      </c>
      <c r="DP155" s="464" t="s">
        <v>339</v>
      </c>
      <c r="DQ155" s="464"/>
      <c r="DR155" s="464" t="s">
        <v>339</v>
      </c>
      <c r="DS155" s="508" t="s">
        <v>339</v>
      </c>
      <c r="DT155" s="525"/>
      <c r="DU155" s="525"/>
      <c r="DV155" s="463"/>
      <c r="DW155" s="464"/>
      <c r="DX155" s="465"/>
      <c r="DY155" s="463"/>
      <c r="DZ155" s="464"/>
      <c r="EA155" s="465"/>
      <c r="EB155" s="463"/>
      <c r="EC155" s="465"/>
      <c r="ED155" s="462">
        <v>61</v>
      </c>
      <c r="EE155" s="502"/>
      <c r="EF155" s="463"/>
      <c r="EG155" s="461"/>
      <c r="EH155" s="464"/>
      <c r="EI155" s="464"/>
      <c r="EJ155" s="464"/>
      <c r="EK155" s="464" t="s">
        <v>339</v>
      </c>
      <c r="EL155" s="464"/>
      <c r="EM155" s="464"/>
      <c r="EN155" s="464" t="s">
        <v>339</v>
      </c>
      <c r="EO155" s="464"/>
      <c r="EP155" s="464"/>
      <c r="EQ155" s="464"/>
      <c r="ER155" s="464"/>
      <c r="ES155" s="464"/>
      <c r="ET155" s="464"/>
      <c r="EU155" s="464"/>
      <c r="EV155" s="464"/>
      <c r="EW155" s="465"/>
      <c r="EX155" s="465"/>
      <c r="EY155" s="502"/>
      <c r="EZ155" s="460"/>
      <c r="FA155" s="464"/>
      <c r="FB155" s="464"/>
      <c r="FC155" s="464"/>
      <c r="FD155" s="464"/>
      <c r="FE155" s="464"/>
      <c r="FF155" s="464"/>
      <c r="FG155" s="466"/>
    </row>
    <row r="156" spans="1:163">
      <c r="A156" s="467" t="s">
        <v>347</v>
      </c>
      <c r="B156" s="471" t="str">
        <f>IF(ISNUMBER(MATCH(A156, 'Pulldown Data'!W:W, 0))=TRUE, "Y", IF(ISNUMBER(MATCH(A156, 'Pulldown Data'!X:X, 0))=TRUE, "M", ""))</f>
        <v/>
      </c>
      <c r="C156" s="504">
        <v>45630</v>
      </c>
      <c r="D156" s="502"/>
      <c r="E156" s="443" t="str">
        <f t="shared" si="150"/>
        <v>YES</v>
      </c>
      <c r="F156" s="444" t="str">
        <f t="shared" si="150"/>
        <v>NO</v>
      </c>
      <c r="G156" s="444" t="str">
        <f t="shared" si="150"/>
        <v>NO</v>
      </c>
      <c r="H156" s="444" t="str">
        <f t="shared" si="150"/>
        <v>YES</v>
      </c>
      <c r="I156" s="444" t="str">
        <f t="shared" si="150"/>
        <v>YES</v>
      </c>
      <c r="J156" s="444" t="str">
        <f t="shared" si="150"/>
        <v>YES</v>
      </c>
      <c r="K156" s="444" t="str">
        <f t="shared" si="150"/>
        <v>NO</v>
      </c>
      <c r="L156" s="444" t="str">
        <f t="shared" si="150"/>
        <v>YES</v>
      </c>
      <c r="M156" s="444" t="str">
        <f t="shared" si="150"/>
        <v>YES</v>
      </c>
      <c r="N156" s="444" t="str">
        <f t="shared" si="150"/>
        <v>YES</v>
      </c>
      <c r="O156" s="444" t="str">
        <f t="shared" si="151"/>
        <v>YES</v>
      </c>
      <c r="P156" s="444" t="str">
        <f t="shared" si="151"/>
        <v>YES</v>
      </c>
      <c r="Q156" s="444" t="str">
        <f t="shared" si="151"/>
        <v>YES</v>
      </c>
      <c r="R156" s="444" t="str">
        <f t="shared" si="151"/>
        <v>NO</v>
      </c>
      <c r="S156" s="444" t="str">
        <f t="shared" si="151"/>
        <v>NO</v>
      </c>
      <c r="T156" s="444" t="str">
        <f t="shared" si="151"/>
        <v>YES</v>
      </c>
      <c r="U156" s="444" t="str">
        <f t="shared" si="151"/>
        <v>YES</v>
      </c>
      <c r="V156" s="444" t="str">
        <f t="shared" si="151"/>
        <v>YES</v>
      </c>
      <c r="W156" s="444" t="str">
        <f t="shared" si="151"/>
        <v>YES</v>
      </c>
      <c r="X156" s="444" t="str">
        <f t="shared" si="151"/>
        <v>NO</v>
      </c>
      <c r="Y156" s="444" t="str">
        <f t="shared" si="152"/>
        <v>NO</v>
      </c>
      <c r="Z156" s="444" t="str">
        <f t="shared" si="152"/>
        <v>NO</v>
      </c>
      <c r="AA156" s="444" t="str">
        <f t="shared" si="152"/>
        <v>NO</v>
      </c>
      <c r="AB156" s="444" t="str">
        <f t="shared" si="152"/>
        <v>YES</v>
      </c>
      <c r="AC156" s="444" t="str">
        <f t="shared" si="152"/>
        <v>NO</v>
      </c>
      <c r="AD156" s="444" t="str">
        <f t="shared" si="152"/>
        <v>NO</v>
      </c>
      <c r="AE156" s="444" t="str">
        <f t="shared" si="152"/>
        <v>NO</v>
      </c>
      <c r="AF156" s="444" t="str">
        <f t="shared" si="152"/>
        <v>NO</v>
      </c>
      <c r="AG156" s="444" t="str">
        <f t="shared" si="152"/>
        <v>NO</v>
      </c>
      <c r="AH156" s="444" t="str">
        <f t="shared" si="152"/>
        <v>NO</v>
      </c>
      <c r="AI156" s="444" t="str">
        <f t="shared" si="153"/>
        <v>YES</v>
      </c>
      <c r="AJ156" s="444" t="str">
        <f t="shared" si="153"/>
        <v>NO</v>
      </c>
      <c r="AK156" s="444" t="str">
        <f t="shared" si="153"/>
        <v>NO</v>
      </c>
      <c r="AL156" s="444" t="str">
        <f t="shared" si="153"/>
        <v>YES</v>
      </c>
      <c r="AM156" s="444" t="str">
        <f t="shared" si="153"/>
        <v>NO</v>
      </c>
      <c r="AN156" s="444" t="str">
        <f t="shared" si="153"/>
        <v>NO</v>
      </c>
      <c r="AO156" s="444" t="str">
        <f t="shared" si="153"/>
        <v>NO</v>
      </c>
      <c r="AP156" s="444" t="str">
        <f t="shared" si="153"/>
        <v>NO</v>
      </c>
      <c r="AQ156" s="444" t="str">
        <f t="shared" si="153"/>
        <v>YES</v>
      </c>
      <c r="AR156" s="444" t="str">
        <f t="shared" si="153"/>
        <v>NO</v>
      </c>
      <c r="AS156" s="444" t="str">
        <f t="shared" si="154"/>
        <v>NO</v>
      </c>
      <c r="AT156" s="444" t="str">
        <f t="shared" si="154"/>
        <v>DEP</v>
      </c>
      <c r="AU156" s="444" t="str">
        <f t="shared" si="154"/>
        <v>DEP</v>
      </c>
      <c r="AV156" s="444" t="str">
        <f t="shared" si="154"/>
        <v>DEP</v>
      </c>
      <c r="AW156" s="444" t="str">
        <f t="shared" si="154"/>
        <v>NO</v>
      </c>
      <c r="AX156" s="444" t="str">
        <f t="shared" si="154"/>
        <v>DEP</v>
      </c>
      <c r="AY156" s="444" t="str">
        <f t="shared" si="154"/>
        <v>DEP</v>
      </c>
      <c r="AZ156" s="444" t="str">
        <f t="shared" si="154"/>
        <v>DEP</v>
      </c>
      <c r="BA156" s="444" t="str">
        <f t="shared" si="154"/>
        <v>NO</v>
      </c>
      <c r="BB156" s="444" t="str">
        <f t="shared" si="154"/>
        <v>YES</v>
      </c>
      <c r="BC156" s="444" t="str">
        <f t="shared" si="155"/>
        <v>NO</v>
      </c>
      <c r="BD156" s="444" t="str">
        <f t="shared" si="155"/>
        <v>NO</v>
      </c>
      <c r="BE156" s="444" t="str">
        <f t="shared" si="155"/>
        <v>YES</v>
      </c>
      <c r="BF156" s="444" t="str">
        <f t="shared" si="155"/>
        <v>YES</v>
      </c>
      <c r="BG156" s="444" t="str">
        <f t="shared" si="155"/>
        <v>YES</v>
      </c>
      <c r="BH156" s="445" t="str">
        <f t="shared" si="155"/>
        <v>NO</v>
      </c>
      <c r="BI156" s="502"/>
      <c r="BJ156" s="474" t="str">
        <f t="shared" si="156"/>
        <v>NO</v>
      </c>
      <c r="BK156" s="475" t="str">
        <f t="shared" si="156"/>
        <v>NO</v>
      </c>
      <c r="BL156" s="475" t="str">
        <f t="shared" si="156"/>
        <v>NO</v>
      </c>
      <c r="BM156" s="475" t="str">
        <f t="shared" si="156"/>
        <v>NO</v>
      </c>
      <c r="BN156" s="475" t="str">
        <f t="shared" si="156"/>
        <v>NO</v>
      </c>
      <c r="BO156" s="475" t="str">
        <f t="shared" si="156"/>
        <v>NO</v>
      </c>
      <c r="BP156" s="475" t="str">
        <f t="shared" si="156"/>
        <v>NO</v>
      </c>
      <c r="BQ156" s="475" t="str">
        <f t="shared" si="156"/>
        <v>NO</v>
      </c>
      <c r="BR156" s="475" t="str">
        <f t="shared" si="156"/>
        <v>NO</v>
      </c>
      <c r="BS156" s="475" t="str">
        <f t="shared" si="156"/>
        <v>NO</v>
      </c>
      <c r="BT156" s="475" t="str">
        <f t="shared" si="157"/>
        <v>NO</v>
      </c>
      <c r="BU156" s="475" t="str">
        <f t="shared" si="157"/>
        <v>NO</v>
      </c>
      <c r="BV156" s="475" t="str">
        <f t="shared" si="157"/>
        <v>NO</v>
      </c>
      <c r="BW156" s="475" t="str">
        <f t="shared" si="157"/>
        <v>NO</v>
      </c>
      <c r="BX156" s="475" t="str">
        <f t="shared" si="157"/>
        <v>NO</v>
      </c>
      <c r="BY156" s="475" t="str">
        <f t="shared" si="157"/>
        <v>NO</v>
      </c>
      <c r="BZ156" s="475" t="str">
        <f t="shared" si="157"/>
        <v>NO</v>
      </c>
      <c r="CA156" s="475" t="str">
        <f t="shared" si="157"/>
        <v>NO</v>
      </c>
      <c r="CB156" s="475" t="str">
        <f t="shared" si="157"/>
        <v>NO</v>
      </c>
      <c r="CC156" s="475" t="str">
        <f t="shared" si="157"/>
        <v>NO</v>
      </c>
      <c r="CD156" s="475" t="str">
        <f t="shared" si="158"/>
        <v>NO</v>
      </c>
      <c r="CE156" s="475" t="str">
        <f t="shared" si="158"/>
        <v>NO</v>
      </c>
      <c r="CF156" s="475" t="str">
        <f t="shared" si="158"/>
        <v>NO</v>
      </c>
      <c r="CG156" s="475" t="str">
        <f t="shared" si="158"/>
        <v>NO</v>
      </c>
      <c r="CH156" s="475" t="str">
        <f t="shared" si="158"/>
        <v>NO</v>
      </c>
      <c r="CI156" s="475" t="str">
        <f t="shared" si="158"/>
        <v>NO</v>
      </c>
      <c r="CJ156" s="475" t="str">
        <f t="shared" si="158"/>
        <v>NO</v>
      </c>
      <c r="CK156" s="475" t="str">
        <f t="shared" si="158"/>
        <v>NO</v>
      </c>
      <c r="CL156" s="475" t="str">
        <f t="shared" si="158"/>
        <v>NO</v>
      </c>
      <c r="CM156" s="475" t="str">
        <f t="shared" si="158"/>
        <v>NO</v>
      </c>
      <c r="CN156" s="475" t="str">
        <f t="shared" si="159"/>
        <v>NO</v>
      </c>
      <c r="CO156" s="475" t="str">
        <f t="shared" si="159"/>
        <v>NO</v>
      </c>
      <c r="CP156" s="475" t="str">
        <f t="shared" si="159"/>
        <v>NO</v>
      </c>
      <c r="CQ156" s="475" t="str">
        <f t="shared" si="159"/>
        <v>NO</v>
      </c>
      <c r="CR156" s="475" t="str">
        <f t="shared" si="159"/>
        <v>NO</v>
      </c>
      <c r="CS156" s="475" t="str">
        <f t="shared" si="159"/>
        <v>NO</v>
      </c>
      <c r="CT156" s="475" t="str">
        <f t="shared" si="159"/>
        <v>NO</v>
      </c>
      <c r="CU156" s="475" t="str">
        <f t="shared" si="159"/>
        <v>NO</v>
      </c>
      <c r="CV156" s="475" t="str">
        <f t="shared" si="159"/>
        <v>NO</v>
      </c>
      <c r="CW156" s="475" t="str">
        <f t="shared" si="159"/>
        <v>NO</v>
      </c>
      <c r="CX156" s="475" t="str">
        <f t="shared" si="159"/>
        <v>NO</v>
      </c>
      <c r="CY156" s="475" t="str">
        <f t="shared" si="159"/>
        <v>NO</v>
      </c>
      <c r="CZ156" s="495" t="str">
        <f t="shared" si="159"/>
        <v>NO</v>
      </c>
      <c r="DA156" s="502"/>
      <c r="DB156" s="460">
        <v>2</v>
      </c>
      <c r="DC156" s="465">
        <v>3.1</v>
      </c>
      <c r="DD156" s="463" t="s">
        <v>346</v>
      </c>
      <c r="DE156" s="513" t="s">
        <v>338</v>
      </c>
      <c r="DF156" s="516"/>
      <c r="DG156" s="508" t="s">
        <v>339</v>
      </c>
      <c r="DH156" s="463"/>
      <c r="DI156" s="461"/>
      <c r="DJ156" s="461"/>
      <c r="DK156" s="461"/>
      <c r="DL156" s="464"/>
      <c r="DM156" s="466"/>
      <c r="DN156" s="502"/>
      <c r="DO156" s="460" t="s">
        <v>339</v>
      </c>
      <c r="DP156" s="464" t="s">
        <v>339</v>
      </c>
      <c r="DQ156" s="464"/>
      <c r="DR156" s="464" t="s">
        <v>339</v>
      </c>
      <c r="DS156" s="508" t="s">
        <v>339</v>
      </c>
      <c r="DT156" s="525"/>
      <c r="DU156" s="525"/>
      <c r="DV156" s="463"/>
      <c r="DW156" s="464"/>
      <c r="DX156" s="465"/>
      <c r="DY156" s="463"/>
      <c r="DZ156" s="464"/>
      <c r="EA156" s="465"/>
      <c r="EB156" s="463"/>
      <c r="EC156" s="465"/>
      <c r="ED156" s="462">
        <v>61</v>
      </c>
      <c r="EE156" s="502"/>
      <c r="EF156" s="463"/>
      <c r="EG156" s="461"/>
      <c r="EH156" s="464"/>
      <c r="EI156" s="464"/>
      <c r="EJ156" s="464"/>
      <c r="EK156" s="464" t="s">
        <v>339</v>
      </c>
      <c r="EL156" s="464"/>
      <c r="EM156" s="464"/>
      <c r="EN156" s="464" t="s">
        <v>339</v>
      </c>
      <c r="EO156" s="464"/>
      <c r="EP156" s="464"/>
      <c r="EQ156" s="464"/>
      <c r="ER156" s="464"/>
      <c r="ES156" s="464"/>
      <c r="ET156" s="464"/>
      <c r="EU156" s="464"/>
      <c r="EV156" s="464"/>
      <c r="EW156" s="465"/>
      <c r="EX156" s="465"/>
      <c r="EY156" s="502"/>
      <c r="EZ156" s="460"/>
      <c r="FA156" s="464"/>
      <c r="FB156" s="464"/>
      <c r="FC156" s="464"/>
      <c r="FD156" s="464"/>
      <c r="FE156" s="464"/>
      <c r="FF156" s="464"/>
      <c r="FG156" s="466"/>
    </row>
    <row r="157" spans="1:163">
      <c r="A157" s="467" t="s">
        <v>348</v>
      </c>
      <c r="B157" s="471" t="str">
        <f>IF(ISNUMBER(MATCH(A157, 'Pulldown Data'!W:W, 0))=TRUE, "Y", IF(ISNUMBER(MATCH(A157, 'Pulldown Data'!X:X, 0))=TRUE, "M", ""))</f>
        <v/>
      </c>
      <c r="C157" s="504">
        <v>45630</v>
      </c>
      <c r="D157" s="502"/>
      <c r="E157" s="443" t="str">
        <f t="shared" si="150"/>
        <v>YES</v>
      </c>
      <c r="F157" s="444" t="str">
        <f t="shared" si="150"/>
        <v>NO</v>
      </c>
      <c r="G157" s="444" t="str">
        <f t="shared" si="150"/>
        <v>NO</v>
      </c>
      <c r="H157" s="444" t="str">
        <f t="shared" si="150"/>
        <v>YES</v>
      </c>
      <c r="I157" s="444" t="str">
        <f t="shared" si="150"/>
        <v>YES</v>
      </c>
      <c r="J157" s="444" t="str">
        <f t="shared" si="150"/>
        <v>YES</v>
      </c>
      <c r="K157" s="444" t="str">
        <f t="shared" si="150"/>
        <v>NO</v>
      </c>
      <c r="L157" s="444" t="str">
        <f t="shared" si="150"/>
        <v>YES</v>
      </c>
      <c r="M157" s="444" t="str">
        <f t="shared" si="150"/>
        <v>YES</v>
      </c>
      <c r="N157" s="444" t="str">
        <f t="shared" si="150"/>
        <v>YES</v>
      </c>
      <c r="O157" s="444" t="str">
        <f t="shared" si="151"/>
        <v>YES</v>
      </c>
      <c r="P157" s="444" t="str">
        <f t="shared" si="151"/>
        <v>YES</v>
      </c>
      <c r="Q157" s="444" t="str">
        <f t="shared" si="151"/>
        <v>YES</v>
      </c>
      <c r="R157" s="444" t="str">
        <f t="shared" si="151"/>
        <v>NO</v>
      </c>
      <c r="S157" s="444" t="str">
        <f t="shared" si="151"/>
        <v>NO</v>
      </c>
      <c r="T157" s="444" t="str">
        <f t="shared" si="151"/>
        <v>YES</v>
      </c>
      <c r="U157" s="444" t="str">
        <f t="shared" si="151"/>
        <v>YES</v>
      </c>
      <c r="V157" s="444" t="str">
        <f t="shared" si="151"/>
        <v>YES</v>
      </c>
      <c r="W157" s="444" t="str">
        <f t="shared" si="151"/>
        <v>YES</v>
      </c>
      <c r="X157" s="444" t="str">
        <f t="shared" si="151"/>
        <v>NO</v>
      </c>
      <c r="Y157" s="444" t="str">
        <f t="shared" si="152"/>
        <v>NO</v>
      </c>
      <c r="Z157" s="444" t="str">
        <f t="shared" si="152"/>
        <v>NO</v>
      </c>
      <c r="AA157" s="444" t="str">
        <f t="shared" si="152"/>
        <v>NO</v>
      </c>
      <c r="AB157" s="444" t="str">
        <f t="shared" si="152"/>
        <v>YES</v>
      </c>
      <c r="AC157" s="444" t="str">
        <f t="shared" si="152"/>
        <v>NO</v>
      </c>
      <c r="AD157" s="444" t="str">
        <f t="shared" si="152"/>
        <v>NO</v>
      </c>
      <c r="AE157" s="444" t="str">
        <f t="shared" si="152"/>
        <v>NO</v>
      </c>
      <c r="AF157" s="444" t="str">
        <f t="shared" si="152"/>
        <v>NO</v>
      </c>
      <c r="AG157" s="444" t="str">
        <f t="shared" si="152"/>
        <v>NO</v>
      </c>
      <c r="AH157" s="444" t="str">
        <f t="shared" si="152"/>
        <v>NO</v>
      </c>
      <c r="AI157" s="444" t="str">
        <f t="shared" si="153"/>
        <v>YES</v>
      </c>
      <c r="AJ157" s="444" t="str">
        <f t="shared" si="153"/>
        <v>NO</v>
      </c>
      <c r="AK157" s="444" t="str">
        <f t="shared" si="153"/>
        <v>NO</v>
      </c>
      <c r="AL157" s="444" t="str">
        <f t="shared" si="153"/>
        <v>YES</v>
      </c>
      <c r="AM157" s="444" t="str">
        <f t="shared" si="153"/>
        <v>NO</v>
      </c>
      <c r="AN157" s="444" t="str">
        <f t="shared" si="153"/>
        <v>NO</v>
      </c>
      <c r="AO157" s="444" t="str">
        <f t="shared" si="153"/>
        <v>NO</v>
      </c>
      <c r="AP157" s="444" t="str">
        <f t="shared" si="153"/>
        <v>NO</v>
      </c>
      <c r="AQ157" s="444" t="str">
        <f t="shared" si="153"/>
        <v>YES</v>
      </c>
      <c r="AR157" s="444" t="str">
        <f t="shared" si="153"/>
        <v>NO</v>
      </c>
      <c r="AS157" s="444" t="str">
        <f t="shared" si="154"/>
        <v>NO</v>
      </c>
      <c r="AT157" s="444" t="str">
        <f t="shared" si="154"/>
        <v>DEP</v>
      </c>
      <c r="AU157" s="444" t="str">
        <f t="shared" si="154"/>
        <v>DEP</v>
      </c>
      <c r="AV157" s="444" t="str">
        <f t="shared" si="154"/>
        <v>DEP</v>
      </c>
      <c r="AW157" s="444" t="str">
        <f t="shared" si="154"/>
        <v>NO</v>
      </c>
      <c r="AX157" s="444" t="str">
        <f t="shared" si="154"/>
        <v>DEP</v>
      </c>
      <c r="AY157" s="444" t="str">
        <f t="shared" si="154"/>
        <v>DEP</v>
      </c>
      <c r="AZ157" s="444" t="str">
        <f t="shared" si="154"/>
        <v>DEP</v>
      </c>
      <c r="BA157" s="444" t="str">
        <f t="shared" si="154"/>
        <v>NO</v>
      </c>
      <c r="BB157" s="444" t="str">
        <f t="shared" si="154"/>
        <v>YES</v>
      </c>
      <c r="BC157" s="444" t="str">
        <f t="shared" si="155"/>
        <v>NO</v>
      </c>
      <c r="BD157" s="444" t="str">
        <f t="shared" si="155"/>
        <v>NO</v>
      </c>
      <c r="BE157" s="444" t="str">
        <f t="shared" si="155"/>
        <v>YES</v>
      </c>
      <c r="BF157" s="444" t="str">
        <f t="shared" si="155"/>
        <v>YES</v>
      </c>
      <c r="BG157" s="444" t="str">
        <f t="shared" si="155"/>
        <v>YES</v>
      </c>
      <c r="BH157" s="445" t="str">
        <f t="shared" si="155"/>
        <v>NO</v>
      </c>
      <c r="BI157" s="502"/>
      <c r="BJ157" s="474" t="str">
        <f t="shared" si="156"/>
        <v>NO</v>
      </c>
      <c r="BK157" s="475" t="str">
        <f t="shared" si="156"/>
        <v>NO</v>
      </c>
      <c r="BL157" s="475" t="str">
        <f t="shared" si="156"/>
        <v>NO</v>
      </c>
      <c r="BM157" s="475" t="str">
        <f t="shared" si="156"/>
        <v>NO</v>
      </c>
      <c r="BN157" s="475" t="str">
        <f t="shared" si="156"/>
        <v>NO</v>
      </c>
      <c r="BO157" s="475" t="str">
        <f t="shared" si="156"/>
        <v>NO</v>
      </c>
      <c r="BP157" s="475" t="str">
        <f t="shared" si="156"/>
        <v>NO</v>
      </c>
      <c r="BQ157" s="475" t="str">
        <f t="shared" si="156"/>
        <v>NO</v>
      </c>
      <c r="BR157" s="475" t="str">
        <f t="shared" si="156"/>
        <v>NO</v>
      </c>
      <c r="BS157" s="475" t="str">
        <f t="shared" si="156"/>
        <v>NO</v>
      </c>
      <c r="BT157" s="475" t="str">
        <f t="shared" si="157"/>
        <v>NO</v>
      </c>
      <c r="BU157" s="475" t="str">
        <f t="shared" si="157"/>
        <v>NO</v>
      </c>
      <c r="BV157" s="475" t="str">
        <f t="shared" si="157"/>
        <v>NO</v>
      </c>
      <c r="BW157" s="475" t="str">
        <f t="shared" si="157"/>
        <v>NO</v>
      </c>
      <c r="BX157" s="475" t="str">
        <f t="shared" si="157"/>
        <v>NO</v>
      </c>
      <c r="BY157" s="475" t="str">
        <f t="shared" si="157"/>
        <v>NO</v>
      </c>
      <c r="BZ157" s="475" t="str">
        <f t="shared" si="157"/>
        <v>NO</v>
      </c>
      <c r="CA157" s="475" t="str">
        <f t="shared" si="157"/>
        <v>NO</v>
      </c>
      <c r="CB157" s="475" t="str">
        <f t="shared" si="157"/>
        <v>NO</v>
      </c>
      <c r="CC157" s="475" t="str">
        <f t="shared" si="157"/>
        <v>NO</v>
      </c>
      <c r="CD157" s="475" t="str">
        <f t="shared" si="158"/>
        <v>NO</v>
      </c>
      <c r="CE157" s="475" t="str">
        <f t="shared" si="158"/>
        <v>NO</v>
      </c>
      <c r="CF157" s="475" t="str">
        <f t="shared" si="158"/>
        <v>NO</v>
      </c>
      <c r="CG157" s="475" t="str">
        <f t="shared" si="158"/>
        <v>NO</v>
      </c>
      <c r="CH157" s="475" t="str">
        <f t="shared" si="158"/>
        <v>NO</v>
      </c>
      <c r="CI157" s="475" t="str">
        <f t="shared" si="158"/>
        <v>NO</v>
      </c>
      <c r="CJ157" s="475" t="str">
        <f t="shared" si="158"/>
        <v>NO</v>
      </c>
      <c r="CK157" s="475" t="str">
        <f t="shared" si="158"/>
        <v>NO</v>
      </c>
      <c r="CL157" s="475" t="str">
        <f t="shared" si="158"/>
        <v>NO</v>
      </c>
      <c r="CM157" s="475" t="str">
        <f t="shared" si="158"/>
        <v>NO</v>
      </c>
      <c r="CN157" s="475" t="str">
        <f t="shared" si="159"/>
        <v>NO</v>
      </c>
      <c r="CO157" s="475" t="str">
        <f t="shared" si="159"/>
        <v>NO</v>
      </c>
      <c r="CP157" s="475" t="str">
        <f t="shared" si="159"/>
        <v>NO</v>
      </c>
      <c r="CQ157" s="475" t="str">
        <f t="shared" si="159"/>
        <v>NO</v>
      </c>
      <c r="CR157" s="475" t="str">
        <f t="shared" si="159"/>
        <v>NO</v>
      </c>
      <c r="CS157" s="475" t="str">
        <f t="shared" si="159"/>
        <v>NO</v>
      </c>
      <c r="CT157" s="475" t="str">
        <f t="shared" si="159"/>
        <v>NO</v>
      </c>
      <c r="CU157" s="475" t="str">
        <f t="shared" si="159"/>
        <v>NO</v>
      </c>
      <c r="CV157" s="475" t="str">
        <f t="shared" si="159"/>
        <v>NO</v>
      </c>
      <c r="CW157" s="475" t="str">
        <f t="shared" si="159"/>
        <v>NO</v>
      </c>
      <c r="CX157" s="475" t="str">
        <f t="shared" si="159"/>
        <v>NO</v>
      </c>
      <c r="CY157" s="475" t="str">
        <f t="shared" si="159"/>
        <v>NO</v>
      </c>
      <c r="CZ157" s="495" t="str">
        <f t="shared" si="159"/>
        <v>NO</v>
      </c>
      <c r="DA157" s="502"/>
      <c r="DB157" s="460">
        <v>2</v>
      </c>
      <c r="DC157" s="465">
        <v>3.1</v>
      </c>
      <c r="DD157" s="463" t="s">
        <v>346</v>
      </c>
      <c r="DE157" s="513" t="s">
        <v>338</v>
      </c>
      <c r="DF157" s="516"/>
      <c r="DG157" s="508" t="s">
        <v>339</v>
      </c>
      <c r="DH157" s="463"/>
      <c r="DI157" s="461"/>
      <c r="DJ157" s="461"/>
      <c r="DK157" s="461"/>
      <c r="DL157" s="464"/>
      <c r="DM157" s="466"/>
      <c r="DN157" s="502"/>
      <c r="DO157" s="460" t="s">
        <v>339</v>
      </c>
      <c r="DP157" s="464" t="s">
        <v>339</v>
      </c>
      <c r="DQ157" s="464"/>
      <c r="DR157" s="464" t="s">
        <v>339</v>
      </c>
      <c r="DS157" s="508" t="s">
        <v>339</v>
      </c>
      <c r="DT157" s="525"/>
      <c r="DU157" s="525"/>
      <c r="DV157" s="463"/>
      <c r="DW157" s="464"/>
      <c r="DX157" s="465"/>
      <c r="DY157" s="463"/>
      <c r="DZ157" s="464"/>
      <c r="EA157" s="465"/>
      <c r="EB157" s="463"/>
      <c r="EC157" s="465"/>
      <c r="ED157" s="462">
        <v>61</v>
      </c>
      <c r="EE157" s="502"/>
      <c r="EF157" s="463"/>
      <c r="EG157" s="461"/>
      <c r="EH157" s="464"/>
      <c r="EI157" s="464"/>
      <c r="EJ157" s="464"/>
      <c r="EK157" s="464" t="s">
        <v>339</v>
      </c>
      <c r="EL157" s="464"/>
      <c r="EM157" s="464"/>
      <c r="EN157" s="464" t="s">
        <v>339</v>
      </c>
      <c r="EO157" s="464"/>
      <c r="EP157" s="464"/>
      <c r="EQ157" s="464"/>
      <c r="ER157" s="464"/>
      <c r="ES157" s="464"/>
      <c r="ET157" s="464"/>
      <c r="EU157" s="464"/>
      <c r="EV157" s="464"/>
      <c r="EW157" s="465"/>
      <c r="EX157" s="465"/>
      <c r="EY157" s="502"/>
      <c r="EZ157" s="460"/>
      <c r="FA157" s="464"/>
      <c r="FB157" s="464"/>
      <c r="FC157" s="464"/>
      <c r="FD157" s="464"/>
      <c r="FE157" s="464"/>
      <c r="FF157" s="464"/>
      <c r="FG157" s="466"/>
    </row>
    <row r="158" spans="1:163">
      <c r="A158" s="467" t="s">
        <v>349</v>
      </c>
      <c r="B158" s="471" t="str">
        <f>IF(ISNUMBER(MATCH(A158, 'Pulldown Data'!W:W, 0))=TRUE, "Y", IF(ISNUMBER(MATCH(A158, 'Pulldown Data'!X:X, 0))=TRUE, "M", ""))</f>
        <v/>
      </c>
      <c r="C158" s="504">
        <v>45630</v>
      </c>
      <c r="D158" s="502"/>
      <c r="E158" s="443" t="str">
        <f t="shared" si="150"/>
        <v>YES</v>
      </c>
      <c r="F158" s="444" t="str">
        <f t="shared" si="150"/>
        <v>NO</v>
      </c>
      <c r="G158" s="444" t="str">
        <f t="shared" si="150"/>
        <v>NO</v>
      </c>
      <c r="H158" s="444" t="str">
        <f t="shared" si="150"/>
        <v>YES</v>
      </c>
      <c r="I158" s="444" t="str">
        <f t="shared" si="150"/>
        <v>NO</v>
      </c>
      <c r="J158" s="444" t="str">
        <f t="shared" si="150"/>
        <v>NO</v>
      </c>
      <c r="K158" s="444" t="str">
        <f t="shared" si="150"/>
        <v>NO</v>
      </c>
      <c r="L158" s="444" t="str">
        <f t="shared" si="150"/>
        <v>YES</v>
      </c>
      <c r="M158" s="444" t="str">
        <f t="shared" si="150"/>
        <v>NO</v>
      </c>
      <c r="N158" s="444" t="str">
        <f t="shared" si="150"/>
        <v>NO</v>
      </c>
      <c r="O158" s="444" t="str">
        <f t="shared" si="151"/>
        <v>NO</v>
      </c>
      <c r="P158" s="444" t="str">
        <f t="shared" si="151"/>
        <v>NO</v>
      </c>
      <c r="Q158" s="444" t="str">
        <f t="shared" si="151"/>
        <v>NO</v>
      </c>
      <c r="R158" s="444" t="str">
        <f t="shared" si="151"/>
        <v>NO</v>
      </c>
      <c r="S158" s="444" t="str">
        <f t="shared" si="151"/>
        <v>NO</v>
      </c>
      <c r="T158" s="444" t="str">
        <f t="shared" si="151"/>
        <v>YES</v>
      </c>
      <c r="U158" s="444" t="str">
        <f t="shared" si="151"/>
        <v>YES</v>
      </c>
      <c r="V158" s="444" t="str">
        <f t="shared" si="151"/>
        <v>YES</v>
      </c>
      <c r="W158" s="444" t="str">
        <f t="shared" si="151"/>
        <v>YES</v>
      </c>
      <c r="X158" s="444" t="str">
        <f t="shared" si="151"/>
        <v>NO</v>
      </c>
      <c r="Y158" s="444" t="str">
        <f t="shared" si="152"/>
        <v>NO</v>
      </c>
      <c r="Z158" s="444" t="str">
        <f t="shared" si="152"/>
        <v>NO</v>
      </c>
      <c r="AA158" s="444" t="str">
        <f t="shared" si="152"/>
        <v>NO</v>
      </c>
      <c r="AB158" s="444" t="str">
        <f t="shared" si="152"/>
        <v>NO</v>
      </c>
      <c r="AC158" s="444" t="str">
        <f t="shared" si="152"/>
        <v>NO</v>
      </c>
      <c r="AD158" s="444" t="str">
        <f t="shared" si="152"/>
        <v>NO</v>
      </c>
      <c r="AE158" s="444" t="str">
        <f t="shared" si="152"/>
        <v>NO</v>
      </c>
      <c r="AF158" s="444" t="str">
        <f t="shared" si="152"/>
        <v>NO</v>
      </c>
      <c r="AG158" s="444" t="str">
        <f t="shared" si="152"/>
        <v>NO</v>
      </c>
      <c r="AH158" s="444" t="str">
        <f t="shared" si="152"/>
        <v>NO</v>
      </c>
      <c r="AI158" s="444" t="str">
        <f t="shared" si="153"/>
        <v>NO</v>
      </c>
      <c r="AJ158" s="444" t="str">
        <f t="shared" si="153"/>
        <v>NO</v>
      </c>
      <c r="AK158" s="444" t="str">
        <f t="shared" si="153"/>
        <v>NO</v>
      </c>
      <c r="AL158" s="444" t="str">
        <f t="shared" si="153"/>
        <v>NO</v>
      </c>
      <c r="AM158" s="444" t="str">
        <f t="shared" si="153"/>
        <v>NO</v>
      </c>
      <c r="AN158" s="444" t="str">
        <f t="shared" si="153"/>
        <v>NO</v>
      </c>
      <c r="AO158" s="444" t="str">
        <f t="shared" si="153"/>
        <v>NO</v>
      </c>
      <c r="AP158" s="444" t="str">
        <f t="shared" si="153"/>
        <v>NO</v>
      </c>
      <c r="AQ158" s="444" t="str">
        <f t="shared" si="153"/>
        <v>NO</v>
      </c>
      <c r="AR158" s="444" t="str">
        <f t="shared" si="153"/>
        <v>NO</v>
      </c>
      <c r="AS158" s="444" t="str">
        <f t="shared" si="154"/>
        <v>NO</v>
      </c>
      <c r="AT158" s="444" t="str">
        <f t="shared" si="154"/>
        <v>DEP</v>
      </c>
      <c r="AU158" s="444" t="str">
        <f t="shared" si="154"/>
        <v>DEP</v>
      </c>
      <c r="AV158" s="444" t="str">
        <f t="shared" si="154"/>
        <v>DEP</v>
      </c>
      <c r="AW158" s="444" t="str">
        <f t="shared" si="154"/>
        <v>NO</v>
      </c>
      <c r="AX158" s="444" t="str">
        <f t="shared" si="154"/>
        <v>DEP</v>
      </c>
      <c r="AY158" s="444" t="str">
        <f t="shared" si="154"/>
        <v>DEP</v>
      </c>
      <c r="AZ158" s="444" t="str">
        <f t="shared" si="154"/>
        <v>DEP</v>
      </c>
      <c r="BA158" s="444" t="str">
        <f t="shared" si="154"/>
        <v>NO</v>
      </c>
      <c r="BB158" s="444" t="str">
        <f t="shared" si="154"/>
        <v>YES</v>
      </c>
      <c r="BC158" s="444" t="str">
        <f t="shared" si="155"/>
        <v>NO</v>
      </c>
      <c r="BD158" s="444" t="str">
        <f t="shared" si="155"/>
        <v>NO</v>
      </c>
      <c r="BE158" s="444" t="str">
        <f t="shared" si="155"/>
        <v>YES</v>
      </c>
      <c r="BF158" s="444" t="str">
        <f t="shared" si="155"/>
        <v>YES</v>
      </c>
      <c r="BG158" s="444" t="str">
        <f t="shared" si="155"/>
        <v>YES</v>
      </c>
      <c r="BH158" s="445" t="str">
        <f t="shared" si="155"/>
        <v>NO</v>
      </c>
      <c r="BI158" s="502"/>
      <c r="BJ158" s="474" t="str">
        <f t="shared" si="156"/>
        <v>NO</v>
      </c>
      <c r="BK158" s="475" t="str">
        <f t="shared" si="156"/>
        <v>NO</v>
      </c>
      <c r="BL158" s="475" t="str">
        <f t="shared" si="156"/>
        <v>NO</v>
      </c>
      <c r="BM158" s="475" t="str">
        <f t="shared" si="156"/>
        <v>NO</v>
      </c>
      <c r="BN158" s="475" t="str">
        <f t="shared" si="156"/>
        <v>NO</v>
      </c>
      <c r="BO158" s="475" t="str">
        <f t="shared" si="156"/>
        <v>NO</v>
      </c>
      <c r="BP158" s="475" t="str">
        <f t="shared" si="156"/>
        <v>NO</v>
      </c>
      <c r="BQ158" s="475" t="str">
        <f t="shared" si="156"/>
        <v>NO</v>
      </c>
      <c r="BR158" s="475" t="str">
        <f t="shared" si="156"/>
        <v>NO</v>
      </c>
      <c r="BS158" s="475" t="str">
        <f t="shared" si="156"/>
        <v>NO</v>
      </c>
      <c r="BT158" s="475" t="str">
        <f t="shared" si="157"/>
        <v>NO</v>
      </c>
      <c r="BU158" s="475" t="str">
        <f t="shared" si="157"/>
        <v>NO</v>
      </c>
      <c r="BV158" s="475" t="str">
        <f t="shared" si="157"/>
        <v>NO</v>
      </c>
      <c r="BW158" s="475" t="str">
        <f t="shared" si="157"/>
        <v>NO</v>
      </c>
      <c r="BX158" s="475" t="str">
        <f t="shared" si="157"/>
        <v>NO</v>
      </c>
      <c r="BY158" s="475" t="str">
        <f t="shared" si="157"/>
        <v>NO</v>
      </c>
      <c r="BZ158" s="475" t="str">
        <f t="shared" si="157"/>
        <v>NO</v>
      </c>
      <c r="CA158" s="475" t="str">
        <f t="shared" si="157"/>
        <v>NO</v>
      </c>
      <c r="CB158" s="475" t="str">
        <f t="shared" si="157"/>
        <v>NO</v>
      </c>
      <c r="CC158" s="475" t="str">
        <f t="shared" si="157"/>
        <v>NO</v>
      </c>
      <c r="CD158" s="475" t="str">
        <f t="shared" si="158"/>
        <v>NO</v>
      </c>
      <c r="CE158" s="475" t="str">
        <f t="shared" si="158"/>
        <v>NO</v>
      </c>
      <c r="CF158" s="475" t="str">
        <f t="shared" si="158"/>
        <v>NO</v>
      </c>
      <c r="CG158" s="475" t="str">
        <f t="shared" si="158"/>
        <v>NO</v>
      </c>
      <c r="CH158" s="475" t="str">
        <f t="shared" si="158"/>
        <v>NO</v>
      </c>
      <c r="CI158" s="475" t="str">
        <f t="shared" si="158"/>
        <v>NO</v>
      </c>
      <c r="CJ158" s="475" t="str">
        <f t="shared" si="158"/>
        <v>NO</v>
      </c>
      <c r="CK158" s="475" t="str">
        <f t="shared" si="158"/>
        <v>NO</v>
      </c>
      <c r="CL158" s="475" t="str">
        <f t="shared" si="158"/>
        <v>NO</v>
      </c>
      <c r="CM158" s="475" t="str">
        <f t="shared" si="158"/>
        <v>NO</v>
      </c>
      <c r="CN158" s="475" t="str">
        <f t="shared" si="159"/>
        <v>NO</v>
      </c>
      <c r="CO158" s="475" t="str">
        <f t="shared" si="159"/>
        <v>NO</v>
      </c>
      <c r="CP158" s="475" t="str">
        <f t="shared" si="159"/>
        <v>NO</v>
      </c>
      <c r="CQ158" s="475" t="str">
        <f t="shared" si="159"/>
        <v>NO</v>
      </c>
      <c r="CR158" s="475" t="str">
        <f t="shared" si="159"/>
        <v>NO</v>
      </c>
      <c r="CS158" s="475" t="str">
        <f t="shared" si="159"/>
        <v>NO</v>
      </c>
      <c r="CT158" s="475" t="str">
        <f t="shared" si="159"/>
        <v>NO</v>
      </c>
      <c r="CU158" s="475" t="str">
        <f t="shared" si="159"/>
        <v>NO</v>
      </c>
      <c r="CV158" s="475" t="str">
        <f t="shared" si="159"/>
        <v>NO</v>
      </c>
      <c r="CW158" s="475" t="str">
        <f t="shared" si="159"/>
        <v>NO</v>
      </c>
      <c r="CX158" s="475" t="str">
        <f t="shared" si="159"/>
        <v>NO</v>
      </c>
      <c r="CY158" s="475" t="str">
        <f t="shared" si="159"/>
        <v>NO</v>
      </c>
      <c r="CZ158" s="495" t="str">
        <f t="shared" si="159"/>
        <v>NO</v>
      </c>
      <c r="DA158" s="502"/>
      <c r="DB158" s="460"/>
      <c r="DC158" s="465"/>
      <c r="DD158" s="463"/>
      <c r="DE158" s="512"/>
      <c r="DF158" s="516"/>
      <c r="DG158" s="508"/>
      <c r="DH158" s="463"/>
      <c r="DI158" s="461"/>
      <c r="DJ158" s="461"/>
      <c r="DK158" s="461"/>
      <c r="DL158" s="464"/>
      <c r="DM158" s="466"/>
      <c r="DN158" s="502"/>
      <c r="DO158" s="460"/>
      <c r="DP158" s="464"/>
      <c r="DQ158" s="464"/>
      <c r="DR158" s="464"/>
      <c r="DS158" s="508"/>
      <c r="DT158" s="525"/>
      <c r="DU158" s="525"/>
      <c r="DV158" s="463"/>
      <c r="DW158" s="464"/>
      <c r="DX158" s="465"/>
      <c r="DY158" s="463"/>
      <c r="DZ158" s="464"/>
      <c r="EA158" s="465"/>
      <c r="EB158" s="463"/>
      <c r="EC158" s="465"/>
      <c r="ED158" s="462"/>
      <c r="EE158" s="502"/>
      <c r="EF158" s="463"/>
      <c r="EG158" s="461"/>
      <c r="EH158" s="464"/>
      <c r="EI158" s="464"/>
      <c r="EJ158" s="464"/>
      <c r="EK158" s="464"/>
      <c r="EL158" s="464"/>
      <c r="EM158" s="464"/>
      <c r="EN158" s="464"/>
      <c r="EO158" s="464"/>
      <c r="EP158" s="464"/>
      <c r="EQ158" s="464"/>
      <c r="ER158" s="464"/>
      <c r="ES158" s="464"/>
      <c r="ET158" s="464"/>
      <c r="EU158" s="464"/>
      <c r="EV158" s="464"/>
      <c r="EW158" s="465"/>
      <c r="EX158" s="465"/>
      <c r="EY158" s="502"/>
      <c r="EZ158" s="460"/>
      <c r="FA158" s="464"/>
      <c r="FB158" s="464"/>
      <c r="FC158" s="464"/>
      <c r="FD158" s="464"/>
      <c r="FE158" s="464"/>
      <c r="FF158" s="464"/>
      <c r="FG158" s="466"/>
    </row>
    <row r="159" spans="1:163">
      <c r="A159" s="467" t="s">
        <v>350</v>
      </c>
      <c r="B159" s="471" t="str">
        <f>IF(ISNUMBER(MATCH(A159, 'Pulldown Data'!W:W, 0))=TRUE, "Y", IF(ISNUMBER(MATCH(A159, 'Pulldown Data'!X:X, 0))=TRUE, "M", ""))</f>
        <v/>
      </c>
      <c r="C159" s="504"/>
      <c r="D159" s="502"/>
      <c r="E159" s="443" t="str">
        <f t="shared" si="150"/>
        <v/>
      </c>
      <c r="F159" s="444" t="str">
        <f t="shared" si="150"/>
        <v/>
      </c>
      <c r="G159" s="444" t="str">
        <f t="shared" si="150"/>
        <v/>
      </c>
      <c r="H159" s="444" t="str">
        <f t="shared" si="150"/>
        <v/>
      </c>
      <c r="I159" s="444" t="str">
        <f t="shared" si="150"/>
        <v/>
      </c>
      <c r="J159" s="444" t="str">
        <f t="shared" si="150"/>
        <v/>
      </c>
      <c r="K159" s="444" t="str">
        <f t="shared" si="150"/>
        <v/>
      </c>
      <c r="L159" s="444" t="str">
        <f t="shared" si="150"/>
        <v/>
      </c>
      <c r="M159" s="444" t="str">
        <f t="shared" si="150"/>
        <v/>
      </c>
      <c r="N159" s="444" t="str">
        <f t="shared" si="150"/>
        <v/>
      </c>
      <c r="O159" s="444" t="str">
        <f t="shared" si="151"/>
        <v/>
      </c>
      <c r="P159" s="444" t="str">
        <f t="shared" si="151"/>
        <v/>
      </c>
      <c r="Q159" s="444" t="str">
        <f t="shared" si="151"/>
        <v/>
      </c>
      <c r="R159" s="444" t="str">
        <f t="shared" si="151"/>
        <v/>
      </c>
      <c r="S159" s="444" t="str">
        <f t="shared" si="151"/>
        <v/>
      </c>
      <c r="T159" s="444" t="str">
        <f t="shared" si="151"/>
        <v/>
      </c>
      <c r="U159" s="444" t="str">
        <f t="shared" si="151"/>
        <v/>
      </c>
      <c r="V159" s="444" t="str">
        <f t="shared" si="151"/>
        <v/>
      </c>
      <c r="W159" s="444" t="str">
        <f t="shared" si="151"/>
        <v/>
      </c>
      <c r="X159" s="444" t="str">
        <f t="shared" si="151"/>
        <v/>
      </c>
      <c r="Y159" s="444" t="str">
        <f t="shared" si="152"/>
        <v/>
      </c>
      <c r="Z159" s="444" t="str">
        <f t="shared" si="152"/>
        <v/>
      </c>
      <c r="AA159" s="444" t="str">
        <f t="shared" si="152"/>
        <v/>
      </c>
      <c r="AB159" s="444" t="str">
        <f t="shared" si="152"/>
        <v/>
      </c>
      <c r="AC159" s="444" t="str">
        <f t="shared" si="152"/>
        <v/>
      </c>
      <c r="AD159" s="444" t="str">
        <f t="shared" si="152"/>
        <v/>
      </c>
      <c r="AE159" s="444" t="str">
        <f t="shared" si="152"/>
        <v/>
      </c>
      <c r="AF159" s="444" t="str">
        <f t="shared" si="152"/>
        <v/>
      </c>
      <c r="AG159" s="444" t="str">
        <f t="shared" si="152"/>
        <v/>
      </c>
      <c r="AH159" s="444" t="str">
        <f t="shared" si="152"/>
        <v/>
      </c>
      <c r="AI159" s="444" t="str">
        <f t="shared" si="153"/>
        <v/>
      </c>
      <c r="AJ159" s="444" t="str">
        <f t="shared" si="153"/>
        <v/>
      </c>
      <c r="AK159" s="444" t="str">
        <f t="shared" si="153"/>
        <v/>
      </c>
      <c r="AL159" s="444" t="str">
        <f t="shared" si="153"/>
        <v/>
      </c>
      <c r="AM159" s="444" t="str">
        <f t="shared" si="153"/>
        <v/>
      </c>
      <c r="AN159" s="444" t="str">
        <f t="shared" si="153"/>
        <v/>
      </c>
      <c r="AO159" s="444" t="str">
        <f t="shared" si="153"/>
        <v/>
      </c>
      <c r="AP159" s="444" t="str">
        <f t="shared" si="153"/>
        <v/>
      </c>
      <c r="AQ159" s="444" t="str">
        <f t="shared" si="153"/>
        <v/>
      </c>
      <c r="AR159" s="444" t="str">
        <f t="shared" si="153"/>
        <v/>
      </c>
      <c r="AS159" s="444" t="str">
        <f t="shared" si="154"/>
        <v/>
      </c>
      <c r="AT159" s="444" t="str">
        <f t="shared" si="154"/>
        <v/>
      </c>
      <c r="AU159" s="444" t="str">
        <f t="shared" si="154"/>
        <v/>
      </c>
      <c r="AV159" s="444" t="str">
        <f t="shared" si="154"/>
        <v/>
      </c>
      <c r="AW159" s="444" t="str">
        <f t="shared" si="154"/>
        <v/>
      </c>
      <c r="AX159" s="444" t="str">
        <f t="shared" si="154"/>
        <v/>
      </c>
      <c r="AY159" s="444" t="str">
        <f t="shared" si="154"/>
        <v/>
      </c>
      <c r="AZ159" s="444" t="str">
        <f t="shared" si="154"/>
        <v/>
      </c>
      <c r="BA159" s="444" t="str">
        <f t="shared" si="154"/>
        <v/>
      </c>
      <c r="BB159" s="444" t="str">
        <f t="shared" si="154"/>
        <v/>
      </c>
      <c r="BC159" s="444" t="str">
        <f t="shared" si="155"/>
        <v/>
      </c>
      <c r="BD159" s="444" t="str">
        <f t="shared" si="155"/>
        <v/>
      </c>
      <c r="BE159" s="444" t="str">
        <f t="shared" si="155"/>
        <v/>
      </c>
      <c r="BF159" s="444" t="str">
        <f t="shared" si="155"/>
        <v/>
      </c>
      <c r="BG159" s="444" t="str">
        <f t="shared" si="155"/>
        <v/>
      </c>
      <c r="BH159" s="445" t="str">
        <f t="shared" si="155"/>
        <v/>
      </c>
      <c r="BI159" s="502"/>
      <c r="BJ159" s="474" t="str">
        <f t="shared" si="156"/>
        <v/>
      </c>
      <c r="BK159" s="475" t="str">
        <f t="shared" si="156"/>
        <v/>
      </c>
      <c r="BL159" s="475" t="str">
        <f t="shared" si="156"/>
        <v/>
      </c>
      <c r="BM159" s="475" t="str">
        <f t="shared" si="156"/>
        <v/>
      </c>
      <c r="BN159" s="475" t="str">
        <f t="shared" si="156"/>
        <v/>
      </c>
      <c r="BO159" s="475" t="str">
        <f t="shared" si="156"/>
        <v/>
      </c>
      <c r="BP159" s="475" t="str">
        <f t="shared" si="156"/>
        <v/>
      </c>
      <c r="BQ159" s="475" t="str">
        <f t="shared" si="156"/>
        <v/>
      </c>
      <c r="BR159" s="475" t="str">
        <f t="shared" si="156"/>
        <v/>
      </c>
      <c r="BS159" s="475" t="str">
        <f t="shared" si="156"/>
        <v/>
      </c>
      <c r="BT159" s="475" t="str">
        <f t="shared" si="157"/>
        <v/>
      </c>
      <c r="BU159" s="475" t="str">
        <f t="shared" si="157"/>
        <v/>
      </c>
      <c r="BV159" s="475" t="str">
        <f t="shared" si="157"/>
        <v/>
      </c>
      <c r="BW159" s="475" t="str">
        <f t="shared" si="157"/>
        <v/>
      </c>
      <c r="BX159" s="475" t="str">
        <f t="shared" si="157"/>
        <v/>
      </c>
      <c r="BY159" s="475" t="str">
        <f t="shared" si="157"/>
        <v/>
      </c>
      <c r="BZ159" s="475" t="str">
        <f t="shared" si="157"/>
        <v/>
      </c>
      <c r="CA159" s="475" t="str">
        <f t="shared" si="157"/>
        <v/>
      </c>
      <c r="CB159" s="475" t="str">
        <f t="shared" si="157"/>
        <v/>
      </c>
      <c r="CC159" s="475" t="str">
        <f t="shared" si="157"/>
        <v/>
      </c>
      <c r="CD159" s="475" t="str">
        <f t="shared" si="158"/>
        <v/>
      </c>
      <c r="CE159" s="475" t="str">
        <f t="shared" si="158"/>
        <v/>
      </c>
      <c r="CF159" s="475" t="str">
        <f t="shared" si="158"/>
        <v/>
      </c>
      <c r="CG159" s="475" t="str">
        <f t="shared" si="158"/>
        <v/>
      </c>
      <c r="CH159" s="475" t="str">
        <f t="shared" si="158"/>
        <v/>
      </c>
      <c r="CI159" s="475" t="str">
        <f t="shared" si="158"/>
        <v/>
      </c>
      <c r="CJ159" s="475" t="str">
        <f t="shared" si="158"/>
        <v/>
      </c>
      <c r="CK159" s="475" t="str">
        <f t="shared" si="158"/>
        <v/>
      </c>
      <c r="CL159" s="475" t="str">
        <f t="shared" si="158"/>
        <v/>
      </c>
      <c r="CM159" s="475" t="str">
        <f t="shared" si="158"/>
        <v/>
      </c>
      <c r="CN159" s="475" t="str">
        <f t="shared" si="159"/>
        <v/>
      </c>
      <c r="CO159" s="475" t="str">
        <f t="shared" si="159"/>
        <v/>
      </c>
      <c r="CP159" s="475" t="str">
        <f t="shared" si="159"/>
        <v/>
      </c>
      <c r="CQ159" s="475" t="str">
        <f t="shared" si="159"/>
        <v/>
      </c>
      <c r="CR159" s="475" t="str">
        <f t="shared" si="159"/>
        <v/>
      </c>
      <c r="CS159" s="475" t="str">
        <f t="shared" si="159"/>
        <v/>
      </c>
      <c r="CT159" s="475" t="str">
        <f t="shared" si="159"/>
        <v/>
      </c>
      <c r="CU159" s="475" t="str">
        <f t="shared" si="159"/>
        <v/>
      </c>
      <c r="CV159" s="475" t="str">
        <f t="shared" si="159"/>
        <v/>
      </c>
      <c r="CW159" s="475" t="str">
        <f t="shared" si="159"/>
        <v/>
      </c>
      <c r="CX159" s="475" t="str">
        <f t="shared" si="159"/>
        <v/>
      </c>
      <c r="CY159" s="475" t="str">
        <f t="shared" si="159"/>
        <v/>
      </c>
      <c r="CZ159" s="495" t="str">
        <f t="shared" si="159"/>
        <v/>
      </c>
      <c r="DA159" s="502"/>
      <c r="DB159" s="460"/>
      <c r="DC159" s="465"/>
      <c r="DD159" s="463"/>
      <c r="DE159" s="512"/>
      <c r="DF159" s="516"/>
      <c r="DG159" s="508"/>
      <c r="DH159" s="463"/>
      <c r="DI159" s="461"/>
      <c r="DJ159" s="461"/>
      <c r="DK159" s="461"/>
      <c r="DL159" s="464"/>
      <c r="DM159" s="466"/>
      <c r="DN159" s="502"/>
      <c r="DO159" s="460"/>
      <c r="DP159" s="464"/>
      <c r="DQ159" s="464"/>
      <c r="DR159" s="464"/>
      <c r="DS159" s="508"/>
      <c r="DT159" s="525"/>
      <c r="DU159" s="525"/>
      <c r="DV159" s="463"/>
      <c r="DW159" s="464"/>
      <c r="DX159" s="465"/>
      <c r="DY159" s="463"/>
      <c r="DZ159" s="464"/>
      <c r="EA159" s="465"/>
      <c r="EB159" s="463"/>
      <c r="EC159" s="465"/>
      <c r="ED159" s="462"/>
      <c r="EE159" s="502"/>
      <c r="EF159" s="463"/>
      <c r="EG159" s="461"/>
      <c r="EH159" s="464"/>
      <c r="EI159" s="464"/>
      <c r="EJ159" s="464"/>
      <c r="EK159" s="464"/>
      <c r="EL159" s="464"/>
      <c r="EM159" s="464"/>
      <c r="EN159" s="464"/>
      <c r="EO159" s="464"/>
      <c r="EP159" s="464"/>
      <c r="EQ159" s="464"/>
      <c r="ER159" s="464"/>
      <c r="ES159" s="464"/>
      <c r="ET159" s="464"/>
      <c r="EU159" s="464"/>
      <c r="EV159" s="464"/>
      <c r="EW159" s="465"/>
      <c r="EX159" s="465"/>
      <c r="EY159" s="502"/>
      <c r="EZ159" s="460"/>
      <c r="FA159" s="464"/>
      <c r="FB159" s="464"/>
      <c r="FC159" s="464"/>
      <c r="FD159" s="464"/>
      <c r="FE159" s="464"/>
      <c r="FF159" s="464"/>
      <c r="FG159" s="466"/>
    </row>
    <row r="160" spans="1:163">
      <c r="A160" s="467" t="s">
        <v>351</v>
      </c>
      <c r="B160" s="471" t="str">
        <f>IF(ISNUMBER(MATCH(A160, 'Pulldown Data'!W:W, 0))=TRUE, "Y", IF(ISNUMBER(MATCH(A160, 'Pulldown Data'!X:X, 0))=TRUE, "M", ""))</f>
        <v/>
      </c>
      <c r="C160" s="504"/>
      <c r="D160" s="502"/>
      <c r="E160" s="443" t="str">
        <f t="shared" si="150"/>
        <v/>
      </c>
      <c r="F160" s="444" t="str">
        <f t="shared" si="150"/>
        <v/>
      </c>
      <c r="G160" s="444" t="str">
        <f t="shared" si="150"/>
        <v/>
      </c>
      <c r="H160" s="444" t="str">
        <f t="shared" si="150"/>
        <v/>
      </c>
      <c r="I160" s="444" t="str">
        <f t="shared" si="150"/>
        <v/>
      </c>
      <c r="J160" s="444" t="str">
        <f t="shared" si="150"/>
        <v/>
      </c>
      <c r="K160" s="444" t="str">
        <f t="shared" si="150"/>
        <v/>
      </c>
      <c r="L160" s="444" t="str">
        <f t="shared" si="150"/>
        <v/>
      </c>
      <c r="M160" s="444" t="str">
        <f t="shared" si="150"/>
        <v/>
      </c>
      <c r="N160" s="444" t="str">
        <f t="shared" si="150"/>
        <v/>
      </c>
      <c r="O160" s="444" t="str">
        <f t="shared" si="151"/>
        <v/>
      </c>
      <c r="P160" s="444" t="str">
        <f t="shared" si="151"/>
        <v/>
      </c>
      <c r="Q160" s="444" t="str">
        <f t="shared" si="151"/>
        <v/>
      </c>
      <c r="R160" s="444" t="str">
        <f t="shared" si="151"/>
        <v/>
      </c>
      <c r="S160" s="444" t="str">
        <f t="shared" si="151"/>
        <v/>
      </c>
      <c r="T160" s="444" t="str">
        <f t="shared" si="151"/>
        <v/>
      </c>
      <c r="U160" s="444" t="str">
        <f t="shared" si="151"/>
        <v/>
      </c>
      <c r="V160" s="444" t="str">
        <f t="shared" si="151"/>
        <v/>
      </c>
      <c r="W160" s="444" t="str">
        <f t="shared" si="151"/>
        <v/>
      </c>
      <c r="X160" s="444" t="str">
        <f t="shared" si="151"/>
        <v/>
      </c>
      <c r="Y160" s="444" t="str">
        <f t="shared" si="152"/>
        <v/>
      </c>
      <c r="Z160" s="444" t="str">
        <f t="shared" si="152"/>
        <v/>
      </c>
      <c r="AA160" s="444" t="str">
        <f t="shared" si="152"/>
        <v/>
      </c>
      <c r="AB160" s="444" t="str">
        <f t="shared" si="152"/>
        <v/>
      </c>
      <c r="AC160" s="444" t="str">
        <f t="shared" si="152"/>
        <v/>
      </c>
      <c r="AD160" s="444" t="str">
        <f t="shared" si="152"/>
        <v/>
      </c>
      <c r="AE160" s="444" t="str">
        <f t="shared" si="152"/>
        <v/>
      </c>
      <c r="AF160" s="444" t="str">
        <f t="shared" si="152"/>
        <v/>
      </c>
      <c r="AG160" s="444" t="str">
        <f t="shared" si="152"/>
        <v/>
      </c>
      <c r="AH160" s="444" t="str">
        <f t="shared" si="152"/>
        <v/>
      </c>
      <c r="AI160" s="444" t="str">
        <f t="shared" si="153"/>
        <v/>
      </c>
      <c r="AJ160" s="444" t="str">
        <f t="shared" si="153"/>
        <v/>
      </c>
      <c r="AK160" s="444" t="str">
        <f t="shared" si="153"/>
        <v/>
      </c>
      <c r="AL160" s="444" t="str">
        <f t="shared" si="153"/>
        <v/>
      </c>
      <c r="AM160" s="444" t="str">
        <f t="shared" si="153"/>
        <v/>
      </c>
      <c r="AN160" s="444" t="str">
        <f t="shared" si="153"/>
        <v/>
      </c>
      <c r="AO160" s="444" t="str">
        <f t="shared" si="153"/>
        <v/>
      </c>
      <c r="AP160" s="444" t="str">
        <f t="shared" si="153"/>
        <v/>
      </c>
      <c r="AQ160" s="444" t="str">
        <f t="shared" si="153"/>
        <v/>
      </c>
      <c r="AR160" s="444" t="str">
        <f t="shared" si="153"/>
        <v/>
      </c>
      <c r="AS160" s="444" t="str">
        <f t="shared" si="154"/>
        <v/>
      </c>
      <c r="AT160" s="444" t="str">
        <f t="shared" si="154"/>
        <v/>
      </c>
      <c r="AU160" s="444" t="str">
        <f t="shared" si="154"/>
        <v/>
      </c>
      <c r="AV160" s="444" t="str">
        <f t="shared" si="154"/>
        <v/>
      </c>
      <c r="AW160" s="444" t="str">
        <f t="shared" si="154"/>
        <v/>
      </c>
      <c r="AX160" s="444" t="str">
        <f t="shared" si="154"/>
        <v/>
      </c>
      <c r="AY160" s="444" t="str">
        <f t="shared" si="154"/>
        <v/>
      </c>
      <c r="AZ160" s="444" t="str">
        <f t="shared" si="154"/>
        <v/>
      </c>
      <c r="BA160" s="444" t="str">
        <f t="shared" si="154"/>
        <v/>
      </c>
      <c r="BB160" s="444" t="str">
        <f t="shared" si="154"/>
        <v/>
      </c>
      <c r="BC160" s="444" t="str">
        <f t="shared" si="155"/>
        <v/>
      </c>
      <c r="BD160" s="444" t="str">
        <f t="shared" si="155"/>
        <v/>
      </c>
      <c r="BE160" s="444" t="str">
        <f t="shared" si="155"/>
        <v/>
      </c>
      <c r="BF160" s="444" t="str">
        <f t="shared" si="155"/>
        <v/>
      </c>
      <c r="BG160" s="444" t="str">
        <f t="shared" si="155"/>
        <v/>
      </c>
      <c r="BH160" s="445" t="str">
        <f t="shared" si="155"/>
        <v/>
      </c>
      <c r="BI160" s="502"/>
      <c r="BJ160" s="474" t="str">
        <f t="shared" si="156"/>
        <v/>
      </c>
      <c r="BK160" s="475" t="str">
        <f t="shared" si="156"/>
        <v/>
      </c>
      <c r="BL160" s="475" t="str">
        <f t="shared" si="156"/>
        <v/>
      </c>
      <c r="BM160" s="475" t="str">
        <f t="shared" si="156"/>
        <v/>
      </c>
      <c r="BN160" s="475" t="str">
        <f t="shared" si="156"/>
        <v/>
      </c>
      <c r="BO160" s="475" t="str">
        <f t="shared" si="156"/>
        <v/>
      </c>
      <c r="BP160" s="475" t="str">
        <f t="shared" si="156"/>
        <v/>
      </c>
      <c r="BQ160" s="475" t="str">
        <f t="shared" si="156"/>
        <v/>
      </c>
      <c r="BR160" s="475" t="str">
        <f t="shared" si="156"/>
        <v/>
      </c>
      <c r="BS160" s="475" t="str">
        <f t="shared" si="156"/>
        <v/>
      </c>
      <c r="BT160" s="475" t="str">
        <f t="shared" si="157"/>
        <v/>
      </c>
      <c r="BU160" s="475" t="str">
        <f t="shared" si="157"/>
        <v/>
      </c>
      <c r="BV160" s="475" t="str">
        <f t="shared" si="157"/>
        <v/>
      </c>
      <c r="BW160" s="475" t="str">
        <f t="shared" si="157"/>
        <v/>
      </c>
      <c r="BX160" s="475" t="str">
        <f t="shared" si="157"/>
        <v/>
      </c>
      <c r="BY160" s="475" t="str">
        <f t="shared" si="157"/>
        <v/>
      </c>
      <c r="BZ160" s="475" t="str">
        <f t="shared" si="157"/>
        <v/>
      </c>
      <c r="CA160" s="475" t="str">
        <f t="shared" si="157"/>
        <v/>
      </c>
      <c r="CB160" s="475" t="str">
        <f t="shared" si="157"/>
        <v/>
      </c>
      <c r="CC160" s="475" t="str">
        <f t="shared" si="157"/>
        <v/>
      </c>
      <c r="CD160" s="475" t="str">
        <f t="shared" si="158"/>
        <v/>
      </c>
      <c r="CE160" s="475" t="str">
        <f t="shared" si="158"/>
        <v/>
      </c>
      <c r="CF160" s="475" t="str">
        <f t="shared" si="158"/>
        <v/>
      </c>
      <c r="CG160" s="475" t="str">
        <f t="shared" si="158"/>
        <v/>
      </c>
      <c r="CH160" s="475" t="str">
        <f t="shared" si="158"/>
        <v/>
      </c>
      <c r="CI160" s="475" t="str">
        <f t="shared" si="158"/>
        <v/>
      </c>
      <c r="CJ160" s="475" t="str">
        <f t="shared" si="158"/>
        <v/>
      </c>
      <c r="CK160" s="475" t="str">
        <f t="shared" si="158"/>
        <v/>
      </c>
      <c r="CL160" s="475" t="str">
        <f t="shared" si="158"/>
        <v/>
      </c>
      <c r="CM160" s="475" t="str">
        <f t="shared" si="158"/>
        <v/>
      </c>
      <c r="CN160" s="475" t="str">
        <f t="shared" si="159"/>
        <v/>
      </c>
      <c r="CO160" s="475" t="str">
        <f t="shared" si="159"/>
        <v/>
      </c>
      <c r="CP160" s="475" t="str">
        <f t="shared" si="159"/>
        <v/>
      </c>
      <c r="CQ160" s="475" t="str">
        <f t="shared" si="159"/>
        <v/>
      </c>
      <c r="CR160" s="475" t="str">
        <f t="shared" si="159"/>
        <v/>
      </c>
      <c r="CS160" s="475" t="str">
        <f t="shared" si="159"/>
        <v/>
      </c>
      <c r="CT160" s="475" t="str">
        <f t="shared" si="159"/>
        <v/>
      </c>
      <c r="CU160" s="475" t="str">
        <f t="shared" si="159"/>
        <v/>
      </c>
      <c r="CV160" s="475" t="str">
        <f t="shared" si="159"/>
        <v/>
      </c>
      <c r="CW160" s="475" t="str">
        <f t="shared" si="159"/>
        <v/>
      </c>
      <c r="CX160" s="475" t="str">
        <f t="shared" si="159"/>
        <v/>
      </c>
      <c r="CY160" s="475" t="str">
        <f t="shared" si="159"/>
        <v/>
      </c>
      <c r="CZ160" s="495" t="str">
        <f t="shared" si="159"/>
        <v/>
      </c>
      <c r="DA160" s="502"/>
      <c r="DB160" s="460"/>
      <c r="DC160" s="465"/>
      <c r="DD160" s="463"/>
      <c r="DE160" s="512"/>
      <c r="DF160" s="516"/>
      <c r="DG160" s="508"/>
      <c r="DH160" s="463"/>
      <c r="DI160" s="461"/>
      <c r="DJ160" s="461"/>
      <c r="DK160" s="461"/>
      <c r="DL160" s="464"/>
      <c r="DM160" s="466"/>
      <c r="DN160" s="502"/>
      <c r="DO160" s="460"/>
      <c r="DP160" s="464"/>
      <c r="DQ160" s="464"/>
      <c r="DR160" s="464"/>
      <c r="DS160" s="508"/>
      <c r="DT160" s="525"/>
      <c r="DU160" s="525"/>
      <c r="DV160" s="463"/>
      <c r="DW160" s="464"/>
      <c r="DX160" s="465"/>
      <c r="DY160" s="463"/>
      <c r="DZ160" s="464"/>
      <c r="EA160" s="465"/>
      <c r="EB160" s="463"/>
      <c r="EC160" s="465"/>
      <c r="ED160" s="462"/>
      <c r="EE160" s="502"/>
      <c r="EF160" s="463"/>
      <c r="EG160" s="461"/>
      <c r="EH160" s="464"/>
      <c r="EI160" s="464"/>
      <c r="EJ160" s="464"/>
      <c r="EK160" s="464"/>
      <c r="EL160" s="464"/>
      <c r="EM160" s="464"/>
      <c r="EN160" s="464"/>
      <c r="EO160" s="464"/>
      <c r="EP160" s="464"/>
      <c r="EQ160" s="464"/>
      <c r="ER160" s="464"/>
      <c r="ES160" s="464"/>
      <c r="ET160" s="464"/>
      <c r="EU160" s="464"/>
      <c r="EV160" s="464"/>
      <c r="EW160" s="465"/>
      <c r="EX160" s="465"/>
      <c r="EY160" s="502"/>
      <c r="EZ160" s="460"/>
      <c r="FA160" s="464"/>
      <c r="FB160" s="464"/>
      <c r="FC160" s="464"/>
      <c r="FD160" s="464"/>
      <c r="FE160" s="464"/>
      <c r="FF160" s="464"/>
      <c r="FG160" s="466"/>
    </row>
    <row r="161" spans="1:163">
      <c r="A161" s="467" t="s">
        <v>352</v>
      </c>
      <c r="B161" s="471" t="str">
        <f>IF(ISNUMBER(MATCH(A161, 'Pulldown Data'!W:W, 0))=TRUE, "Y", IF(ISNUMBER(MATCH(A161, 'Pulldown Data'!X:X, 0))=TRUE, "M", ""))</f>
        <v/>
      </c>
      <c r="C161" s="504">
        <v>45630</v>
      </c>
      <c r="D161" s="502"/>
      <c r="E161" s="443" t="str">
        <f t="shared" si="150"/>
        <v>NO</v>
      </c>
      <c r="F161" s="444" t="str">
        <f t="shared" si="150"/>
        <v>NO</v>
      </c>
      <c r="G161" s="444" t="str">
        <f t="shared" si="150"/>
        <v>YES</v>
      </c>
      <c r="H161" s="444" t="str">
        <f t="shared" si="150"/>
        <v>YES</v>
      </c>
      <c r="I161" s="444" t="str">
        <f t="shared" si="150"/>
        <v>YES</v>
      </c>
      <c r="J161" s="444" t="str">
        <f t="shared" si="150"/>
        <v>YES</v>
      </c>
      <c r="K161" s="444" t="str">
        <f t="shared" si="150"/>
        <v>NO</v>
      </c>
      <c r="L161" s="444" t="str">
        <f t="shared" si="150"/>
        <v>YES</v>
      </c>
      <c r="M161" s="444" t="str">
        <f t="shared" si="150"/>
        <v>YES</v>
      </c>
      <c r="N161" s="444" t="str">
        <f t="shared" si="150"/>
        <v>NO</v>
      </c>
      <c r="O161" s="444" t="str">
        <f t="shared" si="151"/>
        <v>NO</v>
      </c>
      <c r="P161" s="444" t="str">
        <f t="shared" si="151"/>
        <v>YES</v>
      </c>
      <c r="Q161" s="444" t="str">
        <f t="shared" si="151"/>
        <v>NO</v>
      </c>
      <c r="R161" s="444" t="str">
        <f t="shared" si="151"/>
        <v>NO</v>
      </c>
      <c r="S161" s="444" t="str">
        <f t="shared" si="151"/>
        <v>NO</v>
      </c>
      <c r="T161" s="444" t="str">
        <f t="shared" si="151"/>
        <v>YES</v>
      </c>
      <c r="U161" s="444" t="str">
        <f t="shared" si="151"/>
        <v>YES</v>
      </c>
      <c r="V161" s="444" t="str">
        <f t="shared" si="151"/>
        <v>YES</v>
      </c>
      <c r="W161" s="444" t="str">
        <f t="shared" si="151"/>
        <v>YES</v>
      </c>
      <c r="X161" s="444" t="str">
        <f t="shared" si="151"/>
        <v>NO</v>
      </c>
      <c r="Y161" s="444" t="str">
        <f t="shared" si="152"/>
        <v>NO</v>
      </c>
      <c r="Z161" s="444" t="str">
        <f t="shared" si="152"/>
        <v>NO</v>
      </c>
      <c r="AA161" s="444" t="str">
        <f t="shared" si="152"/>
        <v>YES</v>
      </c>
      <c r="AB161" s="444" t="str">
        <f t="shared" si="152"/>
        <v>YES</v>
      </c>
      <c r="AC161" s="444" t="str">
        <f t="shared" si="152"/>
        <v>YES</v>
      </c>
      <c r="AD161" s="444" t="str">
        <f t="shared" si="152"/>
        <v>YES</v>
      </c>
      <c r="AE161" s="444" t="str">
        <f t="shared" si="152"/>
        <v>YES</v>
      </c>
      <c r="AF161" s="444" t="str">
        <f t="shared" si="152"/>
        <v>YES</v>
      </c>
      <c r="AG161" s="444" t="str">
        <f t="shared" si="152"/>
        <v>YES</v>
      </c>
      <c r="AH161" s="444" t="str">
        <f t="shared" si="152"/>
        <v>YES</v>
      </c>
      <c r="AI161" s="444" t="str">
        <f t="shared" si="153"/>
        <v>YES</v>
      </c>
      <c r="AJ161" s="444" t="str">
        <f t="shared" si="153"/>
        <v>YES</v>
      </c>
      <c r="AK161" s="444" t="str">
        <f t="shared" si="153"/>
        <v>NO</v>
      </c>
      <c r="AL161" s="444" t="str">
        <f t="shared" si="153"/>
        <v>YES</v>
      </c>
      <c r="AM161" s="444" t="str">
        <f t="shared" si="153"/>
        <v>NO</v>
      </c>
      <c r="AN161" s="444" t="str">
        <f t="shared" si="153"/>
        <v>NO</v>
      </c>
      <c r="AO161" s="444" t="str">
        <f t="shared" si="153"/>
        <v>YES</v>
      </c>
      <c r="AP161" s="444" t="str">
        <f t="shared" si="153"/>
        <v>NO</v>
      </c>
      <c r="AQ161" s="444" t="str">
        <f t="shared" si="153"/>
        <v>DEP</v>
      </c>
      <c r="AR161" s="444" t="str">
        <f t="shared" si="153"/>
        <v>NO</v>
      </c>
      <c r="AS161" s="444" t="str">
        <f t="shared" si="154"/>
        <v>NO</v>
      </c>
      <c r="AT161" s="444" t="str">
        <f t="shared" si="154"/>
        <v>YES</v>
      </c>
      <c r="AU161" s="444" t="str">
        <f t="shared" si="154"/>
        <v>YES</v>
      </c>
      <c r="AV161" s="444" t="str">
        <f t="shared" si="154"/>
        <v>YES</v>
      </c>
      <c r="AW161" s="444" t="str">
        <f t="shared" si="154"/>
        <v>YES</v>
      </c>
      <c r="AX161" s="444" t="str">
        <f t="shared" si="154"/>
        <v>YES</v>
      </c>
      <c r="AY161" s="444" t="str">
        <f t="shared" si="154"/>
        <v>DEP</v>
      </c>
      <c r="AZ161" s="444" t="str">
        <f t="shared" si="154"/>
        <v>YES</v>
      </c>
      <c r="BA161" s="444" t="str">
        <f t="shared" si="154"/>
        <v>YES</v>
      </c>
      <c r="BB161" s="444" t="str">
        <f t="shared" si="154"/>
        <v>YES</v>
      </c>
      <c r="BC161" s="444" t="str">
        <f t="shared" si="155"/>
        <v>NO</v>
      </c>
      <c r="BD161" s="444" t="str">
        <f t="shared" si="155"/>
        <v>NO</v>
      </c>
      <c r="BE161" s="444" t="str">
        <f t="shared" si="155"/>
        <v>NO</v>
      </c>
      <c r="BF161" s="444" t="str">
        <f t="shared" si="155"/>
        <v>NO</v>
      </c>
      <c r="BG161" s="444" t="str">
        <f t="shared" si="155"/>
        <v>YES</v>
      </c>
      <c r="BH161" s="445" t="str">
        <f t="shared" si="155"/>
        <v>NO</v>
      </c>
      <c r="BI161" s="502"/>
      <c r="BJ161" s="474" t="str">
        <f t="shared" si="156"/>
        <v>NO</v>
      </c>
      <c r="BK161" s="475" t="str">
        <f t="shared" si="156"/>
        <v>NO</v>
      </c>
      <c r="BL161" s="475" t="str">
        <f t="shared" si="156"/>
        <v>NO</v>
      </c>
      <c r="BM161" s="475" t="str">
        <f t="shared" si="156"/>
        <v>NO</v>
      </c>
      <c r="BN161" s="475" t="str">
        <f t="shared" si="156"/>
        <v>NO</v>
      </c>
      <c r="BO161" s="475" t="str">
        <f t="shared" si="156"/>
        <v>NO</v>
      </c>
      <c r="BP161" s="475" t="str">
        <f t="shared" si="156"/>
        <v>YES</v>
      </c>
      <c r="BQ161" s="475" t="str">
        <f t="shared" si="156"/>
        <v>NO</v>
      </c>
      <c r="BR161" s="475" t="str">
        <f t="shared" si="156"/>
        <v>NO</v>
      </c>
      <c r="BS161" s="475" t="str">
        <f t="shared" si="156"/>
        <v>NO</v>
      </c>
      <c r="BT161" s="475" t="str">
        <f t="shared" si="157"/>
        <v>NO</v>
      </c>
      <c r="BU161" s="475" t="str">
        <f t="shared" si="157"/>
        <v>YES</v>
      </c>
      <c r="BV161" s="475" t="str">
        <f t="shared" si="157"/>
        <v>NO</v>
      </c>
      <c r="BW161" s="475" t="str">
        <f t="shared" si="157"/>
        <v>YES</v>
      </c>
      <c r="BX161" s="475" t="str">
        <f t="shared" si="157"/>
        <v>NO</v>
      </c>
      <c r="BY161" s="475" t="str">
        <f t="shared" si="157"/>
        <v>NO</v>
      </c>
      <c r="BZ161" s="475" t="str">
        <f t="shared" si="157"/>
        <v>NO</v>
      </c>
      <c r="CA161" s="475" t="str">
        <f t="shared" si="157"/>
        <v>NO</v>
      </c>
      <c r="CB161" s="475" t="str">
        <f t="shared" si="157"/>
        <v>NO</v>
      </c>
      <c r="CC161" s="475" t="str">
        <f t="shared" si="157"/>
        <v>NO</v>
      </c>
      <c r="CD161" s="475" t="str">
        <f t="shared" si="158"/>
        <v>NO</v>
      </c>
      <c r="CE161" s="475" t="str">
        <f t="shared" si="158"/>
        <v>NO</v>
      </c>
      <c r="CF161" s="475" t="str">
        <f t="shared" si="158"/>
        <v>NO</v>
      </c>
      <c r="CG161" s="475" t="str">
        <f t="shared" si="158"/>
        <v>NO</v>
      </c>
      <c r="CH161" s="475" t="str">
        <f t="shared" si="158"/>
        <v>YES</v>
      </c>
      <c r="CI161" s="475" t="str">
        <f t="shared" si="158"/>
        <v>YES</v>
      </c>
      <c r="CJ161" s="475" t="str">
        <f t="shared" si="158"/>
        <v>NO</v>
      </c>
      <c r="CK161" s="475" t="str">
        <f t="shared" si="158"/>
        <v>NO</v>
      </c>
      <c r="CL161" s="475" t="str">
        <f t="shared" si="158"/>
        <v>NO</v>
      </c>
      <c r="CM161" s="475" t="str">
        <f t="shared" si="158"/>
        <v>NO</v>
      </c>
      <c r="CN161" s="475" t="str">
        <f t="shared" si="159"/>
        <v>NO</v>
      </c>
      <c r="CO161" s="475" t="str">
        <f t="shared" si="159"/>
        <v>YES</v>
      </c>
      <c r="CP161" s="475" t="str">
        <f t="shared" si="159"/>
        <v>NO</v>
      </c>
      <c r="CQ161" s="475" t="str">
        <f t="shared" si="159"/>
        <v>NO</v>
      </c>
      <c r="CR161" s="475" t="str">
        <f t="shared" si="159"/>
        <v>NO</v>
      </c>
      <c r="CS161" s="475" t="str">
        <f t="shared" si="159"/>
        <v>NO</v>
      </c>
      <c r="CT161" s="475" t="str">
        <f t="shared" si="159"/>
        <v>NO</v>
      </c>
      <c r="CU161" s="475" t="str">
        <f t="shared" si="159"/>
        <v>NO</v>
      </c>
      <c r="CV161" s="475" t="str">
        <f t="shared" si="159"/>
        <v>NO</v>
      </c>
      <c r="CW161" s="475" t="str">
        <f t="shared" si="159"/>
        <v>NO</v>
      </c>
      <c r="CX161" s="475" t="str">
        <f t="shared" si="159"/>
        <v>NO</v>
      </c>
      <c r="CY161" s="475" t="str">
        <f t="shared" si="159"/>
        <v>NO</v>
      </c>
      <c r="CZ161" s="495" t="str">
        <f t="shared" si="159"/>
        <v>NO</v>
      </c>
      <c r="DA161" s="502"/>
      <c r="DB161" s="460"/>
      <c r="DC161" s="465"/>
      <c r="DD161" s="463"/>
      <c r="DE161" s="512"/>
      <c r="DF161" s="516"/>
      <c r="DG161" s="508"/>
      <c r="DH161" s="463"/>
      <c r="DI161" s="461"/>
      <c r="DJ161" s="461"/>
      <c r="DK161" s="461"/>
      <c r="DL161" s="464"/>
      <c r="DM161" s="466"/>
      <c r="DN161" s="502"/>
      <c r="DO161" s="460" t="s">
        <v>339</v>
      </c>
      <c r="DP161" s="464"/>
      <c r="DQ161" s="464"/>
      <c r="DR161" s="464" t="s">
        <v>339</v>
      </c>
      <c r="DS161" s="508" t="s">
        <v>339</v>
      </c>
      <c r="DT161" s="525"/>
      <c r="DU161" s="525"/>
      <c r="DV161" s="463"/>
      <c r="DW161" s="464"/>
      <c r="DX161" s="465"/>
      <c r="DY161" s="463"/>
      <c r="DZ161" s="464"/>
      <c r="EA161" s="465"/>
      <c r="EB161" s="463"/>
      <c r="EC161" s="465"/>
      <c r="ED161" s="462">
        <v>61</v>
      </c>
      <c r="EE161" s="502"/>
      <c r="EF161" s="463"/>
      <c r="EG161" s="461"/>
      <c r="EH161" s="464"/>
      <c r="EI161" s="464"/>
      <c r="EJ161" s="464"/>
      <c r="EK161" s="464"/>
      <c r="EL161" s="464"/>
      <c r="EM161" s="464"/>
      <c r="EN161" s="464"/>
      <c r="EO161" s="464"/>
      <c r="EP161" s="464"/>
      <c r="EQ161" s="464"/>
      <c r="ER161" s="464"/>
      <c r="ES161" s="464"/>
      <c r="ET161" s="464"/>
      <c r="EU161" s="464"/>
      <c r="EV161" s="464"/>
      <c r="EW161" s="465"/>
      <c r="EX161" s="465"/>
      <c r="EY161" s="502"/>
      <c r="EZ161" s="460"/>
      <c r="FA161" s="464"/>
      <c r="FB161" s="464"/>
      <c r="FC161" s="464"/>
      <c r="FD161" s="464"/>
      <c r="FE161" s="464"/>
      <c r="FF161" s="464"/>
      <c r="FG161" s="466"/>
    </row>
    <row r="162" spans="1:163">
      <c r="A162" s="467" t="s">
        <v>353</v>
      </c>
      <c r="B162" s="471" t="str">
        <f>IF(ISNUMBER(MATCH(A162, 'Pulldown Data'!W:W, 0))=TRUE, "Y", IF(ISNUMBER(MATCH(A162, 'Pulldown Data'!X:X, 0))=TRUE, "M", ""))</f>
        <v/>
      </c>
      <c r="C162" s="504"/>
      <c r="D162" s="502"/>
      <c r="E162" s="443" t="str">
        <f t="shared" ref="E162:N171" si="160" xml:space="preserve">
IFERROR(
_xlfn.IFNA(
   IF($B162="PLT",
      IF(INDEX(PRJGENVersions, MATCH(TRIM(E$1), PRJGENAlgosMapped, 0), MATCH($A162, PRJGENProjects, 0)), "YES", ""),
      IF(INDEX(RoadmapData, MATCH(TRIM(E$1), RoadmapDataFeatures, 0), MATCH($A162, RoadmapDataProjects, 0)) = "-", "-", INDEX(RoadmapData, MATCH(TRIM(E$1), RoadmapDataFeatures, 0), MATCH($A162, RoadmapDataProjects, 0)))),
""),
"")</f>
        <v/>
      </c>
      <c r="F162" s="444" t="str">
        <f t="shared" si="160"/>
        <v/>
      </c>
      <c r="G162" s="444" t="str">
        <f t="shared" si="160"/>
        <v/>
      </c>
      <c r="H162" s="444" t="str">
        <f t="shared" si="160"/>
        <v/>
      </c>
      <c r="I162" s="444" t="str">
        <f t="shared" si="160"/>
        <v/>
      </c>
      <c r="J162" s="444" t="str">
        <f t="shared" si="160"/>
        <v/>
      </c>
      <c r="K162" s="444" t="str">
        <f t="shared" si="160"/>
        <v/>
      </c>
      <c r="L162" s="444" t="str">
        <f t="shared" si="160"/>
        <v/>
      </c>
      <c r="M162" s="444" t="str">
        <f t="shared" si="160"/>
        <v/>
      </c>
      <c r="N162" s="444" t="str">
        <f t="shared" si="160"/>
        <v/>
      </c>
      <c r="O162" s="444" t="str">
        <f t="shared" ref="O162:X171" si="161" xml:space="preserve">
IFERROR(
_xlfn.IFNA(
   IF($B162="PLT",
      IF(INDEX(PRJGENVersions, MATCH(TRIM(O$1), PRJGENAlgosMapped, 0), MATCH($A162, PRJGENProjects, 0)), "YES", ""),
      IF(INDEX(RoadmapData, MATCH(TRIM(O$1), RoadmapDataFeatures, 0), MATCH($A162, RoadmapDataProjects, 0)) = "-", "-", INDEX(RoadmapData, MATCH(TRIM(O$1), RoadmapDataFeatures, 0), MATCH($A162, RoadmapDataProjects, 0)))),
""),
"")</f>
        <v/>
      </c>
      <c r="P162" s="444" t="str">
        <f t="shared" si="161"/>
        <v/>
      </c>
      <c r="Q162" s="444" t="str">
        <f t="shared" si="161"/>
        <v/>
      </c>
      <c r="R162" s="444" t="str">
        <f t="shared" si="161"/>
        <v/>
      </c>
      <c r="S162" s="444" t="str">
        <f t="shared" si="161"/>
        <v/>
      </c>
      <c r="T162" s="444" t="str">
        <f t="shared" si="161"/>
        <v/>
      </c>
      <c r="U162" s="444" t="str">
        <f t="shared" si="161"/>
        <v/>
      </c>
      <c r="V162" s="444" t="str">
        <f t="shared" si="161"/>
        <v/>
      </c>
      <c r="W162" s="444" t="str">
        <f t="shared" si="161"/>
        <v/>
      </c>
      <c r="X162" s="444" t="str">
        <f t="shared" si="161"/>
        <v/>
      </c>
      <c r="Y162" s="444" t="str">
        <f t="shared" ref="Y162:AH171" si="162" xml:space="preserve">
IFERROR(
_xlfn.IFNA(
   IF($B162="PLT",
      IF(INDEX(PRJGENVersions, MATCH(TRIM(Y$1), PRJGENAlgosMapped, 0), MATCH($A162, PRJGENProjects, 0)), "YES", ""),
      IF(INDEX(RoadmapData, MATCH(TRIM(Y$1), RoadmapDataFeatures, 0), MATCH($A162, RoadmapDataProjects, 0)) = "-", "-", INDEX(RoadmapData, MATCH(TRIM(Y$1), RoadmapDataFeatures, 0), MATCH($A162, RoadmapDataProjects, 0)))),
""),
"")</f>
        <v/>
      </c>
      <c r="Z162" s="444" t="str">
        <f t="shared" si="162"/>
        <v/>
      </c>
      <c r="AA162" s="444" t="str">
        <f t="shared" si="162"/>
        <v/>
      </c>
      <c r="AB162" s="444" t="str">
        <f t="shared" si="162"/>
        <v/>
      </c>
      <c r="AC162" s="444" t="str">
        <f t="shared" si="162"/>
        <v/>
      </c>
      <c r="AD162" s="444" t="str">
        <f t="shared" si="162"/>
        <v/>
      </c>
      <c r="AE162" s="444" t="str">
        <f t="shared" si="162"/>
        <v/>
      </c>
      <c r="AF162" s="444" t="str">
        <f t="shared" si="162"/>
        <v/>
      </c>
      <c r="AG162" s="444" t="str">
        <f t="shared" si="162"/>
        <v/>
      </c>
      <c r="AH162" s="444" t="str">
        <f t="shared" si="162"/>
        <v/>
      </c>
      <c r="AI162" s="444" t="str">
        <f t="shared" ref="AI162:AR171" si="163" xml:space="preserve">
IFERROR(
_xlfn.IFNA(
   IF($B162="PLT",
      IF(INDEX(PRJGENVersions, MATCH(TRIM(AI$1), PRJGENAlgosMapped, 0), MATCH($A162, PRJGENProjects, 0)), "YES", ""),
      IF(INDEX(RoadmapData, MATCH(TRIM(AI$1), RoadmapDataFeatures, 0), MATCH($A162, RoadmapDataProjects, 0)) = "-", "-", INDEX(RoadmapData, MATCH(TRIM(AI$1), RoadmapDataFeatures, 0), MATCH($A162, RoadmapDataProjects, 0)))),
""),
"")</f>
        <v/>
      </c>
      <c r="AJ162" s="444" t="str">
        <f t="shared" si="163"/>
        <v/>
      </c>
      <c r="AK162" s="444" t="str">
        <f t="shared" si="163"/>
        <v/>
      </c>
      <c r="AL162" s="444" t="str">
        <f t="shared" si="163"/>
        <v/>
      </c>
      <c r="AM162" s="444" t="str">
        <f t="shared" si="163"/>
        <v/>
      </c>
      <c r="AN162" s="444" t="str">
        <f t="shared" si="163"/>
        <v/>
      </c>
      <c r="AO162" s="444" t="str">
        <f t="shared" si="163"/>
        <v/>
      </c>
      <c r="AP162" s="444" t="str">
        <f t="shared" si="163"/>
        <v/>
      </c>
      <c r="AQ162" s="444" t="str">
        <f t="shared" si="163"/>
        <v/>
      </c>
      <c r="AR162" s="444" t="str">
        <f t="shared" si="163"/>
        <v/>
      </c>
      <c r="AS162" s="444" t="str">
        <f t="shared" ref="AS162:BB171" si="164" xml:space="preserve">
IFERROR(
_xlfn.IFNA(
   IF($B162="PLT",
      IF(INDEX(PRJGENVersions, MATCH(TRIM(AS$1), PRJGENAlgosMapped, 0), MATCH($A162, PRJGENProjects, 0)), "YES", ""),
      IF(INDEX(RoadmapData, MATCH(TRIM(AS$1), RoadmapDataFeatures, 0), MATCH($A162, RoadmapDataProjects, 0)) = "-", "-", INDEX(RoadmapData, MATCH(TRIM(AS$1), RoadmapDataFeatures, 0), MATCH($A162, RoadmapDataProjects, 0)))),
""),
"")</f>
        <v/>
      </c>
      <c r="AT162" s="444" t="str">
        <f t="shared" si="164"/>
        <v/>
      </c>
      <c r="AU162" s="444" t="str">
        <f t="shared" si="164"/>
        <v/>
      </c>
      <c r="AV162" s="444" t="str">
        <f t="shared" si="164"/>
        <v/>
      </c>
      <c r="AW162" s="444" t="str">
        <f t="shared" si="164"/>
        <v/>
      </c>
      <c r="AX162" s="444" t="str">
        <f t="shared" si="164"/>
        <v/>
      </c>
      <c r="AY162" s="444" t="str">
        <f t="shared" si="164"/>
        <v/>
      </c>
      <c r="AZ162" s="444" t="str">
        <f t="shared" si="164"/>
        <v/>
      </c>
      <c r="BA162" s="444" t="str">
        <f t="shared" si="164"/>
        <v/>
      </c>
      <c r="BB162" s="444" t="str">
        <f t="shared" si="164"/>
        <v/>
      </c>
      <c r="BC162" s="444" t="str">
        <f t="shared" ref="BC162:BH171" si="165" xml:space="preserve">
IFERROR(
_xlfn.IFNA(
   IF($B162="PLT",
      IF(INDEX(PRJGENVersions, MATCH(TRIM(BC$1), PRJGENAlgosMapped, 0), MATCH($A162, PRJGENProjects, 0)), "YES", ""),
      IF(INDEX(RoadmapData, MATCH(TRIM(BC$1), RoadmapDataFeatures, 0), MATCH($A162, RoadmapDataProjects, 0)) = "-", "-", INDEX(RoadmapData, MATCH(TRIM(BC$1), RoadmapDataFeatures, 0), MATCH($A162, RoadmapDataProjects, 0)))),
""),
"")</f>
        <v/>
      </c>
      <c r="BD162" s="444" t="str">
        <f t="shared" si="165"/>
        <v/>
      </c>
      <c r="BE162" s="444" t="str">
        <f t="shared" si="165"/>
        <v/>
      </c>
      <c r="BF162" s="444" t="str">
        <f t="shared" si="165"/>
        <v/>
      </c>
      <c r="BG162" s="444" t="str">
        <f t="shared" si="165"/>
        <v/>
      </c>
      <c r="BH162" s="445" t="str">
        <f t="shared" si="165"/>
        <v/>
      </c>
      <c r="BI162" s="502"/>
      <c r="BJ162" s="474" t="str">
        <f t="shared" ref="BJ162:BS171" si="166">_xlfn.IFNA(IF(INDEX(RoadmapData, MATCH(TRIM(BJ$1), RoadmapDataFeatures, 0), MATCH($A162, RoadmapDataProjects, 0)) = "-", "-", INDEX(RoadmapData, MATCH(TRIM(BJ$1), RoadmapDataFeatures, 0), MATCH($A162, RoadmapDataProjects, 0))), "")</f>
        <v/>
      </c>
      <c r="BK162" s="475" t="str">
        <f t="shared" si="166"/>
        <v/>
      </c>
      <c r="BL162" s="475" t="str">
        <f t="shared" si="166"/>
        <v/>
      </c>
      <c r="BM162" s="475" t="str">
        <f t="shared" si="166"/>
        <v/>
      </c>
      <c r="BN162" s="475" t="str">
        <f t="shared" si="166"/>
        <v/>
      </c>
      <c r="BO162" s="475" t="str">
        <f t="shared" si="166"/>
        <v/>
      </c>
      <c r="BP162" s="475" t="str">
        <f t="shared" si="166"/>
        <v/>
      </c>
      <c r="BQ162" s="475" t="str">
        <f t="shared" si="166"/>
        <v/>
      </c>
      <c r="BR162" s="475" t="str">
        <f t="shared" si="166"/>
        <v/>
      </c>
      <c r="BS162" s="475" t="str">
        <f t="shared" si="166"/>
        <v/>
      </c>
      <c r="BT162" s="475" t="str">
        <f t="shared" ref="BT162:CC171" si="167">_xlfn.IFNA(IF(INDEX(RoadmapData, MATCH(TRIM(BT$1), RoadmapDataFeatures, 0), MATCH($A162, RoadmapDataProjects, 0)) = "-", "-", INDEX(RoadmapData, MATCH(TRIM(BT$1), RoadmapDataFeatures, 0), MATCH($A162, RoadmapDataProjects, 0))), "")</f>
        <v/>
      </c>
      <c r="BU162" s="475" t="str">
        <f t="shared" si="167"/>
        <v/>
      </c>
      <c r="BV162" s="475" t="str">
        <f t="shared" si="167"/>
        <v/>
      </c>
      <c r="BW162" s="475" t="str">
        <f t="shared" si="167"/>
        <v/>
      </c>
      <c r="BX162" s="475" t="str">
        <f t="shared" si="167"/>
        <v/>
      </c>
      <c r="BY162" s="475" t="str">
        <f t="shared" si="167"/>
        <v/>
      </c>
      <c r="BZ162" s="475" t="str">
        <f t="shared" si="167"/>
        <v/>
      </c>
      <c r="CA162" s="475" t="str">
        <f t="shared" si="167"/>
        <v/>
      </c>
      <c r="CB162" s="475" t="str">
        <f t="shared" si="167"/>
        <v/>
      </c>
      <c r="CC162" s="475" t="str">
        <f t="shared" si="167"/>
        <v/>
      </c>
      <c r="CD162" s="475" t="str">
        <f t="shared" ref="CD162:CM171" si="168">_xlfn.IFNA(IF(INDEX(RoadmapData, MATCH(TRIM(CD$1), RoadmapDataFeatures, 0), MATCH($A162, RoadmapDataProjects, 0)) = "-", "-", INDEX(RoadmapData, MATCH(TRIM(CD$1), RoadmapDataFeatures, 0), MATCH($A162, RoadmapDataProjects, 0))), "")</f>
        <v/>
      </c>
      <c r="CE162" s="475" t="str">
        <f t="shared" si="168"/>
        <v/>
      </c>
      <c r="CF162" s="475" t="str">
        <f t="shared" si="168"/>
        <v/>
      </c>
      <c r="CG162" s="475" t="str">
        <f t="shared" si="168"/>
        <v/>
      </c>
      <c r="CH162" s="475" t="str">
        <f t="shared" si="168"/>
        <v/>
      </c>
      <c r="CI162" s="475" t="str">
        <f t="shared" si="168"/>
        <v/>
      </c>
      <c r="CJ162" s="475" t="str">
        <f t="shared" si="168"/>
        <v/>
      </c>
      <c r="CK162" s="475" t="str">
        <f t="shared" si="168"/>
        <v/>
      </c>
      <c r="CL162" s="475" t="str">
        <f t="shared" si="168"/>
        <v/>
      </c>
      <c r="CM162" s="475" t="str">
        <f t="shared" si="168"/>
        <v/>
      </c>
      <c r="CN162" s="475" t="str">
        <f t="shared" ref="CN162:CZ171" si="169">_xlfn.IFNA(IF(INDEX(RoadmapData, MATCH(TRIM(CN$1), RoadmapDataFeatures, 0), MATCH($A162, RoadmapDataProjects, 0)) = "-", "-", INDEX(RoadmapData, MATCH(TRIM(CN$1), RoadmapDataFeatures, 0), MATCH($A162, RoadmapDataProjects, 0))), "")</f>
        <v/>
      </c>
      <c r="CO162" s="475" t="str">
        <f t="shared" si="169"/>
        <v/>
      </c>
      <c r="CP162" s="475" t="str">
        <f t="shared" si="169"/>
        <v/>
      </c>
      <c r="CQ162" s="475" t="str">
        <f t="shared" si="169"/>
        <v/>
      </c>
      <c r="CR162" s="475" t="str">
        <f t="shared" si="169"/>
        <v/>
      </c>
      <c r="CS162" s="475" t="str">
        <f t="shared" si="169"/>
        <v/>
      </c>
      <c r="CT162" s="475" t="str">
        <f t="shared" si="169"/>
        <v/>
      </c>
      <c r="CU162" s="475" t="str">
        <f t="shared" si="169"/>
        <v/>
      </c>
      <c r="CV162" s="475" t="str">
        <f t="shared" si="169"/>
        <v/>
      </c>
      <c r="CW162" s="475" t="str">
        <f t="shared" si="169"/>
        <v/>
      </c>
      <c r="CX162" s="475" t="str">
        <f t="shared" si="169"/>
        <v/>
      </c>
      <c r="CY162" s="475" t="str">
        <f t="shared" si="169"/>
        <v/>
      </c>
      <c r="CZ162" s="495" t="str">
        <f t="shared" si="169"/>
        <v/>
      </c>
      <c r="DA162" s="502"/>
      <c r="DB162" s="460"/>
      <c r="DC162" s="465"/>
      <c r="DD162" s="463"/>
      <c r="DE162" s="512"/>
      <c r="DF162" s="516"/>
      <c r="DG162" s="508"/>
      <c r="DH162" s="463"/>
      <c r="DI162" s="461"/>
      <c r="DJ162" s="461"/>
      <c r="DK162" s="461"/>
      <c r="DL162" s="464"/>
      <c r="DM162" s="466"/>
      <c r="DN162" s="502"/>
      <c r="DO162" s="460" t="s">
        <v>339</v>
      </c>
      <c r="DP162" s="464"/>
      <c r="DQ162" s="464"/>
      <c r="DR162" s="464" t="s">
        <v>339</v>
      </c>
      <c r="DS162" s="508" t="s">
        <v>339</v>
      </c>
      <c r="DT162" s="525"/>
      <c r="DU162" s="525"/>
      <c r="DV162" s="463"/>
      <c r="DW162" s="464"/>
      <c r="DX162" s="465"/>
      <c r="DY162" s="463"/>
      <c r="DZ162" s="464"/>
      <c r="EA162" s="465"/>
      <c r="EB162" s="463"/>
      <c r="EC162" s="465"/>
      <c r="ED162" s="462">
        <v>62</v>
      </c>
      <c r="EE162" s="502"/>
      <c r="EF162" s="463"/>
      <c r="EG162" s="461"/>
      <c r="EH162" s="464"/>
      <c r="EI162" s="464"/>
      <c r="EJ162" s="464"/>
      <c r="EK162" s="464"/>
      <c r="EL162" s="464"/>
      <c r="EM162" s="464"/>
      <c r="EN162" s="464"/>
      <c r="EO162" s="464"/>
      <c r="EP162" s="464"/>
      <c r="EQ162" s="464"/>
      <c r="ER162" s="464"/>
      <c r="ES162" s="464"/>
      <c r="ET162" s="464"/>
      <c r="EU162" s="464"/>
      <c r="EV162" s="464"/>
      <c r="EW162" s="465"/>
      <c r="EX162" s="465"/>
      <c r="EY162" s="502"/>
      <c r="EZ162" s="460"/>
      <c r="FA162" s="464"/>
      <c r="FB162" s="464"/>
      <c r="FC162" s="464"/>
      <c r="FD162" s="464"/>
      <c r="FE162" s="464"/>
      <c r="FF162" s="464"/>
      <c r="FG162" s="466"/>
    </row>
    <row r="163" spans="1:163">
      <c r="A163" s="467" t="s">
        <v>354</v>
      </c>
      <c r="B163" s="471" t="str">
        <f>IF(ISNUMBER(MATCH(A163, 'Pulldown Data'!W:W, 0))=TRUE, "Y", IF(ISNUMBER(MATCH(A163, 'Pulldown Data'!X:X, 0))=TRUE, "M", ""))</f>
        <v/>
      </c>
      <c r="C163" s="504"/>
      <c r="D163" s="502"/>
      <c r="E163" s="443" t="str">
        <f t="shared" si="160"/>
        <v/>
      </c>
      <c r="F163" s="444" t="str">
        <f t="shared" si="160"/>
        <v/>
      </c>
      <c r="G163" s="444" t="str">
        <f t="shared" si="160"/>
        <v/>
      </c>
      <c r="H163" s="444" t="str">
        <f t="shared" si="160"/>
        <v/>
      </c>
      <c r="I163" s="444" t="str">
        <f t="shared" si="160"/>
        <v/>
      </c>
      <c r="J163" s="444" t="str">
        <f t="shared" si="160"/>
        <v/>
      </c>
      <c r="K163" s="444" t="str">
        <f t="shared" si="160"/>
        <v/>
      </c>
      <c r="L163" s="444" t="str">
        <f t="shared" si="160"/>
        <v/>
      </c>
      <c r="M163" s="444" t="str">
        <f t="shared" si="160"/>
        <v/>
      </c>
      <c r="N163" s="444" t="str">
        <f t="shared" si="160"/>
        <v/>
      </c>
      <c r="O163" s="444" t="str">
        <f t="shared" si="161"/>
        <v/>
      </c>
      <c r="P163" s="444" t="str">
        <f t="shared" si="161"/>
        <v/>
      </c>
      <c r="Q163" s="444" t="str">
        <f t="shared" si="161"/>
        <v/>
      </c>
      <c r="R163" s="444" t="str">
        <f t="shared" si="161"/>
        <v/>
      </c>
      <c r="S163" s="444" t="str">
        <f t="shared" si="161"/>
        <v/>
      </c>
      <c r="T163" s="444" t="str">
        <f t="shared" si="161"/>
        <v/>
      </c>
      <c r="U163" s="444" t="str">
        <f t="shared" si="161"/>
        <v/>
      </c>
      <c r="V163" s="444" t="str">
        <f t="shared" si="161"/>
        <v/>
      </c>
      <c r="W163" s="444" t="str">
        <f t="shared" si="161"/>
        <v/>
      </c>
      <c r="X163" s="444" t="str">
        <f t="shared" si="161"/>
        <v/>
      </c>
      <c r="Y163" s="444" t="str">
        <f t="shared" si="162"/>
        <v/>
      </c>
      <c r="Z163" s="444" t="str">
        <f t="shared" si="162"/>
        <v/>
      </c>
      <c r="AA163" s="444" t="str">
        <f t="shared" si="162"/>
        <v/>
      </c>
      <c r="AB163" s="444" t="str">
        <f t="shared" si="162"/>
        <v/>
      </c>
      <c r="AC163" s="444" t="str">
        <f t="shared" si="162"/>
        <v/>
      </c>
      <c r="AD163" s="444" t="str">
        <f t="shared" si="162"/>
        <v/>
      </c>
      <c r="AE163" s="444" t="str">
        <f t="shared" si="162"/>
        <v/>
      </c>
      <c r="AF163" s="444" t="str">
        <f t="shared" si="162"/>
        <v/>
      </c>
      <c r="AG163" s="444" t="str">
        <f t="shared" si="162"/>
        <v/>
      </c>
      <c r="AH163" s="444" t="str">
        <f t="shared" si="162"/>
        <v/>
      </c>
      <c r="AI163" s="444" t="str">
        <f t="shared" si="163"/>
        <v/>
      </c>
      <c r="AJ163" s="444" t="str">
        <f t="shared" si="163"/>
        <v/>
      </c>
      <c r="AK163" s="444" t="str">
        <f t="shared" si="163"/>
        <v/>
      </c>
      <c r="AL163" s="444" t="str">
        <f t="shared" si="163"/>
        <v/>
      </c>
      <c r="AM163" s="444" t="str">
        <f t="shared" si="163"/>
        <v/>
      </c>
      <c r="AN163" s="444" t="str">
        <f t="shared" si="163"/>
        <v/>
      </c>
      <c r="AO163" s="444" t="str">
        <f t="shared" si="163"/>
        <v/>
      </c>
      <c r="AP163" s="444" t="str">
        <f t="shared" si="163"/>
        <v/>
      </c>
      <c r="AQ163" s="444" t="str">
        <f t="shared" si="163"/>
        <v/>
      </c>
      <c r="AR163" s="444" t="str">
        <f t="shared" si="163"/>
        <v/>
      </c>
      <c r="AS163" s="444" t="str">
        <f t="shared" si="164"/>
        <v/>
      </c>
      <c r="AT163" s="444" t="str">
        <f t="shared" si="164"/>
        <v/>
      </c>
      <c r="AU163" s="444" t="str">
        <f t="shared" si="164"/>
        <v/>
      </c>
      <c r="AV163" s="444" t="str">
        <f t="shared" si="164"/>
        <v/>
      </c>
      <c r="AW163" s="444" t="str">
        <f t="shared" si="164"/>
        <v/>
      </c>
      <c r="AX163" s="444" t="str">
        <f t="shared" si="164"/>
        <v/>
      </c>
      <c r="AY163" s="444" t="str">
        <f t="shared" si="164"/>
        <v/>
      </c>
      <c r="AZ163" s="444" t="str">
        <f t="shared" si="164"/>
        <v/>
      </c>
      <c r="BA163" s="444" t="str">
        <f t="shared" si="164"/>
        <v/>
      </c>
      <c r="BB163" s="444" t="str">
        <f t="shared" si="164"/>
        <v/>
      </c>
      <c r="BC163" s="444" t="str">
        <f t="shared" si="165"/>
        <v/>
      </c>
      <c r="BD163" s="444" t="str">
        <f t="shared" si="165"/>
        <v/>
      </c>
      <c r="BE163" s="444" t="str">
        <f t="shared" si="165"/>
        <v/>
      </c>
      <c r="BF163" s="444" t="str">
        <f t="shared" si="165"/>
        <v/>
      </c>
      <c r="BG163" s="444" t="str">
        <f t="shared" si="165"/>
        <v/>
      </c>
      <c r="BH163" s="445" t="str">
        <f t="shared" si="165"/>
        <v/>
      </c>
      <c r="BI163" s="502"/>
      <c r="BJ163" s="474" t="str">
        <f t="shared" si="166"/>
        <v/>
      </c>
      <c r="BK163" s="475" t="str">
        <f t="shared" si="166"/>
        <v/>
      </c>
      <c r="BL163" s="475" t="str">
        <f t="shared" si="166"/>
        <v/>
      </c>
      <c r="BM163" s="475" t="str">
        <f t="shared" si="166"/>
        <v/>
      </c>
      <c r="BN163" s="475" t="str">
        <f t="shared" si="166"/>
        <v/>
      </c>
      <c r="BO163" s="475" t="str">
        <f t="shared" si="166"/>
        <v/>
      </c>
      <c r="BP163" s="475" t="str">
        <f t="shared" si="166"/>
        <v/>
      </c>
      <c r="BQ163" s="475" t="str">
        <f t="shared" si="166"/>
        <v/>
      </c>
      <c r="BR163" s="475" t="str">
        <f t="shared" si="166"/>
        <v/>
      </c>
      <c r="BS163" s="475" t="str">
        <f t="shared" si="166"/>
        <v/>
      </c>
      <c r="BT163" s="475" t="str">
        <f t="shared" si="167"/>
        <v/>
      </c>
      <c r="BU163" s="475" t="str">
        <f t="shared" si="167"/>
        <v/>
      </c>
      <c r="BV163" s="475" t="str">
        <f t="shared" si="167"/>
        <v/>
      </c>
      <c r="BW163" s="475" t="str">
        <f t="shared" si="167"/>
        <v/>
      </c>
      <c r="BX163" s="475" t="str">
        <f t="shared" si="167"/>
        <v/>
      </c>
      <c r="BY163" s="475" t="str">
        <f t="shared" si="167"/>
        <v/>
      </c>
      <c r="BZ163" s="475" t="str">
        <f t="shared" si="167"/>
        <v/>
      </c>
      <c r="CA163" s="475" t="str">
        <f t="shared" si="167"/>
        <v/>
      </c>
      <c r="CB163" s="475" t="str">
        <f t="shared" si="167"/>
        <v/>
      </c>
      <c r="CC163" s="475" t="str">
        <f t="shared" si="167"/>
        <v/>
      </c>
      <c r="CD163" s="475" t="str">
        <f t="shared" si="168"/>
        <v/>
      </c>
      <c r="CE163" s="475" t="str">
        <f t="shared" si="168"/>
        <v/>
      </c>
      <c r="CF163" s="475" t="str">
        <f t="shared" si="168"/>
        <v/>
      </c>
      <c r="CG163" s="475" t="str">
        <f t="shared" si="168"/>
        <v/>
      </c>
      <c r="CH163" s="475" t="str">
        <f t="shared" si="168"/>
        <v/>
      </c>
      <c r="CI163" s="475" t="str">
        <f t="shared" si="168"/>
        <v/>
      </c>
      <c r="CJ163" s="475" t="str">
        <f t="shared" si="168"/>
        <v/>
      </c>
      <c r="CK163" s="475" t="str">
        <f t="shared" si="168"/>
        <v/>
      </c>
      <c r="CL163" s="475" t="str">
        <f t="shared" si="168"/>
        <v/>
      </c>
      <c r="CM163" s="475" t="str">
        <f t="shared" si="168"/>
        <v/>
      </c>
      <c r="CN163" s="475" t="str">
        <f t="shared" si="169"/>
        <v/>
      </c>
      <c r="CO163" s="475" t="str">
        <f t="shared" si="169"/>
        <v/>
      </c>
      <c r="CP163" s="475" t="str">
        <f t="shared" si="169"/>
        <v/>
      </c>
      <c r="CQ163" s="475" t="str">
        <f t="shared" si="169"/>
        <v/>
      </c>
      <c r="CR163" s="475" t="str">
        <f t="shared" si="169"/>
        <v/>
      </c>
      <c r="CS163" s="475" t="str">
        <f t="shared" si="169"/>
        <v/>
      </c>
      <c r="CT163" s="475" t="str">
        <f t="shared" si="169"/>
        <v/>
      </c>
      <c r="CU163" s="475" t="str">
        <f t="shared" si="169"/>
        <v/>
      </c>
      <c r="CV163" s="475" t="str">
        <f t="shared" si="169"/>
        <v/>
      </c>
      <c r="CW163" s="475" t="str">
        <f t="shared" si="169"/>
        <v/>
      </c>
      <c r="CX163" s="475" t="str">
        <f t="shared" si="169"/>
        <v/>
      </c>
      <c r="CY163" s="475" t="str">
        <f t="shared" si="169"/>
        <v/>
      </c>
      <c r="CZ163" s="495" t="str">
        <f t="shared" si="169"/>
        <v/>
      </c>
      <c r="DA163" s="502"/>
      <c r="DB163" s="460"/>
      <c r="DC163" s="465"/>
      <c r="DD163" s="463"/>
      <c r="DE163" s="512"/>
      <c r="DF163" s="516"/>
      <c r="DG163" s="508"/>
      <c r="DH163" s="463"/>
      <c r="DI163" s="461"/>
      <c r="DJ163" s="461"/>
      <c r="DK163" s="461"/>
      <c r="DL163" s="464"/>
      <c r="DM163" s="466"/>
      <c r="DN163" s="502"/>
      <c r="DO163" s="460" t="s">
        <v>339</v>
      </c>
      <c r="DP163" s="464"/>
      <c r="DQ163" s="464"/>
      <c r="DR163" s="464" t="s">
        <v>339</v>
      </c>
      <c r="DS163" s="508" t="s">
        <v>339</v>
      </c>
      <c r="DT163" s="525"/>
      <c r="DU163" s="525"/>
      <c r="DV163" s="463"/>
      <c r="DW163" s="464"/>
      <c r="DX163" s="465"/>
      <c r="DY163" s="463"/>
      <c r="DZ163" s="464"/>
      <c r="EA163" s="465"/>
      <c r="EB163" s="463"/>
      <c r="EC163" s="465"/>
      <c r="ED163" s="462">
        <v>63</v>
      </c>
      <c r="EE163" s="502"/>
      <c r="EF163" s="463"/>
      <c r="EG163" s="461"/>
      <c r="EH163" s="464"/>
      <c r="EI163" s="464"/>
      <c r="EJ163" s="464"/>
      <c r="EK163" s="464"/>
      <c r="EL163" s="464"/>
      <c r="EM163" s="464"/>
      <c r="EN163" s="464"/>
      <c r="EO163" s="464"/>
      <c r="EP163" s="464"/>
      <c r="EQ163" s="464"/>
      <c r="ER163" s="464"/>
      <c r="ES163" s="464"/>
      <c r="ET163" s="464"/>
      <c r="EU163" s="464"/>
      <c r="EV163" s="464"/>
      <c r="EW163" s="465"/>
      <c r="EX163" s="465"/>
      <c r="EY163" s="502"/>
      <c r="EZ163" s="460"/>
      <c r="FA163" s="464"/>
      <c r="FB163" s="464"/>
      <c r="FC163" s="464"/>
      <c r="FD163" s="464"/>
      <c r="FE163" s="464"/>
      <c r="FF163" s="464"/>
      <c r="FG163" s="466"/>
    </row>
    <row r="164" spans="1:163">
      <c r="A164" s="467" t="s">
        <v>355</v>
      </c>
      <c r="B164" s="471" t="str">
        <f>IF(ISNUMBER(MATCH(A164, 'Pulldown Data'!W:W, 0))=TRUE, "Y", IF(ISNUMBER(MATCH(A164, 'Pulldown Data'!X:X, 0))=TRUE, "M", ""))</f>
        <v/>
      </c>
      <c r="C164" s="504"/>
      <c r="D164" s="502"/>
      <c r="E164" s="443" t="str">
        <f t="shared" si="160"/>
        <v/>
      </c>
      <c r="F164" s="444" t="str">
        <f t="shared" si="160"/>
        <v/>
      </c>
      <c r="G164" s="444" t="str">
        <f t="shared" si="160"/>
        <v/>
      </c>
      <c r="H164" s="444" t="str">
        <f t="shared" si="160"/>
        <v/>
      </c>
      <c r="I164" s="444" t="str">
        <f t="shared" si="160"/>
        <v/>
      </c>
      <c r="J164" s="444" t="str">
        <f t="shared" si="160"/>
        <v/>
      </c>
      <c r="K164" s="444" t="str">
        <f t="shared" si="160"/>
        <v/>
      </c>
      <c r="L164" s="444" t="str">
        <f t="shared" si="160"/>
        <v/>
      </c>
      <c r="M164" s="444" t="str">
        <f t="shared" si="160"/>
        <v/>
      </c>
      <c r="N164" s="444" t="str">
        <f t="shared" si="160"/>
        <v/>
      </c>
      <c r="O164" s="444" t="str">
        <f t="shared" si="161"/>
        <v/>
      </c>
      <c r="P164" s="444" t="str">
        <f t="shared" si="161"/>
        <v/>
      </c>
      <c r="Q164" s="444" t="str">
        <f t="shared" si="161"/>
        <v/>
      </c>
      <c r="R164" s="444" t="str">
        <f t="shared" si="161"/>
        <v/>
      </c>
      <c r="S164" s="444" t="str">
        <f t="shared" si="161"/>
        <v/>
      </c>
      <c r="T164" s="444" t="str">
        <f t="shared" si="161"/>
        <v/>
      </c>
      <c r="U164" s="444" t="str">
        <f t="shared" si="161"/>
        <v/>
      </c>
      <c r="V164" s="444" t="str">
        <f t="shared" si="161"/>
        <v/>
      </c>
      <c r="W164" s="444" t="str">
        <f t="shared" si="161"/>
        <v/>
      </c>
      <c r="X164" s="444" t="str">
        <f t="shared" si="161"/>
        <v/>
      </c>
      <c r="Y164" s="444" t="str">
        <f t="shared" si="162"/>
        <v/>
      </c>
      <c r="Z164" s="444" t="str">
        <f t="shared" si="162"/>
        <v/>
      </c>
      <c r="AA164" s="444" t="str">
        <f t="shared" si="162"/>
        <v/>
      </c>
      <c r="AB164" s="444" t="str">
        <f t="shared" si="162"/>
        <v/>
      </c>
      <c r="AC164" s="444" t="str">
        <f t="shared" si="162"/>
        <v/>
      </c>
      <c r="AD164" s="444" t="str">
        <f t="shared" si="162"/>
        <v/>
      </c>
      <c r="AE164" s="444" t="str">
        <f t="shared" si="162"/>
        <v/>
      </c>
      <c r="AF164" s="444" t="str">
        <f t="shared" si="162"/>
        <v/>
      </c>
      <c r="AG164" s="444" t="str">
        <f t="shared" si="162"/>
        <v/>
      </c>
      <c r="AH164" s="444" t="str">
        <f t="shared" si="162"/>
        <v/>
      </c>
      <c r="AI164" s="444" t="str">
        <f t="shared" si="163"/>
        <v/>
      </c>
      <c r="AJ164" s="444" t="str">
        <f t="shared" si="163"/>
        <v/>
      </c>
      <c r="AK164" s="444" t="str">
        <f t="shared" si="163"/>
        <v/>
      </c>
      <c r="AL164" s="444" t="str">
        <f t="shared" si="163"/>
        <v/>
      </c>
      <c r="AM164" s="444" t="str">
        <f t="shared" si="163"/>
        <v/>
      </c>
      <c r="AN164" s="444" t="str">
        <f t="shared" si="163"/>
        <v/>
      </c>
      <c r="AO164" s="444" t="str">
        <f t="shared" si="163"/>
        <v/>
      </c>
      <c r="AP164" s="444" t="str">
        <f t="shared" si="163"/>
        <v/>
      </c>
      <c r="AQ164" s="444" t="str">
        <f t="shared" si="163"/>
        <v/>
      </c>
      <c r="AR164" s="444" t="str">
        <f t="shared" si="163"/>
        <v/>
      </c>
      <c r="AS164" s="444" t="str">
        <f t="shared" si="164"/>
        <v/>
      </c>
      <c r="AT164" s="444" t="str">
        <f t="shared" si="164"/>
        <v/>
      </c>
      <c r="AU164" s="444" t="str">
        <f t="shared" si="164"/>
        <v/>
      </c>
      <c r="AV164" s="444" t="str">
        <f t="shared" si="164"/>
        <v/>
      </c>
      <c r="AW164" s="444" t="str">
        <f t="shared" si="164"/>
        <v/>
      </c>
      <c r="AX164" s="444" t="str">
        <f t="shared" si="164"/>
        <v/>
      </c>
      <c r="AY164" s="444" t="str">
        <f t="shared" si="164"/>
        <v/>
      </c>
      <c r="AZ164" s="444" t="str">
        <f t="shared" si="164"/>
        <v/>
      </c>
      <c r="BA164" s="444" t="str">
        <f t="shared" si="164"/>
        <v/>
      </c>
      <c r="BB164" s="444" t="str">
        <f t="shared" si="164"/>
        <v/>
      </c>
      <c r="BC164" s="444" t="str">
        <f t="shared" si="165"/>
        <v/>
      </c>
      <c r="BD164" s="444" t="str">
        <f t="shared" si="165"/>
        <v/>
      </c>
      <c r="BE164" s="444" t="str">
        <f t="shared" si="165"/>
        <v/>
      </c>
      <c r="BF164" s="444" t="str">
        <f t="shared" si="165"/>
        <v/>
      </c>
      <c r="BG164" s="444" t="str">
        <f t="shared" si="165"/>
        <v/>
      </c>
      <c r="BH164" s="445" t="str">
        <f t="shared" si="165"/>
        <v/>
      </c>
      <c r="BI164" s="502"/>
      <c r="BJ164" s="474" t="str">
        <f t="shared" si="166"/>
        <v/>
      </c>
      <c r="BK164" s="475" t="str">
        <f t="shared" si="166"/>
        <v/>
      </c>
      <c r="BL164" s="475" t="str">
        <f t="shared" si="166"/>
        <v/>
      </c>
      <c r="BM164" s="475" t="str">
        <f t="shared" si="166"/>
        <v/>
      </c>
      <c r="BN164" s="475" t="str">
        <f t="shared" si="166"/>
        <v/>
      </c>
      <c r="BO164" s="475" t="str">
        <f t="shared" si="166"/>
        <v/>
      </c>
      <c r="BP164" s="475" t="str">
        <f t="shared" si="166"/>
        <v/>
      </c>
      <c r="BQ164" s="475" t="str">
        <f t="shared" si="166"/>
        <v/>
      </c>
      <c r="BR164" s="475" t="str">
        <f t="shared" si="166"/>
        <v/>
      </c>
      <c r="BS164" s="475" t="str">
        <f t="shared" si="166"/>
        <v/>
      </c>
      <c r="BT164" s="475" t="str">
        <f t="shared" si="167"/>
        <v/>
      </c>
      <c r="BU164" s="475" t="str">
        <f t="shared" si="167"/>
        <v/>
      </c>
      <c r="BV164" s="475" t="str">
        <f t="shared" si="167"/>
        <v/>
      </c>
      <c r="BW164" s="475" t="str">
        <f t="shared" si="167"/>
        <v/>
      </c>
      <c r="BX164" s="475" t="str">
        <f t="shared" si="167"/>
        <v/>
      </c>
      <c r="BY164" s="475" t="str">
        <f t="shared" si="167"/>
        <v/>
      </c>
      <c r="BZ164" s="475" t="str">
        <f t="shared" si="167"/>
        <v/>
      </c>
      <c r="CA164" s="475" t="str">
        <f t="shared" si="167"/>
        <v/>
      </c>
      <c r="CB164" s="475" t="str">
        <f t="shared" si="167"/>
        <v/>
      </c>
      <c r="CC164" s="475" t="str">
        <f t="shared" si="167"/>
        <v/>
      </c>
      <c r="CD164" s="475" t="str">
        <f t="shared" si="168"/>
        <v/>
      </c>
      <c r="CE164" s="475" t="str">
        <f t="shared" si="168"/>
        <v/>
      </c>
      <c r="CF164" s="475" t="str">
        <f t="shared" si="168"/>
        <v/>
      </c>
      <c r="CG164" s="475" t="str">
        <f t="shared" si="168"/>
        <v/>
      </c>
      <c r="CH164" s="475" t="str">
        <f t="shared" si="168"/>
        <v/>
      </c>
      <c r="CI164" s="475" t="str">
        <f t="shared" si="168"/>
        <v/>
      </c>
      <c r="CJ164" s="475" t="str">
        <f t="shared" si="168"/>
        <v/>
      </c>
      <c r="CK164" s="475" t="str">
        <f t="shared" si="168"/>
        <v/>
      </c>
      <c r="CL164" s="475" t="str">
        <f t="shared" si="168"/>
        <v/>
      </c>
      <c r="CM164" s="475" t="str">
        <f t="shared" si="168"/>
        <v/>
      </c>
      <c r="CN164" s="475" t="str">
        <f t="shared" si="169"/>
        <v/>
      </c>
      <c r="CO164" s="475" t="str">
        <f t="shared" si="169"/>
        <v/>
      </c>
      <c r="CP164" s="475" t="str">
        <f t="shared" si="169"/>
        <v/>
      </c>
      <c r="CQ164" s="475" t="str">
        <f t="shared" si="169"/>
        <v/>
      </c>
      <c r="CR164" s="475" t="str">
        <f t="shared" si="169"/>
        <v/>
      </c>
      <c r="CS164" s="475" t="str">
        <f t="shared" si="169"/>
        <v/>
      </c>
      <c r="CT164" s="475" t="str">
        <f t="shared" si="169"/>
        <v/>
      </c>
      <c r="CU164" s="475" t="str">
        <f t="shared" si="169"/>
        <v/>
      </c>
      <c r="CV164" s="475" t="str">
        <f t="shared" si="169"/>
        <v/>
      </c>
      <c r="CW164" s="475" t="str">
        <f t="shared" si="169"/>
        <v/>
      </c>
      <c r="CX164" s="475" t="str">
        <f t="shared" si="169"/>
        <v/>
      </c>
      <c r="CY164" s="475" t="str">
        <f t="shared" si="169"/>
        <v/>
      </c>
      <c r="CZ164" s="495" t="str">
        <f t="shared" si="169"/>
        <v/>
      </c>
      <c r="DA164" s="502"/>
      <c r="DB164" s="460"/>
      <c r="DC164" s="465"/>
      <c r="DD164" s="463"/>
      <c r="DE164" s="512"/>
      <c r="DF164" s="516"/>
      <c r="DG164" s="508"/>
      <c r="DH164" s="463"/>
      <c r="DI164" s="461"/>
      <c r="DJ164" s="461"/>
      <c r="DK164" s="461"/>
      <c r="DL164" s="464"/>
      <c r="DM164" s="466"/>
      <c r="DN164" s="502"/>
      <c r="DO164" s="460"/>
      <c r="DP164" s="464"/>
      <c r="DQ164" s="464"/>
      <c r="DR164" s="464"/>
      <c r="DS164" s="508"/>
      <c r="DT164" s="525"/>
      <c r="DU164" s="525"/>
      <c r="DV164" s="463"/>
      <c r="DW164" s="464"/>
      <c r="DX164" s="465"/>
      <c r="DY164" s="463"/>
      <c r="DZ164" s="464"/>
      <c r="EA164" s="465"/>
      <c r="EB164" s="463"/>
      <c r="EC164" s="465"/>
      <c r="ED164" s="462"/>
      <c r="EE164" s="502"/>
      <c r="EF164" s="463"/>
      <c r="EG164" s="461"/>
      <c r="EH164" s="464"/>
      <c r="EI164" s="464"/>
      <c r="EJ164" s="464"/>
      <c r="EK164" s="464"/>
      <c r="EL164" s="464"/>
      <c r="EM164" s="464"/>
      <c r="EN164" s="464"/>
      <c r="EO164" s="464"/>
      <c r="EP164" s="464"/>
      <c r="EQ164" s="464"/>
      <c r="ER164" s="464"/>
      <c r="ES164" s="464"/>
      <c r="ET164" s="464"/>
      <c r="EU164" s="464"/>
      <c r="EV164" s="464"/>
      <c r="EW164" s="465"/>
      <c r="EX164" s="465"/>
      <c r="EY164" s="502"/>
      <c r="EZ164" s="460"/>
      <c r="FA164" s="464"/>
      <c r="FB164" s="464"/>
      <c r="FC164" s="464"/>
      <c r="FD164" s="464"/>
      <c r="FE164" s="464"/>
      <c r="FF164" s="464"/>
      <c r="FG164" s="466"/>
    </row>
    <row r="165" spans="1:163">
      <c r="A165" s="467" t="s">
        <v>356</v>
      </c>
      <c r="B165" s="471" t="str">
        <f>IF(ISNUMBER(MATCH(A165, 'Pulldown Data'!W:W, 0))=TRUE, "Y", IF(ISNUMBER(MATCH(A165, 'Pulldown Data'!X:X, 0))=TRUE, "M", ""))</f>
        <v/>
      </c>
      <c r="C165" s="504"/>
      <c r="D165" s="502"/>
      <c r="E165" s="443" t="str">
        <f t="shared" si="160"/>
        <v/>
      </c>
      <c r="F165" s="444" t="str">
        <f t="shared" si="160"/>
        <v/>
      </c>
      <c r="G165" s="444" t="str">
        <f t="shared" si="160"/>
        <v/>
      </c>
      <c r="H165" s="444" t="str">
        <f t="shared" si="160"/>
        <v/>
      </c>
      <c r="I165" s="444" t="str">
        <f t="shared" si="160"/>
        <v/>
      </c>
      <c r="J165" s="444" t="str">
        <f t="shared" si="160"/>
        <v/>
      </c>
      <c r="K165" s="444" t="str">
        <f t="shared" si="160"/>
        <v/>
      </c>
      <c r="L165" s="444" t="str">
        <f t="shared" si="160"/>
        <v/>
      </c>
      <c r="M165" s="444" t="str">
        <f t="shared" si="160"/>
        <v/>
      </c>
      <c r="N165" s="444" t="str">
        <f t="shared" si="160"/>
        <v/>
      </c>
      <c r="O165" s="444" t="str">
        <f t="shared" si="161"/>
        <v/>
      </c>
      <c r="P165" s="444" t="str">
        <f t="shared" si="161"/>
        <v/>
      </c>
      <c r="Q165" s="444" t="str">
        <f t="shared" si="161"/>
        <v/>
      </c>
      <c r="R165" s="444" t="str">
        <f t="shared" si="161"/>
        <v/>
      </c>
      <c r="S165" s="444" t="str">
        <f t="shared" si="161"/>
        <v/>
      </c>
      <c r="T165" s="444" t="str">
        <f t="shared" si="161"/>
        <v/>
      </c>
      <c r="U165" s="444" t="str">
        <f t="shared" si="161"/>
        <v/>
      </c>
      <c r="V165" s="444" t="str">
        <f t="shared" si="161"/>
        <v/>
      </c>
      <c r="W165" s="444" t="str">
        <f t="shared" si="161"/>
        <v/>
      </c>
      <c r="X165" s="444" t="str">
        <f t="shared" si="161"/>
        <v/>
      </c>
      <c r="Y165" s="444" t="str">
        <f t="shared" si="162"/>
        <v/>
      </c>
      <c r="Z165" s="444" t="str">
        <f t="shared" si="162"/>
        <v/>
      </c>
      <c r="AA165" s="444" t="str">
        <f t="shared" si="162"/>
        <v/>
      </c>
      <c r="AB165" s="444" t="str">
        <f t="shared" si="162"/>
        <v/>
      </c>
      <c r="AC165" s="444" t="str">
        <f t="shared" si="162"/>
        <v/>
      </c>
      <c r="AD165" s="444" t="str">
        <f t="shared" si="162"/>
        <v/>
      </c>
      <c r="AE165" s="444" t="str">
        <f t="shared" si="162"/>
        <v/>
      </c>
      <c r="AF165" s="444" t="str">
        <f t="shared" si="162"/>
        <v/>
      </c>
      <c r="AG165" s="444" t="str">
        <f t="shared" si="162"/>
        <v/>
      </c>
      <c r="AH165" s="444" t="str">
        <f t="shared" si="162"/>
        <v/>
      </c>
      <c r="AI165" s="444" t="str">
        <f t="shared" si="163"/>
        <v/>
      </c>
      <c r="AJ165" s="444" t="str">
        <f t="shared" si="163"/>
        <v/>
      </c>
      <c r="AK165" s="444" t="str">
        <f t="shared" si="163"/>
        <v/>
      </c>
      <c r="AL165" s="444" t="str">
        <f t="shared" si="163"/>
        <v/>
      </c>
      <c r="AM165" s="444" t="str">
        <f t="shared" si="163"/>
        <v/>
      </c>
      <c r="AN165" s="444" t="str">
        <f t="shared" si="163"/>
        <v/>
      </c>
      <c r="AO165" s="444" t="str">
        <f t="shared" si="163"/>
        <v/>
      </c>
      <c r="AP165" s="444" t="str">
        <f t="shared" si="163"/>
        <v/>
      </c>
      <c r="AQ165" s="444" t="str">
        <f t="shared" si="163"/>
        <v/>
      </c>
      <c r="AR165" s="444" t="str">
        <f t="shared" si="163"/>
        <v/>
      </c>
      <c r="AS165" s="444" t="str">
        <f t="shared" si="164"/>
        <v/>
      </c>
      <c r="AT165" s="444" t="str">
        <f t="shared" si="164"/>
        <v/>
      </c>
      <c r="AU165" s="444" t="str">
        <f t="shared" si="164"/>
        <v/>
      </c>
      <c r="AV165" s="444" t="str">
        <f t="shared" si="164"/>
        <v/>
      </c>
      <c r="AW165" s="444" t="str">
        <f t="shared" si="164"/>
        <v/>
      </c>
      <c r="AX165" s="444" t="str">
        <f t="shared" si="164"/>
        <v/>
      </c>
      <c r="AY165" s="444" t="str">
        <f t="shared" si="164"/>
        <v/>
      </c>
      <c r="AZ165" s="444" t="str">
        <f t="shared" si="164"/>
        <v/>
      </c>
      <c r="BA165" s="444" t="str">
        <f t="shared" si="164"/>
        <v/>
      </c>
      <c r="BB165" s="444" t="str">
        <f t="shared" si="164"/>
        <v/>
      </c>
      <c r="BC165" s="444" t="str">
        <f t="shared" si="165"/>
        <v/>
      </c>
      <c r="BD165" s="444" t="str">
        <f t="shared" si="165"/>
        <v/>
      </c>
      <c r="BE165" s="444" t="str">
        <f t="shared" si="165"/>
        <v/>
      </c>
      <c r="BF165" s="444" t="str">
        <f t="shared" si="165"/>
        <v/>
      </c>
      <c r="BG165" s="444" t="str">
        <f t="shared" si="165"/>
        <v/>
      </c>
      <c r="BH165" s="445" t="str">
        <f t="shared" si="165"/>
        <v/>
      </c>
      <c r="BI165" s="502"/>
      <c r="BJ165" s="474" t="str">
        <f t="shared" si="166"/>
        <v/>
      </c>
      <c r="BK165" s="475" t="str">
        <f t="shared" si="166"/>
        <v/>
      </c>
      <c r="BL165" s="475" t="str">
        <f t="shared" si="166"/>
        <v/>
      </c>
      <c r="BM165" s="475" t="str">
        <f t="shared" si="166"/>
        <v/>
      </c>
      <c r="BN165" s="475" t="str">
        <f t="shared" si="166"/>
        <v/>
      </c>
      <c r="BO165" s="475" t="str">
        <f t="shared" si="166"/>
        <v/>
      </c>
      <c r="BP165" s="475" t="str">
        <f t="shared" si="166"/>
        <v/>
      </c>
      <c r="BQ165" s="475" t="str">
        <f t="shared" si="166"/>
        <v/>
      </c>
      <c r="BR165" s="475" t="str">
        <f t="shared" si="166"/>
        <v/>
      </c>
      <c r="BS165" s="475" t="str">
        <f t="shared" si="166"/>
        <v/>
      </c>
      <c r="BT165" s="475" t="str">
        <f t="shared" si="167"/>
        <v/>
      </c>
      <c r="BU165" s="475" t="str">
        <f t="shared" si="167"/>
        <v/>
      </c>
      <c r="BV165" s="475" t="str">
        <f t="shared" si="167"/>
        <v/>
      </c>
      <c r="BW165" s="475" t="str">
        <f t="shared" si="167"/>
        <v/>
      </c>
      <c r="BX165" s="475" t="str">
        <f t="shared" si="167"/>
        <v/>
      </c>
      <c r="BY165" s="475" t="str">
        <f t="shared" si="167"/>
        <v/>
      </c>
      <c r="BZ165" s="475" t="str">
        <f t="shared" si="167"/>
        <v/>
      </c>
      <c r="CA165" s="475" t="str">
        <f t="shared" si="167"/>
        <v/>
      </c>
      <c r="CB165" s="475" t="str">
        <f t="shared" si="167"/>
        <v/>
      </c>
      <c r="CC165" s="475" t="str">
        <f t="shared" si="167"/>
        <v/>
      </c>
      <c r="CD165" s="475" t="str">
        <f t="shared" si="168"/>
        <v/>
      </c>
      <c r="CE165" s="475" t="str">
        <f t="shared" si="168"/>
        <v/>
      </c>
      <c r="CF165" s="475" t="str">
        <f t="shared" si="168"/>
        <v/>
      </c>
      <c r="CG165" s="475" t="str">
        <f t="shared" si="168"/>
        <v/>
      </c>
      <c r="CH165" s="475" t="str">
        <f t="shared" si="168"/>
        <v/>
      </c>
      <c r="CI165" s="475" t="str">
        <f t="shared" si="168"/>
        <v/>
      </c>
      <c r="CJ165" s="475" t="str">
        <f t="shared" si="168"/>
        <v/>
      </c>
      <c r="CK165" s="475" t="str">
        <f t="shared" si="168"/>
        <v/>
      </c>
      <c r="CL165" s="475" t="str">
        <f t="shared" si="168"/>
        <v/>
      </c>
      <c r="CM165" s="475" t="str">
        <f t="shared" si="168"/>
        <v/>
      </c>
      <c r="CN165" s="475" t="str">
        <f t="shared" si="169"/>
        <v/>
      </c>
      <c r="CO165" s="475" t="str">
        <f t="shared" si="169"/>
        <v/>
      </c>
      <c r="CP165" s="475" t="str">
        <f t="shared" si="169"/>
        <v/>
      </c>
      <c r="CQ165" s="475" t="str">
        <f t="shared" si="169"/>
        <v/>
      </c>
      <c r="CR165" s="475" t="str">
        <f t="shared" si="169"/>
        <v/>
      </c>
      <c r="CS165" s="475" t="str">
        <f t="shared" si="169"/>
        <v/>
      </c>
      <c r="CT165" s="475" t="str">
        <f t="shared" si="169"/>
        <v/>
      </c>
      <c r="CU165" s="475" t="str">
        <f t="shared" si="169"/>
        <v/>
      </c>
      <c r="CV165" s="475" t="str">
        <f t="shared" si="169"/>
        <v/>
      </c>
      <c r="CW165" s="475" t="str">
        <f t="shared" si="169"/>
        <v/>
      </c>
      <c r="CX165" s="475" t="str">
        <f t="shared" si="169"/>
        <v/>
      </c>
      <c r="CY165" s="475" t="str">
        <f t="shared" si="169"/>
        <v/>
      </c>
      <c r="CZ165" s="495" t="str">
        <f t="shared" si="169"/>
        <v/>
      </c>
      <c r="DA165" s="502"/>
      <c r="DB165" s="460"/>
      <c r="DC165" s="465"/>
      <c r="DD165" s="463"/>
      <c r="DE165" s="512"/>
      <c r="DF165" s="516"/>
      <c r="DG165" s="508"/>
      <c r="DH165" s="463"/>
      <c r="DI165" s="461"/>
      <c r="DJ165" s="461"/>
      <c r="DK165" s="461"/>
      <c r="DL165" s="464"/>
      <c r="DM165" s="466"/>
      <c r="DN165" s="502"/>
      <c r="DO165" s="460"/>
      <c r="DP165" s="464"/>
      <c r="DQ165" s="464"/>
      <c r="DR165" s="464"/>
      <c r="DS165" s="508"/>
      <c r="DT165" s="525"/>
      <c r="DU165" s="525"/>
      <c r="DV165" s="463"/>
      <c r="DW165" s="464"/>
      <c r="DX165" s="465"/>
      <c r="DY165" s="463"/>
      <c r="DZ165" s="464"/>
      <c r="EA165" s="465"/>
      <c r="EB165" s="463"/>
      <c r="EC165" s="465"/>
      <c r="ED165" s="462"/>
      <c r="EE165" s="502"/>
      <c r="EF165" s="463"/>
      <c r="EG165" s="461"/>
      <c r="EH165" s="464"/>
      <c r="EI165" s="464"/>
      <c r="EJ165" s="464"/>
      <c r="EK165" s="464"/>
      <c r="EL165" s="464"/>
      <c r="EM165" s="464"/>
      <c r="EN165" s="464"/>
      <c r="EO165" s="464"/>
      <c r="EP165" s="464"/>
      <c r="EQ165" s="464"/>
      <c r="ER165" s="464"/>
      <c r="ES165" s="464"/>
      <c r="ET165" s="464"/>
      <c r="EU165" s="464"/>
      <c r="EV165" s="464"/>
      <c r="EW165" s="465"/>
      <c r="EX165" s="465"/>
      <c r="EY165" s="502"/>
      <c r="EZ165" s="460"/>
      <c r="FA165" s="464"/>
      <c r="FB165" s="464"/>
      <c r="FC165" s="464"/>
      <c r="FD165" s="464"/>
      <c r="FE165" s="464"/>
      <c r="FF165" s="464"/>
      <c r="FG165" s="466"/>
    </row>
    <row r="166" spans="1:163">
      <c r="A166" s="467" t="s">
        <v>357</v>
      </c>
      <c r="B166" s="471" t="str">
        <f>IF(ISNUMBER(MATCH(A166, 'Pulldown Data'!W:W, 0))=TRUE, "Y", IF(ISNUMBER(MATCH(A166, 'Pulldown Data'!X:X, 0))=TRUE, "M", ""))</f>
        <v/>
      </c>
      <c r="C166" s="504">
        <v>45630</v>
      </c>
      <c r="D166" s="502"/>
      <c r="E166" s="443" t="str">
        <f t="shared" si="160"/>
        <v>NO</v>
      </c>
      <c r="F166" s="444" t="str">
        <f t="shared" si="160"/>
        <v>NO</v>
      </c>
      <c r="G166" s="444" t="str">
        <f t="shared" si="160"/>
        <v>YES</v>
      </c>
      <c r="H166" s="444" t="str">
        <f t="shared" si="160"/>
        <v>YES</v>
      </c>
      <c r="I166" s="444" t="str">
        <f t="shared" si="160"/>
        <v>YES</v>
      </c>
      <c r="J166" s="444" t="str">
        <f t="shared" si="160"/>
        <v>YES</v>
      </c>
      <c r="K166" s="444" t="str">
        <f t="shared" si="160"/>
        <v>NO</v>
      </c>
      <c r="L166" s="444" t="str">
        <f t="shared" si="160"/>
        <v>NO</v>
      </c>
      <c r="M166" s="444" t="str">
        <f t="shared" si="160"/>
        <v>YES</v>
      </c>
      <c r="N166" s="444" t="str">
        <f t="shared" si="160"/>
        <v>YES</v>
      </c>
      <c r="O166" s="444" t="str">
        <f t="shared" si="161"/>
        <v>YES</v>
      </c>
      <c r="P166" s="444" t="str">
        <f t="shared" si="161"/>
        <v>NO</v>
      </c>
      <c r="Q166" s="444" t="str">
        <f t="shared" si="161"/>
        <v>NO</v>
      </c>
      <c r="R166" s="444" t="str">
        <f t="shared" si="161"/>
        <v>NO</v>
      </c>
      <c r="S166" s="444" t="str">
        <f t="shared" si="161"/>
        <v>NO</v>
      </c>
      <c r="T166" s="444" t="str">
        <f t="shared" si="161"/>
        <v>NO</v>
      </c>
      <c r="U166" s="444" t="str">
        <f t="shared" si="161"/>
        <v>YES</v>
      </c>
      <c r="V166" s="444" t="str">
        <f t="shared" si="161"/>
        <v>YES</v>
      </c>
      <c r="W166" s="444" t="str">
        <f t="shared" si="161"/>
        <v>YES</v>
      </c>
      <c r="X166" s="444" t="str">
        <f t="shared" si="161"/>
        <v>NO</v>
      </c>
      <c r="Y166" s="444" t="str">
        <f t="shared" si="162"/>
        <v>YES</v>
      </c>
      <c r="Z166" s="444" t="str">
        <f t="shared" si="162"/>
        <v>NO</v>
      </c>
      <c r="AA166" s="444" t="str">
        <f t="shared" si="162"/>
        <v>NO</v>
      </c>
      <c r="AB166" s="444" t="str">
        <f t="shared" si="162"/>
        <v>YES</v>
      </c>
      <c r="AC166" s="444" t="str">
        <f t="shared" si="162"/>
        <v>YES</v>
      </c>
      <c r="AD166" s="444" t="str">
        <f t="shared" si="162"/>
        <v>YES</v>
      </c>
      <c r="AE166" s="444" t="str">
        <f t="shared" si="162"/>
        <v>YES</v>
      </c>
      <c r="AF166" s="444" t="str">
        <f t="shared" si="162"/>
        <v>YES</v>
      </c>
      <c r="AG166" s="444" t="str">
        <f t="shared" si="162"/>
        <v>YES</v>
      </c>
      <c r="AH166" s="444" t="str">
        <f t="shared" si="162"/>
        <v>YES</v>
      </c>
      <c r="AI166" s="444" t="str">
        <f t="shared" si="163"/>
        <v>NO</v>
      </c>
      <c r="AJ166" s="444" t="str">
        <f t="shared" si="163"/>
        <v>YES</v>
      </c>
      <c r="AK166" s="444" t="str">
        <f t="shared" si="163"/>
        <v>NO</v>
      </c>
      <c r="AL166" s="444" t="str">
        <f t="shared" si="163"/>
        <v>NO</v>
      </c>
      <c r="AM166" s="444" t="str">
        <f t="shared" si="163"/>
        <v>NO</v>
      </c>
      <c r="AN166" s="444" t="str">
        <f t="shared" si="163"/>
        <v>YES</v>
      </c>
      <c r="AO166" s="444" t="str">
        <f t="shared" si="163"/>
        <v>YES</v>
      </c>
      <c r="AP166" s="444" t="str">
        <f t="shared" si="163"/>
        <v>NO</v>
      </c>
      <c r="AQ166" s="444" t="str">
        <f t="shared" si="163"/>
        <v>YES</v>
      </c>
      <c r="AR166" s="444" t="str">
        <f t="shared" si="163"/>
        <v>NO</v>
      </c>
      <c r="AS166" s="444" t="str">
        <f t="shared" si="164"/>
        <v>NO</v>
      </c>
      <c r="AT166" s="444" t="str">
        <f t="shared" si="164"/>
        <v>YES</v>
      </c>
      <c r="AU166" s="444" t="str">
        <f t="shared" si="164"/>
        <v>YES</v>
      </c>
      <c r="AV166" s="444" t="str">
        <f t="shared" si="164"/>
        <v>YES</v>
      </c>
      <c r="AW166" s="444" t="str">
        <f t="shared" si="164"/>
        <v>NO</v>
      </c>
      <c r="AX166" s="444" t="str">
        <f t="shared" si="164"/>
        <v>DEP</v>
      </c>
      <c r="AY166" s="444" t="str">
        <f t="shared" si="164"/>
        <v>YES</v>
      </c>
      <c r="AZ166" s="444" t="str">
        <f t="shared" si="164"/>
        <v>DEP</v>
      </c>
      <c r="BA166" s="444" t="str">
        <f t="shared" si="164"/>
        <v>DEP</v>
      </c>
      <c r="BB166" s="444" t="str">
        <f t="shared" si="164"/>
        <v>YES</v>
      </c>
      <c r="BC166" s="444" t="str">
        <f t="shared" si="165"/>
        <v>NO</v>
      </c>
      <c r="BD166" s="444" t="str">
        <f t="shared" si="165"/>
        <v>NO</v>
      </c>
      <c r="BE166" s="444" t="str">
        <f t="shared" si="165"/>
        <v>YES</v>
      </c>
      <c r="BF166" s="444" t="str">
        <f t="shared" si="165"/>
        <v>YES</v>
      </c>
      <c r="BG166" s="444" t="str">
        <f t="shared" si="165"/>
        <v>NO</v>
      </c>
      <c r="BH166" s="445" t="str">
        <f t="shared" si="165"/>
        <v>NO</v>
      </c>
      <c r="BI166" s="502"/>
      <c r="BJ166" s="474" t="str">
        <f t="shared" si="166"/>
        <v>NO</v>
      </c>
      <c r="BK166" s="475" t="str">
        <f t="shared" si="166"/>
        <v>NO</v>
      </c>
      <c r="BL166" s="475" t="str">
        <f t="shared" si="166"/>
        <v>NO</v>
      </c>
      <c r="BM166" s="475" t="str">
        <f t="shared" si="166"/>
        <v>NO</v>
      </c>
      <c r="BN166" s="475" t="str">
        <f t="shared" si="166"/>
        <v>NO</v>
      </c>
      <c r="BO166" s="475" t="str">
        <f t="shared" si="166"/>
        <v>NO</v>
      </c>
      <c r="BP166" s="475" t="str">
        <f t="shared" si="166"/>
        <v>NO</v>
      </c>
      <c r="BQ166" s="475" t="str">
        <f t="shared" si="166"/>
        <v>NO</v>
      </c>
      <c r="BR166" s="475" t="str">
        <f t="shared" si="166"/>
        <v>NO</v>
      </c>
      <c r="BS166" s="475" t="str">
        <f t="shared" si="166"/>
        <v>NO</v>
      </c>
      <c r="BT166" s="475" t="str">
        <f t="shared" si="167"/>
        <v>NO</v>
      </c>
      <c r="BU166" s="475" t="str">
        <f t="shared" si="167"/>
        <v>NO</v>
      </c>
      <c r="BV166" s="475" t="str">
        <f t="shared" si="167"/>
        <v>NO</v>
      </c>
      <c r="BW166" s="475" t="str">
        <f t="shared" si="167"/>
        <v>YES</v>
      </c>
      <c r="BX166" s="475" t="str">
        <f t="shared" si="167"/>
        <v>NO</v>
      </c>
      <c r="BY166" s="475" t="str">
        <f t="shared" si="167"/>
        <v>NO</v>
      </c>
      <c r="BZ166" s="475" t="str">
        <f t="shared" si="167"/>
        <v>NO</v>
      </c>
      <c r="CA166" s="475" t="str">
        <f t="shared" si="167"/>
        <v>NO</v>
      </c>
      <c r="CB166" s="475" t="str">
        <f t="shared" si="167"/>
        <v>NO</v>
      </c>
      <c r="CC166" s="475" t="str">
        <f t="shared" si="167"/>
        <v>NO</v>
      </c>
      <c r="CD166" s="475" t="str">
        <f t="shared" si="168"/>
        <v>NO</v>
      </c>
      <c r="CE166" s="475" t="str">
        <f t="shared" si="168"/>
        <v>NO</v>
      </c>
      <c r="CF166" s="475" t="str">
        <f t="shared" si="168"/>
        <v>NO</v>
      </c>
      <c r="CG166" s="475" t="str">
        <f t="shared" si="168"/>
        <v>NO</v>
      </c>
      <c r="CH166" s="475" t="str">
        <f t="shared" si="168"/>
        <v>NO</v>
      </c>
      <c r="CI166" s="475" t="str">
        <f t="shared" si="168"/>
        <v>NO</v>
      </c>
      <c r="CJ166" s="475" t="str">
        <f t="shared" si="168"/>
        <v>NO</v>
      </c>
      <c r="CK166" s="475" t="str">
        <f t="shared" si="168"/>
        <v>NO</v>
      </c>
      <c r="CL166" s="475" t="str">
        <f t="shared" si="168"/>
        <v>NO</v>
      </c>
      <c r="CM166" s="475" t="str">
        <f t="shared" si="168"/>
        <v>NO</v>
      </c>
      <c r="CN166" s="475" t="str">
        <f t="shared" si="169"/>
        <v>YES</v>
      </c>
      <c r="CO166" s="475" t="str">
        <f t="shared" si="169"/>
        <v>YES</v>
      </c>
      <c r="CP166" s="475" t="str">
        <f t="shared" si="169"/>
        <v>NO</v>
      </c>
      <c r="CQ166" s="475" t="str">
        <f t="shared" si="169"/>
        <v>NO</v>
      </c>
      <c r="CR166" s="475" t="str">
        <f t="shared" si="169"/>
        <v>NO</v>
      </c>
      <c r="CS166" s="475" t="str">
        <f t="shared" si="169"/>
        <v>NO</v>
      </c>
      <c r="CT166" s="475" t="str">
        <f t="shared" si="169"/>
        <v>NO</v>
      </c>
      <c r="CU166" s="475" t="str">
        <f t="shared" si="169"/>
        <v>NO</v>
      </c>
      <c r="CV166" s="475" t="str">
        <f t="shared" si="169"/>
        <v>NO</v>
      </c>
      <c r="CW166" s="475" t="str">
        <f t="shared" si="169"/>
        <v>NO</v>
      </c>
      <c r="CX166" s="475" t="str">
        <f t="shared" si="169"/>
        <v>NO</v>
      </c>
      <c r="CY166" s="475" t="str">
        <f t="shared" si="169"/>
        <v>NO</v>
      </c>
      <c r="CZ166" s="495" t="str">
        <f t="shared" si="169"/>
        <v>NO</v>
      </c>
      <c r="DA166" s="502"/>
      <c r="DB166" s="460"/>
      <c r="DC166" s="465"/>
      <c r="DD166" s="463"/>
      <c r="DE166" s="512"/>
      <c r="DF166" s="516"/>
      <c r="DG166" s="508"/>
      <c r="DH166" s="463"/>
      <c r="DI166" s="461"/>
      <c r="DJ166" s="461"/>
      <c r="DK166" s="461"/>
      <c r="DL166" s="464"/>
      <c r="DM166" s="466"/>
      <c r="DN166" s="502"/>
      <c r="DO166" s="460"/>
      <c r="DP166" s="464"/>
      <c r="DQ166" s="464"/>
      <c r="DR166" s="464"/>
      <c r="DS166" s="508"/>
      <c r="DT166" s="525"/>
      <c r="DU166" s="525"/>
      <c r="DV166" s="463"/>
      <c r="DW166" s="464"/>
      <c r="DX166" s="465"/>
      <c r="DY166" s="463"/>
      <c r="DZ166" s="464"/>
      <c r="EA166" s="465"/>
      <c r="EB166" s="463"/>
      <c r="EC166" s="465"/>
      <c r="ED166" s="462"/>
      <c r="EE166" s="502"/>
      <c r="EF166" s="463"/>
      <c r="EG166" s="461"/>
      <c r="EH166" s="464"/>
      <c r="EI166" s="464"/>
      <c r="EJ166" s="464"/>
      <c r="EK166" s="464"/>
      <c r="EL166" s="464"/>
      <c r="EM166" s="464"/>
      <c r="EN166" s="464"/>
      <c r="EO166" s="464"/>
      <c r="EP166" s="464"/>
      <c r="EQ166" s="464"/>
      <c r="ER166" s="464"/>
      <c r="ES166" s="464"/>
      <c r="ET166" s="464"/>
      <c r="EU166" s="464"/>
      <c r="EV166" s="464"/>
      <c r="EW166" s="465"/>
      <c r="EX166" s="465"/>
      <c r="EY166" s="502"/>
      <c r="EZ166" s="460"/>
      <c r="FA166" s="464"/>
      <c r="FB166" s="464"/>
      <c r="FC166" s="464"/>
      <c r="FD166" s="464"/>
      <c r="FE166" s="464"/>
      <c r="FF166" s="464"/>
      <c r="FG166" s="466"/>
    </row>
    <row r="167" spans="1:163">
      <c r="A167" s="467" t="s">
        <v>358</v>
      </c>
      <c r="B167" s="471" t="str">
        <f>IF(ISNUMBER(MATCH(A167, 'Pulldown Data'!W:W, 0))=TRUE, "Y", IF(ISNUMBER(MATCH(A167, 'Pulldown Data'!X:X, 0))=TRUE, "M", ""))</f>
        <v/>
      </c>
      <c r="C167" s="504"/>
      <c r="D167" s="502"/>
      <c r="E167" s="443" t="str">
        <f t="shared" si="160"/>
        <v/>
      </c>
      <c r="F167" s="444" t="str">
        <f t="shared" si="160"/>
        <v/>
      </c>
      <c r="G167" s="444" t="str">
        <f t="shared" si="160"/>
        <v/>
      </c>
      <c r="H167" s="444" t="str">
        <f t="shared" si="160"/>
        <v/>
      </c>
      <c r="I167" s="444" t="str">
        <f t="shared" si="160"/>
        <v/>
      </c>
      <c r="J167" s="444" t="str">
        <f t="shared" si="160"/>
        <v/>
      </c>
      <c r="K167" s="444" t="str">
        <f t="shared" si="160"/>
        <v/>
      </c>
      <c r="L167" s="444" t="str">
        <f t="shared" si="160"/>
        <v/>
      </c>
      <c r="M167" s="444" t="str">
        <f t="shared" si="160"/>
        <v/>
      </c>
      <c r="N167" s="444" t="str">
        <f t="shared" si="160"/>
        <v/>
      </c>
      <c r="O167" s="444" t="str">
        <f t="shared" si="161"/>
        <v/>
      </c>
      <c r="P167" s="444" t="str">
        <f t="shared" si="161"/>
        <v/>
      </c>
      <c r="Q167" s="444" t="str">
        <f t="shared" si="161"/>
        <v/>
      </c>
      <c r="R167" s="444" t="str">
        <f t="shared" si="161"/>
        <v/>
      </c>
      <c r="S167" s="444" t="str">
        <f t="shared" si="161"/>
        <v/>
      </c>
      <c r="T167" s="444" t="str">
        <f t="shared" si="161"/>
        <v/>
      </c>
      <c r="U167" s="444" t="str">
        <f t="shared" si="161"/>
        <v/>
      </c>
      <c r="V167" s="444" t="str">
        <f t="shared" si="161"/>
        <v/>
      </c>
      <c r="W167" s="444" t="str">
        <f t="shared" si="161"/>
        <v/>
      </c>
      <c r="X167" s="444" t="str">
        <f t="shared" si="161"/>
        <v/>
      </c>
      <c r="Y167" s="444" t="str">
        <f t="shared" si="162"/>
        <v/>
      </c>
      <c r="Z167" s="444" t="str">
        <f t="shared" si="162"/>
        <v/>
      </c>
      <c r="AA167" s="444" t="str">
        <f t="shared" si="162"/>
        <v/>
      </c>
      <c r="AB167" s="444" t="str">
        <f t="shared" si="162"/>
        <v/>
      </c>
      <c r="AC167" s="444" t="str">
        <f t="shared" si="162"/>
        <v/>
      </c>
      <c r="AD167" s="444" t="str">
        <f t="shared" si="162"/>
        <v/>
      </c>
      <c r="AE167" s="444" t="str">
        <f t="shared" si="162"/>
        <v/>
      </c>
      <c r="AF167" s="444" t="str">
        <f t="shared" si="162"/>
        <v/>
      </c>
      <c r="AG167" s="444" t="str">
        <f t="shared" si="162"/>
        <v/>
      </c>
      <c r="AH167" s="444" t="str">
        <f t="shared" si="162"/>
        <v/>
      </c>
      <c r="AI167" s="444" t="str">
        <f t="shared" si="163"/>
        <v/>
      </c>
      <c r="AJ167" s="444" t="str">
        <f t="shared" si="163"/>
        <v/>
      </c>
      <c r="AK167" s="444" t="str">
        <f t="shared" si="163"/>
        <v/>
      </c>
      <c r="AL167" s="444" t="str">
        <f t="shared" si="163"/>
        <v/>
      </c>
      <c r="AM167" s="444" t="str">
        <f t="shared" si="163"/>
        <v/>
      </c>
      <c r="AN167" s="444" t="str">
        <f t="shared" si="163"/>
        <v/>
      </c>
      <c r="AO167" s="444" t="str">
        <f t="shared" si="163"/>
        <v/>
      </c>
      <c r="AP167" s="444" t="str">
        <f t="shared" si="163"/>
        <v/>
      </c>
      <c r="AQ167" s="444" t="str">
        <f t="shared" si="163"/>
        <v/>
      </c>
      <c r="AR167" s="444" t="str">
        <f t="shared" si="163"/>
        <v/>
      </c>
      <c r="AS167" s="444" t="str">
        <f t="shared" si="164"/>
        <v/>
      </c>
      <c r="AT167" s="444" t="str">
        <f t="shared" si="164"/>
        <v/>
      </c>
      <c r="AU167" s="444" t="str">
        <f t="shared" si="164"/>
        <v/>
      </c>
      <c r="AV167" s="444" t="str">
        <f t="shared" si="164"/>
        <v/>
      </c>
      <c r="AW167" s="444" t="str">
        <f t="shared" si="164"/>
        <v/>
      </c>
      <c r="AX167" s="444" t="str">
        <f t="shared" si="164"/>
        <v/>
      </c>
      <c r="AY167" s="444" t="str">
        <f t="shared" si="164"/>
        <v/>
      </c>
      <c r="AZ167" s="444" t="str">
        <f t="shared" si="164"/>
        <v/>
      </c>
      <c r="BA167" s="444" t="str">
        <f t="shared" si="164"/>
        <v/>
      </c>
      <c r="BB167" s="444" t="str">
        <f t="shared" si="164"/>
        <v/>
      </c>
      <c r="BC167" s="444" t="str">
        <f t="shared" si="165"/>
        <v/>
      </c>
      <c r="BD167" s="444" t="str">
        <f t="shared" si="165"/>
        <v/>
      </c>
      <c r="BE167" s="444" t="str">
        <f t="shared" si="165"/>
        <v/>
      </c>
      <c r="BF167" s="444" t="str">
        <f t="shared" si="165"/>
        <v/>
      </c>
      <c r="BG167" s="444" t="str">
        <f t="shared" si="165"/>
        <v/>
      </c>
      <c r="BH167" s="445" t="str">
        <f t="shared" si="165"/>
        <v/>
      </c>
      <c r="BI167" s="502"/>
      <c r="BJ167" s="474" t="str">
        <f t="shared" si="166"/>
        <v/>
      </c>
      <c r="BK167" s="475" t="str">
        <f t="shared" si="166"/>
        <v/>
      </c>
      <c r="BL167" s="475" t="str">
        <f t="shared" si="166"/>
        <v/>
      </c>
      <c r="BM167" s="475" t="str">
        <f t="shared" si="166"/>
        <v/>
      </c>
      <c r="BN167" s="475" t="str">
        <f t="shared" si="166"/>
        <v/>
      </c>
      <c r="BO167" s="475" t="str">
        <f t="shared" si="166"/>
        <v/>
      </c>
      <c r="BP167" s="475" t="str">
        <f t="shared" si="166"/>
        <v/>
      </c>
      <c r="BQ167" s="475" t="str">
        <f t="shared" si="166"/>
        <v/>
      </c>
      <c r="BR167" s="475" t="str">
        <f t="shared" si="166"/>
        <v/>
      </c>
      <c r="BS167" s="475" t="str">
        <f t="shared" si="166"/>
        <v/>
      </c>
      <c r="BT167" s="475" t="str">
        <f t="shared" si="167"/>
        <v/>
      </c>
      <c r="BU167" s="475" t="str">
        <f t="shared" si="167"/>
        <v/>
      </c>
      <c r="BV167" s="475" t="str">
        <f t="shared" si="167"/>
        <v/>
      </c>
      <c r="BW167" s="475" t="str">
        <f t="shared" si="167"/>
        <v/>
      </c>
      <c r="BX167" s="475" t="str">
        <f t="shared" si="167"/>
        <v/>
      </c>
      <c r="BY167" s="475" t="str">
        <f t="shared" si="167"/>
        <v/>
      </c>
      <c r="BZ167" s="475" t="str">
        <f t="shared" si="167"/>
        <v/>
      </c>
      <c r="CA167" s="475" t="str">
        <f t="shared" si="167"/>
        <v/>
      </c>
      <c r="CB167" s="475" t="str">
        <f t="shared" si="167"/>
        <v/>
      </c>
      <c r="CC167" s="475" t="str">
        <f t="shared" si="167"/>
        <v/>
      </c>
      <c r="CD167" s="475" t="str">
        <f t="shared" si="168"/>
        <v/>
      </c>
      <c r="CE167" s="475" t="str">
        <f t="shared" si="168"/>
        <v/>
      </c>
      <c r="CF167" s="475" t="str">
        <f t="shared" si="168"/>
        <v/>
      </c>
      <c r="CG167" s="475" t="str">
        <f t="shared" si="168"/>
        <v/>
      </c>
      <c r="CH167" s="475" t="str">
        <f t="shared" si="168"/>
        <v/>
      </c>
      <c r="CI167" s="475" t="str">
        <f t="shared" si="168"/>
        <v/>
      </c>
      <c r="CJ167" s="475" t="str">
        <f t="shared" si="168"/>
        <v/>
      </c>
      <c r="CK167" s="475" t="str">
        <f t="shared" si="168"/>
        <v/>
      </c>
      <c r="CL167" s="475" t="str">
        <f t="shared" si="168"/>
        <v/>
      </c>
      <c r="CM167" s="475" t="str">
        <f t="shared" si="168"/>
        <v/>
      </c>
      <c r="CN167" s="475" t="str">
        <f t="shared" si="169"/>
        <v/>
      </c>
      <c r="CO167" s="475" t="str">
        <f t="shared" si="169"/>
        <v/>
      </c>
      <c r="CP167" s="475" t="str">
        <f t="shared" si="169"/>
        <v/>
      </c>
      <c r="CQ167" s="475" t="str">
        <f t="shared" si="169"/>
        <v/>
      </c>
      <c r="CR167" s="475" t="str">
        <f t="shared" si="169"/>
        <v/>
      </c>
      <c r="CS167" s="475" t="str">
        <f t="shared" si="169"/>
        <v/>
      </c>
      <c r="CT167" s="475" t="str">
        <f t="shared" si="169"/>
        <v/>
      </c>
      <c r="CU167" s="475" t="str">
        <f t="shared" si="169"/>
        <v/>
      </c>
      <c r="CV167" s="475" t="str">
        <f t="shared" si="169"/>
        <v/>
      </c>
      <c r="CW167" s="475" t="str">
        <f t="shared" si="169"/>
        <v/>
      </c>
      <c r="CX167" s="475" t="str">
        <f t="shared" si="169"/>
        <v/>
      </c>
      <c r="CY167" s="475" t="str">
        <f t="shared" si="169"/>
        <v/>
      </c>
      <c r="CZ167" s="495" t="str">
        <f t="shared" si="169"/>
        <v/>
      </c>
      <c r="DA167" s="502"/>
      <c r="DB167" s="460"/>
      <c r="DC167" s="465"/>
      <c r="DD167" s="463"/>
      <c r="DE167" s="512"/>
      <c r="DF167" s="516"/>
      <c r="DG167" s="508"/>
      <c r="DH167" s="463"/>
      <c r="DI167" s="461"/>
      <c r="DJ167" s="461"/>
      <c r="DK167" s="461"/>
      <c r="DL167" s="464"/>
      <c r="DM167" s="466"/>
      <c r="DN167" s="502"/>
      <c r="DO167" s="460"/>
      <c r="DP167" s="464"/>
      <c r="DQ167" s="464"/>
      <c r="DR167" s="464"/>
      <c r="DS167" s="508"/>
      <c r="DT167" s="525"/>
      <c r="DU167" s="525"/>
      <c r="DV167" s="463"/>
      <c r="DW167" s="464"/>
      <c r="DX167" s="465"/>
      <c r="DY167" s="463"/>
      <c r="DZ167" s="464"/>
      <c r="EA167" s="465"/>
      <c r="EB167" s="463"/>
      <c r="EC167" s="465"/>
      <c r="ED167" s="462"/>
      <c r="EE167" s="502"/>
      <c r="EF167" s="463"/>
      <c r="EG167" s="461"/>
      <c r="EH167" s="464"/>
      <c r="EI167" s="464"/>
      <c r="EJ167" s="464"/>
      <c r="EK167" s="464"/>
      <c r="EL167" s="464"/>
      <c r="EM167" s="464"/>
      <c r="EN167" s="464"/>
      <c r="EO167" s="464"/>
      <c r="EP167" s="464"/>
      <c r="EQ167" s="464"/>
      <c r="ER167" s="464"/>
      <c r="ES167" s="464"/>
      <c r="ET167" s="464"/>
      <c r="EU167" s="464"/>
      <c r="EV167" s="464"/>
      <c r="EW167" s="465"/>
      <c r="EX167" s="465"/>
      <c r="EY167" s="502"/>
      <c r="EZ167" s="460"/>
      <c r="FA167" s="464"/>
      <c r="FB167" s="464"/>
      <c r="FC167" s="464"/>
      <c r="FD167" s="464"/>
      <c r="FE167" s="464"/>
      <c r="FF167" s="464"/>
      <c r="FG167" s="466"/>
    </row>
    <row r="168" spans="1:163">
      <c r="A168" s="467" t="s">
        <v>359</v>
      </c>
      <c r="B168" s="471" t="str">
        <f>IF(ISNUMBER(MATCH(A168, 'Pulldown Data'!W:W, 0))=TRUE, "Y", IF(ISNUMBER(MATCH(A168, 'Pulldown Data'!X:X, 0))=TRUE, "M", ""))</f>
        <v/>
      </c>
      <c r="C168" s="504"/>
      <c r="D168" s="502"/>
      <c r="E168" s="443" t="str">
        <f t="shared" si="160"/>
        <v/>
      </c>
      <c r="F168" s="444" t="str">
        <f t="shared" si="160"/>
        <v/>
      </c>
      <c r="G168" s="444" t="str">
        <f t="shared" si="160"/>
        <v/>
      </c>
      <c r="H168" s="444" t="str">
        <f t="shared" si="160"/>
        <v/>
      </c>
      <c r="I168" s="444" t="str">
        <f t="shared" si="160"/>
        <v/>
      </c>
      <c r="J168" s="444" t="str">
        <f t="shared" si="160"/>
        <v/>
      </c>
      <c r="K168" s="444" t="str">
        <f t="shared" si="160"/>
        <v/>
      </c>
      <c r="L168" s="444" t="str">
        <f t="shared" si="160"/>
        <v/>
      </c>
      <c r="M168" s="444" t="str">
        <f t="shared" si="160"/>
        <v/>
      </c>
      <c r="N168" s="444" t="str">
        <f t="shared" si="160"/>
        <v/>
      </c>
      <c r="O168" s="444" t="str">
        <f t="shared" si="161"/>
        <v/>
      </c>
      <c r="P168" s="444" t="str">
        <f t="shared" si="161"/>
        <v/>
      </c>
      <c r="Q168" s="444" t="str">
        <f t="shared" si="161"/>
        <v/>
      </c>
      <c r="R168" s="444" t="str">
        <f t="shared" si="161"/>
        <v/>
      </c>
      <c r="S168" s="444" t="str">
        <f t="shared" si="161"/>
        <v/>
      </c>
      <c r="T168" s="444" t="str">
        <f t="shared" si="161"/>
        <v/>
      </c>
      <c r="U168" s="444" t="str">
        <f t="shared" si="161"/>
        <v/>
      </c>
      <c r="V168" s="444" t="str">
        <f t="shared" si="161"/>
        <v/>
      </c>
      <c r="W168" s="444" t="str">
        <f t="shared" si="161"/>
        <v/>
      </c>
      <c r="X168" s="444" t="str">
        <f t="shared" si="161"/>
        <v/>
      </c>
      <c r="Y168" s="444" t="str">
        <f t="shared" si="162"/>
        <v/>
      </c>
      <c r="Z168" s="444" t="str">
        <f t="shared" si="162"/>
        <v/>
      </c>
      <c r="AA168" s="444" t="str">
        <f t="shared" si="162"/>
        <v/>
      </c>
      <c r="AB168" s="444" t="str">
        <f t="shared" si="162"/>
        <v/>
      </c>
      <c r="AC168" s="444" t="str">
        <f t="shared" si="162"/>
        <v/>
      </c>
      <c r="AD168" s="444" t="str">
        <f t="shared" si="162"/>
        <v/>
      </c>
      <c r="AE168" s="444" t="str">
        <f t="shared" si="162"/>
        <v/>
      </c>
      <c r="AF168" s="444" t="str">
        <f t="shared" si="162"/>
        <v/>
      </c>
      <c r="AG168" s="444" t="str">
        <f t="shared" si="162"/>
        <v/>
      </c>
      <c r="AH168" s="444" t="str">
        <f t="shared" si="162"/>
        <v/>
      </c>
      <c r="AI168" s="444" t="str">
        <f t="shared" si="163"/>
        <v/>
      </c>
      <c r="AJ168" s="444" t="str">
        <f t="shared" si="163"/>
        <v/>
      </c>
      <c r="AK168" s="444" t="str">
        <f t="shared" si="163"/>
        <v/>
      </c>
      <c r="AL168" s="444" t="str">
        <f t="shared" si="163"/>
        <v/>
      </c>
      <c r="AM168" s="444" t="str">
        <f t="shared" si="163"/>
        <v/>
      </c>
      <c r="AN168" s="444" t="str">
        <f t="shared" si="163"/>
        <v/>
      </c>
      <c r="AO168" s="444" t="str">
        <f t="shared" si="163"/>
        <v/>
      </c>
      <c r="AP168" s="444" t="str">
        <f t="shared" si="163"/>
        <v/>
      </c>
      <c r="AQ168" s="444" t="str">
        <f t="shared" si="163"/>
        <v/>
      </c>
      <c r="AR168" s="444" t="str">
        <f t="shared" si="163"/>
        <v/>
      </c>
      <c r="AS168" s="444" t="str">
        <f t="shared" si="164"/>
        <v/>
      </c>
      <c r="AT168" s="444" t="str">
        <f t="shared" si="164"/>
        <v/>
      </c>
      <c r="AU168" s="444" t="str">
        <f t="shared" si="164"/>
        <v/>
      </c>
      <c r="AV168" s="444" t="str">
        <f t="shared" si="164"/>
        <v/>
      </c>
      <c r="AW168" s="444" t="str">
        <f t="shared" si="164"/>
        <v/>
      </c>
      <c r="AX168" s="444" t="str">
        <f t="shared" si="164"/>
        <v/>
      </c>
      <c r="AY168" s="444" t="str">
        <f t="shared" si="164"/>
        <v/>
      </c>
      <c r="AZ168" s="444" t="str">
        <f t="shared" si="164"/>
        <v/>
      </c>
      <c r="BA168" s="444" t="str">
        <f t="shared" si="164"/>
        <v/>
      </c>
      <c r="BB168" s="444" t="str">
        <f t="shared" si="164"/>
        <v/>
      </c>
      <c r="BC168" s="444" t="str">
        <f t="shared" si="165"/>
        <v/>
      </c>
      <c r="BD168" s="444" t="str">
        <f t="shared" si="165"/>
        <v/>
      </c>
      <c r="BE168" s="444" t="str">
        <f t="shared" si="165"/>
        <v/>
      </c>
      <c r="BF168" s="444" t="str">
        <f t="shared" si="165"/>
        <v/>
      </c>
      <c r="BG168" s="444" t="str">
        <f t="shared" si="165"/>
        <v/>
      </c>
      <c r="BH168" s="445" t="str">
        <f t="shared" si="165"/>
        <v/>
      </c>
      <c r="BI168" s="502"/>
      <c r="BJ168" s="474" t="str">
        <f t="shared" si="166"/>
        <v/>
      </c>
      <c r="BK168" s="475" t="str">
        <f t="shared" si="166"/>
        <v/>
      </c>
      <c r="BL168" s="475" t="str">
        <f t="shared" si="166"/>
        <v/>
      </c>
      <c r="BM168" s="475" t="str">
        <f t="shared" si="166"/>
        <v/>
      </c>
      <c r="BN168" s="475" t="str">
        <f t="shared" si="166"/>
        <v/>
      </c>
      <c r="BO168" s="475" t="str">
        <f t="shared" si="166"/>
        <v/>
      </c>
      <c r="BP168" s="475" t="str">
        <f t="shared" si="166"/>
        <v/>
      </c>
      <c r="BQ168" s="475" t="str">
        <f t="shared" si="166"/>
        <v/>
      </c>
      <c r="BR168" s="475" t="str">
        <f t="shared" si="166"/>
        <v/>
      </c>
      <c r="BS168" s="475" t="str">
        <f t="shared" si="166"/>
        <v/>
      </c>
      <c r="BT168" s="475" t="str">
        <f t="shared" si="167"/>
        <v/>
      </c>
      <c r="BU168" s="475" t="str">
        <f t="shared" si="167"/>
        <v/>
      </c>
      <c r="BV168" s="475" t="str">
        <f t="shared" si="167"/>
        <v/>
      </c>
      <c r="BW168" s="475" t="str">
        <f t="shared" si="167"/>
        <v/>
      </c>
      <c r="BX168" s="475" t="str">
        <f t="shared" si="167"/>
        <v/>
      </c>
      <c r="BY168" s="475" t="str">
        <f t="shared" si="167"/>
        <v/>
      </c>
      <c r="BZ168" s="475" t="str">
        <f t="shared" si="167"/>
        <v/>
      </c>
      <c r="CA168" s="475" t="str">
        <f t="shared" si="167"/>
        <v/>
      </c>
      <c r="CB168" s="475" t="str">
        <f t="shared" si="167"/>
        <v/>
      </c>
      <c r="CC168" s="475" t="str">
        <f t="shared" si="167"/>
        <v/>
      </c>
      <c r="CD168" s="475" t="str">
        <f t="shared" si="168"/>
        <v/>
      </c>
      <c r="CE168" s="475" t="str">
        <f t="shared" si="168"/>
        <v/>
      </c>
      <c r="CF168" s="475" t="str">
        <f t="shared" si="168"/>
        <v/>
      </c>
      <c r="CG168" s="475" t="str">
        <f t="shared" si="168"/>
        <v/>
      </c>
      <c r="CH168" s="475" t="str">
        <f t="shared" si="168"/>
        <v/>
      </c>
      <c r="CI168" s="475" t="str">
        <f t="shared" si="168"/>
        <v/>
      </c>
      <c r="CJ168" s="475" t="str">
        <f t="shared" si="168"/>
        <v/>
      </c>
      <c r="CK168" s="475" t="str">
        <f t="shared" si="168"/>
        <v/>
      </c>
      <c r="CL168" s="475" t="str">
        <f t="shared" si="168"/>
        <v/>
      </c>
      <c r="CM168" s="475" t="str">
        <f t="shared" si="168"/>
        <v/>
      </c>
      <c r="CN168" s="475" t="str">
        <f t="shared" si="169"/>
        <v/>
      </c>
      <c r="CO168" s="475" t="str">
        <f t="shared" si="169"/>
        <v/>
      </c>
      <c r="CP168" s="475" t="str">
        <f t="shared" si="169"/>
        <v/>
      </c>
      <c r="CQ168" s="475" t="str">
        <f t="shared" si="169"/>
        <v/>
      </c>
      <c r="CR168" s="475" t="str">
        <f t="shared" si="169"/>
        <v/>
      </c>
      <c r="CS168" s="475" t="str">
        <f t="shared" si="169"/>
        <v/>
      </c>
      <c r="CT168" s="475" t="str">
        <f t="shared" si="169"/>
        <v/>
      </c>
      <c r="CU168" s="475" t="str">
        <f t="shared" si="169"/>
        <v/>
      </c>
      <c r="CV168" s="475" t="str">
        <f t="shared" si="169"/>
        <v/>
      </c>
      <c r="CW168" s="475" t="str">
        <f t="shared" si="169"/>
        <v/>
      </c>
      <c r="CX168" s="475" t="str">
        <f t="shared" si="169"/>
        <v/>
      </c>
      <c r="CY168" s="475" t="str">
        <f t="shared" si="169"/>
        <v/>
      </c>
      <c r="CZ168" s="495" t="str">
        <f t="shared" si="169"/>
        <v/>
      </c>
      <c r="DA168" s="502"/>
      <c r="DB168" s="460"/>
      <c r="DC168" s="465"/>
      <c r="DD168" s="463"/>
      <c r="DE168" s="512"/>
      <c r="DF168" s="516"/>
      <c r="DG168" s="508"/>
      <c r="DH168" s="463"/>
      <c r="DI168" s="461"/>
      <c r="DJ168" s="461"/>
      <c r="DK168" s="461"/>
      <c r="DL168" s="464"/>
      <c r="DM168" s="466"/>
      <c r="DN168" s="502"/>
      <c r="DO168" s="460"/>
      <c r="DP168" s="464"/>
      <c r="DQ168" s="464"/>
      <c r="DR168" s="464"/>
      <c r="DS168" s="508"/>
      <c r="DT168" s="525"/>
      <c r="DU168" s="525"/>
      <c r="DV168" s="463"/>
      <c r="DW168" s="464"/>
      <c r="DX168" s="465"/>
      <c r="DY168" s="463"/>
      <c r="DZ168" s="464"/>
      <c r="EA168" s="465"/>
      <c r="EB168" s="463"/>
      <c r="EC168" s="465"/>
      <c r="ED168" s="462"/>
      <c r="EE168" s="502"/>
      <c r="EF168" s="463"/>
      <c r="EG168" s="461"/>
      <c r="EH168" s="464"/>
      <c r="EI168" s="464"/>
      <c r="EJ168" s="464"/>
      <c r="EK168" s="464"/>
      <c r="EL168" s="464"/>
      <c r="EM168" s="464"/>
      <c r="EN168" s="464"/>
      <c r="EO168" s="464"/>
      <c r="EP168" s="464"/>
      <c r="EQ168" s="464"/>
      <c r="ER168" s="464"/>
      <c r="ES168" s="464"/>
      <c r="ET168" s="464"/>
      <c r="EU168" s="464"/>
      <c r="EV168" s="464"/>
      <c r="EW168" s="465"/>
      <c r="EX168" s="465"/>
      <c r="EY168" s="502"/>
      <c r="EZ168" s="460"/>
      <c r="FA168" s="464"/>
      <c r="FB168" s="464"/>
      <c r="FC168" s="464"/>
      <c r="FD168" s="464"/>
      <c r="FE168" s="464"/>
      <c r="FF168" s="464"/>
      <c r="FG168" s="466"/>
    </row>
    <row r="169" spans="1:163">
      <c r="A169" s="467" t="s">
        <v>360</v>
      </c>
      <c r="B169" s="471" t="str">
        <f>IF(ISNUMBER(MATCH(A169, 'Pulldown Data'!W:W, 0))=TRUE, "Y", IF(ISNUMBER(MATCH(A169, 'Pulldown Data'!X:X, 0))=TRUE, "M", ""))</f>
        <v/>
      </c>
      <c r="C169" s="504">
        <v>45630</v>
      </c>
      <c r="D169" s="502"/>
      <c r="E169" s="443" t="str">
        <f t="shared" si="160"/>
        <v>NO</v>
      </c>
      <c r="F169" s="444" t="str">
        <f t="shared" si="160"/>
        <v>NO</v>
      </c>
      <c r="G169" s="444" t="str">
        <f t="shared" si="160"/>
        <v>NO</v>
      </c>
      <c r="H169" s="444" t="str">
        <f t="shared" si="160"/>
        <v>NO</v>
      </c>
      <c r="I169" s="444" t="str">
        <f t="shared" si="160"/>
        <v>NO</v>
      </c>
      <c r="J169" s="444" t="str">
        <f t="shared" si="160"/>
        <v>NO</v>
      </c>
      <c r="K169" s="444" t="str">
        <f t="shared" si="160"/>
        <v>YES</v>
      </c>
      <c r="L169" s="444" t="str">
        <f t="shared" si="160"/>
        <v>NO</v>
      </c>
      <c r="M169" s="444" t="str">
        <f t="shared" si="160"/>
        <v>YES</v>
      </c>
      <c r="N169" s="444" t="str">
        <f t="shared" si="160"/>
        <v>NO</v>
      </c>
      <c r="O169" s="444" t="str">
        <f t="shared" si="161"/>
        <v>YES</v>
      </c>
      <c r="P169" s="444" t="str">
        <f t="shared" si="161"/>
        <v>NO</v>
      </c>
      <c r="Q169" s="444" t="str">
        <f t="shared" si="161"/>
        <v>NO</v>
      </c>
      <c r="R169" s="444" t="str">
        <f t="shared" si="161"/>
        <v>NO</v>
      </c>
      <c r="S169" s="444" t="str">
        <f t="shared" si="161"/>
        <v>NO</v>
      </c>
      <c r="T169" s="444" t="str">
        <f t="shared" si="161"/>
        <v>NO</v>
      </c>
      <c r="U169" s="444" t="str">
        <f t="shared" si="161"/>
        <v>NO</v>
      </c>
      <c r="V169" s="444" t="str">
        <f t="shared" si="161"/>
        <v>YES</v>
      </c>
      <c r="W169" s="444" t="str">
        <f t="shared" si="161"/>
        <v>NO</v>
      </c>
      <c r="X169" s="444" t="str">
        <f t="shared" si="161"/>
        <v>NO</v>
      </c>
      <c r="Y169" s="444" t="str">
        <f t="shared" si="162"/>
        <v>NO</v>
      </c>
      <c r="Z169" s="444" t="str">
        <f t="shared" si="162"/>
        <v>NO</v>
      </c>
      <c r="AA169" s="444" t="str">
        <f t="shared" si="162"/>
        <v>NO</v>
      </c>
      <c r="AB169" s="444" t="str">
        <f t="shared" si="162"/>
        <v>NO</v>
      </c>
      <c r="AC169" s="444" t="str">
        <f t="shared" si="162"/>
        <v>NO</v>
      </c>
      <c r="AD169" s="444" t="str">
        <f t="shared" si="162"/>
        <v>NO</v>
      </c>
      <c r="AE169" s="444" t="str">
        <f t="shared" si="162"/>
        <v>YES</v>
      </c>
      <c r="AF169" s="444" t="str">
        <f t="shared" si="162"/>
        <v>YES</v>
      </c>
      <c r="AG169" s="444" t="str">
        <f t="shared" si="162"/>
        <v>YES</v>
      </c>
      <c r="AH169" s="444" t="str">
        <f t="shared" si="162"/>
        <v>NO</v>
      </c>
      <c r="AI169" s="444" t="str">
        <f t="shared" si="163"/>
        <v>NO</v>
      </c>
      <c r="AJ169" s="444" t="str">
        <f t="shared" si="163"/>
        <v>NO</v>
      </c>
      <c r="AK169" s="444" t="str">
        <f t="shared" si="163"/>
        <v>YES</v>
      </c>
      <c r="AL169" s="444" t="str">
        <f t="shared" si="163"/>
        <v>NO</v>
      </c>
      <c r="AM169" s="444" t="str">
        <f t="shared" si="163"/>
        <v>NO</v>
      </c>
      <c r="AN169" s="444" t="str">
        <f t="shared" si="163"/>
        <v>NO</v>
      </c>
      <c r="AO169" s="444" t="str">
        <f t="shared" si="163"/>
        <v>NO</v>
      </c>
      <c r="AP169" s="444" t="str">
        <f t="shared" si="163"/>
        <v>NO</v>
      </c>
      <c r="AQ169" s="444" t="str">
        <f t="shared" si="163"/>
        <v>NO</v>
      </c>
      <c r="AR169" s="444" t="str">
        <f t="shared" si="163"/>
        <v>NO</v>
      </c>
      <c r="AS169" s="444" t="str">
        <f t="shared" si="164"/>
        <v>NO</v>
      </c>
      <c r="AT169" s="444" t="str">
        <f t="shared" si="164"/>
        <v>NO</v>
      </c>
      <c r="AU169" s="444" t="str">
        <f t="shared" si="164"/>
        <v>NO</v>
      </c>
      <c r="AV169" s="444" t="str">
        <f t="shared" si="164"/>
        <v>YES</v>
      </c>
      <c r="AW169" s="444" t="str">
        <f t="shared" si="164"/>
        <v>NO</v>
      </c>
      <c r="AX169" s="444" t="str">
        <f t="shared" si="164"/>
        <v>NO</v>
      </c>
      <c r="AY169" s="444" t="str">
        <f t="shared" si="164"/>
        <v>DEP</v>
      </c>
      <c r="AZ169" s="444" t="str">
        <f t="shared" si="164"/>
        <v>DEP</v>
      </c>
      <c r="BA169" s="444" t="str">
        <f t="shared" si="164"/>
        <v>NO</v>
      </c>
      <c r="BB169" s="444" t="str">
        <f t="shared" si="164"/>
        <v>YES</v>
      </c>
      <c r="BC169" s="444" t="str">
        <f t="shared" si="165"/>
        <v>NO</v>
      </c>
      <c r="BD169" s="444" t="str">
        <f t="shared" si="165"/>
        <v>NO</v>
      </c>
      <c r="BE169" s="444" t="str">
        <f t="shared" si="165"/>
        <v>NO</v>
      </c>
      <c r="BF169" s="444" t="str">
        <f t="shared" si="165"/>
        <v>NO</v>
      </c>
      <c r="BG169" s="444" t="str">
        <f t="shared" si="165"/>
        <v>NO</v>
      </c>
      <c r="BH169" s="445" t="str">
        <f t="shared" si="165"/>
        <v>NO</v>
      </c>
      <c r="BI169" s="502"/>
      <c r="BJ169" s="474" t="str">
        <f t="shared" si="166"/>
        <v>YES</v>
      </c>
      <c r="BK169" s="475" t="str">
        <f t="shared" si="166"/>
        <v>NO</v>
      </c>
      <c r="BL169" s="475" t="str">
        <f t="shared" si="166"/>
        <v>NO</v>
      </c>
      <c r="BM169" s="475" t="str">
        <f t="shared" si="166"/>
        <v>NO</v>
      </c>
      <c r="BN169" s="475" t="str">
        <f t="shared" si="166"/>
        <v>NO</v>
      </c>
      <c r="BO169" s="475" t="str">
        <f t="shared" si="166"/>
        <v>NO</v>
      </c>
      <c r="BP169" s="475" t="str">
        <f t="shared" si="166"/>
        <v>NO</v>
      </c>
      <c r="BQ169" s="475" t="str">
        <f t="shared" si="166"/>
        <v>NO</v>
      </c>
      <c r="BR169" s="475" t="str">
        <f t="shared" si="166"/>
        <v>NO</v>
      </c>
      <c r="BS169" s="475" t="str">
        <f t="shared" si="166"/>
        <v>NO</v>
      </c>
      <c r="BT169" s="475" t="str">
        <f t="shared" si="167"/>
        <v>NO</v>
      </c>
      <c r="BU169" s="475" t="str">
        <f t="shared" si="167"/>
        <v>NO</v>
      </c>
      <c r="BV169" s="475" t="str">
        <f t="shared" si="167"/>
        <v>NO</v>
      </c>
      <c r="BW169" s="475" t="str">
        <f t="shared" si="167"/>
        <v>NO</v>
      </c>
      <c r="BX169" s="475" t="str">
        <f t="shared" si="167"/>
        <v>NO</v>
      </c>
      <c r="BY169" s="475" t="str">
        <f t="shared" si="167"/>
        <v>NO</v>
      </c>
      <c r="BZ169" s="475" t="str">
        <f t="shared" si="167"/>
        <v>YES</v>
      </c>
      <c r="CA169" s="475" t="str">
        <f t="shared" si="167"/>
        <v>NO</v>
      </c>
      <c r="CB169" s="475" t="str">
        <f t="shared" si="167"/>
        <v>NO</v>
      </c>
      <c r="CC169" s="475" t="str">
        <f t="shared" si="167"/>
        <v>NO</v>
      </c>
      <c r="CD169" s="475" t="str">
        <f t="shared" si="168"/>
        <v>NO</v>
      </c>
      <c r="CE169" s="475" t="str">
        <f t="shared" si="168"/>
        <v>NO</v>
      </c>
      <c r="CF169" s="475" t="str">
        <f t="shared" si="168"/>
        <v>NO</v>
      </c>
      <c r="CG169" s="475" t="str">
        <f t="shared" si="168"/>
        <v>NO</v>
      </c>
      <c r="CH169" s="475" t="str">
        <f t="shared" si="168"/>
        <v>NO</v>
      </c>
      <c r="CI169" s="475" t="str">
        <f t="shared" si="168"/>
        <v>NO</v>
      </c>
      <c r="CJ169" s="475" t="str">
        <f t="shared" si="168"/>
        <v>NO</v>
      </c>
      <c r="CK169" s="475" t="str">
        <f t="shared" si="168"/>
        <v>NO</v>
      </c>
      <c r="CL169" s="475" t="str">
        <f t="shared" si="168"/>
        <v>NO</v>
      </c>
      <c r="CM169" s="475" t="str">
        <f t="shared" si="168"/>
        <v>NO</v>
      </c>
      <c r="CN169" s="475" t="str">
        <f t="shared" si="169"/>
        <v>NO</v>
      </c>
      <c r="CO169" s="475" t="str">
        <f t="shared" si="169"/>
        <v>NO</v>
      </c>
      <c r="CP169" s="475" t="str">
        <f t="shared" si="169"/>
        <v>NO</v>
      </c>
      <c r="CQ169" s="475" t="str">
        <f t="shared" si="169"/>
        <v>NO</v>
      </c>
      <c r="CR169" s="475" t="str">
        <f t="shared" si="169"/>
        <v>NO</v>
      </c>
      <c r="CS169" s="475" t="str">
        <f t="shared" si="169"/>
        <v>YES</v>
      </c>
      <c r="CT169" s="475" t="str">
        <f t="shared" si="169"/>
        <v>NO</v>
      </c>
      <c r="CU169" s="475" t="str">
        <f t="shared" si="169"/>
        <v>NO</v>
      </c>
      <c r="CV169" s="475" t="str">
        <f t="shared" si="169"/>
        <v>NO</v>
      </c>
      <c r="CW169" s="475" t="str">
        <f t="shared" si="169"/>
        <v>NO</v>
      </c>
      <c r="CX169" s="475" t="str">
        <f t="shared" si="169"/>
        <v>NO</v>
      </c>
      <c r="CY169" s="475" t="str">
        <f t="shared" si="169"/>
        <v>NO</v>
      </c>
      <c r="CZ169" s="495" t="str">
        <f t="shared" si="169"/>
        <v>NO</v>
      </c>
      <c r="DA169" s="502"/>
      <c r="DB169" s="460"/>
      <c r="DC169" s="465"/>
      <c r="DD169" s="463"/>
      <c r="DE169" s="512"/>
      <c r="DF169" s="516"/>
      <c r="DG169" s="508"/>
      <c r="DH169" s="463"/>
      <c r="DI169" s="461"/>
      <c r="DJ169" s="461"/>
      <c r="DK169" s="461"/>
      <c r="DL169" s="464"/>
      <c r="DM169" s="466"/>
      <c r="DN169" s="502"/>
      <c r="DO169" s="460"/>
      <c r="DP169" s="464"/>
      <c r="DQ169" s="464"/>
      <c r="DR169" s="464"/>
      <c r="DS169" s="508"/>
      <c r="DT169" s="525"/>
      <c r="DU169" s="525"/>
      <c r="DV169" s="463"/>
      <c r="DW169" s="464"/>
      <c r="DX169" s="465"/>
      <c r="DY169" s="463"/>
      <c r="DZ169" s="464"/>
      <c r="EA169" s="465"/>
      <c r="EB169" s="463"/>
      <c r="EC169" s="465"/>
      <c r="ED169" s="462"/>
      <c r="EE169" s="502"/>
      <c r="EF169" s="463"/>
      <c r="EG169" s="461"/>
      <c r="EH169" s="464"/>
      <c r="EI169" s="464"/>
      <c r="EJ169" s="464"/>
      <c r="EK169" s="464"/>
      <c r="EL169" s="464"/>
      <c r="EM169" s="464"/>
      <c r="EN169" s="464"/>
      <c r="EO169" s="464"/>
      <c r="EP169" s="464"/>
      <c r="EQ169" s="464"/>
      <c r="ER169" s="464"/>
      <c r="ES169" s="464"/>
      <c r="ET169" s="464"/>
      <c r="EU169" s="464"/>
      <c r="EV169" s="464"/>
      <c r="EW169" s="465"/>
      <c r="EX169" s="465"/>
      <c r="EY169" s="502"/>
      <c r="EZ169" s="460"/>
      <c r="FA169" s="464"/>
      <c r="FB169" s="464"/>
      <c r="FC169" s="464"/>
      <c r="FD169" s="464"/>
      <c r="FE169" s="464"/>
      <c r="FF169" s="464"/>
      <c r="FG169" s="466"/>
    </row>
    <row r="170" spans="1:163">
      <c r="A170" s="467" t="s">
        <v>361</v>
      </c>
      <c r="B170" s="471" t="str">
        <f>IF(ISNUMBER(MATCH(A170, 'Pulldown Data'!W:W, 0))=TRUE, "Y", IF(ISNUMBER(MATCH(A170, 'Pulldown Data'!X:X, 0))=TRUE, "M", ""))</f>
        <v/>
      </c>
      <c r="C170" s="504"/>
      <c r="D170" s="502"/>
      <c r="E170" s="443" t="str">
        <f t="shared" si="160"/>
        <v/>
      </c>
      <c r="F170" s="444" t="str">
        <f t="shared" si="160"/>
        <v/>
      </c>
      <c r="G170" s="444" t="str">
        <f t="shared" si="160"/>
        <v/>
      </c>
      <c r="H170" s="444" t="str">
        <f t="shared" si="160"/>
        <v/>
      </c>
      <c r="I170" s="444" t="str">
        <f t="shared" si="160"/>
        <v/>
      </c>
      <c r="J170" s="444" t="str">
        <f t="shared" si="160"/>
        <v/>
      </c>
      <c r="K170" s="444" t="str">
        <f t="shared" si="160"/>
        <v/>
      </c>
      <c r="L170" s="444" t="str">
        <f t="shared" si="160"/>
        <v/>
      </c>
      <c r="M170" s="444" t="str">
        <f t="shared" si="160"/>
        <v/>
      </c>
      <c r="N170" s="444" t="str">
        <f t="shared" si="160"/>
        <v/>
      </c>
      <c r="O170" s="444" t="str">
        <f t="shared" si="161"/>
        <v/>
      </c>
      <c r="P170" s="444" t="str">
        <f t="shared" si="161"/>
        <v/>
      </c>
      <c r="Q170" s="444" t="str">
        <f t="shared" si="161"/>
        <v/>
      </c>
      <c r="R170" s="444" t="str">
        <f t="shared" si="161"/>
        <v/>
      </c>
      <c r="S170" s="444" t="str">
        <f t="shared" si="161"/>
        <v/>
      </c>
      <c r="T170" s="444" t="str">
        <f t="shared" si="161"/>
        <v/>
      </c>
      <c r="U170" s="444" t="str">
        <f t="shared" si="161"/>
        <v/>
      </c>
      <c r="V170" s="444" t="str">
        <f t="shared" si="161"/>
        <v/>
      </c>
      <c r="W170" s="444" t="str">
        <f t="shared" si="161"/>
        <v/>
      </c>
      <c r="X170" s="444" t="str">
        <f t="shared" si="161"/>
        <v/>
      </c>
      <c r="Y170" s="444" t="str">
        <f t="shared" si="162"/>
        <v/>
      </c>
      <c r="Z170" s="444" t="str">
        <f t="shared" si="162"/>
        <v/>
      </c>
      <c r="AA170" s="444" t="str">
        <f t="shared" si="162"/>
        <v/>
      </c>
      <c r="AB170" s="444" t="str">
        <f t="shared" si="162"/>
        <v/>
      </c>
      <c r="AC170" s="444" t="str">
        <f t="shared" si="162"/>
        <v/>
      </c>
      <c r="AD170" s="444" t="str">
        <f t="shared" si="162"/>
        <v/>
      </c>
      <c r="AE170" s="444" t="str">
        <f t="shared" si="162"/>
        <v/>
      </c>
      <c r="AF170" s="444" t="str">
        <f t="shared" si="162"/>
        <v/>
      </c>
      <c r="AG170" s="444" t="str">
        <f t="shared" si="162"/>
        <v/>
      </c>
      <c r="AH170" s="444" t="str">
        <f t="shared" si="162"/>
        <v/>
      </c>
      <c r="AI170" s="444" t="str">
        <f t="shared" si="163"/>
        <v/>
      </c>
      <c r="AJ170" s="444" t="str">
        <f t="shared" si="163"/>
        <v/>
      </c>
      <c r="AK170" s="444" t="str">
        <f t="shared" si="163"/>
        <v/>
      </c>
      <c r="AL170" s="444" t="str">
        <f t="shared" si="163"/>
        <v/>
      </c>
      <c r="AM170" s="444" t="str">
        <f t="shared" si="163"/>
        <v/>
      </c>
      <c r="AN170" s="444" t="str">
        <f t="shared" si="163"/>
        <v/>
      </c>
      <c r="AO170" s="444" t="str">
        <f t="shared" si="163"/>
        <v/>
      </c>
      <c r="AP170" s="444" t="str">
        <f t="shared" si="163"/>
        <v/>
      </c>
      <c r="AQ170" s="444" t="str">
        <f t="shared" si="163"/>
        <v/>
      </c>
      <c r="AR170" s="444" t="str">
        <f t="shared" si="163"/>
        <v/>
      </c>
      <c r="AS170" s="444" t="str">
        <f t="shared" si="164"/>
        <v/>
      </c>
      <c r="AT170" s="444" t="str">
        <f t="shared" si="164"/>
        <v/>
      </c>
      <c r="AU170" s="444" t="str">
        <f t="shared" si="164"/>
        <v/>
      </c>
      <c r="AV170" s="444" t="str">
        <f t="shared" si="164"/>
        <v/>
      </c>
      <c r="AW170" s="444" t="str">
        <f t="shared" si="164"/>
        <v/>
      </c>
      <c r="AX170" s="444" t="str">
        <f t="shared" si="164"/>
        <v/>
      </c>
      <c r="AY170" s="444" t="str">
        <f t="shared" si="164"/>
        <v/>
      </c>
      <c r="AZ170" s="444" t="str">
        <f t="shared" si="164"/>
        <v/>
      </c>
      <c r="BA170" s="444" t="str">
        <f t="shared" si="164"/>
        <v/>
      </c>
      <c r="BB170" s="444" t="str">
        <f t="shared" si="164"/>
        <v/>
      </c>
      <c r="BC170" s="444" t="str">
        <f t="shared" si="165"/>
        <v/>
      </c>
      <c r="BD170" s="444" t="str">
        <f t="shared" si="165"/>
        <v/>
      </c>
      <c r="BE170" s="444" t="str">
        <f t="shared" si="165"/>
        <v/>
      </c>
      <c r="BF170" s="444" t="str">
        <f t="shared" si="165"/>
        <v/>
      </c>
      <c r="BG170" s="444" t="str">
        <f t="shared" si="165"/>
        <v/>
      </c>
      <c r="BH170" s="445" t="str">
        <f t="shared" si="165"/>
        <v/>
      </c>
      <c r="BI170" s="502"/>
      <c r="BJ170" s="474" t="str">
        <f t="shared" si="166"/>
        <v/>
      </c>
      <c r="BK170" s="475" t="str">
        <f t="shared" si="166"/>
        <v/>
      </c>
      <c r="BL170" s="475" t="str">
        <f t="shared" si="166"/>
        <v/>
      </c>
      <c r="BM170" s="475" t="str">
        <f t="shared" si="166"/>
        <v/>
      </c>
      <c r="BN170" s="475" t="str">
        <f t="shared" si="166"/>
        <v/>
      </c>
      <c r="BO170" s="475" t="str">
        <f t="shared" si="166"/>
        <v/>
      </c>
      <c r="BP170" s="475" t="str">
        <f t="shared" si="166"/>
        <v/>
      </c>
      <c r="BQ170" s="475" t="str">
        <f t="shared" si="166"/>
        <v/>
      </c>
      <c r="BR170" s="475" t="str">
        <f t="shared" si="166"/>
        <v/>
      </c>
      <c r="BS170" s="475" t="str">
        <f t="shared" si="166"/>
        <v/>
      </c>
      <c r="BT170" s="475" t="str">
        <f t="shared" si="167"/>
        <v/>
      </c>
      <c r="BU170" s="475" t="str">
        <f t="shared" si="167"/>
        <v/>
      </c>
      <c r="BV170" s="475" t="str">
        <f t="shared" si="167"/>
        <v/>
      </c>
      <c r="BW170" s="475" t="str">
        <f t="shared" si="167"/>
        <v/>
      </c>
      <c r="BX170" s="475" t="str">
        <f t="shared" si="167"/>
        <v/>
      </c>
      <c r="BY170" s="475" t="str">
        <f t="shared" si="167"/>
        <v/>
      </c>
      <c r="BZ170" s="475" t="str">
        <f t="shared" si="167"/>
        <v/>
      </c>
      <c r="CA170" s="475" t="str">
        <f t="shared" si="167"/>
        <v/>
      </c>
      <c r="CB170" s="475" t="str">
        <f t="shared" si="167"/>
        <v/>
      </c>
      <c r="CC170" s="475" t="str">
        <f t="shared" si="167"/>
        <v/>
      </c>
      <c r="CD170" s="475" t="str">
        <f t="shared" si="168"/>
        <v/>
      </c>
      <c r="CE170" s="475" t="str">
        <f t="shared" si="168"/>
        <v/>
      </c>
      <c r="CF170" s="475" t="str">
        <f t="shared" si="168"/>
        <v/>
      </c>
      <c r="CG170" s="475" t="str">
        <f t="shared" si="168"/>
        <v/>
      </c>
      <c r="CH170" s="475" t="str">
        <f t="shared" si="168"/>
        <v/>
      </c>
      <c r="CI170" s="475" t="str">
        <f t="shared" si="168"/>
        <v/>
      </c>
      <c r="CJ170" s="475" t="str">
        <f t="shared" si="168"/>
        <v/>
      </c>
      <c r="CK170" s="475" t="str">
        <f t="shared" si="168"/>
        <v/>
      </c>
      <c r="CL170" s="475" t="str">
        <f t="shared" si="168"/>
        <v/>
      </c>
      <c r="CM170" s="475" t="str">
        <f t="shared" si="168"/>
        <v/>
      </c>
      <c r="CN170" s="475" t="str">
        <f t="shared" si="169"/>
        <v/>
      </c>
      <c r="CO170" s="475" t="str">
        <f t="shared" si="169"/>
        <v/>
      </c>
      <c r="CP170" s="475" t="str">
        <f t="shared" si="169"/>
        <v/>
      </c>
      <c r="CQ170" s="475" t="str">
        <f t="shared" si="169"/>
        <v/>
      </c>
      <c r="CR170" s="475" t="str">
        <f t="shared" si="169"/>
        <v/>
      </c>
      <c r="CS170" s="475" t="str">
        <f t="shared" si="169"/>
        <v/>
      </c>
      <c r="CT170" s="475" t="str">
        <f t="shared" si="169"/>
        <v/>
      </c>
      <c r="CU170" s="475" t="str">
        <f t="shared" si="169"/>
        <v/>
      </c>
      <c r="CV170" s="475" t="str">
        <f t="shared" si="169"/>
        <v/>
      </c>
      <c r="CW170" s="475" t="str">
        <f t="shared" si="169"/>
        <v/>
      </c>
      <c r="CX170" s="475" t="str">
        <f t="shared" si="169"/>
        <v/>
      </c>
      <c r="CY170" s="475" t="str">
        <f t="shared" si="169"/>
        <v/>
      </c>
      <c r="CZ170" s="495" t="str">
        <f t="shared" si="169"/>
        <v/>
      </c>
      <c r="DA170" s="502"/>
      <c r="DB170" s="460"/>
      <c r="DC170" s="465"/>
      <c r="DD170" s="463"/>
      <c r="DE170" s="512"/>
      <c r="DF170" s="516"/>
      <c r="DG170" s="508"/>
      <c r="DH170" s="463"/>
      <c r="DI170" s="461"/>
      <c r="DJ170" s="461"/>
      <c r="DK170" s="461"/>
      <c r="DL170" s="464"/>
      <c r="DM170" s="466"/>
      <c r="DN170" s="502"/>
      <c r="DO170" s="460"/>
      <c r="DP170" s="464"/>
      <c r="DQ170" s="464"/>
      <c r="DR170" s="464"/>
      <c r="DS170" s="508"/>
      <c r="DT170" s="525"/>
      <c r="DU170" s="525"/>
      <c r="DV170" s="463"/>
      <c r="DW170" s="464"/>
      <c r="DX170" s="465"/>
      <c r="DY170" s="463"/>
      <c r="DZ170" s="464"/>
      <c r="EA170" s="465"/>
      <c r="EB170" s="463"/>
      <c r="EC170" s="465"/>
      <c r="ED170" s="462"/>
      <c r="EE170" s="502"/>
      <c r="EF170" s="463"/>
      <c r="EG170" s="461"/>
      <c r="EH170" s="464"/>
      <c r="EI170" s="464"/>
      <c r="EJ170" s="464"/>
      <c r="EK170" s="464"/>
      <c r="EL170" s="464"/>
      <c r="EM170" s="464"/>
      <c r="EN170" s="464"/>
      <c r="EO170" s="464"/>
      <c r="EP170" s="464"/>
      <c r="EQ170" s="464"/>
      <c r="ER170" s="464"/>
      <c r="ES170" s="464"/>
      <c r="ET170" s="464"/>
      <c r="EU170" s="464"/>
      <c r="EV170" s="464"/>
      <c r="EW170" s="465"/>
      <c r="EX170" s="465"/>
      <c r="EY170" s="502"/>
      <c r="EZ170" s="460"/>
      <c r="FA170" s="464"/>
      <c r="FB170" s="464"/>
      <c r="FC170" s="464"/>
      <c r="FD170" s="464"/>
      <c r="FE170" s="464"/>
      <c r="FF170" s="464"/>
      <c r="FG170" s="466"/>
    </row>
    <row r="171" spans="1:163">
      <c r="A171" s="467" t="s">
        <v>362</v>
      </c>
      <c r="B171" s="471" t="str">
        <f>IF(ISNUMBER(MATCH(A171, 'Pulldown Data'!W:W, 0))=TRUE, "Y", IF(ISNUMBER(MATCH(A171, 'Pulldown Data'!X:X, 0))=TRUE, "M", ""))</f>
        <v/>
      </c>
      <c r="C171" s="504"/>
      <c r="D171" s="502"/>
      <c r="E171" s="443" t="str">
        <f t="shared" si="160"/>
        <v/>
      </c>
      <c r="F171" s="444" t="str">
        <f t="shared" si="160"/>
        <v/>
      </c>
      <c r="G171" s="444" t="str">
        <f t="shared" si="160"/>
        <v/>
      </c>
      <c r="H171" s="444" t="str">
        <f t="shared" si="160"/>
        <v/>
      </c>
      <c r="I171" s="444" t="str">
        <f t="shared" si="160"/>
        <v/>
      </c>
      <c r="J171" s="444" t="str">
        <f t="shared" si="160"/>
        <v/>
      </c>
      <c r="K171" s="444" t="str">
        <f t="shared" si="160"/>
        <v/>
      </c>
      <c r="L171" s="444" t="str">
        <f t="shared" si="160"/>
        <v/>
      </c>
      <c r="M171" s="444" t="str">
        <f t="shared" si="160"/>
        <v/>
      </c>
      <c r="N171" s="444" t="str">
        <f t="shared" si="160"/>
        <v/>
      </c>
      <c r="O171" s="444" t="str">
        <f t="shared" si="161"/>
        <v/>
      </c>
      <c r="P171" s="444" t="str">
        <f t="shared" si="161"/>
        <v/>
      </c>
      <c r="Q171" s="444" t="str">
        <f t="shared" si="161"/>
        <v/>
      </c>
      <c r="R171" s="444" t="str">
        <f t="shared" si="161"/>
        <v/>
      </c>
      <c r="S171" s="444" t="str">
        <f t="shared" si="161"/>
        <v/>
      </c>
      <c r="T171" s="444" t="str">
        <f t="shared" si="161"/>
        <v/>
      </c>
      <c r="U171" s="444" t="str">
        <f t="shared" si="161"/>
        <v/>
      </c>
      <c r="V171" s="444" t="str">
        <f t="shared" si="161"/>
        <v/>
      </c>
      <c r="W171" s="444" t="str">
        <f t="shared" si="161"/>
        <v/>
      </c>
      <c r="X171" s="444" t="str">
        <f t="shared" si="161"/>
        <v/>
      </c>
      <c r="Y171" s="444" t="str">
        <f t="shared" si="162"/>
        <v/>
      </c>
      <c r="Z171" s="444" t="str">
        <f t="shared" si="162"/>
        <v/>
      </c>
      <c r="AA171" s="444" t="str">
        <f t="shared" si="162"/>
        <v/>
      </c>
      <c r="AB171" s="444" t="str">
        <f t="shared" si="162"/>
        <v/>
      </c>
      <c r="AC171" s="444" t="str">
        <f t="shared" si="162"/>
        <v/>
      </c>
      <c r="AD171" s="444" t="str">
        <f t="shared" si="162"/>
        <v/>
      </c>
      <c r="AE171" s="444" t="str">
        <f t="shared" si="162"/>
        <v/>
      </c>
      <c r="AF171" s="444" t="str">
        <f t="shared" si="162"/>
        <v/>
      </c>
      <c r="AG171" s="444" t="str">
        <f t="shared" si="162"/>
        <v/>
      </c>
      <c r="AH171" s="444" t="str">
        <f t="shared" si="162"/>
        <v/>
      </c>
      <c r="AI171" s="444" t="str">
        <f t="shared" si="163"/>
        <v/>
      </c>
      <c r="AJ171" s="444" t="str">
        <f t="shared" si="163"/>
        <v/>
      </c>
      <c r="AK171" s="444" t="str">
        <f t="shared" si="163"/>
        <v/>
      </c>
      <c r="AL171" s="444" t="str">
        <f t="shared" si="163"/>
        <v/>
      </c>
      <c r="AM171" s="444" t="str">
        <f t="shared" si="163"/>
        <v/>
      </c>
      <c r="AN171" s="444" t="str">
        <f t="shared" si="163"/>
        <v/>
      </c>
      <c r="AO171" s="444" t="str">
        <f t="shared" si="163"/>
        <v/>
      </c>
      <c r="AP171" s="444" t="str">
        <f t="shared" si="163"/>
        <v/>
      </c>
      <c r="AQ171" s="444" t="str">
        <f t="shared" si="163"/>
        <v/>
      </c>
      <c r="AR171" s="444" t="str">
        <f t="shared" si="163"/>
        <v/>
      </c>
      <c r="AS171" s="444" t="str">
        <f t="shared" si="164"/>
        <v/>
      </c>
      <c r="AT171" s="444" t="str">
        <f t="shared" si="164"/>
        <v/>
      </c>
      <c r="AU171" s="444" t="str">
        <f t="shared" si="164"/>
        <v/>
      </c>
      <c r="AV171" s="444" t="str">
        <f t="shared" si="164"/>
        <v/>
      </c>
      <c r="AW171" s="444" t="str">
        <f t="shared" si="164"/>
        <v/>
      </c>
      <c r="AX171" s="444" t="str">
        <f t="shared" si="164"/>
        <v/>
      </c>
      <c r="AY171" s="444" t="str">
        <f t="shared" si="164"/>
        <v/>
      </c>
      <c r="AZ171" s="444" t="str">
        <f t="shared" si="164"/>
        <v/>
      </c>
      <c r="BA171" s="444" t="str">
        <f t="shared" si="164"/>
        <v/>
      </c>
      <c r="BB171" s="444" t="str">
        <f t="shared" si="164"/>
        <v/>
      </c>
      <c r="BC171" s="444" t="str">
        <f t="shared" si="165"/>
        <v/>
      </c>
      <c r="BD171" s="444" t="str">
        <f t="shared" si="165"/>
        <v/>
      </c>
      <c r="BE171" s="444" t="str">
        <f t="shared" si="165"/>
        <v/>
      </c>
      <c r="BF171" s="444" t="str">
        <f t="shared" si="165"/>
        <v/>
      </c>
      <c r="BG171" s="444" t="str">
        <f t="shared" si="165"/>
        <v/>
      </c>
      <c r="BH171" s="445" t="str">
        <f t="shared" si="165"/>
        <v/>
      </c>
      <c r="BI171" s="502"/>
      <c r="BJ171" s="474" t="str">
        <f t="shared" si="166"/>
        <v/>
      </c>
      <c r="BK171" s="475" t="str">
        <f t="shared" si="166"/>
        <v/>
      </c>
      <c r="BL171" s="475" t="str">
        <f t="shared" si="166"/>
        <v/>
      </c>
      <c r="BM171" s="475" t="str">
        <f t="shared" si="166"/>
        <v/>
      </c>
      <c r="BN171" s="475" t="str">
        <f t="shared" si="166"/>
        <v/>
      </c>
      <c r="BO171" s="475" t="str">
        <f t="shared" si="166"/>
        <v/>
      </c>
      <c r="BP171" s="475" t="str">
        <f t="shared" si="166"/>
        <v/>
      </c>
      <c r="BQ171" s="475" t="str">
        <f t="shared" si="166"/>
        <v/>
      </c>
      <c r="BR171" s="475" t="str">
        <f t="shared" si="166"/>
        <v/>
      </c>
      <c r="BS171" s="475" t="str">
        <f t="shared" si="166"/>
        <v/>
      </c>
      <c r="BT171" s="475" t="str">
        <f t="shared" si="167"/>
        <v/>
      </c>
      <c r="BU171" s="475" t="str">
        <f t="shared" si="167"/>
        <v/>
      </c>
      <c r="BV171" s="475" t="str">
        <f t="shared" si="167"/>
        <v/>
      </c>
      <c r="BW171" s="475" t="str">
        <f t="shared" si="167"/>
        <v/>
      </c>
      <c r="BX171" s="475" t="str">
        <f t="shared" si="167"/>
        <v/>
      </c>
      <c r="BY171" s="475" t="str">
        <f t="shared" si="167"/>
        <v/>
      </c>
      <c r="BZ171" s="475" t="str">
        <f t="shared" si="167"/>
        <v/>
      </c>
      <c r="CA171" s="475" t="str">
        <f t="shared" si="167"/>
        <v/>
      </c>
      <c r="CB171" s="475" t="str">
        <f t="shared" si="167"/>
        <v/>
      </c>
      <c r="CC171" s="475" t="str">
        <f t="shared" si="167"/>
        <v/>
      </c>
      <c r="CD171" s="475" t="str">
        <f t="shared" si="168"/>
        <v/>
      </c>
      <c r="CE171" s="475" t="str">
        <f t="shared" si="168"/>
        <v/>
      </c>
      <c r="CF171" s="475" t="str">
        <f t="shared" si="168"/>
        <v/>
      </c>
      <c r="CG171" s="475" t="str">
        <f t="shared" si="168"/>
        <v/>
      </c>
      <c r="CH171" s="475" t="str">
        <f t="shared" si="168"/>
        <v/>
      </c>
      <c r="CI171" s="475" t="str">
        <f t="shared" si="168"/>
        <v/>
      </c>
      <c r="CJ171" s="475" t="str">
        <f t="shared" si="168"/>
        <v/>
      </c>
      <c r="CK171" s="475" t="str">
        <f t="shared" si="168"/>
        <v/>
      </c>
      <c r="CL171" s="475" t="str">
        <f t="shared" si="168"/>
        <v/>
      </c>
      <c r="CM171" s="475" t="str">
        <f t="shared" si="168"/>
        <v/>
      </c>
      <c r="CN171" s="475" t="str">
        <f t="shared" si="169"/>
        <v/>
      </c>
      <c r="CO171" s="475" t="str">
        <f t="shared" si="169"/>
        <v/>
      </c>
      <c r="CP171" s="475" t="str">
        <f t="shared" si="169"/>
        <v/>
      </c>
      <c r="CQ171" s="475" t="str">
        <f t="shared" si="169"/>
        <v/>
      </c>
      <c r="CR171" s="475" t="str">
        <f t="shared" si="169"/>
        <v/>
      </c>
      <c r="CS171" s="475" t="str">
        <f t="shared" si="169"/>
        <v/>
      </c>
      <c r="CT171" s="475" t="str">
        <f t="shared" si="169"/>
        <v/>
      </c>
      <c r="CU171" s="475" t="str">
        <f t="shared" si="169"/>
        <v/>
      </c>
      <c r="CV171" s="475" t="str">
        <f t="shared" si="169"/>
        <v/>
      </c>
      <c r="CW171" s="475" t="str">
        <f t="shared" si="169"/>
        <v/>
      </c>
      <c r="CX171" s="475" t="str">
        <f t="shared" si="169"/>
        <v/>
      </c>
      <c r="CY171" s="475" t="str">
        <f t="shared" si="169"/>
        <v/>
      </c>
      <c r="CZ171" s="495" t="str">
        <f t="shared" si="169"/>
        <v/>
      </c>
      <c r="DA171" s="502"/>
      <c r="DB171" s="460"/>
      <c r="DC171" s="465"/>
      <c r="DD171" s="463"/>
      <c r="DE171" s="512"/>
      <c r="DF171" s="516"/>
      <c r="DG171" s="508"/>
      <c r="DH171" s="463"/>
      <c r="DI171" s="461"/>
      <c r="DJ171" s="461"/>
      <c r="DK171" s="461"/>
      <c r="DL171" s="464"/>
      <c r="DM171" s="466"/>
      <c r="DN171" s="502"/>
      <c r="DO171" s="460"/>
      <c r="DP171" s="464"/>
      <c r="DQ171" s="464"/>
      <c r="DR171" s="464"/>
      <c r="DS171" s="508"/>
      <c r="DT171" s="525"/>
      <c r="DU171" s="525"/>
      <c r="DV171" s="463"/>
      <c r="DW171" s="464"/>
      <c r="DX171" s="465"/>
      <c r="DY171" s="463"/>
      <c r="DZ171" s="464"/>
      <c r="EA171" s="465"/>
      <c r="EB171" s="463"/>
      <c r="EC171" s="465"/>
      <c r="ED171" s="462"/>
      <c r="EE171" s="502"/>
      <c r="EF171" s="463"/>
      <c r="EG171" s="461"/>
      <c r="EH171" s="464"/>
      <c r="EI171" s="464"/>
      <c r="EJ171" s="464"/>
      <c r="EK171" s="464"/>
      <c r="EL171" s="464"/>
      <c r="EM171" s="464"/>
      <c r="EN171" s="464"/>
      <c r="EO171" s="464"/>
      <c r="EP171" s="464"/>
      <c r="EQ171" s="464"/>
      <c r="ER171" s="464"/>
      <c r="ES171" s="464"/>
      <c r="ET171" s="464"/>
      <c r="EU171" s="464"/>
      <c r="EV171" s="464"/>
      <c r="EW171" s="465"/>
      <c r="EX171" s="465"/>
      <c r="EY171" s="502"/>
      <c r="EZ171" s="460"/>
      <c r="FA171" s="464"/>
      <c r="FB171" s="464"/>
      <c r="FC171" s="464"/>
      <c r="FD171" s="464"/>
      <c r="FE171" s="464"/>
      <c r="FF171" s="464"/>
      <c r="FG171" s="466"/>
    </row>
    <row r="172" spans="1:163">
      <c r="A172" s="467" t="s">
        <v>363</v>
      </c>
      <c r="B172" s="471" t="str">
        <f>IF(ISNUMBER(MATCH(A172, 'Pulldown Data'!W:W, 0))=TRUE, "Y", IF(ISNUMBER(MATCH(A172, 'Pulldown Data'!X:X, 0))=TRUE, "M", ""))</f>
        <v/>
      </c>
      <c r="C172" s="504"/>
      <c r="D172" s="502"/>
      <c r="E172" s="443" t="str">
        <f t="shared" ref="E172:N181" si="170" xml:space="preserve">
IFERROR(
_xlfn.IFNA(
   IF($B172="PLT",
      IF(INDEX(PRJGENVersions, MATCH(TRIM(E$1), PRJGENAlgosMapped, 0), MATCH($A172, PRJGENProjects, 0)), "YES", ""),
      IF(INDEX(RoadmapData, MATCH(TRIM(E$1), RoadmapDataFeatures, 0), MATCH($A172, RoadmapDataProjects, 0)) = "-", "-", INDEX(RoadmapData, MATCH(TRIM(E$1), RoadmapDataFeatures, 0), MATCH($A172, RoadmapDataProjects, 0)))),
""),
"")</f>
        <v/>
      </c>
      <c r="F172" s="444" t="str">
        <f t="shared" si="170"/>
        <v/>
      </c>
      <c r="G172" s="444" t="str">
        <f t="shared" si="170"/>
        <v/>
      </c>
      <c r="H172" s="444" t="str">
        <f t="shared" si="170"/>
        <v/>
      </c>
      <c r="I172" s="444" t="str">
        <f t="shared" si="170"/>
        <v/>
      </c>
      <c r="J172" s="444" t="str">
        <f t="shared" si="170"/>
        <v/>
      </c>
      <c r="K172" s="444" t="str">
        <f t="shared" si="170"/>
        <v/>
      </c>
      <c r="L172" s="444" t="str">
        <f t="shared" si="170"/>
        <v/>
      </c>
      <c r="M172" s="444" t="str">
        <f t="shared" si="170"/>
        <v/>
      </c>
      <c r="N172" s="444" t="str">
        <f t="shared" si="170"/>
        <v/>
      </c>
      <c r="O172" s="444" t="str">
        <f t="shared" ref="O172:X181" si="171" xml:space="preserve">
IFERROR(
_xlfn.IFNA(
   IF($B172="PLT",
      IF(INDEX(PRJGENVersions, MATCH(TRIM(O$1), PRJGENAlgosMapped, 0), MATCH($A172, PRJGENProjects, 0)), "YES", ""),
      IF(INDEX(RoadmapData, MATCH(TRIM(O$1), RoadmapDataFeatures, 0), MATCH($A172, RoadmapDataProjects, 0)) = "-", "-", INDEX(RoadmapData, MATCH(TRIM(O$1), RoadmapDataFeatures, 0), MATCH($A172, RoadmapDataProjects, 0)))),
""),
"")</f>
        <v/>
      </c>
      <c r="P172" s="444" t="str">
        <f t="shared" si="171"/>
        <v/>
      </c>
      <c r="Q172" s="444" t="str">
        <f t="shared" si="171"/>
        <v/>
      </c>
      <c r="R172" s="444" t="str">
        <f t="shared" si="171"/>
        <v/>
      </c>
      <c r="S172" s="444" t="str">
        <f t="shared" si="171"/>
        <v/>
      </c>
      <c r="T172" s="444" t="str">
        <f t="shared" si="171"/>
        <v/>
      </c>
      <c r="U172" s="444" t="str">
        <f t="shared" si="171"/>
        <v/>
      </c>
      <c r="V172" s="444" t="str">
        <f t="shared" si="171"/>
        <v/>
      </c>
      <c r="W172" s="444" t="str">
        <f t="shared" si="171"/>
        <v/>
      </c>
      <c r="X172" s="444" t="str">
        <f t="shared" si="171"/>
        <v/>
      </c>
      <c r="Y172" s="444" t="str">
        <f t="shared" ref="Y172:AH181" si="172" xml:space="preserve">
IFERROR(
_xlfn.IFNA(
   IF($B172="PLT",
      IF(INDEX(PRJGENVersions, MATCH(TRIM(Y$1), PRJGENAlgosMapped, 0), MATCH($A172, PRJGENProjects, 0)), "YES", ""),
      IF(INDEX(RoadmapData, MATCH(TRIM(Y$1), RoadmapDataFeatures, 0), MATCH($A172, RoadmapDataProjects, 0)) = "-", "-", INDEX(RoadmapData, MATCH(TRIM(Y$1), RoadmapDataFeatures, 0), MATCH($A172, RoadmapDataProjects, 0)))),
""),
"")</f>
        <v/>
      </c>
      <c r="Z172" s="444" t="str">
        <f t="shared" si="172"/>
        <v/>
      </c>
      <c r="AA172" s="444" t="str">
        <f t="shared" si="172"/>
        <v/>
      </c>
      <c r="AB172" s="444" t="str">
        <f t="shared" si="172"/>
        <v/>
      </c>
      <c r="AC172" s="444" t="str">
        <f t="shared" si="172"/>
        <v/>
      </c>
      <c r="AD172" s="444" t="str">
        <f t="shared" si="172"/>
        <v/>
      </c>
      <c r="AE172" s="444" t="str">
        <f t="shared" si="172"/>
        <v/>
      </c>
      <c r="AF172" s="444" t="str">
        <f t="shared" si="172"/>
        <v/>
      </c>
      <c r="AG172" s="444" t="str">
        <f t="shared" si="172"/>
        <v/>
      </c>
      <c r="AH172" s="444" t="str">
        <f t="shared" si="172"/>
        <v/>
      </c>
      <c r="AI172" s="444" t="str">
        <f t="shared" ref="AI172:AR181" si="173" xml:space="preserve">
IFERROR(
_xlfn.IFNA(
   IF($B172="PLT",
      IF(INDEX(PRJGENVersions, MATCH(TRIM(AI$1), PRJGENAlgosMapped, 0), MATCH($A172, PRJGENProjects, 0)), "YES", ""),
      IF(INDEX(RoadmapData, MATCH(TRIM(AI$1), RoadmapDataFeatures, 0), MATCH($A172, RoadmapDataProjects, 0)) = "-", "-", INDEX(RoadmapData, MATCH(TRIM(AI$1), RoadmapDataFeatures, 0), MATCH($A172, RoadmapDataProjects, 0)))),
""),
"")</f>
        <v/>
      </c>
      <c r="AJ172" s="444" t="str">
        <f t="shared" si="173"/>
        <v/>
      </c>
      <c r="AK172" s="444" t="str">
        <f t="shared" si="173"/>
        <v/>
      </c>
      <c r="AL172" s="444" t="str">
        <f t="shared" si="173"/>
        <v/>
      </c>
      <c r="AM172" s="444" t="str">
        <f t="shared" si="173"/>
        <v/>
      </c>
      <c r="AN172" s="444" t="str">
        <f t="shared" si="173"/>
        <v/>
      </c>
      <c r="AO172" s="444" t="str">
        <f t="shared" si="173"/>
        <v/>
      </c>
      <c r="AP172" s="444" t="str">
        <f t="shared" si="173"/>
        <v/>
      </c>
      <c r="AQ172" s="444" t="str">
        <f t="shared" si="173"/>
        <v/>
      </c>
      <c r="AR172" s="444" t="str">
        <f t="shared" si="173"/>
        <v/>
      </c>
      <c r="AS172" s="444" t="str">
        <f t="shared" ref="AS172:BB181" si="174" xml:space="preserve">
IFERROR(
_xlfn.IFNA(
   IF($B172="PLT",
      IF(INDEX(PRJGENVersions, MATCH(TRIM(AS$1), PRJGENAlgosMapped, 0), MATCH($A172, PRJGENProjects, 0)), "YES", ""),
      IF(INDEX(RoadmapData, MATCH(TRIM(AS$1), RoadmapDataFeatures, 0), MATCH($A172, RoadmapDataProjects, 0)) = "-", "-", INDEX(RoadmapData, MATCH(TRIM(AS$1), RoadmapDataFeatures, 0), MATCH($A172, RoadmapDataProjects, 0)))),
""),
"")</f>
        <v/>
      </c>
      <c r="AT172" s="444" t="str">
        <f t="shared" si="174"/>
        <v/>
      </c>
      <c r="AU172" s="444" t="str">
        <f t="shared" si="174"/>
        <v/>
      </c>
      <c r="AV172" s="444" t="str">
        <f t="shared" si="174"/>
        <v/>
      </c>
      <c r="AW172" s="444" t="str">
        <f t="shared" si="174"/>
        <v/>
      </c>
      <c r="AX172" s="444" t="str">
        <f t="shared" si="174"/>
        <v/>
      </c>
      <c r="AY172" s="444" t="str">
        <f t="shared" si="174"/>
        <v/>
      </c>
      <c r="AZ172" s="444" t="str">
        <f t="shared" si="174"/>
        <v/>
      </c>
      <c r="BA172" s="444" t="str">
        <f t="shared" si="174"/>
        <v/>
      </c>
      <c r="BB172" s="444" t="str">
        <f t="shared" si="174"/>
        <v/>
      </c>
      <c r="BC172" s="444" t="str">
        <f t="shared" ref="BC172:BH181" si="175" xml:space="preserve">
IFERROR(
_xlfn.IFNA(
   IF($B172="PLT",
      IF(INDEX(PRJGENVersions, MATCH(TRIM(BC$1), PRJGENAlgosMapped, 0), MATCH($A172, PRJGENProjects, 0)), "YES", ""),
      IF(INDEX(RoadmapData, MATCH(TRIM(BC$1), RoadmapDataFeatures, 0), MATCH($A172, RoadmapDataProjects, 0)) = "-", "-", INDEX(RoadmapData, MATCH(TRIM(BC$1), RoadmapDataFeatures, 0), MATCH($A172, RoadmapDataProjects, 0)))),
""),
"")</f>
        <v/>
      </c>
      <c r="BD172" s="444" t="str">
        <f t="shared" si="175"/>
        <v/>
      </c>
      <c r="BE172" s="444" t="str">
        <f t="shared" si="175"/>
        <v/>
      </c>
      <c r="BF172" s="444" t="str">
        <f t="shared" si="175"/>
        <v/>
      </c>
      <c r="BG172" s="444" t="str">
        <f t="shared" si="175"/>
        <v/>
      </c>
      <c r="BH172" s="445" t="str">
        <f t="shared" si="175"/>
        <v/>
      </c>
      <c r="BI172" s="502"/>
      <c r="BJ172" s="474" t="str">
        <f t="shared" ref="BJ172:BS181" si="176">_xlfn.IFNA(IF(INDEX(RoadmapData, MATCH(TRIM(BJ$1), RoadmapDataFeatures, 0), MATCH($A172, RoadmapDataProjects, 0)) = "-", "-", INDEX(RoadmapData, MATCH(TRIM(BJ$1), RoadmapDataFeatures, 0), MATCH($A172, RoadmapDataProjects, 0))), "")</f>
        <v/>
      </c>
      <c r="BK172" s="475" t="str">
        <f t="shared" si="176"/>
        <v/>
      </c>
      <c r="BL172" s="475" t="str">
        <f t="shared" si="176"/>
        <v/>
      </c>
      <c r="BM172" s="475" t="str">
        <f t="shared" si="176"/>
        <v/>
      </c>
      <c r="BN172" s="475" t="str">
        <f t="shared" si="176"/>
        <v/>
      </c>
      <c r="BO172" s="475" t="str">
        <f t="shared" si="176"/>
        <v/>
      </c>
      <c r="BP172" s="475" t="str">
        <f t="shared" si="176"/>
        <v/>
      </c>
      <c r="BQ172" s="475" t="str">
        <f t="shared" si="176"/>
        <v/>
      </c>
      <c r="BR172" s="475" t="str">
        <f t="shared" si="176"/>
        <v/>
      </c>
      <c r="BS172" s="475" t="str">
        <f t="shared" si="176"/>
        <v/>
      </c>
      <c r="BT172" s="475" t="str">
        <f t="shared" ref="BT172:CC181" si="177">_xlfn.IFNA(IF(INDEX(RoadmapData, MATCH(TRIM(BT$1), RoadmapDataFeatures, 0), MATCH($A172, RoadmapDataProjects, 0)) = "-", "-", INDEX(RoadmapData, MATCH(TRIM(BT$1), RoadmapDataFeatures, 0), MATCH($A172, RoadmapDataProjects, 0))), "")</f>
        <v/>
      </c>
      <c r="BU172" s="475" t="str">
        <f t="shared" si="177"/>
        <v/>
      </c>
      <c r="BV172" s="475" t="str">
        <f t="shared" si="177"/>
        <v/>
      </c>
      <c r="BW172" s="475" t="str">
        <f t="shared" si="177"/>
        <v/>
      </c>
      <c r="BX172" s="475" t="str">
        <f t="shared" si="177"/>
        <v/>
      </c>
      <c r="BY172" s="475" t="str">
        <f t="shared" si="177"/>
        <v/>
      </c>
      <c r="BZ172" s="475" t="str">
        <f t="shared" si="177"/>
        <v/>
      </c>
      <c r="CA172" s="475" t="str">
        <f t="shared" si="177"/>
        <v/>
      </c>
      <c r="CB172" s="475" t="str">
        <f t="shared" si="177"/>
        <v/>
      </c>
      <c r="CC172" s="475" t="str">
        <f t="shared" si="177"/>
        <v/>
      </c>
      <c r="CD172" s="475" t="str">
        <f t="shared" ref="CD172:CM181" si="178">_xlfn.IFNA(IF(INDEX(RoadmapData, MATCH(TRIM(CD$1), RoadmapDataFeatures, 0), MATCH($A172, RoadmapDataProjects, 0)) = "-", "-", INDEX(RoadmapData, MATCH(TRIM(CD$1), RoadmapDataFeatures, 0), MATCH($A172, RoadmapDataProjects, 0))), "")</f>
        <v/>
      </c>
      <c r="CE172" s="475" t="str">
        <f t="shared" si="178"/>
        <v/>
      </c>
      <c r="CF172" s="475" t="str">
        <f t="shared" si="178"/>
        <v/>
      </c>
      <c r="CG172" s="475" t="str">
        <f t="shared" si="178"/>
        <v/>
      </c>
      <c r="CH172" s="475" t="str">
        <f t="shared" si="178"/>
        <v/>
      </c>
      <c r="CI172" s="475" t="str">
        <f t="shared" si="178"/>
        <v/>
      </c>
      <c r="CJ172" s="475" t="str">
        <f t="shared" si="178"/>
        <v/>
      </c>
      <c r="CK172" s="475" t="str">
        <f t="shared" si="178"/>
        <v/>
      </c>
      <c r="CL172" s="475" t="str">
        <f t="shared" si="178"/>
        <v/>
      </c>
      <c r="CM172" s="475" t="str">
        <f t="shared" si="178"/>
        <v/>
      </c>
      <c r="CN172" s="475" t="str">
        <f t="shared" ref="CN172:CZ181" si="179">_xlfn.IFNA(IF(INDEX(RoadmapData, MATCH(TRIM(CN$1), RoadmapDataFeatures, 0), MATCH($A172, RoadmapDataProjects, 0)) = "-", "-", INDEX(RoadmapData, MATCH(TRIM(CN$1), RoadmapDataFeatures, 0), MATCH($A172, RoadmapDataProjects, 0))), "")</f>
        <v/>
      </c>
      <c r="CO172" s="475" t="str">
        <f t="shared" si="179"/>
        <v/>
      </c>
      <c r="CP172" s="475" t="str">
        <f t="shared" si="179"/>
        <v/>
      </c>
      <c r="CQ172" s="475" t="str">
        <f t="shared" si="179"/>
        <v/>
      </c>
      <c r="CR172" s="475" t="str">
        <f t="shared" si="179"/>
        <v/>
      </c>
      <c r="CS172" s="475" t="str">
        <f t="shared" si="179"/>
        <v/>
      </c>
      <c r="CT172" s="475" t="str">
        <f t="shared" si="179"/>
        <v/>
      </c>
      <c r="CU172" s="475" t="str">
        <f t="shared" si="179"/>
        <v/>
      </c>
      <c r="CV172" s="475" t="str">
        <f t="shared" si="179"/>
        <v/>
      </c>
      <c r="CW172" s="475" t="str">
        <f t="shared" si="179"/>
        <v/>
      </c>
      <c r="CX172" s="475" t="str">
        <f t="shared" si="179"/>
        <v/>
      </c>
      <c r="CY172" s="475" t="str">
        <f t="shared" si="179"/>
        <v/>
      </c>
      <c r="CZ172" s="495" t="str">
        <f t="shared" si="179"/>
        <v/>
      </c>
      <c r="DA172" s="502"/>
      <c r="DB172" s="460"/>
      <c r="DC172" s="465"/>
      <c r="DD172" s="463"/>
      <c r="DE172" s="512"/>
      <c r="DF172" s="516"/>
      <c r="DG172" s="508"/>
      <c r="DH172" s="463"/>
      <c r="DI172" s="461"/>
      <c r="DJ172" s="461"/>
      <c r="DK172" s="461"/>
      <c r="DL172" s="464"/>
      <c r="DM172" s="466"/>
      <c r="DN172" s="502"/>
      <c r="DO172" s="460"/>
      <c r="DP172" s="464"/>
      <c r="DQ172" s="464"/>
      <c r="DR172" s="464"/>
      <c r="DS172" s="508"/>
      <c r="DT172" s="525"/>
      <c r="DU172" s="525"/>
      <c r="DV172" s="463"/>
      <c r="DW172" s="464"/>
      <c r="DX172" s="465"/>
      <c r="DY172" s="463"/>
      <c r="DZ172" s="464"/>
      <c r="EA172" s="465"/>
      <c r="EB172" s="463"/>
      <c r="EC172" s="465"/>
      <c r="ED172" s="462"/>
      <c r="EE172" s="502"/>
      <c r="EF172" s="463"/>
      <c r="EG172" s="461"/>
      <c r="EH172" s="464"/>
      <c r="EI172" s="464"/>
      <c r="EJ172" s="464"/>
      <c r="EK172" s="464"/>
      <c r="EL172" s="464"/>
      <c r="EM172" s="464"/>
      <c r="EN172" s="464"/>
      <c r="EO172" s="464"/>
      <c r="EP172" s="464"/>
      <c r="EQ172" s="464"/>
      <c r="ER172" s="464"/>
      <c r="ES172" s="464"/>
      <c r="ET172" s="464"/>
      <c r="EU172" s="464"/>
      <c r="EV172" s="464"/>
      <c r="EW172" s="465"/>
      <c r="EX172" s="465"/>
      <c r="EY172" s="502"/>
      <c r="EZ172" s="460"/>
      <c r="FA172" s="464"/>
      <c r="FB172" s="464"/>
      <c r="FC172" s="464"/>
      <c r="FD172" s="464"/>
      <c r="FE172" s="464"/>
      <c r="FF172" s="464"/>
      <c r="FG172" s="466"/>
    </row>
    <row r="173" spans="1:163">
      <c r="A173" s="467" t="s">
        <v>364</v>
      </c>
      <c r="B173" s="471" t="str">
        <f>IF(ISNUMBER(MATCH(A173, 'Pulldown Data'!W:W, 0))=TRUE, "Y", IF(ISNUMBER(MATCH(A173, 'Pulldown Data'!X:X, 0))=TRUE, "M", ""))</f>
        <v/>
      </c>
      <c r="C173" s="504">
        <v>45630</v>
      </c>
      <c r="D173" s="502"/>
      <c r="E173" s="443" t="str">
        <f t="shared" si="170"/>
        <v>NO</v>
      </c>
      <c r="F173" s="444" t="str">
        <f t="shared" si="170"/>
        <v>NO</v>
      </c>
      <c r="G173" s="444" t="str">
        <f t="shared" si="170"/>
        <v>YES</v>
      </c>
      <c r="H173" s="444" t="str">
        <f t="shared" si="170"/>
        <v>YES</v>
      </c>
      <c r="I173" s="444" t="str">
        <f t="shared" si="170"/>
        <v>YES</v>
      </c>
      <c r="J173" s="444" t="str">
        <f t="shared" si="170"/>
        <v>YES</v>
      </c>
      <c r="K173" s="444" t="str">
        <f t="shared" si="170"/>
        <v>YES</v>
      </c>
      <c r="L173" s="444" t="str">
        <f t="shared" si="170"/>
        <v>YES</v>
      </c>
      <c r="M173" s="444" t="str">
        <f t="shared" si="170"/>
        <v>YES</v>
      </c>
      <c r="N173" s="444" t="str">
        <f t="shared" si="170"/>
        <v>YES</v>
      </c>
      <c r="O173" s="444" t="str">
        <f t="shared" si="171"/>
        <v>YES</v>
      </c>
      <c r="P173" s="444" t="str">
        <f t="shared" si="171"/>
        <v>YES</v>
      </c>
      <c r="Q173" s="444" t="str">
        <f t="shared" si="171"/>
        <v>YES</v>
      </c>
      <c r="R173" s="444" t="str">
        <f t="shared" si="171"/>
        <v>YES</v>
      </c>
      <c r="S173" s="444" t="str">
        <f t="shared" si="171"/>
        <v>YES</v>
      </c>
      <c r="T173" s="444" t="str">
        <f t="shared" si="171"/>
        <v>YES</v>
      </c>
      <c r="U173" s="444" t="str">
        <f t="shared" si="171"/>
        <v>YES</v>
      </c>
      <c r="V173" s="444" t="str">
        <f t="shared" si="171"/>
        <v>YES</v>
      </c>
      <c r="W173" s="444" t="str">
        <f t="shared" si="171"/>
        <v>NO</v>
      </c>
      <c r="X173" s="444" t="str">
        <f t="shared" si="171"/>
        <v>NO</v>
      </c>
      <c r="Y173" s="444" t="str">
        <f t="shared" si="172"/>
        <v>YES</v>
      </c>
      <c r="Z173" s="444" t="str">
        <f t="shared" si="172"/>
        <v>NO</v>
      </c>
      <c r="AA173" s="444" t="str">
        <f t="shared" si="172"/>
        <v>NO</v>
      </c>
      <c r="AB173" s="444" t="str">
        <f t="shared" si="172"/>
        <v>YES</v>
      </c>
      <c r="AC173" s="444" t="str">
        <f t="shared" si="172"/>
        <v>YES</v>
      </c>
      <c r="AD173" s="444" t="str">
        <f t="shared" si="172"/>
        <v>YES</v>
      </c>
      <c r="AE173" s="444" t="str">
        <f t="shared" si="172"/>
        <v>YES</v>
      </c>
      <c r="AF173" s="444" t="str">
        <f t="shared" si="172"/>
        <v>YES</v>
      </c>
      <c r="AG173" s="444" t="str">
        <f t="shared" si="172"/>
        <v>YES</v>
      </c>
      <c r="AH173" s="444" t="str">
        <f t="shared" si="172"/>
        <v>YES</v>
      </c>
      <c r="AI173" s="444" t="str">
        <f t="shared" si="173"/>
        <v>YES</v>
      </c>
      <c r="AJ173" s="444" t="str">
        <f t="shared" si="173"/>
        <v>NO</v>
      </c>
      <c r="AK173" s="444" t="str">
        <f t="shared" si="173"/>
        <v>YES</v>
      </c>
      <c r="AL173" s="444" t="str">
        <f t="shared" si="173"/>
        <v>NO</v>
      </c>
      <c r="AM173" s="444" t="str">
        <f t="shared" si="173"/>
        <v>YES</v>
      </c>
      <c r="AN173" s="444" t="str">
        <f t="shared" si="173"/>
        <v>YES</v>
      </c>
      <c r="AO173" s="444" t="str">
        <f t="shared" si="173"/>
        <v>YES</v>
      </c>
      <c r="AP173" s="444" t="str">
        <f t="shared" si="173"/>
        <v>YES</v>
      </c>
      <c r="AQ173" s="444" t="str">
        <f t="shared" si="173"/>
        <v>NO</v>
      </c>
      <c r="AR173" s="444" t="str">
        <f t="shared" si="173"/>
        <v>NO</v>
      </c>
      <c r="AS173" s="444" t="str">
        <f t="shared" si="174"/>
        <v>NO</v>
      </c>
      <c r="AT173" s="444" t="str">
        <f t="shared" si="174"/>
        <v>NO</v>
      </c>
      <c r="AU173" s="444" t="str">
        <f t="shared" si="174"/>
        <v>YES</v>
      </c>
      <c r="AV173" s="444" t="str">
        <f t="shared" si="174"/>
        <v>YES</v>
      </c>
      <c r="AW173" s="444" t="str">
        <f t="shared" si="174"/>
        <v>NO</v>
      </c>
      <c r="AX173" s="444" t="str">
        <f t="shared" si="174"/>
        <v>NO</v>
      </c>
      <c r="AY173" s="444" t="str">
        <f t="shared" si="174"/>
        <v>NO</v>
      </c>
      <c r="AZ173" s="444" t="str">
        <f t="shared" si="174"/>
        <v>YES</v>
      </c>
      <c r="BA173" s="444" t="str">
        <f t="shared" si="174"/>
        <v>NO</v>
      </c>
      <c r="BB173" s="444" t="str">
        <f t="shared" si="174"/>
        <v>NO</v>
      </c>
      <c r="BC173" s="444" t="str">
        <f t="shared" si="175"/>
        <v>NO</v>
      </c>
      <c r="BD173" s="444" t="str">
        <f t="shared" si="175"/>
        <v>NO</v>
      </c>
      <c r="BE173" s="444" t="str">
        <f t="shared" si="175"/>
        <v>NO</v>
      </c>
      <c r="BF173" s="444" t="str">
        <f t="shared" si="175"/>
        <v>YES</v>
      </c>
      <c r="BG173" s="444" t="str">
        <f t="shared" si="175"/>
        <v>NO</v>
      </c>
      <c r="BH173" s="445" t="str">
        <f t="shared" si="175"/>
        <v>NO</v>
      </c>
      <c r="BI173" s="502"/>
      <c r="BJ173" s="474" t="str">
        <f t="shared" si="176"/>
        <v>YES</v>
      </c>
      <c r="BK173" s="475" t="str">
        <f t="shared" si="176"/>
        <v>YES</v>
      </c>
      <c r="BL173" s="475" t="str">
        <f t="shared" si="176"/>
        <v>NO</v>
      </c>
      <c r="BM173" s="475" t="str">
        <f t="shared" si="176"/>
        <v>YES</v>
      </c>
      <c r="BN173" s="475" t="str">
        <f t="shared" si="176"/>
        <v>YES</v>
      </c>
      <c r="BO173" s="475" t="str">
        <f t="shared" si="176"/>
        <v>YES</v>
      </c>
      <c r="BP173" s="475" t="str">
        <f t="shared" si="176"/>
        <v>NO</v>
      </c>
      <c r="BQ173" s="475" t="str">
        <f t="shared" si="176"/>
        <v>NO</v>
      </c>
      <c r="BR173" s="475" t="str">
        <f t="shared" si="176"/>
        <v>NO</v>
      </c>
      <c r="BS173" s="475" t="str">
        <f t="shared" si="176"/>
        <v>YES</v>
      </c>
      <c r="BT173" s="475" t="str">
        <f t="shared" si="177"/>
        <v>NO</v>
      </c>
      <c r="BU173" s="475" t="str">
        <f t="shared" si="177"/>
        <v>YES</v>
      </c>
      <c r="BV173" s="475" t="str">
        <f t="shared" si="177"/>
        <v>NO</v>
      </c>
      <c r="BW173" s="475" t="str">
        <f t="shared" si="177"/>
        <v>NO</v>
      </c>
      <c r="BX173" s="475" t="str">
        <f t="shared" si="177"/>
        <v>NO</v>
      </c>
      <c r="BY173" s="475" t="str">
        <f t="shared" si="177"/>
        <v>NO</v>
      </c>
      <c r="BZ173" s="475" t="str">
        <f t="shared" si="177"/>
        <v>NO</v>
      </c>
      <c r="CA173" s="475" t="str">
        <f t="shared" si="177"/>
        <v>NO</v>
      </c>
      <c r="CB173" s="475" t="str">
        <f t="shared" si="177"/>
        <v>NO</v>
      </c>
      <c r="CC173" s="475" t="str">
        <f t="shared" si="177"/>
        <v>NO</v>
      </c>
      <c r="CD173" s="475" t="str">
        <f t="shared" si="178"/>
        <v>NO</v>
      </c>
      <c r="CE173" s="475" t="str">
        <f t="shared" si="178"/>
        <v>NO</v>
      </c>
      <c r="CF173" s="475" t="str">
        <f t="shared" si="178"/>
        <v>NO</v>
      </c>
      <c r="CG173" s="475" t="str">
        <f t="shared" si="178"/>
        <v>NO</v>
      </c>
      <c r="CH173" s="475" t="str">
        <f t="shared" si="178"/>
        <v>NO</v>
      </c>
      <c r="CI173" s="475" t="str">
        <f t="shared" si="178"/>
        <v>NO</v>
      </c>
      <c r="CJ173" s="475" t="str">
        <f t="shared" si="178"/>
        <v>NO</v>
      </c>
      <c r="CK173" s="475" t="str">
        <f t="shared" si="178"/>
        <v>NO</v>
      </c>
      <c r="CL173" s="475" t="str">
        <f t="shared" si="178"/>
        <v>NO</v>
      </c>
      <c r="CM173" s="475" t="str">
        <f t="shared" si="178"/>
        <v>NO</v>
      </c>
      <c r="CN173" s="475" t="str">
        <f t="shared" si="179"/>
        <v>NO</v>
      </c>
      <c r="CO173" s="475" t="str">
        <f t="shared" si="179"/>
        <v>NO</v>
      </c>
      <c r="CP173" s="475" t="str">
        <f t="shared" si="179"/>
        <v>NO</v>
      </c>
      <c r="CQ173" s="475" t="str">
        <f t="shared" si="179"/>
        <v>NO</v>
      </c>
      <c r="CR173" s="475" t="str">
        <f t="shared" si="179"/>
        <v>NO</v>
      </c>
      <c r="CS173" s="475" t="str">
        <f t="shared" si="179"/>
        <v>NO</v>
      </c>
      <c r="CT173" s="475" t="str">
        <f t="shared" si="179"/>
        <v>NO</v>
      </c>
      <c r="CU173" s="475" t="str">
        <f t="shared" si="179"/>
        <v>NO</v>
      </c>
      <c r="CV173" s="475" t="str">
        <f t="shared" si="179"/>
        <v>NO</v>
      </c>
      <c r="CW173" s="475" t="str">
        <f t="shared" si="179"/>
        <v>NO</v>
      </c>
      <c r="CX173" s="475" t="str">
        <f t="shared" si="179"/>
        <v>NO</v>
      </c>
      <c r="CY173" s="475" t="str">
        <f t="shared" si="179"/>
        <v>NO</v>
      </c>
      <c r="CZ173" s="495" t="str">
        <f t="shared" si="179"/>
        <v>NO</v>
      </c>
      <c r="DA173" s="502"/>
      <c r="DB173" s="460"/>
      <c r="DC173" s="465"/>
      <c r="DD173" s="463"/>
      <c r="DE173" s="512"/>
      <c r="DF173" s="516"/>
      <c r="DG173" s="508"/>
      <c r="DH173" s="463"/>
      <c r="DI173" s="461"/>
      <c r="DJ173" s="461"/>
      <c r="DK173" s="461"/>
      <c r="DL173" s="464"/>
      <c r="DM173" s="466"/>
      <c r="DN173" s="502"/>
      <c r="DO173" s="460"/>
      <c r="DP173" s="464"/>
      <c r="DQ173" s="464"/>
      <c r="DR173" s="464"/>
      <c r="DS173" s="508"/>
      <c r="DT173" s="525"/>
      <c r="DU173" s="525"/>
      <c r="DV173" s="463"/>
      <c r="DW173" s="464"/>
      <c r="DX173" s="465"/>
      <c r="DY173" s="463"/>
      <c r="DZ173" s="464"/>
      <c r="EA173" s="465"/>
      <c r="EB173" s="463"/>
      <c r="EC173" s="465"/>
      <c r="ED173" s="462"/>
      <c r="EE173" s="502"/>
      <c r="EF173" s="463"/>
      <c r="EG173" s="461"/>
      <c r="EH173" s="464"/>
      <c r="EI173" s="464"/>
      <c r="EJ173" s="464"/>
      <c r="EK173" s="464"/>
      <c r="EL173" s="464"/>
      <c r="EM173" s="464"/>
      <c r="EN173" s="464"/>
      <c r="EO173" s="464"/>
      <c r="EP173" s="464"/>
      <c r="EQ173" s="464"/>
      <c r="ER173" s="464"/>
      <c r="ES173" s="464"/>
      <c r="ET173" s="464"/>
      <c r="EU173" s="464"/>
      <c r="EV173" s="464"/>
      <c r="EW173" s="465"/>
      <c r="EX173" s="465"/>
      <c r="EY173" s="502"/>
      <c r="EZ173" s="460"/>
      <c r="FA173" s="464"/>
      <c r="FB173" s="464"/>
      <c r="FC173" s="464"/>
      <c r="FD173" s="464"/>
      <c r="FE173" s="464"/>
      <c r="FF173" s="464"/>
      <c r="FG173" s="466"/>
    </row>
    <row r="174" spans="1:163">
      <c r="A174" s="467" t="s">
        <v>365</v>
      </c>
      <c r="B174" s="471" t="str">
        <f>IF(ISNUMBER(MATCH(A174, 'Pulldown Data'!W:W, 0))=TRUE, "Y", IF(ISNUMBER(MATCH(A174, 'Pulldown Data'!X:X, 0))=TRUE, "M", ""))</f>
        <v/>
      </c>
      <c r="C174" s="504"/>
      <c r="D174" s="502"/>
      <c r="E174" s="443" t="str">
        <f t="shared" si="170"/>
        <v/>
      </c>
      <c r="F174" s="444" t="str">
        <f t="shared" si="170"/>
        <v/>
      </c>
      <c r="G174" s="444" t="str">
        <f t="shared" si="170"/>
        <v/>
      </c>
      <c r="H174" s="444" t="str">
        <f t="shared" si="170"/>
        <v/>
      </c>
      <c r="I174" s="444" t="str">
        <f t="shared" si="170"/>
        <v/>
      </c>
      <c r="J174" s="444" t="str">
        <f t="shared" si="170"/>
        <v/>
      </c>
      <c r="K174" s="444" t="str">
        <f t="shared" si="170"/>
        <v/>
      </c>
      <c r="L174" s="444" t="str">
        <f t="shared" si="170"/>
        <v/>
      </c>
      <c r="M174" s="444" t="str">
        <f t="shared" si="170"/>
        <v/>
      </c>
      <c r="N174" s="444" t="str">
        <f t="shared" si="170"/>
        <v/>
      </c>
      <c r="O174" s="444" t="str">
        <f t="shared" si="171"/>
        <v/>
      </c>
      <c r="P174" s="444" t="str">
        <f t="shared" si="171"/>
        <v/>
      </c>
      <c r="Q174" s="444" t="str">
        <f t="shared" si="171"/>
        <v/>
      </c>
      <c r="R174" s="444" t="str">
        <f t="shared" si="171"/>
        <v/>
      </c>
      <c r="S174" s="444" t="str">
        <f t="shared" si="171"/>
        <v/>
      </c>
      <c r="T174" s="444" t="str">
        <f t="shared" si="171"/>
        <v/>
      </c>
      <c r="U174" s="444" t="str">
        <f t="shared" si="171"/>
        <v/>
      </c>
      <c r="V174" s="444" t="str">
        <f t="shared" si="171"/>
        <v/>
      </c>
      <c r="W174" s="444" t="str">
        <f t="shared" si="171"/>
        <v/>
      </c>
      <c r="X174" s="444" t="str">
        <f t="shared" si="171"/>
        <v/>
      </c>
      <c r="Y174" s="444" t="str">
        <f t="shared" si="172"/>
        <v/>
      </c>
      <c r="Z174" s="444" t="str">
        <f t="shared" si="172"/>
        <v/>
      </c>
      <c r="AA174" s="444" t="str">
        <f t="shared" si="172"/>
        <v/>
      </c>
      <c r="AB174" s="444" t="str">
        <f t="shared" si="172"/>
        <v/>
      </c>
      <c r="AC174" s="444" t="str">
        <f t="shared" si="172"/>
        <v/>
      </c>
      <c r="AD174" s="444" t="str">
        <f t="shared" si="172"/>
        <v/>
      </c>
      <c r="AE174" s="444" t="str">
        <f t="shared" si="172"/>
        <v/>
      </c>
      <c r="AF174" s="444" t="str">
        <f t="shared" si="172"/>
        <v/>
      </c>
      <c r="AG174" s="444" t="str">
        <f t="shared" si="172"/>
        <v/>
      </c>
      <c r="AH174" s="444" t="str">
        <f t="shared" si="172"/>
        <v/>
      </c>
      <c r="AI174" s="444" t="str">
        <f t="shared" si="173"/>
        <v/>
      </c>
      <c r="AJ174" s="444" t="str">
        <f t="shared" si="173"/>
        <v/>
      </c>
      <c r="AK174" s="444" t="str">
        <f t="shared" si="173"/>
        <v/>
      </c>
      <c r="AL174" s="444" t="str">
        <f t="shared" si="173"/>
        <v/>
      </c>
      <c r="AM174" s="444" t="str">
        <f t="shared" si="173"/>
        <v/>
      </c>
      <c r="AN174" s="444" t="str">
        <f t="shared" si="173"/>
        <v/>
      </c>
      <c r="AO174" s="444" t="str">
        <f t="shared" si="173"/>
        <v/>
      </c>
      <c r="AP174" s="444" t="str">
        <f t="shared" si="173"/>
        <v/>
      </c>
      <c r="AQ174" s="444" t="str">
        <f t="shared" si="173"/>
        <v/>
      </c>
      <c r="AR174" s="444" t="str">
        <f t="shared" si="173"/>
        <v/>
      </c>
      <c r="AS174" s="444" t="str">
        <f t="shared" si="174"/>
        <v/>
      </c>
      <c r="AT174" s="444" t="str">
        <f t="shared" si="174"/>
        <v/>
      </c>
      <c r="AU174" s="444" t="str">
        <f t="shared" si="174"/>
        <v/>
      </c>
      <c r="AV174" s="444" t="str">
        <f t="shared" si="174"/>
        <v/>
      </c>
      <c r="AW174" s="444" t="str">
        <f t="shared" si="174"/>
        <v/>
      </c>
      <c r="AX174" s="444" t="str">
        <f t="shared" si="174"/>
        <v/>
      </c>
      <c r="AY174" s="444" t="str">
        <f t="shared" si="174"/>
        <v/>
      </c>
      <c r="AZ174" s="444" t="str">
        <f t="shared" si="174"/>
        <v/>
      </c>
      <c r="BA174" s="444" t="str">
        <f t="shared" si="174"/>
        <v/>
      </c>
      <c r="BB174" s="444" t="str">
        <f t="shared" si="174"/>
        <v/>
      </c>
      <c r="BC174" s="444" t="str">
        <f t="shared" si="175"/>
        <v/>
      </c>
      <c r="BD174" s="444" t="str">
        <f t="shared" si="175"/>
        <v/>
      </c>
      <c r="BE174" s="444" t="str">
        <f t="shared" si="175"/>
        <v/>
      </c>
      <c r="BF174" s="444" t="str">
        <f t="shared" si="175"/>
        <v/>
      </c>
      <c r="BG174" s="444" t="str">
        <f t="shared" si="175"/>
        <v/>
      </c>
      <c r="BH174" s="445" t="str">
        <f t="shared" si="175"/>
        <v/>
      </c>
      <c r="BI174" s="502"/>
      <c r="BJ174" s="474" t="str">
        <f t="shared" si="176"/>
        <v/>
      </c>
      <c r="BK174" s="475" t="str">
        <f t="shared" si="176"/>
        <v/>
      </c>
      <c r="BL174" s="475" t="str">
        <f t="shared" si="176"/>
        <v/>
      </c>
      <c r="BM174" s="475" t="str">
        <f t="shared" si="176"/>
        <v/>
      </c>
      <c r="BN174" s="475" t="str">
        <f t="shared" si="176"/>
        <v/>
      </c>
      <c r="BO174" s="475" t="str">
        <f t="shared" si="176"/>
        <v/>
      </c>
      <c r="BP174" s="475" t="str">
        <f t="shared" si="176"/>
        <v/>
      </c>
      <c r="BQ174" s="475" t="str">
        <f t="shared" si="176"/>
        <v/>
      </c>
      <c r="BR174" s="475" t="str">
        <f t="shared" si="176"/>
        <v/>
      </c>
      <c r="BS174" s="475" t="str">
        <f t="shared" si="176"/>
        <v/>
      </c>
      <c r="BT174" s="475" t="str">
        <f t="shared" si="177"/>
        <v/>
      </c>
      <c r="BU174" s="475" t="str">
        <f t="shared" si="177"/>
        <v/>
      </c>
      <c r="BV174" s="475" t="str">
        <f t="shared" si="177"/>
        <v/>
      </c>
      <c r="BW174" s="475" t="str">
        <f t="shared" si="177"/>
        <v/>
      </c>
      <c r="BX174" s="475" t="str">
        <f t="shared" si="177"/>
        <v/>
      </c>
      <c r="BY174" s="475" t="str">
        <f t="shared" si="177"/>
        <v/>
      </c>
      <c r="BZ174" s="475" t="str">
        <f t="shared" si="177"/>
        <v/>
      </c>
      <c r="CA174" s="475" t="str">
        <f t="shared" si="177"/>
        <v/>
      </c>
      <c r="CB174" s="475" t="str">
        <f t="shared" si="177"/>
        <v/>
      </c>
      <c r="CC174" s="475" t="str">
        <f t="shared" si="177"/>
        <v/>
      </c>
      <c r="CD174" s="475" t="str">
        <f t="shared" si="178"/>
        <v/>
      </c>
      <c r="CE174" s="475" t="str">
        <f t="shared" si="178"/>
        <v/>
      </c>
      <c r="CF174" s="475" t="str">
        <f t="shared" si="178"/>
        <v/>
      </c>
      <c r="CG174" s="475" t="str">
        <f t="shared" si="178"/>
        <v/>
      </c>
      <c r="CH174" s="475" t="str">
        <f t="shared" si="178"/>
        <v/>
      </c>
      <c r="CI174" s="475" t="str">
        <f t="shared" si="178"/>
        <v/>
      </c>
      <c r="CJ174" s="475" t="str">
        <f t="shared" si="178"/>
        <v/>
      </c>
      <c r="CK174" s="475" t="str">
        <f t="shared" si="178"/>
        <v/>
      </c>
      <c r="CL174" s="475" t="str">
        <f t="shared" si="178"/>
        <v/>
      </c>
      <c r="CM174" s="475" t="str">
        <f t="shared" si="178"/>
        <v/>
      </c>
      <c r="CN174" s="475" t="str">
        <f t="shared" si="179"/>
        <v/>
      </c>
      <c r="CO174" s="475" t="str">
        <f t="shared" si="179"/>
        <v/>
      </c>
      <c r="CP174" s="475" t="str">
        <f t="shared" si="179"/>
        <v/>
      </c>
      <c r="CQ174" s="475" t="str">
        <f t="shared" si="179"/>
        <v/>
      </c>
      <c r="CR174" s="475" t="str">
        <f t="shared" si="179"/>
        <v/>
      </c>
      <c r="CS174" s="475" t="str">
        <f t="shared" si="179"/>
        <v/>
      </c>
      <c r="CT174" s="475" t="str">
        <f t="shared" si="179"/>
        <v/>
      </c>
      <c r="CU174" s="475" t="str">
        <f t="shared" si="179"/>
        <v/>
      </c>
      <c r="CV174" s="475" t="str">
        <f t="shared" si="179"/>
        <v/>
      </c>
      <c r="CW174" s="475" t="str">
        <f t="shared" si="179"/>
        <v/>
      </c>
      <c r="CX174" s="475" t="str">
        <f t="shared" si="179"/>
        <v/>
      </c>
      <c r="CY174" s="475" t="str">
        <f t="shared" si="179"/>
        <v/>
      </c>
      <c r="CZ174" s="495" t="str">
        <f t="shared" si="179"/>
        <v/>
      </c>
      <c r="DA174" s="502"/>
      <c r="DB174" s="460"/>
      <c r="DC174" s="465"/>
      <c r="DD174" s="463"/>
      <c r="DE174" s="512"/>
      <c r="DF174" s="516"/>
      <c r="DG174" s="508"/>
      <c r="DH174" s="463"/>
      <c r="DI174" s="461"/>
      <c r="DJ174" s="461"/>
      <c r="DK174" s="461"/>
      <c r="DL174" s="464"/>
      <c r="DM174" s="466"/>
      <c r="DN174" s="502"/>
      <c r="DO174" s="460"/>
      <c r="DP174" s="464"/>
      <c r="DQ174" s="464"/>
      <c r="DR174" s="464"/>
      <c r="DS174" s="508"/>
      <c r="DT174" s="525"/>
      <c r="DU174" s="525"/>
      <c r="DV174" s="463"/>
      <c r="DW174" s="464"/>
      <c r="DX174" s="465"/>
      <c r="DY174" s="463"/>
      <c r="DZ174" s="464"/>
      <c r="EA174" s="465"/>
      <c r="EB174" s="463"/>
      <c r="EC174" s="465"/>
      <c r="ED174" s="462"/>
      <c r="EE174" s="502"/>
      <c r="EF174" s="463"/>
      <c r="EG174" s="461"/>
      <c r="EH174" s="464"/>
      <c r="EI174" s="464"/>
      <c r="EJ174" s="464"/>
      <c r="EK174" s="464"/>
      <c r="EL174" s="464"/>
      <c r="EM174" s="464"/>
      <c r="EN174" s="464"/>
      <c r="EO174" s="464"/>
      <c r="EP174" s="464"/>
      <c r="EQ174" s="464"/>
      <c r="ER174" s="464"/>
      <c r="ES174" s="464"/>
      <c r="ET174" s="464"/>
      <c r="EU174" s="464"/>
      <c r="EV174" s="464"/>
      <c r="EW174" s="465"/>
      <c r="EX174" s="465"/>
      <c r="EY174" s="502"/>
      <c r="EZ174" s="460"/>
      <c r="FA174" s="464"/>
      <c r="FB174" s="464"/>
      <c r="FC174" s="464"/>
      <c r="FD174" s="464"/>
      <c r="FE174" s="464"/>
      <c r="FF174" s="464"/>
      <c r="FG174" s="466"/>
    </row>
    <row r="175" spans="1:163">
      <c r="A175" s="467" t="s">
        <v>366</v>
      </c>
      <c r="B175" s="471" t="str">
        <f>IF(ISNUMBER(MATCH(A175, 'Pulldown Data'!W:W, 0))=TRUE, "Y", IF(ISNUMBER(MATCH(A175, 'Pulldown Data'!X:X, 0))=TRUE, "M", ""))</f>
        <v/>
      </c>
      <c r="C175" s="504">
        <v>45630</v>
      </c>
      <c r="D175" s="502"/>
      <c r="E175" s="443" t="str">
        <f t="shared" si="170"/>
        <v>NO</v>
      </c>
      <c r="F175" s="444" t="str">
        <f t="shared" si="170"/>
        <v>NO</v>
      </c>
      <c r="G175" s="444" t="str">
        <f t="shared" si="170"/>
        <v>YES</v>
      </c>
      <c r="H175" s="444" t="str">
        <f t="shared" si="170"/>
        <v>YES</v>
      </c>
      <c r="I175" s="444" t="str">
        <f t="shared" si="170"/>
        <v>YES</v>
      </c>
      <c r="J175" s="444" t="str">
        <f t="shared" si="170"/>
        <v>YES</v>
      </c>
      <c r="K175" s="444" t="str">
        <f t="shared" si="170"/>
        <v>NO</v>
      </c>
      <c r="L175" s="444" t="str">
        <f t="shared" si="170"/>
        <v>NO</v>
      </c>
      <c r="M175" s="444" t="str">
        <f t="shared" si="170"/>
        <v>YES</v>
      </c>
      <c r="N175" s="444" t="str">
        <f t="shared" si="170"/>
        <v>NO</v>
      </c>
      <c r="O175" s="444" t="str">
        <f t="shared" si="171"/>
        <v>YES</v>
      </c>
      <c r="P175" s="444" t="str">
        <f t="shared" si="171"/>
        <v>NO</v>
      </c>
      <c r="Q175" s="444" t="str">
        <f t="shared" si="171"/>
        <v>NO</v>
      </c>
      <c r="R175" s="444" t="str">
        <f t="shared" si="171"/>
        <v>NO</v>
      </c>
      <c r="S175" s="444" t="str">
        <f t="shared" si="171"/>
        <v>NO</v>
      </c>
      <c r="T175" s="444" t="str">
        <f t="shared" si="171"/>
        <v>NO</v>
      </c>
      <c r="U175" s="444" t="str">
        <f t="shared" si="171"/>
        <v>YES</v>
      </c>
      <c r="V175" s="444" t="str">
        <f t="shared" si="171"/>
        <v>DEP</v>
      </c>
      <c r="W175" s="444" t="str">
        <f t="shared" si="171"/>
        <v>NO</v>
      </c>
      <c r="X175" s="444" t="str">
        <f t="shared" si="171"/>
        <v>NO</v>
      </c>
      <c r="Y175" s="444" t="str">
        <f t="shared" si="172"/>
        <v>YES</v>
      </c>
      <c r="Z175" s="444" t="str">
        <f t="shared" si="172"/>
        <v>NO</v>
      </c>
      <c r="AA175" s="444" t="str">
        <f t="shared" si="172"/>
        <v>NO</v>
      </c>
      <c r="AB175" s="444" t="str">
        <f t="shared" si="172"/>
        <v>NO</v>
      </c>
      <c r="AC175" s="444" t="str">
        <f t="shared" si="172"/>
        <v>NO</v>
      </c>
      <c r="AD175" s="444" t="str">
        <f t="shared" si="172"/>
        <v>YES</v>
      </c>
      <c r="AE175" s="444" t="str">
        <f t="shared" si="172"/>
        <v>YES</v>
      </c>
      <c r="AF175" s="444" t="str">
        <f t="shared" si="172"/>
        <v>YES</v>
      </c>
      <c r="AG175" s="444" t="str">
        <f t="shared" si="172"/>
        <v>YES</v>
      </c>
      <c r="AH175" s="444" t="str">
        <f t="shared" si="172"/>
        <v>NO</v>
      </c>
      <c r="AI175" s="444" t="str">
        <f t="shared" si="173"/>
        <v>NO</v>
      </c>
      <c r="AJ175" s="444" t="str">
        <f t="shared" si="173"/>
        <v>NO</v>
      </c>
      <c r="AK175" s="444" t="str">
        <f t="shared" si="173"/>
        <v>YES</v>
      </c>
      <c r="AL175" s="444" t="str">
        <f t="shared" si="173"/>
        <v>NO</v>
      </c>
      <c r="AM175" s="444" t="str">
        <f t="shared" si="173"/>
        <v>NO</v>
      </c>
      <c r="AN175" s="444" t="str">
        <f t="shared" si="173"/>
        <v>NO</v>
      </c>
      <c r="AO175" s="444" t="str">
        <f t="shared" si="173"/>
        <v>NO</v>
      </c>
      <c r="AP175" s="444" t="str">
        <f t="shared" si="173"/>
        <v>YES</v>
      </c>
      <c r="AQ175" s="444" t="str">
        <f t="shared" si="173"/>
        <v>YES</v>
      </c>
      <c r="AR175" s="444" t="str">
        <f t="shared" si="173"/>
        <v>NO</v>
      </c>
      <c r="AS175" s="444" t="str">
        <f t="shared" si="174"/>
        <v>NO</v>
      </c>
      <c r="AT175" s="444" t="str">
        <f t="shared" si="174"/>
        <v>DEP</v>
      </c>
      <c r="AU175" s="444" t="str">
        <f t="shared" si="174"/>
        <v>DEP</v>
      </c>
      <c r="AV175" s="444" t="str">
        <f t="shared" si="174"/>
        <v>DEP</v>
      </c>
      <c r="AW175" s="444" t="str">
        <f t="shared" si="174"/>
        <v>NO</v>
      </c>
      <c r="AX175" s="444" t="str">
        <f t="shared" si="174"/>
        <v>DEP</v>
      </c>
      <c r="AY175" s="444" t="str">
        <f t="shared" si="174"/>
        <v>DEP</v>
      </c>
      <c r="AZ175" s="444" t="str">
        <f t="shared" si="174"/>
        <v>DEP</v>
      </c>
      <c r="BA175" s="444" t="str">
        <f t="shared" si="174"/>
        <v>NO</v>
      </c>
      <c r="BB175" s="444" t="str">
        <f t="shared" si="174"/>
        <v>DEP</v>
      </c>
      <c r="BC175" s="444" t="str">
        <f t="shared" si="175"/>
        <v>NO</v>
      </c>
      <c r="BD175" s="444" t="str">
        <f t="shared" si="175"/>
        <v>NO</v>
      </c>
      <c r="BE175" s="444" t="str">
        <f t="shared" si="175"/>
        <v>NO</v>
      </c>
      <c r="BF175" s="444" t="str">
        <f t="shared" si="175"/>
        <v>NO</v>
      </c>
      <c r="BG175" s="444" t="str">
        <f t="shared" si="175"/>
        <v>NO</v>
      </c>
      <c r="BH175" s="445" t="str">
        <f t="shared" si="175"/>
        <v>NO</v>
      </c>
      <c r="BI175" s="502"/>
      <c r="BJ175" s="474" t="str">
        <f t="shared" si="176"/>
        <v>NO</v>
      </c>
      <c r="BK175" s="475" t="str">
        <f t="shared" si="176"/>
        <v>NO</v>
      </c>
      <c r="BL175" s="475" t="str">
        <f t="shared" si="176"/>
        <v>NO</v>
      </c>
      <c r="BM175" s="475" t="str">
        <f t="shared" si="176"/>
        <v>NO</v>
      </c>
      <c r="BN175" s="475" t="str">
        <f t="shared" si="176"/>
        <v>NO</v>
      </c>
      <c r="BO175" s="475" t="str">
        <f t="shared" si="176"/>
        <v>NO</v>
      </c>
      <c r="BP175" s="475" t="str">
        <f t="shared" si="176"/>
        <v>NO</v>
      </c>
      <c r="BQ175" s="475" t="str">
        <f t="shared" si="176"/>
        <v>NO</v>
      </c>
      <c r="BR175" s="475" t="str">
        <f t="shared" si="176"/>
        <v>NO</v>
      </c>
      <c r="BS175" s="475" t="str">
        <f t="shared" si="176"/>
        <v>NO</v>
      </c>
      <c r="BT175" s="475" t="str">
        <f t="shared" si="177"/>
        <v>NO</v>
      </c>
      <c r="BU175" s="475" t="str">
        <f t="shared" si="177"/>
        <v>NO</v>
      </c>
      <c r="BV175" s="475" t="str">
        <f t="shared" si="177"/>
        <v>NO</v>
      </c>
      <c r="BW175" s="475" t="str">
        <f t="shared" si="177"/>
        <v>NO</v>
      </c>
      <c r="BX175" s="475" t="str">
        <f t="shared" si="177"/>
        <v>NO</v>
      </c>
      <c r="BY175" s="475" t="str">
        <f t="shared" si="177"/>
        <v>NO</v>
      </c>
      <c r="BZ175" s="475" t="str">
        <f t="shared" si="177"/>
        <v>NO</v>
      </c>
      <c r="CA175" s="475" t="str">
        <f t="shared" si="177"/>
        <v>NO</v>
      </c>
      <c r="CB175" s="475" t="str">
        <f t="shared" si="177"/>
        <v>NO</v>
      </c>
      <c r="CC175" s="475" t="str">
        <f t="shared" si="177"/>
        <v>NO</v>
      </c>
      <c r="CD175" s="475" t="str">
        <f t="shared" si="178"/>
        <v>NO</v>
      </c>
      <c r="CE175" s="475" t="str">
        <f t="shared" si="178"/>
        <v>NO</v>
      </c>
      <c r="CF175" s="475" t="str">
        <f t="shared" si="178"/>
        <v>NO</v>
      </c>
      <c r="CG175" s="475" t="str">
        <f t="shared" si="178"/>
        <v>NO</v>
      </c>
      <c r="CH175" s="475" t="str">
        <f t="shared" si="178"/>
        <v>NO</v>
      </c>
      <c r="CI175" s="475" t="str">
        <f t="shared" si="178"/>
        <v>NO</v>
      </c>
      <c r="CJ175" s="475" t="str">
        <f t="shared" si="178"/>
        <v>NO</v>
      </c>
      <c r="CK175" s="475" t="str">
        <f t="shared" si="178"/>
        <v>NO</v>
      </c>
      <c r="CL175" s="475" t="str">
        <f t="shared" si="178"/>
        <v>NO</v>
      </c>
      <c r="CM175" s="475" t="str">
        <f t="shared" si="178"/>
        <v>NO</v>
      </c>
      <c r="CN175" s="475" t="str">
        <f t="shared" si="179"/>
        <v>NO</v>
      </c>
      <c r="CO175" s="475" t="str">
        <f t="shared" si="179"/>
        <v>NO</v>
      </c>
      <c r="CP175" s="475" t="str">
        <f t="shared" si="179"/>
        <v>NO</v>
      </c>
      <c r="CQ175" s="475" t="str">
        <f t="shared" si="179"/>
        <v>NO</v>
      </c>
      <c r="CR175" s="475" t="str">
        <f t="shared" si="179"/>
        <v>NO</v>
      </c>
      <c r="CS175" s="475" t="str">
        <f t="shared" si="179"/>
        <v>NO</v>
      </c>
      <c r="CT175" s="475" t="str">
        <f t="shared" si="179"/>
        <v>NO</v>
      </c>
      <c r="CU175" s="475" t="str">
        <f t="shared" si="179"/>
        <v>NO</v>
      </c>
      <c r="CV175" s="475" t="str">
        <f t="shared" si="179"/>
        <v>NO</v>
      </c>
      <c r="CW175" s="475" t="str">
        <f t="shared" si="179"/>
        <v>NO</v>
      </c>
      <c r="CX175" s="475" t="str">
        <f t="shared" si="179"/>
        <v>NO</v>
      </c>
      <c r="CY175" s="475" t="str">
        <f t="shared" si="179"/>
        <v>NO</v>
      </c>
      <c r="CZ175" s="495" t="str">
        <f t="shared" si="179"/>
        <v>NO</v>
      </c>
      <c r="DA175" s="502"/>
      <c r="DB175" s="460"/>
      <c r="DC175" s="465"/>
      <c r="DD175" s="463"/>
      <c r="DE175" s="512"/>
      <c r="DF175" s="516"/>
      <c r="DG175" s="508"/>
      <c r="DH175" s="463"/>
      <c r="DI175" s="461"/>
      <c r="DJ175" s="461"/>
      <c r="DK175" s="461"/>
      <c r="DL175" s="464"/>
      <c r="DM175" s="466"/>
      <c r="DN175" s="502"/>
      <c r="DO175" s="460"/>
      <c r="DP175" s="464"/>
      <c r="DQ175" s="464"/>
      <c r="DR175" s="464"/>
      <c r="DS175" s="508"/>
      <c r="DT175" s="525"/>
      <c r="DU175" s="525"/>
      <c r="DV175" s="463"/>
      <c r="DW175" s="464"/>
      <c r="DX175" s="465"/>
      <c r="DY175" s="463"/>
      <c r="DZ175" s="464"/>
      <c r="EA175" s="465"/>
      <c r="EB175" s="463"/>
      <c r="EC175" s="465"/>
      <c r="ED175" s="462"/>
      <c r="EE175" s="502"/>
      <c r="EF175" s="463"/>
      <c r="EG175" s="461"/>
      <c r="EH175" s="464"/>
      <c r="EI175" s="464"/>
      <c r="EJ175" s="464"/>
      <c r="EK175" s="464"/>
      <c r="EL175" s="464"/>
      <c r="EM175" s="464"/>
      <c r="EN175" s="464"/>
      <c r="EO175" s="464"/>
      <c r="EP175" s="464"/>
      <c r="EQ175" s="464"/>
      <c r="ER175" s="464"/>
      <c r="ES175" s="464"/>
      <c r="ET175" s="464"/>
      <c r="EU175" s="464"/>
      <c r="EV175" s="464"/>
      <c r="EW175" s="465"/>
      <c r="EX175" s="465"/>
      <c r="EY175" s="502"/>
      <c r="EZ175" s="460"/>
      <c r="FA175" s="464"/>
      <c r="FB175" s="464"/>
      <c r="FC175" s="464"/>
      <c r="FD175" s="464"/>
      <c r="FE175" s="464"/>
      <c r="FF175" s="464"/>
      <c r="FG175" s="466"/>
    </row>
    <row r="176" spans="1:163">
      <c r="A176" s="467" t="s">
        <v>367</v>
      </c>
      <c r="B176" s="471" t="str">
        <f>IF(ISNUMBER(MATCH(A176, 'Pulldown Data'!W:W, 0))=TRUE, "Y", IF(ISNUMBER(MATCH(A176, 'Pulldown Data'!X:X, 0))=TRUE, "M", ""))</f>
        <v/>
      </c>
      <c r="C176" s="504">
        <v>45630</v>
      </c>
      <c r="D176" s="502"/>
      <c r="E176" s="443" t="str">
        <f t="shared" si="170"/>
        <v>NO</v>
      </c>
      <c r="F176" s="444" t="str">
        <f t="shared" si="170"/>
        <v>NO</v>
      </c>
      <c r="G176" s="444" t="str">
        <f t="shared" si="170"/>
        <v>YES</v>
      </c>
      <c r="H176" s="444" t="str">
        <f t="shared" si="170"/>
        <v>YES</v>
      </c>
      <c r="I176" s="444" t="str">
        <f t="shared" si="170"/>
        <v>YES</v>
      </c>
      <c r="J176" s="444" t="str">
        <f t="shared" si="170"/>
        <v>YES</v>
      </c>
      <c r="K176" s="444" t="str">
        <f t="shared" si="170"/>
        <v>NO</v>
      </c>
      <c r="L176" s="444" t="str">
        <f t="shared" si="170"/>
        <v>YES</v>
      </c>
      <c r="M176" s="444" t="str">
        <f t="shared" si="170"/>
        <v>NO</v>
      </c>
      <c r="N176" s="444" t="str">
        <f t="shared" si="170"/>
        <v>NO</v>
      </c>
      <c r="O176" s="444" t="str">
        <f t="shared" si="171"/>
        <v>NO</v>
      </c>
      <c r="P176" s="444" t="str">
        <f t="shared" si="171"/>
        <v>NO</v>
      </c>
      <c r="Q176" s="444" t="str">
        <f t="shared" si="171"/>
        <v>NO</v>
      </c>
      <c r="R176" s="444" t="str">
        <f t="shared" si="171"/>
        <v>NO</v>
      </c>
      <c r="S176" s="444" t="str">
        <f t="shared" si="171"/>
        <v>NO</v>
      </c>
      <c r="T176" s="444" t="str">
        <f t="shared" si="171"/>
        <v>YES</v>
      </c>
      <c r="U176" s="444" t="str">
        <f t="shared" si="171"/>
        <v>YES</v>
      </c>
      <c r="V176" s="444" t="str">
        <f t="shared" si="171"/>
        <v>YES</v>
      </c>
      <c r="W176" s="444" t="str">
        <f t="shared" si="171"/>
        <v>YES</v>
      </c>
      <c r="X176" s="444" t="str">
        <f t="shared" si="171"/>
        <v>NO</v>
      </c>
      <c r="Y176" s="444" t="str">
        <f t="shared" si="172"/>
        <v>YES</v>
      </c>
      <c r="Z176" s="444" t="str">
        <f t="shared" si="172"/>
        <v>NO</v>
      </c>
      <c r="AA176" s="444" t="str">
        <f t="shared" si="172"/>
        <v>YES</v>
      </c>
      <c r="AB176" s="444" t="str">
        <f t="shared" si="172"/>
        <v>YES</v>
      </c>
      <c r="AC176" s="444" t="str">
        <f t="shared" si="172"/>
        <v>YES</v>
      </c>
      <c r="AD176" s="444" t="str">
        <f t="shared" si="172"/>
        <v>NO</v>
      </c>
      <c r="AE176" s="444" t="str">
        <f t="shared" si="172"/>
        <v>NO</v>
      </c>
      <c r="AF176" s="444" t="str">
        <f t="shared" si="172"/>
        <v>NO</v>
      </c>
      <c r="AG176" s="444" t="str">
        <f t="shared" si="172"/>
        <v>NO</v>
      </c>
      <c r="AH176" s="444" t="str">
        <f t="shared" si="172"/>
        <v>NO</v>
      </c>
      <c r="AI176" s="444" t="str">
        <f t="shared" si="173"/>
        <v>NO</v>
      </c>
      <c r="AJ176" s="444" t="str">
        <f t="shared" si="173"/>
        <v>NO</v>
      </c>
      <c r="AK176" s="444" t="str">
        <f t="shared" si="173"/>
        <v>NO</v>
      </c>
      <c r="AL176" s="444" t="str">
        <f t="shared" si="173"/>
        <v>NO</v>
      </c>
      <c r="AM176" s="444" t="str">
        <f t="shared" si="173"/>
        <v>NO</v>
      </c>
      <c r="AN176" s="444" t="str">
        <f t="shared" si="173"/>
        <v>DEP</v>
      </c>
      <c r="AO176" s="444" t="str">
        <f t="shared" si="173"/>
        <v>YES</v>
      </c>
      <c r="AP176" s="444" t="str">
        <f t="shared" si="173"/>
        <v>NO</v>
      </c>
      <c r="AQ176" s="444" t="str">
        <f t="shared" si="173"/>
        <v>NO</v>
      </c>
      <c r="AR176" s="444" t="str">
        <f t="shared" si="173"/>
        <v>NO</v>
      </c>
      <c r="AS176" s="444" t="str">
        <f t="shared" si="174"/>
        <v>NO</v>
      </c>
      <c r="AT176" s="444" t="str">
        <f t="shared" si="174"/>
        <v>DEP</v>
      </c>
      <c r="AU176" s="444" t="str">
        <f t="shared" si="174"/>
        <v>DEP</v>
      </c>
      <c r="AV176" s="444" t="str">
        <f t="shared" si="174"/>
        <v>DEP</v>
      </c>
      <c r="AW176" s="444" t="str">
        <f t="shared" si="174"/>
        <v>NO</v>
      </c>
      <c r="AX176" s="444" t="str">
        <f t="shared" si="174"/>
        <v>DEP</v>
      </c>
      <c r="AY176" s="444" t="str">
        <f t="shared" si="174"/>
        <v>YES</v>
      </c>
      <c r="AZ176" s="444" t="str">
        <f t="shared" si="174"/>
        <v>DEP</v>
      </c>
      <c r="BA176" s="444" t="str">
        <f t="shared" si="174"/>
        <v>NO</v>
      </c>
      <c r="BB176" s="444" t="str">
        <f t="shared" si="174"/>
        <v>NO</v>
      </c>
      <c r="BC176" s="444" t="str">
        <f t="shared" si="175"/>
        <v>NO</v>
      </c>
      <c r="BD176" s="444" t="str">
        <f t="shared" si="175"/>
        <v>NO</v>
      </c>
      <c r="BE176" s="444" t="str">
        <f t="shared" si="175"/>
        <v>NO</v>
      </c>
      <c r="BF176" s="444" t="str">
        <f t="shared" si="175"/>
        <v>YES</v>
      </c>
      <c r="BG176" s="444" t="str">
        <f t="shared" si="175"/>
        <v>YES</v>
      </c>
      <c r="BH176" s="445" t="str">
        <f t="shared" si="175"/>
        <v>NO</v>
      </c>
      <c r="BI176" s="502"/>
      <c r="BJ176" s="474" t="str">
        <f t="shared" si="176"/>
        <v>NO</v>
      </c>
      <c r="BK176" s="475" t="str">
        <f t="shared" si="176"/>
        <v>NO</v>
      </c>
      <c r="BL176" s="475" t="str">
        <f t="shared" si="176"/>
        <v>NO</v>
      </c>
      <c r="BM176" s="475" t="str">
        <f t="shared" si="176"/>
        <v>NO</v>
      </c>
      <c r="BN176" s="475" t="str">
        <f t="shared" si="176"/>
        <v>NO</v>
      </c>
      <c r="BO176" s="475" t="str">
        <f t="shared" si="176"/>
        <v>NO</v>
      </c>
      <c r="BP176" s="475" t="str">
        <f t="shared" si="176"/>
        <v>NO</v>
      </c>
      <c r="BQ176" s="475" t="str">
        <f t="shared" si="176"/>
        <v>NO</v>
      </c>
      <c r="BR176" s="475" t="str">
        <f t="shared" si="176"/>
        <v>NO</v>
      </c>
      <c r="BS176" s="475" t="str">
        <f t="shared" si="176"/>
        <v>NO</v>
      </c>
      <c r="BT176" s="475" t="str">
        <f t="shared" si="177"/>
        <v>NO</v>
      </c>
      <c r="BU176" s="475" t="str">
        <f t="shared" si="177"/>
        <v>NO</v>
      </c>
      <c r="BV176" s="475" t="str">
        <f t="shared" si="177"/>
        <v>NO</v>
      </c>
      <c r="BW176" s="475" t="str">
        <f t="shared" si="177"/>
        <v>NO</v>
      </c>
      <c r="BX176" s="475" t="str">
        <f t="shared" si="177"/>
        <v>NO</v>
      </c>
      <c r="BY176" s="475" t="str">
        <f t="shared" si="177"/>
        <v>NO</v>
      </c>
      <c r="BZ176" s="475" t="str">
        <f t="shared" si="177"/>
        <v>NO</v>
      </c>
      <c r="CA176" s="475" t="str">
        <f t="shared" si="177"/>
        <v>NO</v>
      </c>
      <c r="CB176" s="475" t="str">
        <f t="shared" si="177"/>
        <v>NO</v>
      </c>
      <c r="CC176" s="475" t="str">
        <f t="shared" si="177"/>
        <v>NO</v>
      </c>
      <c r="CD176" s="475" t="str">
        <f t="shared" si="178"/>
        <v>NO</v>
      </c>
      <c r="CE176" s="475" t="str">
        <f t="shared" si="178"/>
        <v>NO</v>
      </c>
      <c r="CF176" s="475" t="str">
        <f t="shared" si="178"/>
        <v>NO</v>
      </c>
      <c r="CG176" s="475" t="str">
        <f t="shared" si="178"/>
        <v>NO</v>
      </c>
      <c r="CH176" s="475" t="str">
        <f t="shared" si="178"/>
        <v>NO</v>
      </c>
      <c r="CI176" s="475" t="str">
        <f t="shared" si="178"/>
        <v>NO</v>
      </c>
      <c r="CJ176" s="475" t="str">
        <f t="shared" si="178"/>
        <v>NO</v>
      </c>
      <c r="CK176" s="475" t="str">
        <f t="shared" si="178"/>
        <v>NO</v>
      </c>
      <c r="CL176" s="475" t="str">
        <f t="shared" si="178"/>
        <v>NO</v>
      </c>
      <c r="CM176" s="475" t="str">
        <f t="shared" si="178"/>
        <v>NO</v>
      </c>
      <c r="CN176" s="475" t="str">
        <f t="shared" si="179"/>
        <v>NO</v>
      </c>
      <c r="CO176" s="475" t="str">
        <f t="shared" si="179"/>
        <v>NO</v>
      </c>
      <c r="CP176" s="475" t="str">
        <f t="shared" si="179"/>
        <v>NO</v>
      </c>
      <c r="CQ176" s="475" t="str">
        <f t="shared" si="179"/>
        <v>NO</v>
      </c>
      <c r="CR176" s="475" t="str">
        <f t="shared" si="179"/>
        <v>NO</v>
      </c>
      <c r="CS176" s="475" t="str">
        <f t="shared" si="179"/>
        <v>NO</v>
      </c>
      <c r="CT176" s="475" t="str">
        <f t="shared" si="179"/>
        <v>NO</v>
      </c>
      <c r="CU176" s="475" t="str">
        <f t="shared" si="179"/>
        <v>NO</v>
      </c>
      <c r="CV176" s="475" t="str">
        <f t="shared" si="179"/>
        <v>NO</v>
      </c>
      <c r="CW176" s="475" t="str">
        <f t="shared" si="179"/>
        <v>NO</v>
      </c>
      <c r="CX176" s="475" t="str">
        <f t="shared" si="179"/>
        <v>NO</v>
      </c>
      <c r="CY176" s="475" t="str">
        <f t="shared" si="179"/>
        <v>NO</v>
      </c>
      <c r="CZ176" s="495" t="str">
        <f t="shared" si="179"/>
        <v>NO</v>
      </c>
      <c r="DA176" s="502"/>
      <c r="DB176" s="460"/>
      <c r="DC176" s="465"/>
      <c r="DD176" s="463"/>
      <c r="DE176" s="512"/>
      <c r="DF176" s="516"/>
      <c r="DG176" s="508"/>
      <c r="DH176" s="463"/>
      <c r="DI176" s="461"/>
      <c r="DJ176" s="461"/>
      <c r="DK176" s="461"/>
      <c r="DL176" s="464"/>
      <c r="DM176" s="466"/>
      <c r="DN176" s="502"/>
      <c r="DO176" s="460"/>
      <c r="DP176" s="464"/>
      <c r="DQ176" s="464"/>
      <c r="DR176" s="464"/>
      <c r="DS176" s="508"/>
      <c r="DT176" s="525"/>
      <c r="DU176" s="525"/>
      <c r="DV176" s="463"/>
      <c r="DW176" s="464"/>
      <c r="DX176" s="465"/>
      <c r="DY176" s="463"/>
      <c r="DZ176" s="464"/>
      <c r="EA176" s="465"/>
      <c r="EB176" s="463"/>
      <c r="EC176" s="465"/>
      <c r="ED176" s="462"/>
      <c r="EE176" s="502"/>
      <c r="EF176" s="463"/>
      <c r="EG176" s="461"/>
      <c r="EH176" s="464"/>
      <c r="EI176" s="464"/>
      <c r="EJ176" s="464"/>
      <c r="EK176" s="464"/>
      <c r="EL176" s="464"/>
      <c r="EM176" s="464"/>
      <c r="EN176" s="464"/>
      <c r="EO176" s="464"/>
      <c r="EP176" s="464"/>
      <c r="EQ176" s="464"/>
      <c r="ER176" s="464"/>
      <c r="ES176" s="464"/>
      <c r="ET176" s="464"/>
      <c r="EU176" s="464"/>
      <c r="EV176" s="464"/>
      <c r="EW176" s="465"/>
      <c r="EX176" s="465"/>
      <c r="EY176" s="502"/>
      <c r="EZ176" s="460"/>
      <c r="FA176" s="464"/>
      <c r="FB176" s="464"/>
      <c r="FC176" s="464"/>
      <c r="FD176" s="464"/>
      <c r="FE176" s="464"/>
      <c r="FF176" s="464"/>
      <c r="FG176" s="466"/>
    </row>
    <row r="177" spans="1:163">
      <c r="A177" s="467" t="s">
        <v>368</v>
      </c>
      <c r="B177" s="471" t="str">
        <f>IF(ISNUMBER(MATCH(A177, 'Pulldown Data'!W:W, 0))=TRUE, "Y", IF(ISNUMBER(MATCH(A177, 'Pulldown Data'!X:X, 0))=TRUE, "M", ""))</f>
        <v/>
      </c>
      <c r="C177" s="504">
        <v>45630</v>
      </c>
      <c r="D177" s="502"/>
      <c r="E177" s="443" t="str">
        <f t="shared" si="170"/>
        <v>N/A</v>
      </c>
      <c r="F177" s="444" t="str">
        <f t="shared" si="170"/>
        <v>N/A</v>
      </c>
      <c r="G177" s="444" t="str">
        <f t="shared" si="170"/>
        <v>N/A</v>
      </c>
      <c r="H177" s="444" t="str">
        <f t="shared" si="170"/>
        <v>N/A</v>
      </c>
      <c r="I177" s="444" t="str">
        <f t="shared" si="170"/>
        <v>N/A</v>
      </c>
      <c r="J177" s="444" t="str">
        <f t="shared" si="170"/>
        <v>N/A</v>
      </c>
      <c r="K177" s="444" t="str">
        <f t="shared" si="170"/>
        <v>N/A</v>
      </c>
      <c r="L177" s="444" t="str">
        <f t="shared" si="170"/>
        <v>N/A</v>
      </c>
      <c r="M177" s="444" t="str">
        <f t="shared" si="170"/>
        <v>N/A</v>
      </c>
      <c r="N177" s="444" t="str">
        <f t="shared" si="170"/>
        <v>N/A</v>
      </c>
      <c r="O177" s="444" t="str">
        <f t="shared" si="171"/>
        <v>N/A</v>
      </c>
      <c r="P177" s="444" t="str">
        <f t="shared" si="171"/>
        <v>N/A</v>
      </c>
      <c r="Q177" s="444" t="str">
        <f t="shared" si="171"/>
        <v>N/A</v>
      </c>
      <c r="R177" s="444" t="str">
        <f t="shared" si="171"/>
        <v>N/A</v>
      </c>
      <c r="S177" s="444" t="str">
        <f t="shared" si="171"/>
        <v>N/A</v>
      </c>
      <c r="T177" s="444" t="str">
        <f t="shared" si="171"/>
        <v>N/A</v>
      </c>
      <c r="U177" s="444" t="str">
        <f t="shared" si="171"/>
        <v>N/A</v>
      </c>
      <c r="V177" s="444" t="str">
        <f t="shared" si="171"/>
        <v>N/A</v>
      </c>
      <c r="W177" s="444" t="str">
        <f t="shared" si="171"/>
        <v>N/A</v>
      </c>
      <c r="X177" s="444" t="str">
        <f t="shared" si="171"/>
        <v>N/A</v>
      </c>
      <c r="Y177" s="444" t="str">
        <f t="shared" si="172"/>
        <v>N/A</v>
      </c>
      <c r="Z177" s="444" t="str">
        <f t="shared" si="172"/>
        <v>N/A</v>
      </c>
      <c r="AA177" s="444" t="str">
        <f t="shared" si="172"/>
        <v>N/A</v>
      </c>
      <c r="AB177" s="444" t="str">
        <f t="shared" si="172"/>
        <v>N/A</v>
      </c>
      <c r="AC177" s="444" t="str">
        <f t="shared" si="172"/>
        <v>N/A</v>
      </c>
      <c r="AD177" s="444" t="str">
        <f t="shared" si="172"/>
        <v>N/A</v>
      </c>
      <c r="AE177" s="444" t="str">
        <f t="shared" si="172"/>
        <v>N/A</v>
      </c>
      <c r="AF177" s="444" t="str">
        <f t="shared" si="172"/>
        <v>N/A</v>
      </c>
      <c r="AG177" s="444" t="str">
        <f t="shared" si="172"/>
        <v>N/A</v>
      </c>
      <c r="AH177" s="444" t="str">
        <f t="shared" si="172"/>
        <v>N/A</v>
      </c>
      <c r="AI177" s="444" t="str">
        <f t="shared" si="173"/>
        <v>N/A</v>
      </c>
      <c r="AJ177" s="444" t="str">
        <f t="shared" si="173"/>
        <v>N/A</v>
      </c>
      <c r="AK177" s="444" t="str">
        <f t="shared" si="173"/>
        <v>N/A</v>
      </c>
      <c r="AL177" s="444" t="str">
        <f t="shared" si="173"/>
        <v>N/A</v>
      </c>
      <c r="AM177" s="444" t="str">
        <f t="shared" si="173"/>
        <v>N/A</v>
      </c>
      <c r="AN177" s="444" t="str">
        <f t="shared" si="173"/>
        <v>N/A</v>
      </c>
      <c r="AO177" s="444" t="str">
        <f t="shared" si="173"/>
        <v>N/A</v>
      </c>
      <c r="AP177" s="444" t="str">
        <f t="shared" si="173"/>
        <v>N/A</v>
      </c>
      <c r="AQ177" s="444" t="str">
        <f t="shared" si="173"/>
        <v>N/A</v>
      </c>
      <c r="AR177" s="444" t="str">
        <f t="shared" si="173"/>
        <v>N/A</v>
      </c>
      <c r="AS177" s="444" t="str">
        <f t="shared" si="174"/>
        <v>N/A</v>
      </c>
      <c r="AT177" s="444" t="str">
        <f t="shared" si="174"/>
        <v>N/A</v>
      </c>
      <c r="AU177" s="444" t="str">
        <f t="shared" si="174"/>
        <v>N/A</v>
      </c>
      <c r="AV177" s="444" t="str">
        <f t="shared" si="174"/>
        <v>N/A</v>
      </c>
      <c r="AW177" s="444" t="str">
        <f t="shared" si="174"/>
        <v>N/A</v>
      </c>
      <c r="AX177" s="444" t="str">
        <f t="shared" si="174"/>
        <v>N/A</v>
      </c>
      <c r="AY177" s="444" t="str">
        <f t="shared" si="174"/>
        <v>N/A</v>
      </c>
      <c r="AZ177" s="444" t="str">
        <f t="shared" si="174"/>
        <v>N/A</v>
      </c>
      <c r="BA177" s="444" t="str">
        <f t="shared" si="174"/>
        <v>N/A</v>
      </c>
      <c r="BB177" s="444" t="str">
        <f t="shared" si="174"/>
        <v>N/A</v>
      </c>
      <c r="BC177" s="444" t="str">
        <f t="shared" si="175"/>
        <v>N/A</v>
      </c>
      <c r="BD177" s="444" t="str">
        <f t="shared" si="175"/>
        <v>N/A</v>
      </c>
      <c r="BE177" s="444" t="str">
        <f t="shared" si="175"/>
        <v>N/A</v>
      </c>
      <c r="BF177" s="444" t="str">
        <f t="shared" si="175"/>
        <v>N/A</v>
      </c>
      <c r="BG177" s="444" t="str">
        <f t="shared" si="175"/>
        <v>N/A</v>
      </c>
      <c r="BH177" s="445" t="str">
        <f t="shared" si="175"/>
        <v>N/A</v>
      </c>
      <c r="BI177" s="502"/>
      <c r="BJ177" s="474" t="str">
        <f t="shared" si="176"/>
        <v>N/A</v>
      </c>
      <c r="BK177" s="475" t="str">
        <f t="shared" si="176"/>
        <v>N/A</v>
      </c>
      <c r="BL177" s="475" t="str">
        <f t="shared" si="176"/>
        <v>N/A</v>
      </c>
      <c r="BM177" s="475" t="str">
        <f t="shared" si="176"/>
        <v>N/A</v>
      </c>
      <c r="BN177" s="475" t="str">
        <f t="shared" si="176"/>
        <v>N/A</v>
      </c>
      <c r="BO177" s="475" t="str">
        <f t="shared" si="176"/>
        <v>N/A</v>
      </c>
      <c r="BP177" s="475" t="str">
        <f t="shared" si="176"/>
        <v>N/A</v>
      </c>
      <c r="BQ177" s="475" t="str">
        <f t="shared" si="176"/>
        <v>N/A</v>
      </c>
      <c r="BR177" s="475" t="str">
        <f t="shared" si="176"/>
        <v>N/A</v>
      </c>
      <c r="BS177" s="475" t="str">
        <f t="shared" si="176"/>
        <v>N/A</v>
      </c>
      <c r="BT177" s="475" t="str">
        <f t="shared" si="177"/>
        <v>N/A</v>
      </c>
      <c r="BU177" s="475" t="str">
        <f t="shared" si="177"/>
        <v>N/A</v>
      </c>
      <c r="BV177" s="475" t="str">
        <f t="shared" si="177"/>
        <v>N/A</v>
      </c>
      <c r="BW177" s="475" t="str">
        <f t="shared" si="177"/>
        <v>N/A</v>
      </c>
      <c r="BX177" s="475" t="str">
        <f t="shared" si="177"/>
        <v>N/A</v>
      </c>
      <c r="BY177" s="475" t="str">
        <f t="shared" si="177"/>
        <v>N/A</v>
      </c>
      <c r="BZ177" s="475" t="str">
        <f t="shared" si="177"/>
        <v>N/A</v>
      </c>
      <c r="CA177" s="475" t="str">
        <f t="shared" si="177"/>
        <v>N/A</v>
      </c>
      <c r="CB177" s="475" t="str">
        <f t="shared" si="177"/>
        <v>N/A</v>
      </c>
      <c r="CC177" s="475" t="str">
        <f t="shared" si="177"/>
        <v>N/A</v>
      </c>
      <c r="CD177" s="475" t="str">
        <f t="shared" si="178"/>
        <v>N/A</v>
      </c>
      <c r="CE177" s="475" t="str">
        <f t="shared" si="178"/>
        <v>N/A</v>
      </c>
      <c r="CF177" s="475" t="str">
        <f t="shared" si="178"/>
        <v>N/A</v>
      </c>
      <c r="CG177" s="475" t="str">
        <f t="shared" si="178"/>
        <v>N/A</v>
      </c>
      <c r="CH177" s="475" t="str">
        <f t="shared" si="178"/>
        <v>N/A</v>
      </c>
      <c r="CI177" s="475" t="str">
        <f t="shared" si="178"/>
        <v>N/A</v>
      </c>
      <c r="CJ177" s="475" t="str">
        <f t="shared" si="178"/>
        <v>N/A</v>
      </c>
      <c r="CK177" s="475" t="str">
        <f t="shared" si="178"/>
        <v>N/A</v>
      </c>
      <c r="CL177" s="475" t="str">
        <f t="shared" si="178"/>
        <v>N/A</v>
      </c>
      <c r="CM177" s="475" t="str">
        <f t="shared" si="178"/>
        <v>N/A</v>
      </c>
      <c r="CN177" s="475" t="str">
        <f t="shared" si="179"/>
        <v>N/A</v>
      </c>
      <c r="CO177" s="475" t="str">
        <f t="shared" si="179"/>
        <v>N/A</v>
      </c>
      <c r="CP177" s="475" t="str">
        <f t="shared" si="179"/>
        <v>N/A</v>
      </c>
      <c r="CQ177" s="475" t="str">
        <f t="shared" si="179"/>
        <v>N/A</v>
      </c>
      <c r="CR177" s="475" t="str">
        <f t="shared" si="179"/>
        <v>N/A</v>
      </c>
      <c r="CS177" s="475" t="str">
        <f t="shared" si="179"/>
        <v>N/A</v>
      </c>
      <c r="CT177" s="475" t="str">
        <f t="shared" si="179"/>
        <v>N/A</v>
      </c>
      <c r="CU177" s="475" t="str">
        <f t="shared" si="179"/>
        <v>N/A</v>
      </c>
      <c r="CV177" s="475" t="str">
        <f t="shared" si="179"/>
        <v>N/A</v>
      </c>
      <c r="CW177" s="475" t="str">
        <f t="shared" si="179"/>
        <v>N/A</v>
      </c>
      <c r="CX177" s="475" t="str">
        <f t="shared" si="179"/>
        <v>N/A</v>
      </c>
      <c r="CY177" s="475" t="str">
        <f t="shared" si="179"/>
        <v>N/A</v>
      </c>
      <c r="CZ177" s="495" t="str">
        <f t="shared" si="179"/>
        <v>N/A</v>
      </c>
      <c r="DA177" s="502"/>
      <c r="DB177" s="460"/>
      <c r="DC177" s="465"/>
      <c r="DD177" s="463"/>
      <c r="DE177" s="512"/>
      <c r="DF177" s="516"/>
      <c r="DG177" s="508"/>
      <c r="DH177" s="463"/>
      <c r="DI177" s="461"/>
      <c r="DJ177" s="461"/>
      <c r="DK177" s="461"/>
      <c r="DL177" s="464"/>
      <c r="DM177" s="466"/>
      <c r="DN177" s="502"/>
      <c r="DO177" s="460"/>
      <c r="DP177" s="464"/>
      <c r="DQ177" s="464"/>
      <c r="DR177" s="464"/>
      <c r="DS177" s="508"/>
      <c r="DT177" s="525"/>
      <c r="DU177" s="525"/>
      <c r="DV177" s="463"/>
      <c r="DW177" s="464"/>
      <c r="DX177" s="465"/>
      <c r="DY177" s="463"/>
      <c r="DZ177" s="464"/>
      <c r="EA177" s="465"/>
      <c r="EB177" s="463"/>
      <c r="EC177" s="465"/>
      <c r="ED177" s="462"/>
      <c r="EE177" s="502"/>
      <c r="EF177" s="463"/>
      <c r="EG177" s="461"/>
      <c r="EH177" s="464"/>
      <c r="EI177" s="464"/>
      <c r="EJ177" s="464"/>
      <c r="EK177" s="464"/>
      <c r="EL177" s="464"/>
      <c r="EM177" s="464"/>
      <c r="EN177" s="464"/>
      <c r="EO177" s="464"/>
      <c r="EP177" s="464"/>
      <c r="EQ177" s="464"/>
      <c r="ER177" s="464"/>
      <c r="ES177" s="464"/>
      <c r="ET177" s="464"/>
      <c r="EU177" s="464"/>
      <c r="EV177" s="464"/>
      <c r="EW177" s="465"/>
      <c r="EX177" s="465"/>
      <c r="EY177" s="502"/>
      <c r="EZ177" s="460"/>
      <c r="FA177" s="464"/>
      <c r="FB177" s="464"/>
      <c r="FC177" s="464"/>
      <c r="FD177" s="464"/>
      <c r="FE177" s="464"/>
      <c r="FF177" s="464"/>
      <c r="FG177" s="466"/>
    </row>
    <row r="178" spans="1:163">
      <c r="A178" s="467" t="s">
        <v>369</v>
      </c>
      <c r="B178" s="471" t="str">
        <f>IF(ISNUMBER(MATCH(A178, 'Pulldown Data'!W:W, 0))=TRUE, "Y", IF(ISNUMBER(MATCH(A178, 'Pulldown Data'!X:X, 0))=TRUE, "M", ""))</f>
        <v/>
      </c>
      <c r="C178" s="504">
        <v>45630</v>
      </c>
      <c r="D178" s="502"/>
      <c r="E178" s="443" t="str">
        <f t="shared" si="170"/>
        <v>NO</v>
      </c>
      <c r="F178" s="444" t="str">
        <f t="shared" si="170"/>
        <v>NO</v>
      </c>
      <c r="G178" s="444" t="str">
        <f t="shared" si="170"/>
        <v>YES</v>
      </c>
      <c r="H178" s="444" t="str">
        <f t="shared" si="170"/>
        <v>YES</v>
      </c>
      <c r="I178" s="444" t="str">
        <f t="shared" si="170"/>
        <v>YES</v>
      </c>
      <c r="J178" s="444" t="str">
        <f t="shared" si="170"/>
        <v>YES</v>
      </c>
      <c r="K178" s="444" t="str">
        <f t="shared" si="170"/>
        <v>YES</v>
      </c>
      <c r="L178" s="444" t="str">
        <f t="shared" si="170"/>
        <v>YES</v>
      </c>
      <c r="M178" s="444" t="str">
        <f t="shared" si="170"/>
        <v>YES</v>
      </c>
      <c r="N178" s="444" t="str">
        <f t="shared" si="170"/>
        <v>NO</v>
      </c>
      <c r="O178" s="444" t="str">
        <f t="shared" si="171"/>
        <v>YES</v>
      </c>
      <c r="P178" s="444" t="str">
        <f t="shared" si="171"/>
        <v>YES</v>
      </c>
      <c r="Q178" s="444" t="str">
        <f t="shared" si="171"/>
        <v>YES</v>
      </c>
      <c r="R178" s="444" t="str">
        <f t="shared" si="171"/>
        <v>NO</v>
      </c>
      <c r="S178" s="444" t="str">
        <f t="shared" si="171"/>
        <v>NO</v>
      </c>
      <c r="T178" s="444" t="str">
        <f t="shared" si="171"/>
        <v>YES</v>
      </c>
      <c r="U178" s="444" t="str">
        <f t="shared" si="171"/>
        <v>YES</v>
      </c>
      <c r="V178" s="444" t="str">
        <f t="shared" si="171"/>
        <v>YES</v>
      </c>
      <c r="W178" s="444" t="str">
        <f t="shared" si="171"/>
        <v>NO</v>
      </c>
      <c r="X178" s="444" t="str">
        <f t="shared" si="171"/>
        <v>YES</v>
      </c>
      <c r="Y178" s="444" t="str">
        <f t="shared" si="172"/>
        <v>NO</v>
      </c>
      <c r="Z178" s="444" t="str">
        <f t="shared" si="172"/>
        <v>NO</v>
      </c>
      <c r="AA178" s="444" t="str">
        <f t="shared" si="172"/>
        <v>NO</v>
      </c>
      <c r="AB178" s="444" t="str">
        <f t="shared" si="172"/>
        <v>YES</v>
      </c>
      <c r="AC178" s="444" t="str">
        <f t="shared" si="172"/>
        <v>NO</v>
      </c>
      <c r="AD178" s="444" t="str">
        <f t="shared" si="172"/>
        <v>YES</v>
      </c>
      <c r="AE178" s="444" t="str">
        <f t="shared" si="172"/>
        <v>YES</v>
      </c>
      <c r="AF178" s="444" t="str">
        <f t="shared" si="172"/>
        <v>YES</v>
      </c>
      <c r="AG178" s="444" t="str">
        <f t="shared" si="172"/>
        <v>YES</v>
      </c>
      <c r="AH178" s="444" t="str">
        <f t="shared" si="172"/>
        <v>YES</v>
      </c>
      <c r="AI178" s="444" t="str">
        <f t="shared" si="173"/>
        <v>YES</v>
      </c>
      <c r="AJ178" s="444" t="str">
        <f t="shared" si="173"/>
        <v>NO</v>
      </c>
      <c r="AK178" s="444" t="str">
        <f t="shared" si="173"/>
        <v>YES</v>
      </c>
      <c r="AL178" s="444" t="str">
        <f t="shared" si="173"/>
        <v>NO</v>
      </c>
      <c r="AM178" s="444" t="str">
        <f t="shared" si="173"/>
        <v>YES</v>
      </c>
      <c r="AN178" s="444" t="str">
        <f t="shared" si="173"/>
        <v>NO</v>
      </c>
      <c r="AO178" s="444" t="str">
        <f t="shared" si="173"/>
        <v>YES</v>
      </c>
      <c r="AP178" s="444" t="str">
        <f t="shared" si="173"/>
        <v>YES</v>
      </c>
      <c r="AQ178" s="444" t="str">
        <f t="shared" si="173"/>
        <v>YES</v>
      </c>
      <c r="AR178" s="444" t="str">
        <f t="shared" si="173"/>
        <v>NO</v>
      </c>
      <c r="AS178" s="444" t="str">
        <f t="shared" si="174"/>
        <v>NO</v>
      </c>
      <c r="AT178" s="444" t="str">
        <f t="shared" si="174"/>
        <v>YES</v>
      </c>
      <c r="AU178" s="444" t="str">
        <f t="shared" si="174"/>
        <v>NO</v>
      </c>
      <c r="AV178" s="444" t="str">
        <f t="shared" si="174"/>
        <v>YES</v>
      </c>
      <c r="AW178" s="444" t="str">
        <f t="shared" si="174"/>
        <v>YES</v>
      </c>
      <c r="AX178" s="444" t="str">
        <f t="shared" si="174"/>
        <v>NO</v>
      </c>
      <c r="AY178" s="444" t="str">
        <f t="shared" si="174"/>
        <v>YES</v>
      </c>
      <c r="AZ178" s="444" t="str">
        <f t="shared" si="174"/>
        <v>NO</v>
      </c>
      <c r="BA178" s="444" t="str">
        <f t="shared" si="174"/>
        <v>NO</v>
      </c>
      <c r="BB178" s="444" t="str">
        <f t="shared" si="174"/>
        <v>YES</v>
      </c>
      <c r="BC178" s="444" t="str">
        <f t="shared" si="175"/>
        <v>NO</v>
      </c>
      <c r="BD178" s="444" t="str">
        <f t="shared" si="175"/>
        <v>NO</v>
      </c>
      <c r="BE178" s="444" t="str">
        <f t="shared" si="175"/>
        <v>YES</v>
      </c>
      <c r="BF178" s="444" t="str">
        <f t="shared" si="175"/>
        <v>YES</v>
      </c>
      <c r="BG178" s="444" t="str">
        <f t="shared" si="175"/>
        <v>YES</v>
      </c>
      <c r="BH178" s="445" t="str">
        <f t="shared" si="175"/>
        <v>NO</v>
      </c>
      <c r="BI178" s="502"/>
      <c r="BJ178" s="474" t="str">
        <f t="shared" si="176"/>
        <v>NO</v>
      </c>
      <c r="BK178" s="475" t="str">
        <f t="shared" si="176"/>
        <v>NO</v>
      </c>
      <c r="BL178" s="475" t="str">
        <f t="shared" si="176"/>
        <v>NO</v>
      </c>
      <c r="BM178" s="475" t="str">
        <f t="shared" si="176"/>
        <v>NO</v>
      </c>
      <c r="BN178" s="475" t="str">
        <f t="shared" si="176"/>
        <v>NO</v>
      </c>
      <c r="BO178" s="475" t="str">
        <f t="shared" si="176"/>
        <v>NO</v>
      </c>
      <c r="BP178" s="475" t="str">
        <f t="shared" si="176"/>
        <v>NO</v>
      </c>
      <c r="BQ178" s="475" t="str">
        <f t="shared" si="176"/>
        <v>NO</v>
      </c>
      <c r="BR178" s="475" t="str">
        <f t="shared" si="176"/>
        <v>YES</v>
      </c>
      <c r="BS178" s="475" t="str">
        <f t="shared" si="176"/>
        <v>NO</v>
      </c>
      <c r="BT178" s="475" t="str">
        <f t="shared" si="177"/>
        <v>NO</v>
      </c>
      <c r="BU178" s="475" t="str">
        <f t="shared" si="177"/>
        <v>NO</v>
      </c>
      <c r="BV178" s="475" t="str">
        <f t="shared" si="177"/>
        <v>NO</v>
      </c>
      <c r="BW178" s="475" t="str">
        <f t="shared" si="177"/>
        <v>NO</v>
      </c>
      <c r="BX178" s="475" t="str">
        <f t="shared" si="177"/>
        <v>NO</v>
      </c>
      <c r="BY178" s="475" t="str">
        <f t="shared" si="177"/>
        <v>NO</v>
      </c>
      <c r="BZ178" s="475" t="str">
        <f t="shared" si="177"/>
        <v>NO</v>
      </c>
      <c r="CA178" s="475" t="str">
        <f t="shared" si="177"/>
        <v>NO</v>
      </c>
      <c r="CB178" s="475" t="str">
        <f t="shared" si="177"/>
        <v>NO</v>
      </c>
      <c r="CC178" s="475" t="str">
        <f t="shared" si="177"/>
        <v>NO</v>
      </c>
      <c r="CD178" s="475" t="str">
        <f t="shared" si="178"/>
        <v>NO</v>
      </c>
      <c r="CE178" s="475" t="str">
        <f t="shared" si="178"/>
        <v>NO</v>
      </c>
      <c r="CF178" s="475" t="str">
        <f t="shared" si="178"/>
        <v>NO</v>
      </c>
      <c r="CG178" s="475" t="str">
        <f t="shared" si="178"/>
        <v>NO</v>
      </c>
      <c r="CH178" s="475" t="str">
        <f t="shared" si="178"/>
        <v>NO</v>
      </c>
      <c r="CI178" s="475" t="str">
        <f t="shared" si="178"/>
        <v>NO</v>
      </c>
      <c r="CJ178" s="475" t="str">
        <f t="shared" si="178"/>
        <v>NO</v>
      </c>
      <c r="CK178" s="475" t="str">
        <f t="shared" si="178"/>
        <v>NO</v>
      </c>
      <c r="CL178" s="475" t="str">
        <f t="shared" si="178"/>
        <v>NO</v>
      </c>
      <c r="CM178" s="475" t="str">
        <f t="shared" si="178"/>
        <v>NO</v>
      </c>
      <c r="CN178" s="475" t="str">
        <f t="shared" si="179"/>
        <v>NO</v>
      </c>
      <c r="CO178" s="475" t="str">
        <f t="shared" si="179"/>
        <v>NO</v>
      </c>
      <c r="CP178" s="475" t="str">
        <f t="shared" si="179"/>
        <v>NO</v>
      </c>
      <c r="CQ178" s="475" t="str">
        <f t="shared" si="179"/>
        <v>NO</v>
      </c>
      <c r="CR178" s="475" t="str">
        <f t="shared" si="179"/>
        <v>NO</v>
      </c>
      <c r="CS178" s="475" t="str">
        <f t="shared" si="179"/>
        <v>NO</v>
      </c>
      <c r="CT178" s="475" t="str">
        <f t="shared" si="179"/>
        <v>NO</v>
      </c>
      <c r="CU178" s="475" t="str">
        <f t="shared" si="179"/>
        <v>NO</v>
      </c>
      <c r="CV178" s="475" t="str">
        <f t="shared" si="179"/>
        <v>NO</v>
      </c>
      <c r="CW178" s="475" t="str">
        <f t="shared" si="179"/>
        <v>NO</v>
      </c>
      <c r="CX178" s="475" t="str">
        <f t="shared" si="179"/>
        <v>NO</v>
      </c>
      <c r="CY178" s="475" t="str">
        <f t="shared" si="179"/>
        <v>NO</v>
      </c>
      <c r="CZ178" s="495" t="str">
        <f t="shared" si="179"/>
        <v>NO</v>
      </c>
      <c r="DA178" s="502"/>
      <c r="DB178" s="460"/>
      <c r="DC178" s="465"/>
      <c r="DD178" s="463"/>
      <c r="DE178" s="512"/>
      <c r="DF178" s="516"/>
      <c r="DG178" s="508"/>
      <c r="DH178" s="463"/>
      <c r="DI178" s="461"/>
      <c r="DJ178" s="461"/>
      <c r="DK178" s="461"/>
      <c r="DL178" s="464"/>
      <c r="DM178" s="466"/>
      <c r="DN178" s="502"/>
      <c r="DO178" s="460"/>
      <c r="DP178" s="464"/>
      <c r="DQ178" s="464"/>
      <c r="DR178" s="464"/>
      <c r="DS178" s="508"/>
      <c r="DT178" s="525"/>
      <c r="DU178" s="525"/>
      <c r="DV178" s="463"/>
      <c r="DW178" s="464"/>
      <c r="DX178" s="465"/>
      <c r="DY178" s="463"/>
      <c r="DZ178" s="464"/>
      <c r="EA178" s="465"/>
      <c r="EB178" s="463"/>
      <c r="EC178" s="465"/>
      <c r="ED178" s="462"/>
      <c r="EE178" s="502"/>
      <c r="EF178" s="463"/>
      <c r="EG178" s="461"/>
      <c r="EH178" s="464"/>
      <c r="EI178" s="464"/>
      <c r="EJ178" s="464"/>
      <c r="EK178" s="464"/>
      <c r="EL178" s="464"/>
      <c r="EM178" s="464"/>
      <c r="EN178" s="464"/>
      <c r="EO178" s="464"/>
      <c r="EP178" s="464"/>
      <c r="EQ178" s="464"/>
      <c r="ER178" s="464"/>
      <c r="ES178" s="464"/>
      <c r="ET178" s="464"/>
      <c r="EU178" s="464"/>
      <c r="EV178" s="464"/>
      <c r="EW178" s="465"/>
      <c r="EX178" s="465"/>
      <c r="EY178" s="502"/>
      <c r="EZ178" s="460"/>
      <c r="FA178" s="464"/>
      <c r="FB178" s="464"/>
      <c r="FC178" s="464"/>
      <c r="FD178" s="464"/>
      <c r="FE178" s="464"/>
      <c r="FF178" s="464"/>
      <c r="FG178" s="466"/>
    </row>
    <row r="179" spans="1:163">
      <c r="A179" s="467" t="s">
        <v>370</v>
      </c>
      <c r="B179" s="471" t="str">
        <f>IF(ISNUMBER(MATCH(A179, 'Pulldown Data'!W:W, 0))=TRUE, "Y", IF(ISNUMBER(MATCH(A179, 'Pulldown Data'!X:X, 0))=TRUE, "M", ""))</f>
        <v/>
      </c>
      <c r="C179" s="504">
        <v>45630</v>
      </c>
      <c r="D179" s="502"/>
      <c r="E179" s="443" t="str">
        <f t="shared" si="170"/>
        <v>NO</v>
      </c>
      <c r="F179" s="444" t="str">
        <f t="shared" si="170"/>
        <v>NO</v>
      </c>
      <c r="G179" s="444" t="str">
        <f t="shared" si="170"/>
        <v>YES</v>
      </c>
      <c r="H179" s="444" t="str">
        <f t="shared" si="170"/>
        <v>YES</v>
      </c>
      <c r="I179" s="444" t="str">
        <f t="shared" si="170"/>
        <v>YES</v>
      </c>
      <c r="J179" s="444" t="str">
        <f t="shared" si="170"/>
        <v>YES</v>
      </c>
      <c r="K179" s="444" t="str">
        <f t="shared" si="170"/>
        <v>NO</v>
      </c>
      <c r="L179" s="444" t="str">
        <f t="shared" si="170"/>
        <v>NO</v>
      </c>
      <c r="M179" s="444" t="str">
        <f t="shared" si="170"/>
        <v>YES</v>
      </c>
      <c r="N179" s="444" t="str">
        <f t="shared" si="170"/>
        <v>NO</v>
      </c>
      <c r="O179" s="444" t="str">
        <f t="shared" si="171"/>
        <v>NO</v>
      </c>
      <c r="P179" s="444" t="str">
        <f t="shared" si="171"/>
        <v>NO</v>
      </c>
      <c r="Q179" s="444" t="str">
        <f t="shared" si="171"/>
        <v>NO</v>
      </c>
      <c r="R179" s="444" t="str">
        <f t="shared" si="171"/>
        <v>NO</v>
      </c>
      <c r="S179" s="444" t="str">
        <f t="shared" si="171"/>
        <v>NO</v>
      </c>
      <c r="T179" s="444" t="str">
        <f t="shared" si="171"/>
        <v>NO</v>
      </c>
      <c r="U179" s="444" t="str">
        <f t="shared" si="171"/>
        <v>NO</v>
      </c>
      <c r="V179" s="444" t="str">
        <f t="shared" si="171"/>
        <v>NO</v>
      </c>
      <c r="W179" s="444" t="str">
        <f t="shared" si="171"/>
        <v>YES</v>
      </c>
      <c r="X179" s="444" t="str">
        <f t="shared" si="171"/>
        <v>NO</v>
      </c>
      <c r="Y179" s="444" t="str">
        <f t="shared" si="172"/>
        <v>YES</v>
      </c>
      <c r="Z179" s="444" t="str">
        <f t="shared" si="172"/>
        <v>NO</v>
      </c>
      <c r="AA179" s="444" t="str">
        <f t="shared" si="172"/>
        <v>NO</v>
      </c>
      <c r="AB179" s="444" t="str">
        <f t="shared" si="172"/>
        <v>YES</v>
      </c>
      <c r="AC179" s="444" t="str">
        <f t="shared" si="172"/>
        <v>YES</v>
      </c>
      <c r="AD179" s="444" t="str">
        <f t="shared" si="172"/>
        <v>YES</v>
      </c>
      <c r="AE179" s="444" t="str">
        <f t="shared" si="172"/>
        <v>YES</v>
      </c>
      <c r="AF179" s="444" t="str">
        <f t="shared" si="172"/>
        <v>YES</v>
      </c>
      <c r="AG179" s="444" t="str">
        <f t="shared" si="172"/>
        <v>YES</v>
      </c>
      <c r="AH179" s="444" t="str">
        <f t="shared" si="172"/>
        <v>NO</v>
      </c>
      <c r="AI179" s="444" t="str">
        <f t="shared" si="173"/>
        <v>NO</v>
      </c>
      <c r="AJ179" s="444" t="str">
        <f t="shared" si="173"/>
        <v>NO</v>
      </c>
      <c r="AK179" s="444" t="str">
        <f t="shared" si="173"/>
        <v>YES</v>
      </c>
      <c r="AL179" s="444" t="str">
        <f t="shared" si="173"/>
        <v>NO</v>
      </c>
      <c r="AM179" s="444" t="str">
        <f t="shared" si="173"/>
        <v>NO</v>
      </c>
      <c r="AN179" s="444" t="str">
        <f t="shared" si="173"/>
        <v>YES</v>
      </c>
      <c r="AO179" s="444" t="str">
        <f t="shared" si="173"/>
        <v>YES</v>
      </c>
      <c r="AP179" s="444" t="str">
        <f t="shared" si="173"/>
        <v>NO</v>
      </c>
      <c r="AQ179" s="444" t="str">
        <f t="shared" si="173"/>
        <v>YES</v>
      </c>
      <c r="AR179" s="444" t="str">
        <f t="shared" si="173"/>
        <v>NO</v>
      </c>
      <c r="AS179" s="444" t="str">
        <f t="shared" si="174"/>
        <v>NO</v>
      </c>
      <c r="AT179" s="444" t="str">
        <f t="shared" si="174"/>
        <v>YES</v>
      </c>
      <c r="AU179" s="444" t="str">
        <f t="shared" si="174"/>
        <v>YES</v>
      </c>
      <c r="AV179" s="444" t="str">
        <f t="shared" si="174"/>
        <v>YES</v>
      </c>
      <c r="AW179" s="444" t="str">
        <f t="shared" si="174"/>
        <v>NO</v>
      </c>
      <c r="AX179" s="444" t="str">
        <f t="shared" si="174"/>
        <v>NO</v>
      </c>
      <c r="AY179" s="444" t="str">
        <f t="shared" si="174"/>
        <v>YES</v>
      </c>
      <c r="AZ179" s="444" t="str">
        <f t="shared" si="174"/>
        <v>YES</v>
      </c>
      <c r="BA179" s="444" t="str">
        <f t="shared" si="174"/>
        <v>NO</v>
      </c>
      <c r="BB179" s="444" t="str">
        <f t="shared" si="174"/>
        <v>NO</v>
      </c>
      <c r="BC179" s="444" t="str">
        <f t="shared" si="175"/>
        <v>NO</v>
      </c>
      <c r="BD179" s="444" t="str">
        <f t="shared" si="175"/>
        <v>NO</v>
      </c>
      <c r="BE179" s="444" t="str">
        <f t="shared" si="175"/>
        <v>NO</v>
      </c>
      <c r="BF179" s="444" t="str">
        <f t="shared" si="175"/>
        <v>YES</v>
      </c>
      <c r="BG179" s="444" t="str">
        <f t="shared" si="175"/>
        <v>NO</v>
      </c>
      <c r="BH179" s="445" t="str">
        <f t="shared" si="175"/>
        <v>NO</v>
      </c>
      <c r="BI179" s="502"/>
      <c r="BJ179" s="474" t="str">
        <f t="shared" si="176"/>
        <v>NO</v>
      </c>
      <c r="BK179" s="475" t="str">
        <f t="shared" si="176"/>
        <v>NO</v>
      </c>
      <c r="BL179" s="475" t="str">
        <f t="shared" si="176"/>
        <v>NO</v>
      </c>
      <c r="BM179" s="475" t="str">
        <f t="shared" si="176"/>
        <v>NO</v>
      </c>
      <c r="BN179" s="475" t="str">
        <f t="shared" si="176"/>
        <v>NO</v>
      </c>
      <c r="BO179" s="475" t="str">
        <f t="shared" si="176"/>
        <v>NO</v>
      </c>
      <c r="BP179" s="475" t="str">
        <f t="shared" si="176"/>
        <v>NO</v>
      </c>
      <c r="BQ179" s="475" t="str">
        <f t="shared" si="176"/>
        <v>NO</v>
      </c>
      <c r="BR179" s="475" t="str">
        <f t="shared" si="176"/>
        <v>NO</v>
      </c>
      <c r="BS179" s="475" t="str">
        <f t="shared" si="176"/>
        <v>NO</v>
      </c>
      <c r="BT179" s="475" t="str">
        <f t="shared" si="177"/>
        <v>NO</v>
      </c>
      <c r="BU179" s="475" t="str">
        <f t="shared" si="177"/>
        <v>NO</v>
      </c>
      <c r="BV179" s="475" t="str">
        <f t="shared" si="177"/>
        <v>NO</v>
      </c>
      <c r="BW179" s="475" t="str">
        <f t="shared" si="177"/>
        <v>NO</v>
      </c>
      <c r="BX179" s="475" t="str">
        <f t="shared" si="177"/>
        <v>NO</v>
      </c>
      <c r="BY179" s="475" t="str">
        <f t="shared" si="177"/>
        <v>NO</v>
      </c>
      <c r="BZ179" s="475" t="str">
        <f t="shared" si="177"/>
        <v>NO</v>
      </c>
      <c r="CA179" s="475" t="str">
        <f t="shared" si="177"/>
        <v>NO</v>
      </c>
      <c r="CB179" s="475" t="str">
        <f t="shared" si="177"/>
        <v>NO</v>
      </c>
      <c r="CC179" s="475" t="str">
        <f t="shared" si="177"/>
        <v>NO</v>
      </c>
      <c r="CD179" s="475" t="str">
        <f t="shared" si="178"/>
        <v>NO</v>
      </c>
      <c r="CE179" s="475" t="str">
        <f t="shared" si="178"/>
        <v>NO</v>
      </c>
      <c r="CF179" s="475" t="str">
        <f t="shared" si="178"/>
        <v>NO</v>
      </c>
      <c r="CG179" s="475" t="str">
        <f t="shared" si="178"/>
        <v>NO</v>
      </c>
      <c r="CH179" s="475" t="str">
        <f t="shared" si="178"/>
        <v>NO</v>
      </c>
      <c r="CI179" s="475" t="str">
        <f t="shared" si="178"/>
        <v>NO</v>
      </c>
      <c r="CJ179" s="475" t="str">
        <f t="shared" si="178"/>
        <v>NO</v>
      </c>
      <c r="CK179" s="475" t="str">
        <f t="shared" si="178"/>
        <v>NO</v>
      </c>
      <c r="CL179" s="475" t="str">
        <f t="shared" si="178"/>
        <v>NO</v>
      </c>
      <c r="CM179" s="475" t="str">
        <f t="shared" si="178"/>
        <v>NO</v>
      </c>
      <c r="CN179" s="475" t="str">
        <f t="shared" si="179"/>
        <v>NO</v>
      </c>
      <c r="CO179" s="475" t="str">
        <f t="shared" si="179"/>
        <v>NO</v>
      </c>
      <c r="CP179" s="475" t="str">
        <f t="shared" si="179"/>
        <v>NO</v>
      </c>
      <c r="CQ179" s="475" t="str">
        <f t="shared" si="179"/>
        <v>NO</v>
      </c>
      <c r="CR179" s="475" t="str">
        <f t="shared" si="179"/>
        <v>NO</v>
      </c>
      <c r="CS179" s="475" t="str">
        <f t="shared" si="179"/>
        <v>NO</v>
      </c>
      <c r="CT179" s="475" t="str">
        <f t="shared" si="179"/>
        <v>NO</v>
      </c>
      <c r="CU179" s="475" t="str">
        <f t="shared" si="179"/>
        <v>NO</v>
      </c>
      <c r="CV179" s="475" t="str">
        <f t="shared" si="179"/>
        <v>NO</v>
      </c>
      <c r="CW179" s="475" t="str">
        <f t="shared" si="179"/>
        <v>NO</v>
      </c>
      <c r="CX179" s="475" t="str">
        <f t="shared" si="179"/>
        <v>NO</v>
      </c>
      <c r="CY179" s="475" t="str">
        <f t="shared" si="179"/>
        <v>NO</v>
      </c>
      <c r="CZ179" s="495" t="str">
        <f t="shared" si="179"/>
        <v>NO</v>
      </c>
      <c r="DA179" s="502"/>
      <c r="DB179" s="460"/>
      <c r="DC179" s="465"/>
      <c r="DD179" s="463"/>
      <c r="DE179" s="512"/>
      <c r="DF179" s="516"/>
      <c r="DG179" s="508"/>
      <c r="DH179" s="463"/>
      <c r="DI179" s="461"/>
      <c r="DJ179" s="461"/>
      <c r="DK179" s="461"/>
      <c r="DL179" s="464"/>
      <c r="DM179" s="466"/>
      <c r="DN179" s="502"/>
      <c r="DO179" s="460"/>
      <c r="DP179" s="464"/>
      <c r="DQ179" s="464"/>
      <c r="DR179" s="464"/>
      <c r="DS179" s="508"/>
      <c r="DT179" s="525"/>
      <c r="DU179" s="525"/>
      <c r="DV179" s="463"/>
      <c r="DW179" s="464"/>
      <c r="DX179" s="465"/>
      <c r="DY179" s="463"/>
      <c r="DZ179" s="464"/>
      <c r="EA179" s="465"/>
      <c r="EB179" s="463"/>
      <c r="EC179" s="465"/>
      <c r="ED179" s="462"/>
      <c r="EE179" s="502"/>
      <c r="EF179" s="463"/>
      <c r="EG179" s="461"/>
      <c r="EH179" s="464"/>
      <c r="EI179" s="464"/>
      <c r="EJ179" s="464"/>
      <c r="EK179" s="464"/>
      <c r="EL179" s="464"/>
      <c r="EM179" s="464"/>
      <c r="EN179" s="464"/>
      <c r="EO179" s="464"/>
      <c r="EP179" s="464"/>
      <c r="EQ179" s="464"/>
      <c r="ER179" s="464"/>
      <c r="ES179" s="464"/>
      <c r="ET179" s="464"/>
      <c r="EU179" s="464"/>
      <c r="EV179" s="464"/>
      <c r="EW179" s="465"/>
      <c r="EX179" s="465"/>
      <c r="EY179" s="502"/>
      <c r="EZ179" s="460"/>
      <c r="FA179" s="464"/>
      <c r="FB179" s="464"/>
      <c r="FC179" s="464"/>
      <c r="FD179" s="464"/>
      <c r="FE179" s="464"/>
      <c r="FF179" s="464"/>
      <c r="FG179" s="466"/>
    </row>
    <row r="180" spans="1:163">
      <c r="A180" s="467" t="s">
        <v>371</v>
      </c>
      <c r="B180" s="471" t="str">
        <f>IF(ISNUMBER(MATCH(A180, 'Pulldown Data'!W:W, 0))=TRUE, "Y", IF(ISNUMBER(MATCH(A180, 'Pulldown Data'!X:X, 0))=TRUE, "M", ""))</f>
        <v/>
      </c>
      <c r="C180" s="504"/>
      <c r="D180" s="502"/>
      <c r="E180" s="443" t="str">
        <f t="shared" si="170"/>
        <v/>
      </c>
      <c r="F180" s="444" t="str">
        <f t="shared" si="170"/>
        <v/>
      </c>
      <c r="G180" s="444" t="str">
        <f t="shared" si="170"/>
        <v/>
      </c>
      <c r="H180" s="444" t="str">
        <f t="shared" si="170"/>
        <v/>
      </c>
      <c r="I180" s="444" t="str">
        <f t="shared" si="170"/>
        <v/>
      </c>
      <c r="J180" s="444" t="str">
        <f t="shared" si="170"/>
        <v/>
      </c>
      <c r="K180" s="444" t="str">
        <f t="shared" si="170"/>
        <v/>
      </c>
      <c r="L180" s="444" t="str">
        <f t="shared" si="170"/>
        <v/>
      </c>
      <c r="M180" s="444" t="str">
        <f t="shared" si="170"/>
        <v/>
      </c>
      <c r="N180" s="444" t="str">
        <f t="shared" si="170"/>
        <v/>
      </c>
      <c r="O180" s="444" t="str">
        <f t="shared" si="171"/>
        <v/>
      </c>
      <c r="P180" s="444" t="str">
        <f t="shared" si="171"/>
        <v/>
      </c>
      <c r="Q180" s="444" t="str">
        <f t="shared" si="171"/>
        <v/>
      </c>
      <c r="R180" s="444" t="str">
        <f t="shared" si="171"/>
        <v/>
      </c>
      <c r="S180" s="444" t="str">
        <f t="shared" si="171"/>
        <v/>
      </c>
      <c r="T180" s="444" t="str">
        <f t="shared" si="171"/>
        <v/>
      </c>
      <c r="U180" s="444" t="str">
        <f t="shared" si="171"/>
        <v/>
      </c>
      <c r="V180" s="444" t="str">
        <f t="shared" si="171"/>
        <v/>
      </c>
      <c r="W180" s="444" t="str">
        <f t="shared" si="171"/>
        <v/>
      </c>
      <c r="X180" s="444" t="str">
        <f t="shared" si="171"/>
        <v/>
      </c>
      <c r="Y180" s="444" t="str">
        <f t="shared" si="172"/>
        <v/>
      </c>
      <c r="Z180" s="444" t="str">
        <f t="shared" si="172"/>
        <v/>
      </c>
      <c r="AA180" s="444" t="str">
        <f t="shared" si="172"/>
        <v/>
      </c>
      <c r="AB180" s="444" t="str">
        <f t="shared" si="172"/>
        <v/>
      </c>
      <c r="AC180" s="444" t="str">
        <f t="shared" si="172"/>
        <v/>
      </c>
      <c r="AD180" s="444" t="str">
        <f t="shared" si="172"/>
        <v/>
      </c>
      <c r="AE180" s="444" t="str">
        <f t="shared" si="172"/>
        <v/>
      </c>
      <c r="AF180" s="444" t="str">
        <f t="shared" si="172"/>
        <v/>
      </c>
      <c r="AG180" s="444" t="str">
        <f t="shared" si="172"/>
        <v/>
      </c>
      <c r="AH180" s="444" t="str">
        <f t="shared" si="172"/>
        <v/>
      </c>
      <c r="AI180" s="444" t="str">
        <f t="shared" si="173"/>
        <v/>
      </c>
      <c r="AJ180" s="444" t="str">
        <f t="shared" si="173"/>
        <v/>
      </c>
      <c r="AK180" s="444" t="str">
        <f t="shared" si="173"/>
        <v/>
      </c>
      <c r="AL180" s="444" t="str">
        <f t="shared" si="173"/>
        <v/>
      </c>
      <c r="AM180" s="444" t="str">
        <f t="shared" si="173"/>
        <v/>
      </c>
      <c r="AN180" s="444" t="str">
        <f t="shared" si="173"/>
        <v/>
      </c>
      <c r="AO180" s="444" t="str">
        <f t="shared" si="173"/>
        <v/>
      </c>
      <c r="AP180" s="444" t="str">
        <f t="shared" si="173"/>
        <v/>
      </c>
      <c r="AQ180" s="444" t="str">
        <f t="shared" si="173"/>
        <v/>
      </c>
      <c r="AR180" s="444" t="str">
        <f t="shared" si="173"/>
        <v/>
      </c>
      <c r="AS180" s="444" t="str">
        <f t="shared" si="174"/>
        <v/>
      </c>
      <c r="AT180" s="444" t="str">
        <f t="shared" si="174"/>
        <v/>
      </c>
      <c r="AU180" s="444" t="str">
        <f t="shared" si="174"/>
        <v/>
      </c>
      <c r="AV180" s="444" t="str">
        <f t="shared" si="174"/>
        <v/>
      </c>
      <c r="AW180" s="444" t="str">
        <f t="shared" si="174"/>
        <v/>
      </c>
      <c r="AX180" s="444" t="str">
        <f t="shared" si="174"/>
        <v/>
      </c>
      <c r="AY180" s="444" t="str">
        <f t="shared" si="174"/>
        <v/>
      </c>
      <c r="AZ180" s="444" t="str">
        <f t="shared" si="174"/>
        <v/>
      </c>
      <c r="BA180" s="444" t="str">
        <f t="shared" si="174"/>
        <v/>
      </c>
      <c r="BB180" s="444" t="str">
        <f t="shared" si="174"/>
        <v/>
      </c>
      <c r="BC180" s="444" t="str">
        <f t="shared" si="175"/>
        <v/>
      </c>
      <c r="BD180" s="444" t="str">
        <f t="shared" si="175"/>
        <v/>
      </c>
      <c r="BE180" s="444" t="str">
        <f t="shared" si="175"/>
        <v/>
      </c>
      <c r="BF180" s="444" t="str">
        <f t="shared" si="175"/>
        <v/>
      </c>
      <c r="BG180" s="444" t="str">
        <f t="shared" si="175"/>
        <v/>
      </c>
      <c r="BH180" s="445" t="str">
        <f t="shared" si="175"/>
        <v/>
      </c>
      <c r="BI180" s="502"/>
      <c r="BJ180" s="474" t="str">
        <f t="shared" si="176"/>
        <v/>
      </c>
      <c r="BK180" s="475" t="str">
        <f t="shared" si="176"/>
        <v/>
      </c>
      <c r="BL180" s="475" t="str">
        <f t="shared" si="176"/>
        <v/>
      </c>
      <c r="BM180" s="475" t="str">
        <f t="shared" si="176"/>
        <v/>
      </c>
      <c r="BN180" s="475" t="str">
        <f t="shared" si="176"/>
        <v/>
      </c>
      <c r="BO180" s="475" t="str">
        <f t="shared" si="176"/>
        <v/>
      </c>
      <c r="BP180" s="475" t="str">
        <f t="shared" si="176"/>
        <v/>
      </c>
      <c r="BQ180" s="475" t="str">
        <f t="shared" si="176"/>
        <v/>
      </c>
      <c r="BR180" s="475" t="str">
        <f t="shared" si="176"/>
        <v/>
      </c>
      <c r="BS180" s="475" t="str">
        <f t="shared" si="176"/>
        <v/>
      </c>
      <c r="BT180" s="475" t="str">
        <f t="shared" si="177"/>
        <v/>
      </c>
      <c r="BU180" s="475" t="str">
        <f t="shared" si="177"/>
        <v/>
      </c>
      <c r="BV180" s="475" t="str">
        <f t="shared" si="177"/>
        <v/>
      </c>
      <c r="BW180" s="475" t="str">
        <f t="shared" si="177"/>
        <v/>
      </c>
      <c r="BX180" s="475" t="str">
        <f t="shared" si="177"/>
        <v/>
      </c>
      <c r="BY180" s="475" t="str">
        <f t="shared" si="177"/>
        <v/>
      </c>
      <c r="BZ180" s="475" t="str">
        <f t="shared" si="177"/>
        <v/>
      </c>
      <c r="CA180" s="475" t="str">
        <f t="shared" si="177"/>
        <v/>
      </c>
      <c r="CB180" s="475" t="str">
        <f t="shared" si="177"/>
        <v/>
      </c>
      <c r="CC180" s="475" t="str">
        <f t="shared" si="177"/>
        <v/>
      </c>
      <c r="CD180" s="475" t="str">
        <f t="shared" si="178"/>
        <v/>
      </c>
      <c r="CE180" s="475" t="str">
        <f t="shared" si="178"/>
        <v/>
      </c>
      <c r="CF180" s="475" t="str">
        <f t="shared" si="178"/>
        <v/>
      </c>
      <c r="CG180" s="475" t="str">
        <f t="shared" si="178"/>
        <v/>
      </c>
      <c r="CH180" s="475" t="str">
        <f t="shared" si="178"/>
        <v/>
      </c>
      <c r="CI180" s="475" t="str">
        <f t="shared" si="178"/>
        <v/>
      </c>
      <c r="CJ180" s="475" t="str">
        <f t="shared" si="178"/>
        <v/>
      </c>
      <c r="CK180" s="475" t="str">
        <f t="shared" si="178"/>
        <v/>
      </c>
      <c r="CL180" s="475" t="str">
        <f t="shared" si="178"/>
        <v/>
      </c>
      <c r="CM180" s="475" t="str">
        <f t="shared" si="178"/>
        <v/>
      </c>
      <c r="CN180" s="475" t="str">
        <f t="shared" si="179"/>
        <v/>
      </c>
      <c r="CO180" s="475" t="str">
        <f t="shared" si="179"/>
        <v/>
      </c>
      <c r="CP180" s="475" t="str">
        <f t="shared" si="179"/>
        <v/>
      </c>
      <c r="CQ180" s="475" t="str">
        <f t="shared" si="179"/>
        <v/>
      </c>
      <c r="CR180" s="475" t="str">
        <f t="shared" si="179"/>
        <v/>
      </c>
      <c r="CS180" s="475" t="str">
        <f t="shared" si="179"/>
        <v/>
      </c>
      <c r="CT180" s="475" t="str">
        <f t="shared" si="179"/>
        <v/>
      </c>
      <c r="CU180" s="475" t="str">
        <f t="shared" si="179"/>
        <v/>
      </c>
      <c r="CV180" s="475" t="str">
        <f t="shared" si="179"/>
        <v/>
      </c>
      <c r="CW180" s="475" t="str">
        <f t="shared" si="179"/>
        <v/>
      </c>
      <c r="CX180" s="475" t="str">
        <f t="shared" si="179"/>
        <v/>
      </c>
      <c r="CY180" s="475" t="str">
        <f t="shared" si="179"/>
        <v/>
      </c>
      <c r="CZ180" s="495" t="str">
        <f t="shared" si="179"/>
        <v/>
      </c>
      <c r="DA180" s="502"/>
      <c r="DB180" s="460"/>
      <c r="DC180" s="465"/>
      <c r="DD180" s="463"/>
      <c r="DE180" s="512"/>
      <c r="DF180" s="516"/>
      <c r="DG180" s="508"/>
      <c r="DH180" s="463"/>
      <c r="DI180" s="461"/>
      <c r="DJ180" s="461"/>
      <c r="DK180" s="461"/>
      <c r="DL180" s="464"/>
      <c r="DM180" s="466"/>
      <c r="DN180" s="502"/>
      <c r="DO180" s="460"/>
      <c r="DP180" s="464"/>
      <c r="DQ180" s="464"/>
      <c r="DR180" s="464"/>
      <c r="DS180" s="508"/>
      <c r="DT180" s="525"/>
      <c r="DU180" s="525"/>
      <c r="DV180" s="463"/>
      <c r="DW180" s="464"/>
      <c r="DX180" s="465"/>
      <c r="DY180" s="463"/>
      <c r="DZ180" s="464"/>
      <c r="EA180" s="465"/>
      <c r="EB180" s="463"/>
      <c r="EC180" s="465"/>
      <c r="ED180" s="462"/>
      <c r="EE180" s="502"/>
      <c r="EF180" s="463"/>
      <c r="EG180" s="461"/>
      <c r="EH180" s="464"/>
      <c r="EI180" s="464"/>
      <c r="EJ180" s="464"/>
      <c r="EK180" s="464"/>
      <c r="EL180" s="464"/>
      <c r="EM180" s="464"/>
      <c r="EN180" s="464"/>
      <c r="EO180" s="464"/>
      <c r="EP180" s="464"/>
      <c r="EQ180" s="464"/>
      <c r="ER180" s="464"/>
      <c r="ES180" s="464"/>
      <c r="ET180" s="464"/>
      <c r="EU180" s="464"/>
      <c r="EV180" s="464"/>
      <c r="EW180" s="465"/>
      <c r="EX180" s="465"/>
      <c r="EY180" s="502"/>
      <c r="EZ180" s="460"/>
      <c r="FA180" s="464"/>
      <c r="FB180" s="464"/>
      <c r="FC180" s="464"/>
      <c r="FD180" s="464"/>
      <c r="FE180" s="464"/>
      <c r="FF180" s="464"/>
      <c r="FG180" s="466"/>
    </row>
    <row r="181" spans="1:163">
      <c r="A181" s="467" t="s">
        <v>372</v>
      </c>
      <c r="B181" s="471" t="str">
        <f>IF(ISNUMBER(MATCH(A181, 'Pulldown Data'!W:W, 0))=TRUE, "Y", IF(ISNUMBER(MATCH(A181, 'Pulldown Data'!X:X, 0))=TRUE, "M", ""))</f>
        <v/>
      </c>
      <c r="C181" s="504"/>
      <c r="D181" s="502"/>
      <c r="E181" s="443" t="str">
        <f t="shared" si="170"/>
        <v/>
      </c>
      <c r="F181" s="444" t="str">
        <f t="shared" si="170"/>
        <v/>
      </c>
      <c r="G181" s="444" t="str">
        <f t="shared" si="170"/>
        <v/>
      </c>
      <c r="H181" s="444" t="str">
        <f t="shared" si="170"/>
        <v/>
      </c>
      <c r="I181" s="444" t="str">
        <f t="shared" si="170"/>
        <v/>
      </c>
      <c r="J181" s="444" t="str">
        <f t="shared" si="170"/>
        <v/>
      </c>
      <c r="K181" s="444" t="str">
        <f t="shared" si="170"/>
        <v/>
      </c>
      <c r="L181" s="444" t="str">
        <f t="shared" si="170"/>
        <v/>
      </c>
      <c r="M181" s="444" t="str">
        <f t="shared" si="170"/>
        <v/>
      </c>
      <c r="N181" s="444" t="str">
        <f t="shared" si="170"/>
        <v/>
      </c>
      <c r="O181" s="444" t="str">
        <f t="shared" si="171"/>
        <v/>
      </c>
      <c r="P181" s="444" t="str">
        <f t="shared" si="171"/>
        <v/>
      </c>
      <c r="Q181" s="444" t="str">
        <f t="shared" si="171"/>
        <v/>
      </c>
      <c r="R181" s="444" t="str">
        <f t="shared" si="171"/>
        <v/>
      </c>
      <c r="S181" s="444" t="str">
        <f t="shared" si="171"/>
        <v/>
      </c>
      <c r="T181" s="444" t="str">
        <f t="shared" si="171"/>
        <v/>
      </c>
      <c r="U181" s="444" t="str">
        <f t="shared" si="171"/>
        <v/>
      </c>
      <c r="V181" s="444" t="str">
        <f t="shared" si="171"/>
        <v/>
      </c>
      <c r="W181" s="444" t="str">
        <f t="shared" si="171"/>
        <v/>
      </c>
      <c r="X181" s="444" t="str">
        <f t="shared" si="171"/>
        <v/>
      </c>
      <c r="Y181" s="444" t="str">
        <f t="shared" si="172"/>
        <v/>
      </c>
      <c r="Z181" s="444" t="str">
        <f t="shared" si="172"/>
        <v/>
      </c>
      <c r="AA181" s="444" t="str">
        <f t="shared" si="172"/>
        <v/>
      </c>
      <c r="AB181" s="444" t="str">
        <f t="shared" si="172"/>
        <v/>
      </c>
      <c r="AC181" s="444" t="str">
        <f t="shared" si="172"/>
        <v/>
      </c>
      <c r="AD181" s="444" t="str">
        <f t="shared" si="172"/>
        <v/>
      </c>
      <c r="AE181" s="444" t="str">
        <f t="shared" si="172"/>
        <v/>
      </c>
      <c r="AF181" s="444" t="str">
        <f t="shared" si="172"/>
        <v/>
      </c>
      <c r="AG181" s="444" t="str">
        <f t="shared" si="172"/>
        <v/>
      </c>
      <c r="AH181" s="444" t="str">
        <f t="shared" si="172"/>
        <v/>
      </c>
      <c r="AI181" s="444" t="str">
        <f t="shared" si="173"/>
        <v/>
      </c>
      <c r="AJ181" s="444" t="str">
        <f t="shared" si="173"/>
        <v/>
      </c>
      <c r="AK181" s="444" t="str">
        <f t="shared" si="173"/>
        <v/>
      </c>
      <c r="AL181" s="444" t="str">
        <f t="shared" si="173"/>
        <v/>
      </c>
      <c r="AM181" s="444" t="str">
        <f t="shared" si="173"/>
        <v/>
      </c>
      <c r="AN181" s="444" t="str">
        <f t="shared" si="173"/>
        <v/>
      </c>
      <c r="AO181" s="444" t="str">
        <f t="shared" si="173"/>
        <v/>
      </c>
      <c r="AP181" s="444" t="str">
        <f t="shared" si="173"/>
        <v/>
      </c>
      <c r="AQ181" s="444" t="str">
        <f t="shared" si="173"/>
        <v/>
      </c>
      <c r="AR181" s="444" t="str">
        <f t="shared" si="173"/>
        <v/>
      </c>
      <c r="AS181" s="444" t="str">
        <f t="shared" si="174"/>
        <v/>
      </c>
      <c r="AT181" s="444" t="str">
        <f t="shared" si="174"/>
        <v/>
      </c>
      <c r="AU181" s="444" t="str">
        <f t="shared" si="174"/>
        <v/>
      </c>
      <c r="AV181" s="444" t="str">
        <f t="shared" si="174"/>
        <v/>
      </c>
      <c r="AW181" s="444" t="str">
        <f t="shared" si="174"/>
        <v/>
      </c>
      <c r="AX181" s="444" t="str">
        <f t="shared" si="174"/>
        <v/>
      </c>
      <c r="AY181" s="444" t="str">
        <f t="shared" si="174"/>
        <v/>
      </c>
      <c r="AZ181" s="444" t="str">
        <f t="shared" si="174"/>
        <v/>
      </c>
      <c r="BA181" s="444" t="str">
        <f t="shared" si="174"/>
        <v/>
      </c>
      <c r="BB181" s="444" t="str">
        <f t="shared" si="174"/>
        <v/>
      </c>
      <c r="BC181" s="444" t="str">
        <f t="shared" si="175"/>
        <v/>
      </c>
      <c r="BD181" s="444" t="str">
        <f t="shared" si="175"/>
        <v/>
      </c>
      <c r="BE181" s="444" t="str">
        <f t="shared" si="175"/>
        <v/>
      </c>
      <c r="BF181" s="444" t="str">
        <f t="shared" si="175"/>
        <v/>
      </c>
      <c r="BG181" s="444" t="str">
        <f t="shared" si="175"/>
        <v/>
      </c>
      <c r="BH181" s="445" t="str">
        <f t="shared" si="175"/>
        <v/>
      </c>
      <c r="BI181" s="502"/>
      <c r="BJ181" s="474" t="str">
        <f t="shared" si="176"/>
        <v/>
      </c>
      <c r="BK181" s="475" t="str">
        <f t="shared" si="176"/>
        <v/>
      </c>
      <c r="BL181" s="475" t="str">
        <f t="shared" si="176"/>
        <v/>
      </c>
      <c r="BM181" s="475" t="str">
        <f t="shared" si="176"/>
        <v/>
      </c>
      <c r="BN181" s="475" t="str">
        <f t="shared" si="176"/>
        <v/>
      </c>
      <c r="BO181" s="475" t="str">
        <f t="shared" si="176"/>
        <v/>
      </c>
      <c r="BP181" s="475" t="str">
        <f t="shared" si="176"/>
        <v/>
      </c>
      <c r="BQ181" s="475" t="str">
        <f t="shared" si="176"/>
        <v/>
      </c>
      <c r="BR181" s="475" t="str">
        <f t="shared" si="176"/>
        <v/>
      </c>
      <c r="BS181" s="475" t="str">
        <f t="shared" si="176"/>
        <v/>
      </c>
      <c r="BT181" s="475" t="str">
        <f t="shared" si="177"/>
        <v/>
      </c>
      <c r="BU181" s="475" t="str">
        <f t="shared" si="177"/>
        <v/>
      </c>
      <c r="BV181" s="475" t="str">
        <f t="shared" si="177"/>
        <v/>
      </c>
      <c r="BW181" s="475" t="str">
        <f t="shared" si="177"/>
        <v/>
      </c>
      <c r="BX181" s="475" t="str">
        <f t="shared" si="177"/>
        <v/>
      </c>
      <c r="BY181" s="475" t="str">
        <f t="shared" si="177"/>
        <v/>
      </c>
      <c r="BZ181" s="475" t="str">
        <f t="shared" si="177"/>
        <v/>
      </c>
      <c r="CA181" s="475" t="str">
        <f t="shared" si="177"/>
        <v/>
      </c>
      <c r="CB181" s="475" t="str">
        <f t="shared" si="177"/>
        <v/>
      </c>
      <c r="CC181" s="475" t="str">
        <f t="shared" si="177"/>
        <v/>
      </c>
      <c r="CD181" s="475" t="str">
        <f t="shared" si="178"/>
        <v/>
      </c>
      <c r="CE181" s="475" t="str">
        <f t="shared" si="178"/>
        <v/>
      </c>
      <c r="CF181" s="475" t="str">
        <f t="shared" si="178"/>
        <v/>
      </c>
      <c r="CG181" s="475" t="str">
        <f t="shared" si="178"/>
        <v/>
      </c>
      <c r="CH181" s="475" t="str">
        <f t="shared" si="178"/>
        <v/>
      </c>
      <c r="CI181" s="475" t="str">
        <f t="shared" si="178"/>
        <v/>
      </c>
      <c r="CJ181" s="475" t="str">
        <f t="shared" si="178"/>
        <v/>
      </c>
      <c r="CK181" s="475" t="str">
        <f t="shared" si="178"/>
        <v/>
      </c>
      <c r="CL181" s="475" t="str">
        <f t="shared" si="178"/>
        <v/>
      </c>
      <c r="CM181" s="475" t="str">
        <f t="shared" si="178"/>
        <v/>
      </c>
      <c r="CN181" s="475" t="str">
        <f t="shared" si="179"/>
        <v/>
      </c>
      <c r="CO181" s="475" t="str">
        <f t="shared" si="179"/>
        <v/>
      </c>
      <c r="CP181" s="475" t="str">
        <f t="shared" si="179"/>
        <v/>
      </c>
      <c r="CQ181" s="475" t="str">
        <f t="shared" si="179"/>
        <v/>
      </c>
      <c r="CR181" s="475" t="str">
        <f t="shared" si="179"/>
        <v/>
      </c>
      <c r="CS181" s="475" t="str">
        <f t="shared" si="179"/>
        <v/>
      </c>
      <c r="CT181" s="475" t="str">
        <f t="shared" si="179"/>
        <v/>
      </c>
      <c r="CU181" s="475" t="str">
        <f t="shared" si="179"/>
        <v/>
      </c>
      <c r="CV181" s="475" t="str">
        <f t="shared" si="179"/>
        <v/>
      </c>
      <c r="CW181" s="475" t="str">
        <f t="shared" si="179"/>
        <v/>
      </c>
      <c r="CX181" s="475" t="str">
        <f t="shared" si="179"/>
        <v/>
      </c>
      <c r="CY181" s="475" t="str">
        <f t="shared" si="179"/>
        <v/>
      </c>
      <c r="CZ181" s="495" t="str">
        <f t="shared" si="179"/>
        <v/>
      </c>
      <c r="DA181" s="502"/>
      <c r="DB181" s="460"/>
      <c r="DC181" s="465"/>
      <c r="DD181" s="463"/>
      <c r="DE181" s="512"/>
      <c r="DF181" s="516"/>
      <c r="DG181" s="508"/>
      <c r="DH181" s="463"/>
      <c r="DI181" s="461"/>
      <c r="DJ181" s="461"/>
      <c r="DK181" s="461"/>
      <c r="DL181" s="464"/>
      <c r="DM181" s="466"/>
      <c r="DN181" s="502"/>
      <c r="DO181" s="460"/>
      <c r="DP181" s="464"/>
      <c r="DQ181" s="464"/>
      <c r="DR181" s="464"/>
      <c r="DS181" s="508"/>
      <c r="DT181" s="525"/>
      <c r="DU181" s="525"/>
      <c r="DV181" s="463"/>
      <c r="DW181" s="464"/>
      <c r="DX181" s="465"/>
      <c r="DY181" s="463"/>
      <c r="DZ181" s="464"/>
      <c r="EA181" s="465"/>
      <c r="EB181" s="463"/>
      <c r="EC181" s="465"/>
      <c r="ED181" s="462"/>
      <c r="EE181" s="502"/>
      <c r="EF181" s="463"/>
      <c r="EG181" s="461"/>
      <c r="EH181" s="464"/>
      <c r="EI181" s="464"/>
      <c r="EJ181" s="464"/>
      <c r="EK181" s="464"/>
      <c r="EL181" s="464"/>
      <c r="EM181" s="464"/>
      <c r="EN181" s="464"/>
      <c r="EO181" s="464"/>
      <c r="EP181" s="464"/>
      <c r="EQ181" s="464"/>
      <c r="ER181" s="464"/>
      <c r="ES181" s="464"/>
      <c r="ET181" s="464"/>
      <c r="EU181" s="464"/>
      <c r="EV181" s="464"/>
      <c r="EW181" s="465"/>
      <c r="EX181" s="465"/>
      <c r="EY181" s="502"/>
      <c r="EZ181" s="460"/>
      <c r="FA181" s="464"/>
      <c r="FB181" s="464"/>
      <c r="FC181" s="464"/>
      <c r="FD181" s="464"/>
      <c r="FE181" s="464"/>
      <c r="FF181" s="464"/>
      <c r="FG181" s="466"/>
    </row>
    <row r="182" spans="1:163">
      <c r="A182" s="467" t="s">
        <v>373</v>
      </c>
      <c r="B182" s="471" t="str">
        <f>IF(ISNUMBER(MATCH(A182, 'Pulldown Data'!W:W, 0))=TRUE, "Y", IF(ISNUMBER(MATCH(A182, 'Pulldown Data'!X:X, 0))=TRUE, "M", ""))</f>
        <v/>
      </c>
      <c r="C182" s="504">
        <v>45630</v>
      </c>
      <c r="D182" s="502"/>
      <c r="E182" s="443" t="str">
        <f t="shared" ref="E182:N191" si="180" xml:space="preserve">
IFERROR(
_xlfn.IFNA(
   IF($B182="PLT",
      IF(INDEX(PRJGENVersions, MATCH(TRIM(E$1), PRJGENAlgosMapped, 0), MATCH($A182, PRJGENProjects, 0)), "YES", ""),
      IF(INDEX(RoadmapData, MATCH(TRIM(E$1), RoadmapDataFeatures, 0), MATCH($A182, RoadmapDataProjects, 0)) = "-", "-", INDEX(RoadmapData, MATCH(TRIM(E$1), RoadmapDataFeatures, 0), MATCH($A182, RoadmapDataProjects, 0)))),
""),
"")</f>
        <v>NO</v>
      </c>
      <c r="F182" s="444" t="str">
        <f t="shared" si="180"/>
        <v>NO</v>
      </c>
      <c r="G182" s="444" t="str">
        <f t="shared" si="180"/>
        <v>YES</v>
      </c>
      <c r="H182" s="444" t="str">
        <f t="shared" si="180"/>
        <v>YES</v>
      </c>
      <c r="I182" s="444" t="str">
        <f t="shared" si="180"/>
        <v>YES</v>
      </c>
      <c r="J182" s="444" t="str">
        <f t="shared" si="180"/>
        <v>YES</v>
      </c>
      <c r="K182" s="444" t="str">
        <f t="shared" si="180"/>
        <v>NO</v>
      </c>
      <c r="L182" s="444" t="str">
        <f t="shared" si="180"/>
        <v>NO</v>
      </c>
      <c r="M182" s="444" t="str">
        <f t="shared" si="180"/>
        <v>YES</v>
      </c>
      <c r="N182" s="444" t="str">
        <f t="shared" si="180"/>
        <v>NO</v>
      </c>
      <c r="O182" s="444" t="str">
        <f t="shared" ref="O182:X191" si="181" xml:space="preserve">
IFERROR(
_xlfn.IFNA(
   IF($B182="PLT",
      IF(INDEX(PRJGENVersions, MATCH(TRIM(O$1), PRJGENAlgosMapped, 0), MATCH($A182, PRJGENProjects, 0)), "YES", ""),
      IF(INDEX(RoadmapData, MATCH(TRIM(O$1), RoadmapDataFeatures, 0), MATCH($A182, RoadmapDataProjects, 0)) = "-", "-", INDEX(RoadmapData, MATCH(TRIM(O$1), RoadmapDataFeatures, 0), MATCH($A182, RoadmapDataProjects, 0)))),
""),
"")</f>
        <v>NO</v>
      </c>
      <c r="P182" s="444" t="str">
        <f t="shared" si="181"/>
        <v>YES</v>
      </c>
      <c r="Q182" s="444" t="str">
        <f t="shared" si="181"/>
        <v>NO</v>
      </c>
      <c r="R182" s="444" t="str">
        <f t="shared" si="181"/>
        <v>NO</v>
      </c>
      <c r="S182" s="444" t="str">
        <f t="shared" si="181"/>
        <v>NO</v>
      </c>
      <c r="T182" s="444" t="str">
        <f t="shared" si="181"/>
        <v>NO</v>
      </c>
      <c r="U182" s="444" t="str">
        <f t="shared" si="181"/>
        <v>YES</v>
      </c>
      <c r="V182" s="444" t="str">
        <f t="shared" si="181"/>
        <v>YES</v>
      </c>
      <c r="W182" s="444" t="str">
        <f t="shared" si="181"/>
        <v>DEP</v>
      </c>
      <c r="X182" s="444" t="str">
        <f t="shared" si="181"/>
        <v>NO</v>
      </c>
      <c r="Y182" s="444" t="str">
        <f t="shared" ref="Y182:AH191" si="182" xml:space="preserve">
IFERROR(
_xlfn.IFNA(
   IF($B182="PLT",
      IF(INDEX(PRJGENVersions, MATCH(TRIM(Y$1), PRJGENAlgosMapped, 0), MATCH($A182, PRJGENProjects, 0)), "YES", ""),
      IF(INDEX(RoadmapData, MATCH(TRIM(Y$1), RoadmapDataFeatures, 0), MATCH($A182, RoadmapDataProjects, 0)) = "-", "-", INDEX(RoadmapData, MATCH(TRIM(Y$1), RoadmapDataFeatures, 0), MATCH($A182, RoadmapDataProjects, 0)))),
""),
"")</f>
        <v>NO</v>
      </c>
      <c r="Z182" s="444" t="str">
        <f t="shared" si="182"/>
        <v>NO</v>
      </c>
      <c r="AA182" s="444" t="str">
        <f t="shared" si="182"/>
        <v>NO</v>
      </c>
      <c r="AB182" s="444" t="str">
        <f t="shared" si="182"/>
        <v>NO</v>
      </c>
      <c r="AC182" s="444" t="str">
        <f t="shared" si="182"/>
        <v>NO</v>
      </c>
      <c r="AD182" s="444" t="str">
        <f t="shared" si="182"/>
        <v>NO</v>
      </c>
      <c r="AE182" s="444" t="str">
        <f t="shared" si="182"/>
        <v>YES</v>
      </c>
      <c r="AF182" s="444" t="str">
        <f t="shared" si="182"/>
        <v>YES</v>
      </c>
      <c r="AG182" s="444" t="str">
        <f t="shared" si="182"/>
        <v>YES</v>
      </c>
      <c r="AH182" s="444" t="str">
        <f t="shared" si="182"/>
        <v>YES</v>
      </c>
      <c r="AI182" s="444" t="str">
        <f t="shared" ref="AI182:AR191" si="183" xml:space="preserve">
IFERROR(
_xlfn.IFNA(
   IF($B182="PLT",
      IF(INDEX(PRJGENVersions, MATCH(TRIM(AI$1), PRJGENAlgosMapped, 0), MATCH($A182, PRJGENProjects, 0)), "YES", ""),
      IF(INDEX(RoadmapData, MATCH(TRIM(AI$1), RoadmapDataFeatures, 0), MATCH($A182, RoadmapDataProjects, 0)) = "-", "-", INDEX(RoadmapData, MATCH(TRIM(AI$1), RoadmapDataFeatures, 0), MATCH($A182, RoadmapDataProjects, 0)))),
""),
"")</f>
        <v>NO</v>
      </c>
      <c r="AJ182" s="444" t="str">
        <f t="shared" si="183"/>
        <v>NO</v>
      </c>
      <c r="AK182" s="444" t="str">
        <f t="shared" si="183"/>
        <v>YES</v>
      </c>
      <c r="AL182" s="444" t="str">
        <f t="shared" si="183"/>
        <v>NO</v>
      </c>
      <c r="AM182" s="444" t="str">
        <f t="shared" si="183"/>
        <v>NO</v>
      </c>
      <c r="AN182" s="444" t="str">
        <f t="shared" si="183"/>
        <v>NO</v>
      </c>
      <c r="AO182" s="444" t="str">
        <f t="shared" si="183"/>
        <v>YES</v>
      </c>
      <c r="AP182" s="444" t="str">
        <f t="shared" si="183"/>
        <v>NO</v>
      </c>
      <c r="AQ182" s="444" t="str">
        <f t="shared" si="183"/>
        <v>YES</v>
      </c>
      <c r="AR182" s="444" t="str">
        <f t="shared" si="183"/>
        <v>NO</v>
      </c>
      <c r="AS182" s="444" t="str">
        <f t="shared" ref="AS182:BB191" si="184" xml:space="preserve">
IFERROR(
_xlfn.IFNA(
   IF($B182="PLT",
      IF(INDEX(PRJGENVersions, MATCH(TRIM(AS$1), PRJGENAlgosMapped, 0), MATCH($A182, PRJGENProjects, 0)), "YES", ""),
      IF(INDEX(RoadmapData, MATCH(TRIM(AS$1), RoadmapDataFeatures, 0), MATCH($A182, RoadmapDataProjects, 0)) = "-", "-", INDEX(RoadmapData, MATCH(TRIM(AS$1), RoadmapDataFeatures, 0), MATCH($A182, RoadmapDataProjects, 0)))),
""),
"")</f>
        <v>NO</v>
      </c>
      <c r="AT182" s="444" t="str">
        <f t="shared" si="184"/>
        <v>YES</v>
      </c>
      <c r="AU182" s="444" t="str">
        <f t="shared" si="184"/>
        <v>YES</v>
      </c>
      <c r="AV182" s="444" t="str">
        <f t="shared" si="184"/>
        <v>NO</v>
      </c>
      <c r="AW182" s="444" t="str">
        <f t="shared" si="184"/>
        <v>DEP</v>
      </c>
      <c r="AX182" s="444" t="str">
        <f t="shared" si="184"/>
        <v>DEP</v>
      </c>
      <c r="AY182" s="444" t="str">
        <f t="shared" si="184"/>
        <v>DEP</v>
      </c>
      <c r="AZ182" s="444" t="str">
        <f t="shared" si="184"/>
        <v>DEP</v>
      </c>
      <c r="BA182" s="444" t="str">
        <f t="shared" si="184"/>
        <v>NO</v>
      </c>
      <c r="BB182" s="444" t="str">
        <f t="shared" si="184"/>
        <v>DEP</v>
      </c>
      <c r="BC182" s="444" t="str">
        <f t="shared" ref="BC182:BH191" si="185" xml:space="preserve">
IFERROR(
_xlfn.IFNA(
   IF($B182="PLT",
      IF(INDEX(PRJGENVersions, MATCH(TRIM(BC$1), PRJGENAlgosMapped, 0), MATCH($A182, PRJGENProjects, 0)), "YES", ""),
      IF(INDEX(RoadmapData, MATCH(TRIM(BC$1), RoadmapDataFeatures, 0), MATCH($A182, RoadmapDataProjects, 0)) = "-", "-", INDEX(RoadmapData, MATCH(TRIM(BC$1), RoadmapDataFeatures, 0), MATCH($A182, RoadmapDataProjects, 0)))),
""),
"")</f>
        <v>NO</v>
      </c>
      <c r="BD182" s="444" t="str">
        <f t="shared" si="185"/>
        <v>NO</v>
      </c>
      <c r="BE182" s="444" t="str">
        <f t="shared" si="185"/>
        <v>NO</v>
      </c>
      <c r="BF182" s="444" t="str">
        <f t="shared" si="185"/>
        <v>DEP</v>
      </c>
      <c r="BG182" s="444" t="str">
        <f t="shared" si="185"/>
        <v>DEP</v>
      </c>
      <c r="BH182" s="445" t="str">
        <f t="shared" si="185"/>
        <v>NO</v>
      </c>
      <c r="BI182" s="502"/>
      <c r="BJ182" s="474" t="str">
        <f t="shared" ref="BJ182:BS197" si="186">_xlfn.IFNA(IF(INDEX(RoadmapData, MATCH(TRIM(BJ$1), RoadmapDataFeatures, 0), MATCH($A182, RoadmapDataProjects, 0)) = "-", "-", INDEX(RoadmapData, MATCH(TRIM(BJ$1), RoadmapDataFeatures, 0), MATCH($A182, RoadmapDataProjects, 0))), "")</f>
        <v>NO</v>
      </c>
      <c r="BK182" s="475" t="str">
        <f t="shared" si="186"/>
        <v>NO</v>
      </c>
      <c r="BL182" s="475" t="str">
        <f t="shared" si="186"/>
        <v>YES</v>
      </c>
      <c r="BM182" s="475" t="str">
        <f t="shared" si="186"/>
        <v>NO</v>
      </c>
      <c r="BN182" s="475" t="str">
        <f t="shared" si="186"/>
        <v>NO</v>
      </c>
      <c r="BO182" s="475" t="str">
        <f t="shared" si="186"/>
        <v>NO</v>
      </c>
      <c r="BP182" s="475" t="str">
        <f t="shared" si="186"/>
        <v>YES</v>
      </c>
      <c r="BQ182" s="475" t="str">
        <f t="shared" si="186"/>
        <v>NO</v>
      </c>
      <c r="BR182" s="475" t="str">
        <f t="shared" si="186"/>
        <v>NO</v>
      </c>
      <c r="BS182" s="475" t="str">
        <f t="shared" si="186"/>
        <v>NO</v>
      </c>
      <c r="BT182" s="475" t="str">
        <f t="shared" ref="BT182:CC197" si="187">_xlfn.IFNA(IF(INDEX(RoadmapData, MATCH(TRIM(BT$1), RoadmapDataFeatures, 0), MATCH($A182, RoadmapDataProjects, 0)) = "-", "-", INDEX(RoadmapData, MATCH(TRIM(BT$1), RoadmapDataFeatures, 0), MATCH($A182, RoadmapDataProjects, 0))), "")</f>
        <v>NO</v>
      </c>
      <c r="BU182" s="475" t="str">
        <f t="shared" si="187"/>
        <v>NO</v>
      </c>
      <c r="BV182" s="475" t="str">
        <f t="shared" si="187"/>
        <v>NO</v>
      </c>
      <c r="BW182" s="475" t="str">
        <f t="shared" si="187"/>
        <v>NO</v>
      </c>
      <c r="BX182" s="475" t="str">
        <f t="shared" si="187"/>
        <v>NO</v>
      </c>
      <c r="BY182" s="475" t="str">
        <f t="shared" si="187"/>
        <v>NO</v>
      </c>
      <c r="BZ182" s="475" t="str">
        <f t="shared" si="187"/>
        <v>NO</v>
      </c>
      <c r="CA182" s="475" t="str">
        <f t="shared" si="187"/>
        <v>NO</v>
      </c>
      <c r="CB182" s="475" t="str">
        <f t="shared" si="187"/>
        <v>NO</v>
      </c>
      <c r="CC182" s="475" t="str">
        <f t="shared" si="187"/>
        <v>NO</v>
      </c>
      <c r="CD182" s="475" t="str">
        <f t="shared" ref="CD182:CM197" si="188">_xlfn.IFNA(IF(INDEX(RoadmapData, MATCH(TRIM(CD$1), RoadmapDataFeatures, 0), MATCH($A182, RoadmapDataProjects, 0)) = "-", "-", INDEX(RoadmapData, MATCH(TRIM(CD$1), RoadmapDataFeatures, 0), MATCH($A182, RoadmapDataProjects, 0))), "")</f>
        <v>NO</v>
      </c>
      <c r="CE182" s="475" t="str">
        <f t="shared" si="188"/>
        <v>NO</v>
      </c>
      <c r="CF182" s="475" t="str">
        <f t="shared" si="188"/>
        <v>NO</v>
      </c>
      <c r="CG182" s="475" t="str">
        <f t="shared" si="188"/>
        <v>NO</v>
      </c>
      <c r="CH182" s="475" t="str">
        <f t="shared" si="188"/>
        <v>NO</v>
      </c>
      <c r="CI182" s="475" t="str">
        <f t="shared" si="188"/>
        <v>NO</v>
      </c>
      <c r="CJ182" s="475" t="str">
        <f t="shared" si="188"/>
        <v>NO</v>
      </c>
      <c r="CK182" s="475" t="str">
        <f t="shared" si="188"/>
        <v>NO</v>
      </c>
      <c r="CL182" s="475" t="str">
        <f t="shared" si="188"/>
        <v>NO</v>
      </c>
      <c r="CM182" s="475" t="str">
        <f t="shared" si="188"/>
        <v>NO</v>
      </c>
      <c r="CN182" s="475" t="str">
        <f t="shared" ref="CN182:CZ197" si="189">_xlfn.IFNA(IF(INDEX(RoadmapData, MATCH(TRIM(CN$1), RoadmapDataFeatures, 0), MATCH($A182, RoadmapDataProjects, 0)) = "-", "-", INDEX(RoadmapData, MATCH(TRIM(CN$1), RoadmapDataFeatures, 0), MATCH($A182, RoadmapDataProjects, 0))), "")</f>
        <v>NO</v>
      </c>
      <c r="CO182" s="475" t="str">
        <f t="shared" si="189"/>
        <v>NO</v>
      </c>
      <c r="CP182" s="475" t="str">
        <f t="shared" si="189"/>
        <v>NO</v>
      </c>
      <c r="CQ182" s="475" t="str">
        <f t="shared" si="189"/>
        <v>NO</v>
      </c>
      <c r="CR182" s="475" t="str">
        <f t="shared" si="189"/>
        <v>NO</v>
      </c>
      <c r="CS182" s="475" t="str">
        <f t="shared" si="189"/>
        <v>NO</v>
      </c>
      <c r="CT182" s="475" t="str">
        <f t="shared" si="189"/>
        <v>NO</v>
      </c>
      <c r="CU182" s="475" t="str">
        <f t="shared" si="189"/>
        <v>NO</v>
      </c>
      <c r="CV182" s="475" t="str">
        <f t="shared" si="189"/>
        <v>NO</v>
      </c>
      <c r="CW182" s="475" t="str">
        <f t="shared" si="189"/>
        <v>NO</v>
      </c>
      <c r="CX182" s="475" t="str">
        <f t="shared" si="189"/>
        <v>NO</v>
      </c>
      <c r="CY182" s="475" t="str">
        <f t="shared" si="189"/>
        <v>NO</v>
      </c>
      <c r="CZ182" s="495" t="str">
        <f t="shared" si="189"/>
        <v>NO</v>
      </c>
      <c r="DA182" s="502"/>
      <c r="DB182" s="460"/>
      <c r="DC182" s="465"/>
      <c r="DD182" s="463"/>
      <c r="DE182" s="512"/>
      <c r="DF182" s="516"/>
      <c r="DG182" s="508"/>
      <c r="DH182" s="463"/>
      <c r="DI182" s="461"/>
      <c r="DJ182" s="461"/>
      <c r="DK182" s="461"/>
      <c r="DL182" s="464"/>
      <c r="DM182" s="466"/>
      <c r="DN182" s="502"/>
      <c r="DO182" s="460"/>
      <c r="DP182" s="464"/>
      <c r="DQ182" s="464"/>
      <c r="DR182" s="464"/>
      <c r="DS182" s="508"/>
      <c r="DT182" s="525"/>
      <c r="DU182" s="525"/>
      <c r="DV182" s="463"/>
      <c r="DW182" s="464"/>
      <c r="DX182" s="465"/>
      <c r="DY182" s="463"/>
      <c r="DZ182" s="464"/>
      <c r="EA182" s="465"/>
      <c r="EB182" s="463"/>
      <c r="EC182" s="465"/>
      <c r="ED182" s="462"/>
      <c r="EE182" s="502"/>
      <c r="EF182" s="463"/>
      <c r="EG182" s="461"/>
      <c r="EH182" s="464"/>
      <c r="EI182" s="464"/>
      <c r="EJ182" s="464"/>
      <c r="EK182" s="464"/>
      <c r="EL182" s="464"/>
      <c r="EM182" s="464"/>
      <c r="EN182" s="464"/>
      <c r="EO182" s="464"/>
      <c r="EP182" s="464"/>
      <c r="EQ182" s="464"/>
      <c r="ER182" s="464"/>
      <c r="ES182" s="464"/>
      <c r="ET182" s="464"/>
      <c r="EU182" s="464"/>
      <c r="EV182" s="464"/>
      <c r="EW182" s="465"/>
      <c r="EX182" s="465"/>
      <c r="EY182" s="502"/>
      <c r="EZ182" s="460"/>
      <c r="FA182" s="464"/>
      <c r="FB182" s="464"/>
      <c r="FC182" s="464"/>
      <c r="FD182" s="464"/>
      <c r="FE182" s="464"/>
      <c r="FF182" s="464"/>
      <c r="FG182" s="466"/>
    </row>
    <row r="183" spans="1:163">
      <c r="A183" s="467" t="s">
        <v>374</v>
      </c>
      <c r="B183" s="471" t="str">
        <f>IF(ISNUMBER(MATCH(A183, 'Pulldown Data'!W:W, 0))=TRUE, "Y", IF(ISNUMBER(MATCH(A183, 'Pulldown Data'!X:X, 0))=TRUE, "M", ""))</f>
        <v/>
      </c>
      <c r="C183" s="504"/>
      <c r="D183" s="502"/>
      <c r="E183" s="443" t="str">
        <f t="shared" si="180"/>
        <v/>
      </c>
      <c r="F183" s="444" t="str">
        <f t="shared" si="180"/>
        <v/>
      </c>
      <c r="G183" s="444" t="str">
        <f t="shared" si="180"/>
        <v/>
      </c>
      <c r="H183" s="444" t="str">
        <f t="shared" si="180"/>
        <v/>
      </c>
      <c r="I183" s="444" t="str">
        <f t="shared" si="180"/>
        <v/>
      </c>
      <c r="J183" s="444" t="str">
        <f t="shared" si="180"/>
        <v/>
      </c>
      <c r="K183" s="444" t="str">
        <f t="shared" si="180"/>
        <v/>
      </c>
      <c r="L183" s="444" t="str">
        <f t="shared" si="180"/>
        <v/>
      </c>
      <c r="M183" s="444" t="str">
        <f t="shared" si="180"/>
        <v/>
      </c>
      <c r="N183" s="444" t="str">
        <f t="shared" si="180"/>
        <v/>
      </c>
      <c r="O183" s="444" t="str">
        <f t="shared" si="181"/>
        <v/>
      </c>
      <c r="P183" s="444" t="str">
        <f t="shared" si="181"/>
        <v/>
      </c>
      <c r="Q183" s="444" t="str">
        <f t="shared" si="181"/>
        <v/>
      </c>
      <c r="R183" s="444" t="str">
        <f t="shared" si="181"/>
        <v/>
      </c>
      <c r="S183" s="444" t="str">
        <f t="shared" si="181"/>
        <v/>
      </c>
      <c r="T183" s="444" t="str">
        <f t="shared" si="181"/>
        <v/>
      </c>
      <c r="U183" s="444" t="str">
        <f t="shared" si="181"/>
        <v/>
      </c>
      <c r="V183" s="444" t="str">
        <f t="shared" si="181"/>
        <v/>
      </c>
      <c r="W183" s="444" t="str">
        <f t="shared" si="181"/>
        <v/>
      </c>
      <c r="X183" s="444" t="str">
        <f t="shared" si="181"/>
        <v/>
      </c>
      <c r="Y183" s="444" t="str">
        <f t="shared" si="182"/>
        <v/>
      </c>
      <c r="Z183" s="444" t="str">
        <f t="shared" si="182"/>
        <v/>
      </c>
      <c r="AA183" s="444" t="str">
        <f t="shared" si="182"/>
        <v/>
      </c>
      <c r="AB183" s="444" t="str">
        <f t="shared" si="182"/>
        <v/>
      </c>
      <c r="AC183" s="444" t="str">
        <f t="shared" si="182"/>
        <v/>
      </c>
      <c r="AD183" s="444" t="str">
        <f t="shared" si="182"/>
        <v/>
      </c>
      <c r="AE183" s="444" t="str">
        <f t="shared" si="182"/>
        <v/>
      </c>
      <c r="AF183" s="444" t="str">
        <f t="shared" si="182"/>
        <v/>
      </c>
      <c r="AG183" s="444" t="str">
        <f t="shared" si="182"/>
        <v/>
      </c>
      <c r="AH183" s="444" t="str">
        <f t="shared" si="182"/>
        <v/>
      </c>
      <c r="AI183" s="444" t="str">
        <f t="shared" si="183"/>
        <v/>
      </c>
      <c r="AJ183" s="444" t="str">
        <f t="shared" si="183"/>
        <v/>
      </c>
      <c r="AK183" s="444" t="str">
        <f t="shared" si="183"/>
        <v/>
      </c>
      <c r="AL183" s="444" t="str">
        <f t="shared" si="183"/>
        <v/>
      </c>
      <c r="AM183" s="444" t="str">
        <f t="shared" si="183"/>
        <v/>
      </c>
      <c r="AN183" s="444" t="str">
        <f t="shared" si="183"/>
        <v/>
      </c>
      <c r="AO183" s="444" t="str">
        <f t="shared" si="183"/>
        <v/>
      </c>
      <c r="AP183" s="444" t="str">
        <f t="shared" si="183"/>
        <v/>
      </c>
      <c r="AQ183" s="444" t="str">
        <f t="shared" si="183"/>
        <v/>
      </c>
      <c r="AR183" s="444" t="str">
        <f t="shared" si="183"/>
        <v/>
      </c>
      <c r="AS183" s="444" t="str">
        <f t="shared" si="184"/>
        <v/>
      </c>
      <c r="AT183" s="444" t="str">
        <f t="shared" si="184"/>
        <v/>
      </c>
      <c r="AU183" s="444" t="str">
        <f t="shared" si="184"/>
        <v/>
      </c>
      <c r="AV183" s="444" t="str">
        <f t="shared" si="184"/>
        <v/>
      </c>
      <c r="AW183" s="444" t="str">
        <f t="shared" si="184"/>
        <v/>
      </c>
      <c r="AX183" s="444" t="str">
        <f t="shared" si="184"/>
        <v/>
      </c>
      <c r="AY183" s="444" t="str">
        <f t="shared" si="184"/>
        <v/>
      </c>
      <c r="AZ183" s="444" t="str">
        <f t="shared" si="184"/>
        <v/>
      </c>
      <c r="BA183" s="444" t="str">
        <f t="shared" si="184"/>
        <v/>
      </c>
      <c r="BB183" s="444" t="str">
        <f t="shared" si="184"/>
        <v/>
      </c>
      <c r="BC183" s="444" t="str">
        <f t="shared" si="185"/>
        <v/>
      </c>
      <c r="BD183" s="444" t="str">
        <f t="shared" si="185"/>
        <v/>
      </c>
      <c r="BE183" s="444" t="str">
        <f t="shared" si="185"/>
        <v/>
      </c>
      <c r="BF183" s="444" t="str">
        <f t="shared" si="185"/>
        <v/>
      </c>
      <c r="BG183" s="444" t="str">
        <f t="shared" si="185"/>
        <v/>
      </c>
      <c r="BH183" s="445" t="str">
        <f t="shared" si="185"/>
        <v/>
      </c>
      <c r="BI183" s="502"/>
      <c r="BJ183" s="474" t="str">
        <f t="shared" si="186"/>
        <v/>
      </c>
      <c r="BK183" s="475" t="str">
        <f t="shared" si="186"/>
        <v/>
      </c>
      <c r="BL183" s="475" t="str">
        <f t="shared" si="186"/>
        <v/>
      </c>
      <c r="BM183" s="475" t="str">
        <f t="shared" si="186"/>
        <v/>
      </c>
      <c r="BN183" s="475" t="str">
        <f t="shared" si="186"/>
        <v/>
      </c>
      <c r="BO183" s="475" t="str">
        <f t="shared" si="186"/>
        <v/>
      </c>
      <c r="BP183" s="475" t="str">
        <f t="shared" si="186"/>
        <v/>
      </c>
      <c r="BQ183" s="475" t="str">
        <f t="shared" si="186"/>
        <v/>
      </c>
      <c r="BR183" s="475" t="str">
        <f t="shared" si="186"/>
        <v/>
      </c>
      <c r="BS183" s="475" t="str">
        <f t="shared" si="186"/>
        <v/>
      </c>
      <c r="BT183" s="475" t="str">
        <f t="shared" si="187"/>
        <v/>
      </c>
      <c r="BU183" s="475" t="str">
        <f t="shared" si="187"/>
        <v/>
      </c>
      <c r="BV183" s="475" t="str">
        <f t="shared" si="187"/>
        <v/>
      </c>
      <c r="BW183" s="475" t="str">
        <f t="shared" si="187"/>
        <v/>
      </c>
      <c r="BX183" s="475" t="str">
        <f t="shared" si="187"/>
        <v/>
      </c>
      <c r="BY183" s="475" t="str">
        <f t="shared" si="187"/>
        <v/>
      </c>
      <c r="BZ183" s="475" t="str">
        <f t="shared" si="187"/>
        <v/>
      </c>
      <c r="CA183" s="475" t="str">
        <f t="shared" si="187"/>
        <v/>
      </c>
      <c r="CB183" s="475" t="str">
        <f t="shared" si="187"/>
        <v/>
      </c>
      <c r="CC183" s="475" t="str">
        <f t="shared" si="187"/>
        <v/>
      </c>
      <c r="CD183" s="475" t="str">
        <f t="shared" si="188"/>
        <v/>
      </c>
      <c r="CE183" s="475" t="str">
        <f t="shared" si="188"/>
        <v/>
      </c>
      <c r="CF183" s="475" t="str">
        <f t="shared" si="188"/>
        <v/>
      </c>
      <c r="CG183" s="475" t="str">
        <f t="shared" si="188"/>
        <v/>
      </c>
      <c r="CH183" s="475" t="str">
        <f t="shared" si="188"/>
        <v/>
      </c>
      <c r="CI183" s="475" t="str">
        <f t="shared" si="188"/>
        <v/>
      </c>
      <c r="CJ183" s="475" t="str">
        <f t="shared" si="188"/>
        <v/>
      </c>
      <c r="CK183" s="475" t="str">
        <f t="shared" si="188"/>
        <v/>
      </c>
      <c r="CL183" s="475" t="str">
        <f t="shared" si="188"/>
        <v/>
      </c>
      <c r="CM183" s="475" t="str">
        <f t="shared" si="188"/>
        <v/>
      </c>
      <c r="CN183" s="475" t="str">
        <f t="shared" si="189"/>
        <v/>
      </c>
      <c r="CO183" s="475" t="str">
        <f t="shared" si="189"/>
        <v/>
      </c>
      <c r="CP183" s="475" t="str">
        <f t="shared" si="189"/>
        <v/>
      </c>
      <c r="CQ183" s="475" t="str">
        <f t="shared" si="189"/>
        <v/>
      </c>
      <c r="CR183" s="475" t="str">
        <f t="shared" si="189"/>
        <v/>
      </c>
      <c r="CS183" s="475" t="str">
        <f t="shared" si="189"/>
        <v/>
      </c>
      <c r="CT183" s="475" t="str">
        <f t="shared" si="189"/>
        <v/>
      </c>
      <c r="CU183" s="475" t="str">
        <f t="shared" si="189"/>
        <v/>
      </c>
      <c r="CV183" s="475" t="str">
        <f t="shared" si="189"/>
        <v/>
      </c>
      <c r="CW183" s="475" t="str">
        <f t="shared" si="189"/>
        <v/>
      </c>
      <c r="CX183" s="475" t="str">
        <f t="shared" si="189"/>
        <v/>
      </c>
      <c r="CY183" s="475" t="str">
        <f t="shared" si="189"/>
        <v/>
      </c>
      <c r="CZ183" s="495" t="str">
        <f t="shared" si="189"/>
        <v/>
      </c>
      <c r="DA183" s="502"/>
      <c r="DB183" s="460"/>
      <c r="DC183" s="465"/>
      <c r="DD183" s="463"/>
      <c r="DE183" s="512"/>
      <c r="DF183" s="516"/>
      <c r="DG183" s="508"/>
      <c r="DH183" s="463"/>
      <c r="DI183" s="461"/>
      <c r="DJ183" s="461"/>
      <c r="DK183" s="461"/>
      <c r="DL183" s="464"/>
      <c r="DM183" s="466"/>
      <c r="DN183" s="502"/>
      <c r="DO183" s="460"/>
      <c r="DP183" s="464"/>
      <c r="DQ183" s="464"/>
      <c r="DR183" s="464"/>
      <c r="DS183" s="508"/>
      <c r="DT183" s="525"/>
      <c r="DU183" s="525"/>
      <c r="DV183" s="463"/>
      <c r="DW183" s="464"/>
      <c r="DX183" s="465"/>
      <c r="DY183" s="463"/>
      <c r="DZ183" s="464"/>
      <c r="EA183" s="465"/>
      <c r="EB183" s="463"/>
      <c r="EC183" s="465"/>
      <c r="ED183" s="462"/>
      <c r="EE183" s="502"/>
      <c r="EF183" s="463"/>
      <c r="EG183" s="461"/>
      <c r="EH183" s="464"/>
      <c r="EI183" s="464"/>
      <c r="EJ183" s="464"/>
      <c r="EK183" s="464"/>
      <c r="EL183" s="464"/>
      <c r="EM183" s="464"/>
      <c r="EN183" s="464"/>
      <c r="EO183" s="464"/>
      <c r="EP183" s="464"/>
      <c r="EQ183" s="464"/>
      <c r="ER183" s="464"/>
      <c r="ES183" s="464"/>
      <c r="ET183" s="464"/>
      <c r="EU183" s="464"/>
      <c r="EV183" s="464"/>
      <c r="EW183" s="465"/>
      <c r="EX183" s="465"/>
      <c r="EY183" s="502"/>
      <c r="EZ183" s="460"/>
      <c r="FA183" s="464"/>
      <c r="FB183" s="464"/>
      <c r="FC183" s="464"/>
      <c r="FD183" s="464"/>
      <c r="FE183" s="464"/>
      <c r="FF183" s="464"/>
      <c r="FG183" s="466"/>
    </row>
    <row r="184" spans="1:163">
      <c r="A184" s="467" t="s">
        <v>375</v>
      </c>
      <c r="B184" s="471" t="str">
        <f>IF(ISNUMBER(MATCH(A184, 'Pulldown Data'!W:W, 0))=TRUE, "Y", IF(ISNUMBER(MATCH(A184, 'Pulldown Data'!X:X, 0))=TRUE, "M", ""))</f>
        <v/>
      </c>
      <c r="C184" s="504"/>
      <c r="D184" s="502"/>
      <c r="E184" s="443" t="str">
        <f t="shared" si="180"/>
        <v/>
      </c>
      <c r="F184" s="444" t="str">
        <f t="shared" si="180"/>
        <v/>
      </c>
      <c r="G184" s="444" t="str">
        <f t="shared" si="180"/>
        <v/>
      </c>
      <c r="H184" s="444" t="str">
        <f t="shared" si="180"/>
        <v/>
      </c>
      <c r="I184" s="444" t="str">
        <f t="shared" si="180"/>
        <v/>
      </c>
      <c r="J184" s="444" t="str">
        <f t="shared" si="180"/>
        <v/>
      </c>
      <c r="K184" s="444" t="str">
        <f t="shared" si="180"/>
        <v/>
      </c>
      <c r="L184" s="444" t="str">
        <f t="shared" si="180"/>
        <v/>
      </c>
      <c r="M184" s="444" t="str">
        <f t="shared" si="180"/>
        <v/>
      </c>
      <c r="N184" s="444" t="str">
        <f t="shared" si="180"/>
        <v/>
      </c>
      <c r="O184" s="444" t="str">
        <f t="shared" si="181"/>
        <v/>
      </c>
      <c r="P184" s="444" t="str">
        <f t="shared" si="181"/>
        <v/>
      </c>
      <c r="Q184" s="444" t="str">
        <f t="shared" si="181"/>
        <v/>
      </c>
      <c r="R184" s="444" t="str">
        <f t="shared" si="181"/>
        <v/>
      </c>
      <c r="S184" s="444" t="str">
        <f t="shared" si="181"/>
        <v/>
      </c>
      <c r="T184" s="444" t="str">
        <f t="shared" si="181"/>
        <v/>
      </c>
      <c r="U184" s="444" t="str">
        <f t="shared" si="181"/>
        <v/>
      </c>
      <c r="V184" s="444" t="str">
        <f t="shared" si="181"/>
        <v/>
      </c>
      <c r="W184" s="444" t="str">
        <f t="shared" si="181"/>
        <v/>
      </c>
      <c r="X184" s="444" t="str">
        <f t="shared" si="181"/>
        <v/>
      </c>
      <c r="Y184" s="444" t="str">
        <f t="shared" si="182"/>
        <v/>
      </c>
      <c r="Z184" s="444" t="str">
        <f t="shared" si="182"/>
        <v/>
      </c>
      <c r="AA184" s="444" t="str">
        <f t="shared" si="182"/>
        <v/>
      </c>
      <c r="AB184" s="444" t="str">
        <f t="shared" si="182"/>
        <v/>
      </c>
      <c r="AC184" s="444" t="str">
        <f t="shared" si="182"/>
        <v/>
      </c>
      <c r="AD184" s="444" t="str">
        <f t="shared" si="182"/>
        <v/>
      </c>
      <c r="AE184" s="444" t="str">
        <f t="shared" si="182"/>
        <v/>
      </c>
      <c r="AF184" s="444" t="str">
        <f t="shared" si="182"/>
        <v/>
      </c>
      <c r="AG184" s="444" t="str">
        <f t="shared" si="182"/>
        <v/>
      </c>
      <c r="AH184" s="444" t="str">
        <f t="shared" si="182"/>
        <v/>
      </c>
      <c r="AI184" s="444" t="str">
        <f t="shared" si="183"/>
        <v/>
      </c>
      <c r="AJ184" s="444" t="str">
        <f t="shared" si="183"/>
        <v/>
      </c>
      <c r="AK184" s="444" t="str">
        <f t="shared" si="183"/>
        <v/>
      </c>
      <c r="AL184" s="444" t="str">
        <f t="shared" si="183"/>
        <v/>
      </c>
      <c r="AM184" s="444" t="str">
        <f t="shared" si="183"/>
        <v/>
      </c>
      <c r="AN184" s="444" t="str">
        <f t="shared" si="183"/>
        <v/>
      </c>
      <c r="AO184" s="444" t="str">
        <f t="shared" si="183"/>
        <v/>
      </c>
      <c r="AP184" s="444" t="str">
        <f t="shared" si="183"/>
        <v/>
      </c>
      <c r="AQ184" s="444" t="str">
        <f t="shared" si="183"/>
        <v/>
      </c>
      <c r="AR184" s="444" t="str">
        <f t="shared" si="183"/>
        <v/>
      </c>
      <c r="AS184" s="444" t="str">
        <f t="shared" si="184"/>
        <v/>
      </c>
      <c r="AT184" s="444" t="str">
        <f t="shared" si="184"/>
        <v/>
      </c>
      <c r="AU184" s="444" t="str">
        <f t="shared" si="184"/>
        <v/>
      </c>
      <c r="AV184" s="444" t="str">
        <f t="shared" si="184"/>
        <v/>
      </c>
      <c r="AW184" s="444" t="str">
        <f t="shared" si="184"/>
        <v/>
      </c>
      <c r="AX184" s="444" t="str">
        <f t="shared" si="184"/>
        <v/>
      </c>
      <c r="AY184" s="444" t="str">
        <f t="shared" si="184"/>
        <v/>
      </c>
      <c r="AZ184" s="444" t="str">
        <f t="shared" si="184"/>
        <v/>
      </c>
      <c r="BA184" s="444" t="str">
        <f t="shared" si="184"/>
        <v/>
      </c>
      <c r="BB184" s="444" t="str">
        <f t="shared" si="184"/>
        <v/>
      </c>
      <c r="BC184" s="444" t="str">
        <f t="shared" si="185"/>
        <v/>
      </c>
      <c r="BD184" s="444" t="str">
        <f t="shared" si="185"/>
        <v/>
      </c>
      <c r="BE184" s="444" t="str">
        <f t="shared" si="185"/>
        <v/>
      </c>
      <c r="BF184" s="444" t="str">
        <f t="shared" si="185"/>
        <v/>
      </c>
      <c r="BG184" s="444" t="str">
        <f t="shared" si="185"/>
        <v/>
      </c>
      <c r="BH184" s="445" t="str">
        <f t="shared" si="185"/>
        <v/>
      </c>
      <c r="BI184" s="502"/>
      <c r="BJ184" s="474" t="str">
        <f t="shared" si="186"/>
        <v/>
      </c>
      <c r="BK184" s="475" t="str">
        <f t="shared" si="186"/>
        <v/>
      </c>
      <c r="BL184" s="475" t="str">
        <f t="shared" si="186"/>
        <v/>
      </c>
      <c r="BM184" s="475" t="str">
        <f t="shared" si="186"/>
        <v/>
      </c>
      <c r="BN184" s="475" t="str">
        <f t="shared" si="186"/>
        <v/>
      </c>
      <c r="BO184" s="475" t="str">
        <f t="shared" si="186"/>
        <v/>
      </c>
      <c r="BP184" s="475" t="str">
        <f t="shared" si="186"/>
        <v/>
      </c>
      <c r="BQ184" s="475" t="str">
        <f t="shared" si="186"/>
        <v/>
      </c>
      <c r="BR184" s="475" t="str">
        <f t="shared" si="186"/>
        <v/>
      </c>
      <c r="BS184" s="475" t="str">
        <f t="shared" si="186"/>
        <v/>
      </c>
      <c r="BT184" s="475" t="str">
        <f t="shared" si="187"/>
        <v/>
      </c>
      <c r="BU184" s="475" t="str">
        <f t="shared" si="187"/>
        <v/>
      </c>
      <c r="BV184" s="475" t="str">
        <f t="shared" si="187"/>
        <v/>
      </c>
      <c r="BW184" s="475" t="str">
        <f t="shared" si="187"/>
        <v/>
      </c>
      <c r="BX184" s="475" t="str">
        <f t="shared" si="187"/>
        <v/>
      </c>
      <c r="BY184" s="475" t="str">
        <f t="shared" si="187"/>
        <v/>
      </c>
      <c r="BZ184" s="475" t="str">
        <f t="shared" si="187"/>
        <v/>
      </c>
      <c r="CA184" s="475" t="str">
        <f t="shared" si="187"/>
        <v/>
      </c>
      <c r="CB184" s="475" t="str">
        <f t="shared" si="187"/>
        <v/>
      </c>
      <c r="CC184" s="475" t="str">
        <f t="shared" si="187"/>
        <v/>
      </c>
      <c r="CD184" s="475" t="str">
        <f t="shared" si="188"/>
        <v/>
      </c>
      <c r="CE184" s="475" t="str">
        <f t="shared" si="188"/>
        <v/>
      </c>
      <c r="CF184" s="475" t="str">
        <f t="shared" si="188"/>
        <v/>
      </c>
      <c r="CG184" s="475" t="str">
        <f t="shared" si="188"/>
        <v/>
      </c>
      <c r="CH184" s="475" t="str">
        <f t="shared" si="188"/>
        <v/>
      </c>
      <c r="CI184" s="475" t="str">
        <f t="shared" si="188"/>
        <v/>
      </c>
      <c r="CJ184" s="475" t="str">
        <f t="shared" si="188"/>
        <v/>
      </c>
      <c r="CK184" s="475" t="str">
        <f t="shared" si="188"/>
        <v/>
      </c>
      <c r="CL184" s="475" t="str">
        <f t="shared" si="188"/>
        <v/>
      </c>
      <c r="CM184" s="475" t="str">
        <f t="shared" si="188"/>
        <v/>
      </c>
      <c r="CN184" s="475" t="str">
        <f t="shared" si="189"/>
        <v/>
      </c>
      <c r="CO184" s="475" t="str">
        <f t="shared" si="189"/>
        <v/>
      </c>
      <c r="CP184" s="475" t="str">
        <f t="shared" si="189"/>
        <v/>
      </c>
      <c r="CQ184" s="475" t="str">
        <f t="shared" si="189"/>
        <v/>
      </c>
      <c r="CR184" s="475" t="str">
        <f t="shared" si="189"/>
        <v/>
      </c>
      <c r="CS184" s="475" t="str">
        <f t="shared" si="189"/>
        <v/>
      </c>
      <c r="CT184" s="475" t="str">
        <f t="shared" si="189"/>
        <v/>
      </c>
      <c r="CU184" s="475" t="str">
        <f t="shared" si="189"/>
        <v/>
      </c>
      <c r="CV184" s="475" t="str">
        <f t="shared" si="189"/>
        <v/>
      </c>
      <c r="CW184" s="475" t="str">
        <f t="shared" si="189"/>
        <v/>
      </c>
      <c r="CX184" s="475" t="str">
        <f t="shared" si="189"/>
        <v/>
      </c>
      <c r="CY184" s="475" t="str">
        <f t="shared" si="189"/>
        <v/>
      </c>
      <c r="CZ184" s="495" t="str">
        <f t="shared" si="189"/>
        <v/>
      </c>
      <c r="DA184" s="502"/>
      <c r="DB184" s="460"/>
      <c r="DC184" s="465"/>
      <c r="DD184" s="463"/>
      <c r="DE184" s="512"/>
      <c r="DF184" s="516"/>
      <c r="DG184" s="508"/>
      <c r="DH184" s="463"/>
      <c r="DI184" s="461"/>
      <c r="DJ184" s="461"/>
      <c r="DK184" s="461"/>
      <c r="DL184" s="464"/>
      <c r="DM184" s="466"/>
      <c r="DN184" s="502"/>
      <c r="DO184" s="460"/>
      <c r="DP184" s="464"/>
      <c r="DQ184" s="464"/>
      <c r="DR184" s="464"/>
      <c r="DS184" s="508"/>
      <c r="DT184" s="525"/>
      <c r="DU184" s="525"/>
      <c r="DV184" s="463"/>
      <c r="DW184" s="464"/>
      <c r="DX184" s="465"/>
      <c r="DY184" s="463"/>
      <c r="DZ184" s="464"/>
      <c r="EA184" s="465"/>
      <c r="EB184" s="463"/>
      <c r="EC184" s="465"/>
      <c r="ED184" s="462"/>
      <c r="EE184" s="502"/>
      <c r="EF184" s="463"/>
      <c r="EG184" s="461"/>
      <c r="EH184" s="464"/>
      <c r="EI184" s="464"/>
      <c r="EJ184" s="464"/>
      <c r="EK184" s="464"/>
      <c r="EL184" s="464"/>
      <c r="EM184" s="464"/>
      <c r="EN184" s="464"/>
      <c r="EO184" s="464"/>
      <c r="EP184" s="464"/>
      <c r="EQ184" s="464"/>
      <c r="ER184" s="464"/>
      <c r="ES184" s="464"/>
      <c r="ET184" s="464"/>
      <c r="EU184" s="464"/>
      <c r="EV184" s="464"/>
      <c r="EW184" s="465"/>
      <c r="EX184" s="465"/>
      <c r="EY184" s="502"/>
      <c r="EZ184" s="460"/>
      <c r="FA184" s="464"/>
      <c r="FB184" s="464"/>
      <c r="FC184" s="464"/>
      <c r="FD184" s="464"/>
      <c r="FE184" s="464"/>
      <c r="FF184" s="464"/>
      <c r="FG184" s="466"/>
    </row>
    <row r="185" spans="1:163">
      <c r="A185" s="467" t="s">
        <v>376</v>
      </c>
      <c r="B185" s="471" t="str">
        <f>IF(ISNUMBER(MATCH(A185, 'Pulldown Data'!W:W, 0))=TRUE, "Y", IF(ISNUMBER(MATCH(A185, 'Pulldown Data'!X:X, 0))=TRUE, "M", ""))</f>
        <v/>
      </c>
      <c r="C185" s="504">
        <v>45630</v>
      </c>
      <c r="D185" s="502"/>
      <c r="E185" s="443" t="str">
        <f t="shared" si="180"/>
        <v>N/A</v>
      </c>
      <c r="F185" s="444" t="str">
        <f t="shared" si="180"/>
        <v>N/A</v>
      </c>
      <c r="G185" s="444" t="str">
        <f t="shared" si="180"/>
        <v>YES</v>
      </c>
      <c r="H185" s="444" t="str">
        <f t="shared" si="180"/>
        <v>YES</v>
      </c>
      <c r="I185" s="444" t="str">
        <f t="shared" si="180"/>
        <v>YES</v>
      </c>
      <c r="J185" s="444" t="str">
        <f t="shared" si="180"/>
        <v>YES</v>
      </c>
      <c r="K185" s="444" t="str">
        <f t="shared" si="180"/>
        <v>N/A</v>
      </c>
      <c r="L185" s="444" t="str">
        <f t="shared" si="180"/>
        <v>N/A</v>
      </c>
      <c r="M185" s="444" t="str">
        <f t="shared" si="180"/>
        <v>N/A</v>
      </c>
      <c r="N185" s="444" t="str">
        <f t="shared" si="180"/>
        <v>N/A</v>
      </c>
      <c r="O185" s="444" t="str">
        <f t="shared" si="181"/>
        <v>N/A</v>
      </c>
      <c r="P185" s="444" t="str">
        <f t="shared" si="181"/>
        <v>YES</v>
      </c>
      <c r="Q185" s="444" t="str">
        <f t="shared" si="181"/>
        <v>YES</v>
      </c>
      <c r="R185" s="444" t="str">
        <f t="shared" si="181"/>
        <v>N/A</v>
      </c>
      <c r="S185" s="444" t="str">
        <f t="shared" si="181"/>
        <v>N/A</v>
      </c>
      <c r="T185" s="444" t="str">
        <f t="shared" si="181"/>
        <v>YES</v>
      </c>
      <c r="U185" s="444" t="str">
        <f t="shared" si="181"/>
        <v>YES</v>
      </c>
      <c r="V185" s="444" t="str">
        <f t="shared" si="181"/>
        <v>YES</v>
      </c>
      <c r="W185" s="444" t="str">
        <f t="shared" si="181"/>
        <v>N/A</v>
      </c>
      <c r="X185" s="444" t="str">
        <f t="shared" si="181"/>
        <v>YES</v>
      </c>
      <c r="Y185" s="444" t="str">
        <f t="shared" si="182"/>
        <v>N/A</v>
      </c>
      <c r="Z185" s="444" t="str">
        <f t="shared" si="182"/>
        <v>N/A</v>
      </c>
      <c r="AA185" s="444" t="str">
        <f t="shared" si="182"/>
        <v>N/A</v>
      </c>
      <c r="AB185" s="444" t="str">
        <f t="shared" si="182"/>
        <v>YES</v>
      </c>
      <c r="AC185" s="444" t="str">
        <f t="shared" si="182"/>
        <v>YES</v>
      </c>
      <c r="AD185" s="444" t="str">
        <f t="shared" si="182"/>
        <v>YES</v>
      </c>
      <c r="AE185" s="444" t="str">
        <f t="shared" si="182"/>
        <v>YES</v>
      </c>
      <c r="AF185" s="444" t="str">
        <f t="shared" si="182"/>
        <v>YES</v>
      </c>
      <c r="AG185" s="444" t="str">
        <f t="shared" si="182"/>
        <v>YES</v>
      </c>
      <c r="AH185" s="444" t="str">
        <f t="shared" si="182"/>
        <v>N/A</v>
      </c>
      <c r="AI185" s="444" t="str">
        <f t="shared" si="183"/>
        <v>N/A</v>
      </c>
      <c r="AJ185" s="444" t="str">
        <f t="shared" si="183"/>
        <v>N/A</v>
      </c>
      <c r="AK185" s="444" t="str">
        <f t="shared" si="183"/>
        <v>YES</v>
      </c>
      <c r="AL185" s="444" t="str">
        <f t="shared" si="183"/>
        <v>N/A</v>
      </c>
      <c r="AM185" s="444" t="str">
        <f t="shared" si="183"/>
        <v>YES</v>
      </c>
      <c r="AN185" s="444" t="str">
        <f t="shared" si="183"/>
        <v>N/A</v>
      </c>
      <c r="AO185" s="444" t="str">
        <f t="shared" si="183"/>
        <v>YES</v>
      </c>
      <c r="AP185" s="444" t="str">
        <f t="shared" si="183"/>
        <v>N/A</v>
      </c>
      <c r="AQ185" s="444" t="str">
        <f t="shared" si="183"/>
        <v>YES</v>
      </c>
      <c r="AR185" s="444" t="str">
        <f t="shared" si="183"/>
        <v>N/A</v>
      </c>
      <c r="AS185" s="444" t="str">
        <f t="shared" si="184"/>
        <v>N/A</v>
      </c>
      <c r="AT185" s="444" t="str">
        <f t="shared" si="184"/>
        <v>YES</v>
      </c>
      <c r="AU185" s="444" t="str">
        <f t="shared" si="184"/>
        <v>YES</v>
      </c>
      <c r="AV185" s="444" t="str">
        <f t="shared" si="184"/>
        <v>YES</v>
      </c>
      <c r="AW185" s="444" t="str">
        <f t="shared" si="184"/>
        <v>N/A</v>
      </c>
      <c r="AX185" s="444" t="str">
        <f t="shared" si="184"/>
        <v>YES</v>
      </c>
      <c r="AY185" s="444" t="str">
        <f t="shared" si="184"/>
        <v>YES</v>
      </c>
      <c r="AZ185" s="444" t="str">
        <f t="shared" si="184"/>
        <v>DEP</v>
      </c>
      <c r="BA185" s="444" t="str">
        <f t="shared" si="184"/>
        <v>DEP</v>
      </c>
      <c r="BB185" s="444" t="str">
        <f t="shared" si="184"/>
        <v>N/A</v>
      </c>
      <c r="BC185" s="444" t="str">
        <f t="shared" si="185"/>
        <v>N/A</v>
      </c>
      <c r="BD185" s="444" t="str">
        <f t="shared" si="185"/>
        <v>N/A</v>
      </c>
      <c r="BE185" s="444" t="str">
        <f t="shared" si="185"/>
        <v>N/A</v>
      </c>
      <c r="BF185" s="444" t="str">
        <f t="shared" si="185"/>
        <v>N/A</v>
      </c>
      <c r="BG185" s="444" t="str">
        <f t="shared" si="185"/>
        <v>N/A</v>
      </c>
      <c r="BH185" s="445" t="str">
        <f t="shared" si="185"/>
        <v>N/A</v>
      </c>
      <c r="BI185" s="502"/>
      <c r="BJ185" s="474" t="str">
        <f t="shared" si="186"/>
        <v>N/A</v>
      </c>
      <c r="BK185" s="475" t="str">
        <f t="shared" si="186"/>
        <v>N/A</v>
      </c>
      <c r="BL185" s="475" t="str">
        <f t="shared" si="186"/>
        <v>N/A</v>
      </c>
      <c r="BM185" s="475" t="str">
        <f t="shared" si="186"/>
        <v>N/A</v>
      </c>
      <c r="BN185" s="475" t="str">
        <f t="shared" si="186"/>
        <v>N/A</v>
      </c>
      <c r="BO185" s="475" t="str">
        <f t="shared" si="186"/>
        <v>N/A</v>
      </c>
      <c r="BP185" s="475" t="str">
        <f t="shared" si="186"/>
        <v>N/A</v>
      </c>
      <c r="BQ185" s="475" t="str">
        <f t="shared" si="186"/>
        <v>N/A</v>
      </c>
      <c r="BR185" s="475" t="str">
        <f t="shared" si="186"/>
        <v>N/A</v>
      </c>
      <c r="BS185" s="475" t="str">
        <f t="shared" si="186"/>
        <v>N/A</v>
      </c>
      <c r="BT185" s="475" t="str">
        <f t="shared" si="187"/>
        <v>N/A</v>
      </c>
      <c r="BU185" s="475" t="str">
        <f t="shared" si="187"/>
        <v>N/A</v>
      </c>
      <c r="BV185" s="475" t="str">
        <f t="shared" si="187"/>
        <v>N/A</v>
      </c>
      <c r="BW185" s="475" t="str">
        <f t="shared" si="187"/>
        <v>N/A</v>
      </c>
      <c r="BX185" s="475" t="str">
        <f t="shared" si="187"/>
        <v>N/A</v>
      </c>
      <c r="BY185" s="475" t="str">
        <f t="shared" si="187"/>
        <v>N/A</v>
      </c>
      <c r="BZ185" s="475" t="str">
        <f t="shared" si="187"/>
        <v>N/A</v>
      </c>
      <c r="CA185" s="475" t="str">
        <f t="shared" si="187"/>
        <v>N/A</v>
      </c>
      <c r="CB185" s="475" t="str">
        <f t="shared" si="187"/>
        <v>N/A</v>
      </c>
      <c r="CC185" s="475" t="str">
        <f t="shared" si="187"/>
        <v>N/A</v>
      </c>
      <c r="CD185" s="475" t="str">
        <f t="shared" si="188"/>
        <v>N/A</v>
      </c>
      <c r="CE185" s="475" t="str">
        <f t="shared" si="188"/>
        <v>N/A</v>
      </c>
      <c r="CF185" s="475" t="str">
        <f t="shared" si="188"/>
        <v>N/A</v>
      </c>
      <c r="CG185" s="475" t="str">
        <f t="shared" si="188"/>
        <v>N/A</v>
      </c>
      <c r="CH185" s="475" t="str">
        <f t="shared" si="188"/>
        <v>N/A</v>
      </c>
      <c r="CI185" s="475" t="str">
        <f t="shared" si="188"/>
        <v>N/A</v>
      </c>
      <c r="CJ185" s="475" t="str">
        <f t="shared" si="188"/>
        <v>N/A</v>
      </c>
      <c r="CK185" s="475" t="str">
        <f t="shared" si="188"/>
        <v>N/A</v>
      </c>
      <c r="CL185" s="475" t="str">
        <f t="shared" si="188"/>
        <v>N/A</v>
      </c>
      <c r="CM185" s="475" t="str">
        <f t="shared" si="188"/>
        <v>N/A</v>
      </c>
      <c r="CN185" s="475" t="str">
        <f t="shared" si="189"/>
        <v>N/A</v>
      </c>
      <c r="CO185" s="475" t="str">
        <f t="shared" si="189"/>
        <v>N/A</v>
      </c>
      <c r="CP185" s="475" t="str">
        <f t="shared" si="189"/>
        <v>N/A</v>
      </c>
      <c r="CQ185" s="475" t="str">
        <f t="shared" si="189"/>
        <v>N/A</v>
      </c>
      <c r="CR185" s="475" t="str">
        <f t="shared" si="189"/>
        <v>N/A</v>
      </c>
      <c r="CS185" s="475" t="str">
        <f t="shared" si="189"/>
        <v>N/A</v>
      </c>
      <c r="CT185" s="475" t="str">
        <f t="shared" si="189"/>
        <v>N/A</v>
      </c>
      <c r="CU185" s="475" t="str">
        <f t="shared" si="189"/>
        <v>N/A</v>
      </c>
      <c r="CV185" s="475" t="str">
        <f t="shared" si="189"/>
        <v>N/A</v>
      </c>
      <c r="CW185" s="475" t="str">
        <f t="shared" si="189"/>
        <v>N/A</v>
      </c>
      <c r="CX185" s="475" t="str">
        <f t="shared" si="189"/>
        <v>N/A</v>
      </c>
      <c r="CY185" s="475" t="str">
        <f t="shared" si="189"/>
        <v>N/A</v>
      </c>
      <c r="CZ185" s="495" t="str">
        <f t="shared" si="189"/>
        <v>N/A</v>
      </c>
      <c r="DA185" s="502"/>
      <c r="DB185" s="460">
        <v>2</v>
      </c>
      <c r="DC185" s="465">
        <v>3.1</v>
      </c>
      <c r="DD185" s="463" t="s">
        <v>337</v>
      </c>
      <c r="DE185" s="512"/>
      <c r="DF185" s="516"/>
      <c r="DG185" s="508"/>
      <c r="DH185" s="463" t="s">
        <v>339</v>
      </c>
      <c r="DI185" s="461"/>
      <c r="DJ185" s="461"/>
      <c r="DK185" s="461"/>
      <c r="DL185" s="464"/>
      <c r="DM185" s="466" t="s">
        <v>339</v>
      </c>
      <c r="DN185" s="502"/>
      <c r="DO185" s="460"/>
      <c r="DP185" s="464"/>
      <c r="DQ185" s="464" t="s">
        <v>339</v>
      </c>
      <c r="DR185" s="464"/>
      <c r="DS185" s="508"/>
      <c r="DT185" s="525"/>
      <c r="DU185" s="525"/>
      <c r="DV185" s="463"/>
      <c r="DW185" s="464"/>
      <c r="DX185" s="465"/>
      <c r="DY185" s="463"/>
      <c r="DZ185" s="464"/>
      <c r="EA185" s="465"/>
      <c r="EB185" s="463" t="s">
        <v>339</v>
      </c>
      <c r="EC185" s="465" t="s">
        <v>339</v>
      </c>
      <c r="ED185" s="462">
        <v>5</v>
      </c>
      <c r="EE185" s="502"/>
      <c r="EF185" s="463"/>
      <c r="EG185" s="461"/>
      <c r="EH185" s="464"/>
      <c r="EI185" s="464"/>
      <c r="EJ185" s="464"/>
      <c r="EK185" s="464"/>
      <c r="EL185" s="464"/>
      <c r="EM185" s="464"/>
      <c r="EN185" s="464"/>
      <c r="EO185" s="464"/>
      <c r="EP185" s="464"/>
      <c r="EQ185" s="464"/>
      <c r="ER185" s="464"/>
      <c r="ES185" s="464"/>
      <c r="ET185" s="464"/>
      <c r="EU185" s="464"/>
      <c r="EV185" s="464"/>
      <c r="EW185" s="465" t="s">
        <v>339</v>
      </c>
      <c r="EX185" s="465"/>
      <c r="EY185" s="502"/>
      <c r="EZ185" s="460" t="s">
        <v>339</v>
      </c>
      <c r="FA185" s="464"/>
      <c r="FB185" s="464"/>
      <c r="FC185" s="464"/>
      <c r="FD185" s="464"/>
      <c r="FE185" s="464"/>
      <c r="FF185" s="464"/>
      <c r="FG185" s="466"/>
    </row>
    <row r="186" spans="1:163">
      <c r="A186" s="467" t="s">
        <v>377</v>
      </c>
      <c r="B186" s="471" t="str">
        <f>IF(ISNUMBER(MATCH(A186, 'Pulldown Data'!W:W, 0))=TRUE, "Y", IF(ISNUMBER(MATCH(A186, 'Pulldown Data'!X:X, 0))=TRUE, "M", ""))</f>
        <v/>
      </c>
      <c r="C186" s="504">
        <v>45630</v>
      </c>
      <c r="D186" s="502"/>
      <c r="E186" s="443" t="str">
        <f t="shared" si="180"/>
        <v>N/A</v>
      </c>
      <c r="F186" s="444" t="str">
        <f t="shared" si="180"/>
        <v>N/A</v>
      </c>
      <c r="G186" s="444" t="str">
        <f t="shared" si="180"/>
        <v>N/A</v>
      </c>
      <c r="H186" s="444" t="str">
        <f t="shared" si="180"/>
        <v>N/A</v>
      </c>
      <c r="I186" s="444" t="str">
        <f t="shared" si="180"/>
        <v>N/A</v>
      </c>
      <c r="J186" s="444" t="str">
        <f t="shared" si="180"/>
        <v>N/A</v>
      </c>
      <c r="K186" s="444" t="str">
        <f t="shared" si="180"/>
        <v>N/A</v>
      </c>
      <c r="L186" s="444" t="str">
        <f t="shared" si="180"/>
        <v>N/A</v>
      </c>
      <c r="M186" s="444" t="str">
        <f t="shared" si="180"/>
        <v>N/A</v>
      </c>
      <c r="N186" s="444" t="str">
        <f t="shared" si="180"/>
        <v>N/A</v>
      </c>
      <c r="O186" s="444" t="str">
        <f t="shared" si="181"/>
        <v>N/A</v>
      </c>
      <c r="P186" s="444" t="str">
        <f t="shared" si="181"/>
        <v>N/A</v>
      </c>
      <c r="Q186" s="444" t="str">
        <f t="shared" si="181"/>
        <v>N/A</v>
      </c>
      <c r="R186" s="444" t="str">
        <f t="shared" si="181"/>
        <v>N/A</v>
      </c>
      <c r="S186" s="444" t="str">
        <f t="shared" si="181"/>
        <v>N/A</v>
      </c>
      <c r="T186" s="444" t="str">
        <f t="shared" si="181"/>
        <v>N/A</v>
      </c>
      <c r="U186" s="444" t="str">
        <f t="shared" si="181"/>
        <v>N/A</v>
      </c>
      <c r="V186" s="444" t="str">
        <f t="shared" si="181"/>
        <v>N/A</v>
      </c>
      <c r="W186" s="444" t="str">
        <f t="shared" si="181"/>
        <v>N/A</v>
      </c>
      <c r="X186" s="444" t="str">
        <f t="shared" si="181"/>
        <v>N/A</v>
      </c>
      <c r="Y186" s="444" t="str">
        <f t="shared" si="182"/>
        <v>N/A</v>
      </c>
      <c r="Z186" s="444" t="str">
        <f t="shared" si="182"/>
        <v>N/A</v>
      </c>
      <c r="AA186" s="444" t="str">
        <f t="shared" si="182"/>
        <v>N/A</v>
      </c>
      <c r="AB186" s="444" t="str">
        <f t="shared" si="182"/>
        <v>N/A</v>
      </c>
      <c r="AC186" s="444" t="str">
        <f t="shared" si="182"/>
        <v>N/A</v>
      </c>
      <c r="AD186" s="444" t="str">
        <f t="shared" si="182"/>
        <v>N/A</v>
      </c>
      <c r="AE186" s="444" t="str">
        <f t="shared" si="182"/>
        <v>N/A</v>
      </c>
      <c r="AF186" s="444" t="str">
        <f t="shared" si="182"/>
        <v>N/A</v>
      </c>
      <c r="AG186" s="444" t="str">
        <f t="shared" si="182"/>
        <v>N/A</v>
      </c>
      <c r="AH186" s="444" t="str">
        <f t="shared" si="182"/>
        <v>N/A</v>
      </c>
      <c r="AI186" s="444" t="str">
        <f t="shared" si="183"/>
        <v>N/A</v>
      </c>
      <c r="AJ186" s="444" t="str">
        <f t="shared" si="183"/>
        <v>N/A</v>
      </c>
      <c r="AK186" s="444" t="str">
        <f t="shared" si="183"/>
        <v>N/A</v>
      </c>
      <c r="AL186" s="444" t="str">
        <f t="shared" si="183"/>
        <v>N/A</v>
      </c>
      <c r="AM186" s="444" t="str">
        <f t="shared" si="183"/>
        <v>N/A</v>
      </c>
      <c r="AN186" s="444" t="str">
        <f t="shared" si="183"/>
        <v>N/A</v>
      </c>
      <c r="AO186" s="444" t="str">
        <f t="shared" si="183"/>
        <v>N/A</v>
      </c>
      <c r="AP186" s="444" t="str">
        <f t="shared" si="183"/>
        <v>N/A</v>
      </c>
      <c r="AQ186" s="444" t="str">
        <f t="shared" si="183"/>
        <v>N/A</v>
      </c>
      <c r="AR186" s="444" t="str">
        <f t="shared" si="183"/>
        <v>N/A</v>
      </c>
      <c r="AS186" s="444" t="str">
        <f t="shared" si="184"/>
        <v>N/A</v>
      </c>
      <c r="AT186" s="444" t="str">
        <f t="shared" si="184"/>
        <v>N/A</v>
      </c>
      <c r="AU186" s="444" t="str">
        <f t="shared" si="184"/>
        <v>N/A</v>
      </c>
      <c r="AV186" s="444" t="str">
        <f t="shared" si="184"/>
        <v>N/A</v>
      </c>
      <c r="AW186" s="444" t="str">
        <f t="shared" si="184"/>
        <v>N/A</v>
      </c>
      <c r="AX186" s="444" t="str">
        <f t="shared" si="184"/>
        <v>N/A</v>
      </c>
      <c r="AY186" s="444" t="str">
        <f t="shared" si="184"/>
        <v>N/A</v>
      </c>
      <c r="AZ186" s="444" t="str">
        <f t="shared" si="184"/>
        <v>N/A</v>
      </c>
      <c r="BA186" s="444" t="str">
        <f t="shared" si="184"/>
        <v>N/A</v>
      </c>
      <c r="BB186" s="444" t="str">
        <f t="shared" si="184"/>
        <v>N/A</v>
      </c>
      <c r="BC186" s="444" t="str">
        <f t="shared" si="185"/>
        <v>N/A</v>
      </c>
      <c r="BD186" s="444" t="str">
        <f t="shared" si="185"/>
        <v>N/A</v>
      </c>
      <c r="BE186" s="444" t="str">
        <f t="shared" si="185"/>
        <v>N/A</v>
      </c>
      <c r="BF186" s="444" t="str">
        <f t="shared" si="185"/>
        <v>N/A</v>
      </c>
      <c r="BG186" s="444" t="str">
        <f t="shared" si="185"/>
        <v>N/A</v>
      </c>
      <c r="BH186" s="445" t="str">
        <f t="shared" si="185"/>
        <v>N/A</v>
      </c>
      <c r="BI186" s="502"/>
      <c r="BJ186" s="474" t="str">
        <f t="shared" si="186"/>
        <v>N/A</v>
      </c>
      <c r="BK186" s="475" t="str">
        <f t="shared" si="186"/>
        <v>N/A</v>
      </c>
      <c r="BL186" s="475" t="str">
        <f t="shared" si="186"/>
        <v>N/A</v>
      </c>
      <c r="BM186" s="475" t="str">
        <f t="shared" si="186"/>
        <v>N/A</v>
      </c>
      <c r="BN186" s="475" t="str">
        <f t="shared" si="186"/>
        <v>N/A</v>
      </c>
      <c r="BO186" s="475" t="str">
        <f t="shared" si="186"/>
        <v>N/A</v>
      </c>
      <c r="BP186" s="475" t="str">
        <f t="shared" si="186"/>
        <v>N/A</v>
      </c>
      <c r="BQ186" s="475" t="str">
        <f t="shared" si="186"/>
        <v>N/A</v>
      </c>
      <c r="BR186" s="475" t="str">
        <f t="shared" si="186"/>
        <v>N/A</v>
      </c>
      <c r="BS186" s="475" t="str">
        <f t="shared" si="186"/>
        <v>N/A</v>
      </c>
      <c r="BT186" s="475" t="str">
        <f t="shared" si="187"/>
        <v>N/A</v>
      </c>
      <c r="BU186" s="475" t="str">
        <f t="shared" si="187"/>
        <v>N/A</v>
      </c>
      <c r="BV186" s="475" t="str">
        <f t="shared" si="187"/>
        <v>N/A</v>
      </c>
      <c r="BW186" s="475" t="str">
        <f t="shared" si="187"/>
        <v>N/A</v>
      </c>
      <c r="BX186" s="475" t="str">
        <f t="shared" si="187"/>
        <v>N/A</v>
      </c>
      <c r="BY186" s="475" t="str">
        <f t="shared" si="187"/>
        <v>N/A</v>
      </c>
      <c r="BZ186" s="475" t="str">
        <f t="shared" si="187"/>
        <v>N/A</v>
      </c>
      <c r="CA186" s="475" t="str">
        <f t="shared" si="187"/>
        <v>N/A</v>
      </c>
      <c r="CB186" s="475" t="str">
        <f t="shared" si="187"/>
        <v>N/A</v>
      </c>
      <c r="CC186" s="475" t="str">
        <f t="shared" si="187"/>
        <v>N/A</v>
      </c>
      <c r="CD186" s="475" t="str">
        <f t="shared" si="188"/>
        <v>N/A</v>
      </c>
      <c r="CE186" s="475" t="str">
        <f t="shared" si="188"/>
        <v>N/A</v>
      </c>
      <c r="CF186" s="475" t="str">
        <f t="shared" si="188"/>
        <v>N/A</v>
      </c>
      <c r="CG186" s="475" t="str">
        <f t="shared" si="188"/>
        <v>N/A</v>
      </c>
      <c r="CH186" s="475" t="str">
        <f t="shared" si="188"/>
        <v>N/A</v>
      </c>
      <c r="CI186" s="475" t="str">
        <f t="shared" si="188"/>
        <v>N/A</v>
      </c>
      <c r="CJ186" s="475" t="str">
        <f t="shared" si="188"/>
        <v>N/A</v>
      </c>
      <c r="CK186" s="475" t="str">
        <f t="shared" si="188"/>
        <v>N/A</v>
      </c>
      <c r="CL186" s="475" t="str">
        <f t="shared" si="188"/>
        <v>N/A</v>
      </c>
      <c r="CM186" s="475" t="str">
        <f t="shared" si="188"/>
        <v>N/A</v>
      </c>
      <c r="CN186" s="475" t="str">
        <f t="shared" si="189"/>
        <v>N/A</v>
      </c>
      <c r="CO186" s="475" t="str">
        <f t="shared" si="189"/>
        <v>N/A</v>
      </c>
      <c r="CP186" s="475" t="str">
        <f t="shared" si="189"/>
        <v>N/A</v>
      </c>
      <c r="CQ186" s="475" t="str">
        <f t="shared" si="189"/>
        <v>N/A</v>
      </c>
      <c r="CR186" s="475" t="str">
        <f t="shared" si="189"/>
        <v>N/A</v>
      </c>
      <c r="CS186" s="475" t="str">
        <f t="shared" si="189"/>
        <v>N/A</v>
      </c>
      <c r="CT186" s="475" t="str">
        <f t="shared" si="189"/>
        <v>N/A</v>
      </c>
      <c r="CU186" s="475" t="str">
        <f t="shared" si="189"/>
        <v>N/A</v>
      </c>
      <c r="CV186" s="475" t="str">
        <f t="shared" si="189"/>
        <v>N/A</v>
      </c>
      <c r="CW186" s="475" t="str">
        <f t="shared" si="189"/>
        <v>N/A</v>
      </c>
      <c r="CX186" s="475" t="str">
        <f t="shared" si="189"/>
        <v>N/A</v>
      </c>
      <c r="CY186" s="475" t="str">
        <f t="shared" si="189"/>
        <v>N/A</v>
      </c>
      <c r="CZ186" s="495" t="str">
        <f t="shared" si="189"/>
        <v>N/A</v>
      </c>
      <c r="DA186" s="502"/>
      <c r="DB186" s="460"/>
      <c r="DC186" s="465"/>
      <c r="DD186" s="463"/>
      <c r="DE186" s="512"/>
      <c r="DF186" s="516"/>
      <c r="DG186" s="508"/>
      <c r="DH186" s="463"/>
      <c r="DI186" s="461"/>
      <c r="DJ186" s="461"/>
      <c r="DK186" s="461"/>
      <c r="DL186" s="464"/>
      <c r="DM186" s="466"/>
      <c r="DN186" s="502"/>
      <c r="DO186" s="460"/>
      <c r="DP186" s="464"/>
      <c r="DQ186" s="464"/>
      <c r="DR186" s="464"/>
      <c r="DS186" s="508"/>
      <c r="DT186" s="525"/>
      <c r="DU186" s="525"/>
      <c r="DV186" s="463"/>
      <c r="DW186" s="464"/>
      <c r="DX186" s="465"/>
      <c r="DY186" s="463"/>
      <c r="DZ186" s="464"/>
      <c r="EA186" s="465"/>
      <c r="EB186" s="463"/>
      <c r="EC186" s="465"/>
      <c r="ED186" s="462"/>
      <c r="EE186" s="502"/>
      <c r="EF186" s="463"/>
      <c r="EG186" s="461"/>
      <c r="EH186" s="464"/>
      <c r="EI186" s="464"/>
      <c r="EJ186" s="464"/>
      <c r="EK186" s="464"/>
      <c r="EL186" s="464"/>
      <c r="EM186" s="464"/>
      <c r="EN186" s="464"/>
      <c r="EO186" s="464"/>
      <c r="EP186" s="464"/>
      <c r="EQ186" s="464"/>
      <c r="ER186" s="464"/>
      <c r="ES186" s="464"/>
      <c r="ET186" s="464"/>
      <c r="EU186" s="464"/>
      <c r="EV186" s="464"/>
      <c r="EW186" s="465"/>
      <c r="EX186" s="465"/>
      <c r="EY186" s="502"/>
      <c r="EZ186" s="460"/>
      <c r="FA186" s="464"/>
      <c r="FB186" s="464"/>
      <c r="FC186" s="464"/>
      <c r="FD186" s="464"/>
      <c r="FE186" s="464"/>
      <c r="FF186" s="464"/>
      <c r="FG186" s="466"/>
    </row>
    <row r="187" spans="1:163">
      <c r="A187" s="467" t="s">
        <v>378</v>
      </c>
      <c r="B187" s="471" t="str">
        <f>IF(ISNUMBER(MATCH(A187, 'Pulldown Data'!W:W, 0))=TRUE, "Y", IF(ISNUMBER(MATCH(A187, 'Pulldown Data'!X:X, 0))=TRUE, "M", ""))</f>
        <v/>
      </c>
      <c r="C187" s="504">
        <v>45630</v>
      </c>
      <c r="D187" s="502"/>
      <c r="E187" s="443" t="str">
        <f t="shared" si="180"/>
        <v>N/A</v>
      </c>
      <c r="F187" s="444" t="str">
        <f t="shared" si="180"/>
        <v>N/A</v>
      </c>
      <c r="G187" s="444" t="str">
        <f t="shared" si="180"/>
        <v>YES</v>
      </c>
      <c r="H187" s="444" t="str">
        <f t="shared" si="180"/>
        <v>YES</v>
      </c>
      <c r="I187" s="444" t="str">
        <f t="shared" si="180"/>
        <v>YES</v>
      </c>
      <c r="J187" s="444" t="str">
        <f t="shared" si="180"/>
        <v>YES</v>
      </c>
      <c r="K187" s="444" t="str">
        <f t="shared" si="180"/>
        <v>N/A</v>
      </c>
      <c r="L187" s="444" t="str">
        <f t="shared" si="180"/>
        <v>N/A</v>
      </c>
      <c r="M187" s="444" t="str">
        <f t="shared" si="180"/>
        <v>N/A</v>
      </c>
      <c r="N187" s="444" t="str">
        <f t="shared" si="180"/>
        <v>N/A</v>
      </c>
      <c r="O187" s="444" t="str">
        <f t="shared" si="181"/>
        <v>N/A</v>
      </c>
      <c r="P187" s="444" t="str">
        <f t="shared" si="181"/>
        <v>N/A</v>
      </c>
      <c r="Q187" s="444" t="str">
        <f t="shared" si="181"/>
        <v>N/A</v>
      </c>
      <c r="R187" s="444" t="str">
        <f t="shared" si="181"/>
        <v>N/A</v>
      </c>
      <c r="S187" s="444" t="str">
        <f t="shared" si="181"/>
        <v>N/A</v>
      </c>
      <c r="T187" s="444" t="str">
        <f t="shared" si="181"/>
        <v>N/A</v>
      </c>
      <c r="U187" s="444" t="str">
        <f t="shared" si="181"/>
        <v>N/A</v>
      </c>
      <c r="V187" s="444" t="str">
        <f t="shared" si="181"/>
        <v>N/A</v>
      </c>
      <c r="W187" s="444" t="str">
        <f t="shared" si="181"/>
        <v>YES</v>
      </c>
      <c r="X187" s="444" t="str">
        <f t="shared" si="181"/>
        <v>N/A</v>
      </c>
      <c r="Y187" s="444" t="str">
        <f t="shared" si="182"/>
        <v>N/A</v>
      </c>
      <c r="Z187" s="444" t="str">
        <f t="shared" si="182"/>
        <v>N/A</v>
      </c>
      <c r="AA187" s="444" t="str">
        <f t="shared" si="182"/>
        <v>YES</v>
      </c>
      <c r="AB187" s="444" t="str">
        <f t="shared" si="182"/>
        <v>YES</v>
      </c>
      <c r="AC187" s="444" t="str">
        <f t="shared" si="182"/>
        <v>YES</v>
      </c>
      <c r="AD187" s="444" t="str">
        <f t="shared" si="182"/>
        <v>N/A</v>
      </c>
      <c r="AE187" s="444" t="str">
        <f t="shared" si="182"/>
        <v>N/A</v>
      </c>
      <c r="AF187" s="444" t="str">
        <f t="shared" si="182"/>
        <v>N/A</v>
      </c>
      <c r="AG187" s="444" t="str">
        <f t="shared" si="182"/>
        <v>N/A</v>
      </c>
      <c r="AH187" s="444" t="str">
        <f t="shared" si="182"/>
        <v>N/A</v>
      </c>
      <c r="AI187" s="444" t="str">
        <f t="shared" si="183"/>
        <v>N/A</v>
      </c>
      <c r="AJ187" s="444" t="str">
        <f t="shared" si="183"/>
        <v>N/A</v>
      </c>
      <c r="AK187" s="444" t="str">
        <f t="shared" si="183"/>
        <v>N/A</v>
      </c>
      <c r="AL187" s="444" t="str">
        <f t="shared" si="183"/>
        <v>N/A</v>
      </c>
      <c r="AM187" s="444" t="str">
        <f t="shared" si="183"/>
        <v>N/A</v>
      </c>
      <c r="AN187" s="444" t="str">
        <f t="shared" si="183"/>
        <v>N/A</v>
      </c>
      <c r="AO187" s="444" t="str">
        <f t="shared" si="183"/>
        <v>YES</v>
      </c>
      <c r="AP187" s="444" t="str">
        <f t="shared" si="183"/>
        <v>N/A</v>
      </c>
      <c r="AQ187" s="444" t="str">
        <f t="shared" si="183"/>
        <v>N/A</v>
      </c>
      <c r="AR187" s="444" t="str">
        <f t="shared" si="183"/>
        <v>N/A</v>
      </c>
      <c r="AS187" s="444" t="str">
        <f t="shared" si="184"/>
        <v>N/A</v>
      </c>
      <c r="AT187" s="444" t="str">
        <f t="shared" si="184"/>
        <v>YES</v>
      </c>
      <c r="AU187" s="444" t="str">
        <f t="shared" si="184"/>
        <v>YES</v>
      </c>
      <c r="AV187" s="444" t="str">
        <f t="shared" si="184"/>
        <v>YES</v>
      </c>
      <c r="AW187" s="444" t="str">
        <f t="shared" si="184"/>
        <v>N/A</v>
      </c>
      <c r="AX187" s="444" t="str">
        <f t="shared" si="184"/>
        <v>DEP</v>
      </c>
      <c r="AY187" s="444" t="str">
        <f t="shared" si="184"/>
        <v>DEP</v>
      </c>
      <c r="AZ187" s="444" t="str">
        <f t="shared" si="184"/>
        <v>DEP</v>
      </c>
      <c r="BA187" s="444" t="str">
        <f t="shared" si="184"/>
        <v>DEP</v>
      </c>
      <c r="BB187" s="444" t="str">
        <f t="shared" si="184"/>
        <v>YES</v>
      </c>
      <c r="BC187" s="444" t="str">
        <f t="shared" si="185"/>
        <v>N/A</v>
      </c>
      <c r="BD187" s="444" t="str">
        <f t="shared" si="185"/>
        <v>N/A</v>
      </c>
      <c r="BE187" s="444" t="str">
        <f t="shared" si="185"/>
        <v>N/A</v>
      </c>
      <c r="BF187" s="444" t="str">
        <f t="shared" si="185"/>
        <v>YES</v>
      </c>
      <c r="BG187" s="444" t="str">
        <f t="shared" si="185"/>
        <v>YES</v>
      </c>
      <c r="BH187" s="445" t="str">
        <f t="shared" si="185"/>
        <v>N/A</v>
      </c>
      <c r="BI187" s="502"/>
      <c r="BJ187" s="474" t="str">
        <f t="shared" si="186"/>
        <v>N/A</v>
      </c>
      <c r="BK187" s="475" t="str">
        <f t="shared" si="186"/>
        <v>N/A</v>
      </c>
      <c r="BL187" s="475" t="str">
        <f t="shared" si="186"/>
        <v>N/A</v>
      </c>
      <c r="BM187" s="475" t="str">
        <f t="shared" si="186"/>
        <v>N/A</v>
      </c>
      <c r="BN187" s="475" t="str">
        <f t="shared" si="186"/>
        <v>N/A</v>
      </c>
      <c r="BO187" s="475" t="str">
        <f t="shared" si="186"/>
        <v>N/A</v>
      </c>
      <c r="BP187" s="475" t="str">
        <f t="shared" si="186"/>
        <v>N/A</v>
      </c>
      <c r="BQ187" s="475" t="str">
        <f t="shared" si="186"/>
        <v>N/A</v>
      </c>
      <c r="BR187" s="475" t="str">
        <f t="shared" si="186"/>
        <v>N/A</v>
      </c>
      <c r="BS187" s="475" t="str">
        <f t="shared" si="186"/>
        <v>N/A</v>
      </c>
      <c r="BT187" s="475" t="str">
        <f t="shared" si="187"/>
        <v>N/A</v>
      </c>
      <c r="BU187" s="475" t="str">
        <f t="shared" si="187"/>
        <v>N/A</v>
      </c>
      <c r="BV187" s="475" t="str">
        <f t="shared" si="187"/>
        <v>N/A</v>
      </c>
      <c r="BW187" s="475" t="str">
        <f t="shared" si="187"/>
        <v>N/A</v>
      </c>
      <c r="BX187" s="475" t="str">
        <f t="shared" si="187"/>
        <v>N/A</v>
      </c>
      <c r="BY187" s="475" t="str">
        <f t="shared" si="187"/>
        <v>N/A</v>
      </c>
      <c r="BZ187" s="475" t="str">
        <f t="shared" si="187"/>
        <v>N/A</v>
      </c>
      <c r="CA187" s="475" t="str">
        <f t="shared" si="187"/>
        <v>N/A</v>
      </c>
      <c r="CB187" s="475" t="str">
        <f t="shared" si="187"/>
        <v>N/A</v>
      </c>
      <c r="CC187" s="475" t="str">
        <f t="shared" si="187"/>
        <v>N/A</v>
      </c>
      <c r="CD187" s="475" t="str">
        <f t="shared" si="188"/>
        <v>N/A</v>
      </c>
      <c r="CE187" s="475" t="str">
        <f t="shared" si="188"/>
        <v>N/A</v>
      </c>
      <c r="CF187" s="475" t="str">
        <f t="shared" si="188"/>
        <v>N/A</v>
      </c>
      <c r="CG187" s="475" t="str">
        <f t="shared" si="188"/>
        <v>N/A</v>
      </c>
      <c r="CH187" s="475" t="str">
        <f t="shared" si="188"/>
        <v>N/A</v>
      </c>
      <c r="CI187" s="475" t="str">
        <f t="shared" si="188"/>
        <v>N/A</v>
      </c>
      <c r="CJ187" s="475" t="str">
        <f t="shared" si="188"/>
        <v>N/A</v>
      </c>
      <c r="CK187" s="475" t="str">
        <f t="shared" si="188"/>
        <v>N/A</v>
      </c>
      <c r="CL187" s="475" t="str">
        <f t="shared" si="188"/>
        <v>N/A</v>
      </c>
      <c r="CM187" s="475" t="str">
        <f t="shared" si="188"/>
        <v>N/A</v>
      </c>
      <c r="CN187" s="475" t="str">
        <f t="shared" si="189"/>
        <v>N/A</v>
      </c>
      <c r="CO187" s="475" t="str">
        <f t="shared" si="189"/>
        <v>N/A</v>
      </c>
      <c r="CP187" s="475" t="str">
        <f t="shared" si="189"/>
        <v>N/A</v>
      </c>
      <c r="CQ187" s="475" t="str">
        <f t="shared" si="189"/>
        <v>N/A</v>
      </c>
      <c r="CR187" s="475" t="str">
        <f t="shared" si="189"/>
        <v>N/A</v>
      </c>
      <c r="CS187" s="475" t="str">
        <f t="shared" si="189"/>
        <v>N/A</v>
      </c>
      <c r="CT187" s="475" t="str">
        <f t="shared" si="189"/>
        <v>N/A</v>
      </c>
      <c r="CU187" s="475" t="str">
        <f t="shared" si="189"/>
        <v>N/A</v>
      </c>
      <c r="CV187" s="475" t="str">
        <f t="shared" si="189"/>
        <v>N/A</v>
      </c>
      <c r="CW187" s="475" t="str">
        <f t="shared" si="189"/>
        <v>N/A</v>
      </c>
      <c r="CX187" s="475" t="str">
        <f t="shared" si="189"/>
        <v>N/A</v>
      </c>
      <c r="CY187" s="475" t="str">
        <f t="shared" si="189"/>
        <v>N/A</v>
      </c>
      <c r="CZ187" s="495" t="str">
        <f t="shared" si="189"/>
        <v>N/A</v>
      </c>
      <c r="DA187" s="502"/>
      <c r="DB187" s="460">
        <v>2</v>
      </c>
      <c r="DC187" s="465">
        <v>3.1</v>
      </c>
      <c r="DD187" s="463" t="s">
        <v>346</v>
      </c>
      <c r="DE187" s="512"/>
      <c r="DF187" s="516"/>
      <c r="DG187" s="508"/>
      <c r="DH187" s="463" t="s">
        <v>339</v>
      </c>
      <c r="DI187" s="461"/>
      <c r="DJ187" s="461"/>
      <c r="DK187" s="461"/>
      <c r="DL187" s="464"/>
      <c r="DM187" s="466" t="s">
        <v>339</v>
      </c>
      <c r="DN187" s="502"/>
      <c r="DO187" s="460" t="s">
        <v>339</v>
      </c>
      <c r="DP187" s="464" t="s">
        <v>339</v>
      </c>
      <c r="DQ187" s="464"/>
      <c r="DR187" s="464"/>
      <c r="DS187" s="508" t="s">
        <v>339</v>
      </c>
      <c r="DT187" s="525"/>
      <c r="DU187" s="525"/>
      <c r="DV187" s="463"/>
      <c r="DW187" s="464"/>
      <c r="DX187" s="465"/>
      <c r="DY187" s="463"/>
      <c r="DZ187" s="464"/>
      <c r="EA187" s="465"/>
      <c r="EB187" s="463" t="s">
        <v>339</v>
      </c>
      <c r="EC187" s="465" t="s">
        <v>339</v>
      </c>
      <c r="ED187" s="462">
        <v>1</v>
      </c>
      <c r="EE187" s="502"/>
      <c r="EF187" s="463"/>
      <c r="EG187" s="461"/>
      <c r="EH187" s="464"/>
      <c r="EI187" s="464"/>
      <c r="EJ187" s="464"/>
      <c r="EK187" s="464" t="s">
        <v>339</v>
      </c>
      <c r="EL187" s="464"/>
      <c r="EM187" s="464"/>
      <c r="EN187" s="464"/>
      <c r="EO187" s="464"/>
      <c r="EP187" s="464"/>
      <c r="EQ187" s="464"/>
      <c r="ER187" s="464"/>
      <c r="ES187" s="464"/>
      <c r="ET187" s="464"/>
      <c r="EU187" s="464"/>
      <c r="EV187" s="464"/>
      <c r="EW187" s="465"/>
      <c r="EX187" s="465"/>
      <c r="EY187" s="502"/>
      <c r="EZ187" s="460" t="s">
        <v>339</v>
      </c>
      <c r="FA187" s="464"/>
      <c r="FB187" s="464"/>
      <c r="FC187" s="464"/>
      <c r="FD187" s="464"/>
      <c r="FE187" s="464" t="s">
        <v>339</v>
      </c>
      <c r="FF187" s="464"/>
      <c r="FG187" s="466"/>
    </row>
    <row r="188" spans="1:163">
      <c r="A188" s="467" t="s">
        <v>379</v>
      </c>
      <c r="B188" s="471" t="str">
        <f>IF(ISNUMBER(MATCH(A188, 'Pulldown Data'!W:W, 0))=TRUE, "Y", IF(ISNUMBER(MATCH(A188, 'Pulldown Data'!X:X, 0))=TRUE, "M", ""))</f>
        <v/>
      </c>
      <c r="C188" s="504"/>
      <c r="D188" s="502"/>
      <c r="E188" s="443" t="str">
        <f t="shared" si="180"/>
        <v/>
      </c>
      <c r="F188" s="444" t="str">
        <f t="shared" si="180"/>
        <v/>
      </c>
      <c r="G188" s="444" t="str">
        <f t="shared" si="180"/>
        <v/>
      </c>
      <c r="H188" s="444" t="str">
        <f t="shared" si="180"/>
        <v/>
      </c>
      <c r="I188" s="444" t="str">
        <f t="shared" si="180"/>
        <v/>
      </c>
      <c r="J188" s="444" t="str">
        <f t="shared" si="180"/>
        <v/>
      </c>
      <c r="K188" s="444" t="str">
        <f t="shared" si="180"/>
        <v/>
      </c>
      <c r="L188" s="444" t="str">
        <f t="shared" si="180"/>
        <v/>
      </c>
      <c r="M188" s="444" t="str">
        <f t="shared" si="180"/>
        <v/>
      </c>
      <c r="N188" s="444" t="str">
        <f t="shared" si="180"/>
        <v/>
      </c>
      <c r="O188" s="444" t="str">
        <f t="shared" si="181"/>
        <v/>
      </c>
      <c r="P188" s="444" t="str">
        <f t="shared" si="181"/>
        <v/>
      </c>
      <c r="Q188" s="444" t="str">
        <f t="shared" si="181"/>
        <v/>
      </c>
      <c r="R188" s="444" t="str">
        <f t="shared" si="181"/>
        <v/>
      </c>
      <c r="S188" s="444" t="str">
        <f t="shared" si="181"/>
        <v/>
      </c>
      <c r="T188" s="444" t="str">
        <f t="shared" si="181"/>
        <v/>
      </c>
      <c r="U188" s="444" t="str">
        <f t="shared" si="181"/>
        <v/>
      </c>
      <c r="V188" s="444" t="str">
        <f t="shared" si="181"/>
        <v/>
      </c>
      <c r="W188" s="444" t="str">
        <f t="shared" si="181"/>
        <v/>
      </c>
      <c r="X188" s="444" t="str">
        <f t="shared" si="181"/>
        <v/>
      </c>
      <c r="Y188" s="444" t="str">
        <f t="shared" si="182"/>
        <v/>
      </c>
      <c r="Z188" s="444" t="str">
        <f t="shared" si="182"/>
        <v/>
      </c>
      <c r="AA188" s="444" t="str">
        <f t="shared" si="182"/>
        <v/>
      </c>
      <c r="AB188" s="444" t="str">
        <f t="shared" si="182"/>
        <v/>
      </c>
      <c r="AC188" s="444" t="str">
        <f t="shared" si="182"/>
        <v/>
      </c>
      <c r="AD188" s="444" t="str">
        <f t="shared" si="182"/>
        <v/>
      </c>
      <c r="AE188" s="444" t="str">
        <f t="shared" si="182"/>
        <v/>
      </c>
      <c r="AF188" s="444" t="str">
        <f t="shared" si="182"/>
        <v/>
      </c>
      <c r="AG188" s="444" t="str">
        <f t="shared" si="182"/>
        <v/>
      </c>
      <c r="AH188" s="444" t="str">
        <f t="shared" si="182"/>
        <v/>
      </c>
      <c r="AI188" s="444" t="str">
        <f t="shared" si="183"/>
        <v/>
      </c>
      <c r="AJ188" s="444" t="str">
        <f t="shared" si="183"/>
        <v/>
      </c>
      <c r="AK188" s="444" t="str">
        <f t="shared" si="183"/>
        <v/>
      </c>
      <c r="AL188" s="444" t="str">
        <f t="shared" si="183"/>
        <v/>
      </c>
      <c r="AM188" s="444" t="str">
        <f t="shared" si="183"/>
        <v/>
      </c>
      <c r="AN188" s="444" t="str">
        <f t="shared" si="183"/>
        <v/>
      </c>
      <c r="AO188" s="444" t="str">
        <f t="shared" si="183"/>
        <v/>
      </c>
      <c r="AP188" s="444" t="str">
        <f t="shared" si="183"/>
        <v/>
      </c>
      <c r="AQ188" s="444" t="str">
        <f t="shared" si="183"/>
        <v/>
      </c>
      <c r="AR188" s="444" t="str">
        <f t="shared" si="183"/>
        <v/>
      </c>
      <c r="AS188" s="444" t="str">
        <f t="shared" si="184"/>
        <v/>
      </c>
      <c r="AT188" s="444" t="str">
        <f t="shared" si="184"/>
        <v/>
      </c>
      <c r="AU188" s="444" t="str">
        <f t="shared" si="184"/>
        <v/>
      </c>
      <c r="AV188" s="444" t="str">
        <f t="shared" si="184"/>
        <v/>
      </c>
      <c r="AW188" s="444" t="str">
        <f t="shared" si="184"/>
        <v/>
      </c>
      <c r="AX188" s="444" t="str">
        <f t="shared" si="184"/>
        <v/>
      </c>
      <c r="AY188" s="444" t="str">
        <f t="shared" si="184"/>
        <v/>
      </c>
      <c r="AZ188" s="444" t="str">
        <f t="shared" si="184"/>
        <v/>
      </c>
      <c r="BA188" s="444" t="str">
        <f t="shared" si="184"/>
        <v/>
      </c>
      <c r="BB188" s="444" t="str">
        <f t="shared" si="184"/>
        <v/>
      </c>
      <c r="BC188" s="444" t="str">
        <f t="shared" si="185"/>
        <v/>
      </c>
      <c r="BD188" s="444" t="str">
        <f t="shared" si="185"/>
        <v/>
      </c>
      <c r="BE188" s="444" t="str">
        <f t="shared" si="185"/>
        <v/>
      </c>
      <c r="BF188" s="444" t="str">
        <f t="shared" si="185"/>
        <v/>
      </c>
      <c r="BG188" s="444" t="str">
        <f t="shared" si="185"/>
        <v/>
      </c>
      <c r="BH188" s="445" t="str">
        <f t="shared" si="185"/>
        <v/>
      </c>
      <c r="BI188" s="502"/>
      <c r="BJ188" s="474" t="str">
        <f t="shared" si="186"/>
        <v/>
      </c>
      <c r="BK188" s="475" t="str">
        <f t="shared" si="186"/>
        <v/>
      </c>
      <c r="BL188" s="475" t="str">
        <f t="shared" si="186"/>
        <v/>
      </c>
      <c r="BM188" s="475" t="str">
        <f t="shared" si="186"/>
        <v/>
      </c>
      <c r="BN188" s="475" t="str">
        <f t="shared" si="186"/>
        <v/>
      </c>
      <c r="BO188" s="475" t="str">
        <f t="shared" si="186"/>
        <v/>
      </c>
      <c r="BP188" s="475" t="str">
        <f t="shared" si="186"/>
        <v/>
      </c>
      <c r="BQ188" s="475" t="str">
        <f t="shared" si="186"/>
        <v/>
      </c>
      <c r="BR188" s="475" t="str">
        <f t="shared" si="186"/>
        <v/>
      </c>
      <c r="BS188" s="475" t="str">
        <f t="shared" si="186"/>
        <v/>
      </c>
      <c r="BT188" s="475" t="str">
        <f t="shared" si="187"/>
        <v/>
      </c>
      <c r="BU188" s="475" t="str">
        <f t="shared" si="187"/>
        <v/>
      </c>
      <c r="BV188" s="475" t="str">
        <f t="shared" si="187"/>
        <v/>
      </c>
      <c r="BW188" s="475" t="str">
        <f t="shared" si="187"/>
        <v/>
      </c>
      <c r="BX188" s="475" t="str">
        <f t="shared" si="187"/>
        <v/>
      </c>
      <c r="BY188" s="475" t="str">
        <f t="shared" si="187"/>
        <v/>
      </c>
      <c r="BZ188" s="475" t="str">
        <f t="shared" si="187"/>
        <v/>
      </c>
      <c r="CA188" s="475" t="str">
        <f t="shared" si="187"/>
        <v/>
      </c>
      <c r="CB188" s="475" t="str">
        <f t="shared" si="187"/>
        <v/>
      </c>
      <c r="CC188" s="475" t="str">
        <f t="shared" si="187"/>
        <v/>
      </c>
      <c r="CD188" s="475" t="str">
        <f t="shared" si="188"/>
        <v/>
      </c>
      <c r="CE188" s="475" t="str">
        <f t="shared" si="188"/>
        <v/>
      </c>
      <c r="CF188" s="475" t="str">
        <f t="shared" si="188"/>
        <v/>
      </c>
      <c r="CG188" s="475" t="str">
        <f t="shared" si="188"/>
        <v/>
      </c>
      <c r="CH188" s="475" t="str">
        <f t="shared" si="188"/>
        <v/>
      </c>
      <c r="CI188" s="475" t="str">
        <f t="shared" si="188"/>
        <v/>
      </c>
      <c r="CJ188" s="475" t="str">
        <f t="shared" si="188"/>
        <v/>
      </c>
      <c r="CK188" s="475" t="str">
        <f t="shared" si="188"/>
        <v/>
      </c>
      <c r="CL188" s="475" t="str">
        <f t="shared" si="188"/>
        <v/>
      </c>
      <c r="CM188" s="475" t="str">
        <f t="shared" si="188"/>
        <v/>
      </c>
      <c r="CN188" s="475" t="str">
        <f t="shared" si="189"/>
        <v/>
      </c>
      <c r="CO188" s="475" t="str">
        <f t="shared" si="189"/>
        <v/>
      </c>
      <c r="CP188" s="475" t="str">
        <f t="shared" si="189"/>
        <v/>
      </c>
      <c r="CQ188" s="475" t="str">
        <f t="shared" si="189"/>
        <v/>
      </c>
      <c r="CR188" s="475" t="str">
        <f t="shared" si="189"/>
        <v/>
      </c>
      <c r="CS188" s="475" t="str">
        <f t="shared" si="189"/>
        <v/>
      </c>
      <c r="CT188" s="475" t="str">
        <f t="shared" si="189"/>
        <v/>
      </c>
      <c r="CU188" s="475" t="str">
        <f t="shared" si="189"/>
        <v/>
      </c>
      <c r="CV188" s="475" t="str">
        <f t="shared" si="189"/>
        <v/>
      </c>
      <c r="CW188" s="475" t="str">
        <f t="shared" si="189"/>
        <v/>
      </c>
      <c r="CX188" s="475" t="str">
        <f t="shared" si="189"/>
        <v/>
      </c>
      <c r="CY188" s="475" t="str">
        <f t="shared" si="189"/>
        <v/>
      </c>
      <c r="CZ188" s="495" t="str">
        <f t="shared" si="189"/>
        <v/>
      </c>
      <c r="DA188" s="502"/>
      <c r="DB188" s="460"/>
      <c r="DC188" s="465"/>
      <c r="DD188" s="463"/>
      <c r="DE188" s="512"/>
      <c r="DF188" s="516"/>
      <c r="DG188" s="508"/>
      <c r="DH188" s="463"/>
      <c r="DI188" s="461"/>
      <c r="DJ188" s="461"/>
      <c r="DK188" s="461"/>
      <c r="DL188" s="464"/>
      <c r="DM188" s="466"/>
      <c r="DN188" s="502"/>
      <c r="DO188" s="460"/>
      <c r="DP188" s="464"/>
      <c r="DQ188" s="464"/>
      <c r="DR188" s="464"/>
      <c r="DS188" s="508"/>
      <c r="DT188" s="525"/>
      <c r="DU188" s="525"/>
      <c r="DV188" s="463"/>
      <c r="DW188" s="464"/>
      <c r="DX188" s="465"/>
      <c r="DY188" s="463"/>
      <c r="DZ188" s="464"/>
      <c r="EA188" s="465"/>
      <c r="EB188" s="463"/>
      <c r="EC188" s="465"/>
      <c r="ED188" s="462"/>
      <c r="EE188" s="502"/>
      <c r="EF188" s="463"/>
      <c r="EG188" s="461"/>
      <c r="EH188" s="464"/>
      <c r="EI188" s="464"/>
      <c r="EJ188" s="464"/>
      <c r="EK188" s="464"/>
      <c r="EL188" s="464"/>
      <c r="EM188" s="464"/>
      <c r="EN188" s="464"/>
      <c r="EO188" s="464"/>
      <c r="EP188" s="464"/>
      <c r="EQ188" s="464"/>
      <c r="ER188" s="464"/>
      <c r="ES188" s="464"/>
      <c r="ET188" s="464"/>
      <c r="EU188" s="464"/>
      <c r="EV188" s="464"/>
      <c r="EW188" s="465"/>
      <c r="EX188" s="465"/>
      <c r="EY188" s="502"/>
      <c r="EZ188" s="460"/>
      <c r="FA188" s="464"/>
      <c r="FB188" s="464"/>
      <c r="FC188" s="464"/>
      <c r="FD188" s="464"/>
      <c r="FE188" s="464"/>
      <c r="FF188" s="464"/>
      <c r="FG188" s="466"/>
    </row>
    <row r="189" spans="1:163">
      <c r="A189" s="467" t="s">
        <v>380</v>
      </c>
      <c r="B189" s="471" t="str">
        <f>IF(ISNUMBER(MATCH(A189, 'Pulldown Data'!W:W, 0))=TRUE, "Y", IF(ISNUMBER(MATCH(A189, 'Pulldown Data'!X:X, 0))=TRUE, "M", ""))</f>
        <v/>
      </c>
      <c r="C189" s="504"/>
      <c r="D189" s="502"/>
      <c r="E189" s="443" t="str">
        <f t="shared" si="180"/>
        <v/>
      </c>
      <c r="F189" s="444" t="str">
        <f t="shared" si="180"/>
        <v/>
      </c>
      <c r="G189" s="444" t="str">
        <f t="shared" si="180"/>
        <v/>
      </c>
      <c r="H189" s="444" t="str">
        <f t="shared" si="180"/>
        <v/>
      </c>
      <c r="I189" s="444" t="str">
        <f t="shared" si="180"/>
        <v/>
      </c>
      <c r="J189" s="444" t="str">
        <f t="shared" si="180"/>
        <v/>
      </c>
      <c r="K189" s="444" t="str">
        <f t="shared" si="180"/>
        <v/>
      </c>
      <c r="L189" s="444" t="str">
        <f t="shared" si="180"/>
        <v/>
      </c>
      <c r="M189" s="444" t="str">
        <f t="shared" si="180"/>
        <v/>
      </c>
      <c r="N189" s="444" t="str">
        <f t="shared" si="180"/>
        <v/>
      </c>
      <c r="O189" s="444" t="str">
        <f t="shared" si="181"/>
        <v/>
      </c>
      <c r="P189" s="444" t="str">
        <f t="shared" si="181"/>
        <v/>
      </c>
      <c r="Q189" s="444" t="str">
        <f t="shared" si="181"/>
        <v/>
      </c>
      <c r="R189" s="444" t="str">
        <f t="shared" si="181"/>
        <v/>
      </c>
      <c r="S189" s="444" t="str">
        <f t="shared" si="181"/>
        <v/>
      </c>
      <c r="T189" s="444" t="str">
        <f t="shared" si="181"/>
        <v/>
      </c>
      <c r="U189" s="444" t="str">
        <f t="shared" si="181"/>
        <v/>
      </c>
      <c r="V189" s="444" t="str">
        <f t="shared" si="181"/>
        <v/>
      </c>
      <c r="W189" s="444" t="str">
        <f t="shared" si="181"/>
        <v/>
      </c>
      <c r="X189" s="444" t="str">
        <f t="shared" si="181"/>
        <v/>
      </c>
      <c r="Y189" s="444" t="str">
        <f t="shared" si="182"/>
        <v/>
      </c>
      <c r="Z189" s="444" t="str">
        <f t="shared" si="182"/>
        <v/>
      </c>
      <c r="AA189" s="444" t="str">
        <f t="shared" si="182"/>
        <v/>
      </c>
      <c r="AB189" s="444" t="str">
        <f t="shared" si="182"/>
        <v/>
      </c>
      <c r="AC189" s="444" t="str">
        <f t="shared" si="182"/>
        <v/>
      </c>
      <c r="AD189" s="444" t="str">
        <f t="shared" si="182"/>
        <v/>
      </c>
      <c r="AE189" s="444" t="str">
        <f t="shared" si="182"/>
        <v/>
      </c>
      <c r="AF189" s="444" t="str">
        <f t="shared" si="182"/>
        <v/>
      </c>
      <c r="AG189" s="444" t="str">
        <f t="shared" si="182"/>
        <v/>
      </c>
      <c r="AH189" s="444" t="str">
        <f t="shared" si="182"/>
        <v/>
      </c>
      <c r="AI189" s="444" t="str">
        <f t="shared" si="183"/>
        <v/>
      </c>
      <c r="AJ189" s="444" t="str">
        <f t="shared" si="183"/>
        <v/>
      </c>
      <c r="AK189" s="444" t="str">
        <f t="shared" si="183"/>
        <v/>
      </c>
      <c r="AL189" s="444" t="str">
        <f t="shared" si="183"/>
        <v/>
      </c>
      <c r="AM189" s="444" t="str">
        <f t="shared" si="183"/>
        <v/>
      </c>
      <c r="AN189" s="444" t="str">
        <f t="shared" si="183"/>
        <v/>
      </c>
      <c r="AO189" s="444" t="str">
        <f t="shared" si="183"/>
        <v/>
      </c>
      <c r="AP189" s="444" t="str">
        <f t="shared" si="183"/>
        <v/>
      </c>
      <c r="AQ189" s="444" t="str">
        <f t="shared" si="183"/>
        <v/>
      </c>
      <c r="AR189" s="444" t="str">
        <f t="shared" si="183"/>
        <v/>
      </c>
      <c r="AS189" s="444" t="str">
        <f t="shared" si="184"/>
        <v/>
      </c>
      <c r="AT189" s="444" t="str">
        <f t="shared" si="184"/>
        <v/>
      </c>
      <c r="AU189" s="444" t="str">
        <f t="shared" si="184"/>
        <v/>
      </c>
      <c r="AV189" s="444" t="str">
        <f t="shared" si="184"/>
        <v/>
      </c>
      <c r="AW189" s="444" t="str">
        <f t="shared" si="184"/>
        <v/>
      </c>
      <c r="AX189" s="444" t="str">
        <f t="shared" si="184"/>
        <v/>
      </c>
      <c r="AY189" s="444" t="str">
        <f t="shared" si="184"/>
        <v/>
      </c>
      <c r="AZ189" s="444" t="str">
        <f t="shared" si="184"/>
        <v/>
      </c>
      <c r="BA189" s="444" t="str">
        <f t="shared" si="184"/>
        <v/>
      </c>
      <c r="BB189" s="444" t="str">
        <f t="shared" si="184"/>
        <v/>
      </c>
      <c r="BC189" s="444" t="str">
        <f t="shared" si="185"/>
        <v/>
      </c>
      <c r="BD189" s="444" t="str">
        <f t="shared" si="185"/>
        <v/>
      </c>
      <c r="BE189" s="444" t="str">
        <f t="shared" si="185"/>
        <v/>
      </c>
      <c r="BF189" s="444" t="str">
        <f t="shared" si="185"/>
        <v/>
      </c>
      <c r="BG189" s="444" t="str">
        <f t="shared" si="185"/>
        <v/>
      </c>
      <c r="BH189" s="445" t="str">
        <f t="shared" si="185"/>
        <v/>
      </c>
      <c r="BI189" s="502"/>
      <c r="BJ189" s="474" t="str">
        <f t="shared" si="186"/>
        <v/>
      </c>
      <c r="BK189" s="475" t="str">
        <f t="shared" si="186"/>
        <v/>
      </c>
      <c r="BL189" s="475" t="str">
        <f t="shared" si="186"/>
        <v/>
      </c>
      <c r="BM189" s="475" t="str">
        <f t="shared" si="186"/>
        <v/>
      </c>
      <c r="BN189" s="475" t="str">
        <f t="shared" si="186"/>
        <v/>
      </c>
      <c r="BO189" s="475" t="str">
        <f t="shared" si="186"/>
        <v/>
      </c>
      <c r="BP189" s="475" t="str">
        <f t="shared" si="186"/>
        <v/>
      </c>
      <c r="BQ189" s="475" t="str">
        <f t="shared" si="186"/>
        <v/>
      </c>
      <c r="BR189" s="475" t="str">
        <f t="shared" si="186"/>
        <v/>
      </c>
      <c r="BS189" s="475" t="str">
        <f t="shared" si="186"/>
        <v/>
      </c>
      <c r="BT189" s="475" t="str">
        <f t="shared" si="187"/>
        <v/>
      </c>
      <c r="BU189" s="475" t="str">
        <f t="shared" si="187"/>
        <v/>
      </c>
      <c r="BV189" s="475" t="str">
        <f t="shared" si="187"/>
        <v/>
      </c>
      <c r="BW189" s="475" t="str">
        <f t="shared" si="187"/>
        <v/>
      </c>
      <c r="BX189" s="475" t="str">
        <f t="shared" si="187"/>
        <v/>
      </c>
      <c r="BY189" s="475" t="str">
        <f t="shared" si="187"/>
        <v/>
      </c>
      <c r="BZ189" s="475" t="str">
        <f t="shared" si="187"/>
        <v/>
      </c>
      <c r="CA189" s="475" t="str">
        <f t="shared" si="187"/>
        <v/>
      </c>
      <c r="CB189" s="475" t="str">
        <f t="shared" si="187"/>
        <v/>
      </c>
      <c r="CC189" s="475" t="str">
        <f t="shared" si="187"/>
        <v/>
      </c>
      <c r="CD189" s="475" t="str">
        <f t="shared" si="188"/>
        <v/>
      </c>
      <c r="CE189" s="475" t="str">
        <f t="shared" si="188"/>
        <v/>
      </c>
      <c r="CF189" s="475" t="str">
        <f t="shared" si="188"/>
        <v/>
      </c>
      <c r="CG189" s="475" t="str">
        <f t="shared" si="188"/>
        <v/>
      </c>
      <c r="CH189" s="475" t="str">
        <f t="shared" si="188"/>
        <v/>
      </c>
      <c r="CI189" s="475" t="str">
        <f t="shared" si="188"/>
        <v/>
      </c>
      <c r="CJ189" s="475" t="str">
        <f t="shared" si="188"/>
        <v/>
      </c>
      <c r="CK189" s="475" t="str">
        <f t="shared" si="188"/>
        <v/>
      </c>
      <c r="CL189" s="475" t="str">
        <f t="shared" si="188"/>
        <v/>
      </c>
      <c r="CM189" s="475" t="str">
        <f t="shared" si="188"/>
        <v/>
      </c>
      <c r="CN189" s="475" t="str">
        <f t="shared" si="189"/>
        <v/>
      </c>
      <c r="CO189" s="475" t="str">
        <f t="shared" si="189"/>
        <v/>
      </c>
      <c r="CP189" s="475" t="str">
        <f t="shared" si="189"/>
        <v/>
      </c>
      <c r="CQ189" s="475" t="str">
        <f t="shared" si="189"/>
        <v/>
      </c>
      <c r="CR189" s="475" t="str">
        <f t="shared" si="189"/>
        <v/>
      </c>
      <c r="CS189" s="475" t="str">
        <f t="shared" si="189"/>
        <v/>
      </c>
      <c r="CT189" s="475" t="str">
        <f t="shared" si="189"/>
        <v/>
      </c>
      <c r="CU189" s="475" t="str">
        <f t="shared" si="189"/>
        <v/>
      </c>
      <c r="CV189" s="475" t="str">
        <f t="shared" si="189"/>
        <v/>
      </c>
      <c r="CW189" s="475" t="str">
        <f t="shared" si="189"/>
        <v/>
      </c>
      <c r="CX189" s="475" t="str">
        <f t="shared" si="189"/>
        <v/>
      </c>
      <c r="CY189" s="475" t="str">
        <f t="shared" si="189"/>
        <v/>
      </c>
      <c r="CZ189" s="495" t="str">
        <f t="shared" si="189"/>
        <v/>
      </c>
      <c r="DA189" s="502"/>
      <c r="DB189" s="460"/>
      <c r="DC189" s="465"/>
      <c r="DD189" s="463"/>
      <c r="DE189" s="512"/>
      <c r="DF189" s="516"/>
      <c r="DG189" s="508"/>
      <c r="DH189" s="463"/>
      <c r="DI189" s="461"/>
      <c r="DJ189" s="461"/>
      <c r="DK189" s="461"/>
      <c r="DL189" s="464"/>
      <c r="DM189" s="466"/>
      <c r="DN189" s="502"/>
      <c r="DO189" s="460"/>
      <c r="DP189" s="464"/>
      <c r="DQ189" s="464"/>
      <c r="DR189" s="464"/>
      <c r="DS189" s="508"/>
      <c r="DT189" s="525"/>
      <c r="DU189" s="525"/>
      <c r="DV189" s="463"/>
      <c r="DW189" s="464"/>
      <c r="DX189" s="465"/>
      <c r="DY189" s="463"/>
      <c r="DZ189" s="464"/>
      <c r="EA189" s="465"/>
      <c r="EB189" s="463"/>
      <c r="EC189" s="465"/>
      <c r="ED189" s="462"/>
      <c r="EE189" s="502"/>
      <c r="EF189" s="463"/>
      <c r="EG189" s="461"/>
      <c r="EH189" s="464"/>
      <c r="EI189" s="464"/>
      <c r="EJ189" s="464"/>
      <c r="EK189" s="464"/>
      <c r="EL189" s="464"/>
      <c r="EM189" s="464"/>
      <c r="EN189" s="464"/>
      <c r="EO189" s="464"/>
      <c r="EP189" s="464"/>
      <c r="EQ189" s="464"/>
      <c r="ER189" s="464"/>
      <c r="ES189" s="464"/>
      <c r="ET189" s="464"/>
      <c r="EU189" s="464"/>
      <c r="EV189" s="464"/>
      <c r="EW189" s="465"/>
      <c r="EX189" s="465"/>
      <c r="EY189" s="502"/>
      <c r="EZ189" s="460"/>
      <c r="FA189" s="464"/>
      <c r="FB189" s="464"/>
      <c r="FC189" s="464"/>
      <c r="FD189" s="464"/>
      <c r="FE189" s="464"/>
      <c r="FF189" s="464"/>
      <c r="FG189" s="466"/>
    </row>
    <row r="190" spans="1:163">
      <c r="A190" s="467" t="s">
        <v>381</v>
      </c>
      <c r="B190" s="471" t="s">
        <v>382</v>
      </c>
      <c r="C190" s="504"/>
      <c r="D190" s="527"/>
      <c r="E190" s="443" t="str">
        <f t="shared" si="180"/>
        <v>YES</v>
      </c>
      <c r="F190" s="444" t="str">
        <f t="shared" si="180"/>
        <v/>
      </c>
      <c r="G190" s="444" t="str">
        <f t="shared" si="180"/>
        <v>YES</v>
      </c>
      <c r="H190" s="444" t="str">
        <f t="shared" si="180"/>
        <v>YES</v>
      </c>
      <c r="I190" s="444" t="str">
        <f t="shared" si="180"/>
        <v/>
      </c>
      <c r="J190" s="444" t="str">
        <f t="shared" si="180"/>
        <v/>
      </c>
      <c r="K190" s="444" t="str">
        <f t="shared" si="180"/>
        <v/>
      </c>
      <c r="L190" s="444" t="str">
        <f t="shared" si="180"/>
        <v/>
      </c>
      <c r="M190" s="444" t="str">
        <f t="shared" si="180"/>
        <v/>
      </c>
      <c r="N190" s="444" t="str">
        <f t="shared" si="180"/>
        <v/>
      </c>
      <c r="O190" s="444" t="str">
        <f t="shared" si="181"/>
        <v/>
      </c>
      <c r="P190" s="444" t="str">
        <f t="shared" si="181"/>
        <v>YES</v>
      </c>
      <c r="Q190" s="444" t="str">
        <f t="shared" si="181"/>
        <v/>
      </c>
      <c r="R190" s="444" t="str">
        <f t="shared" si="181"/>
        <v/>
      </c>
      <c r="S190" s="444" t="str">
        <f t="shared" si="181"/>
        <v/>
      </c>
      <c r="T190" s="444" t="str">
        <f t="shared" si="181"/>
        <v/>
      </c>
      <c r="U190" s="444" t="str">
        <f t="shared" si="181"/>
        <v>YES</v>
      </c>
      <c r="V190" s="444" t="str">
        <f t="shared" si="181"/>
        <v>YES</v>
      </c>
      <c r="W190" s="444" t="str">
        <f t="shared" si="181"/>
        <v/>
      </c>
      <c r="X190" s="444" t="str">
        <f t="shared" si="181"/>
        <v/>
      </c>
      <c r="Y190" s="444" t="str">
        <f t="shared" si="182"/>
        <v/>
      </c>
      <c r="Z190" s="444" t="str">
        <f t="shared" si="182"/>
        <v/>
      </c>
      <c r="AA190" s="444" t="str">
        <f t="shared" si="182"/>
        <v>YES</v>
      </c>
      <c r="AB190" s="444" t="str">
        <f t="shared" si="182"/>
        <v/>
      </c>
      <c r="AC190" s="444" t="str">
        <f t="shared" si="182"/>
        <v/>
      </c>
      <c r="AD190" s="444" t="str">
        <f t="shared" si="182"/>
        <v/>
      </c>
      <c r="AE190" s="444" t="str">
        <f t="shared" si="182"/>
        <v/>
      </c>
      <c r="AF190" s="444" t="str">
        <f t="shared" si="182"/>
        <v/>
      </c>
      <c r="AG190" s="444" t="str">
        <f t="shared" si="182"/>
        <v/>
      </c>
      <c r="AH190" s="444" t="str">
        <f t="shared" si="182"/>
        <v/>
      </c>
      <c r="AI190" s="444" t="str">
        <f t="shared" si="183"/>
        <v/>
      </c>
      <c r="AJ190" s="444" t="str">
        <f t="shared" si="183"/>
        <v/>
      </c>
      <c r="AK190" s="444" t="str">
        <f t="shared" si="183"/>
        <v/>
      </c>
      <c r="AL190" s="444" t="str">
        <f t="shared" si="183"/>
        <v>YES</v>
      </c>
      <c r="AM190" s="444" t="str">
        <f t="shared" si="183"/>
        <v/>
      </c>
      <c r="AN190" s="444" t="str">
        <f t="shared" si="183"/>
        <v/>
      </c>
      <c r="AO190" s="444" t="str">
        <f t="shared" si="183"/>
        <v/>
      </c>
      <c r="AP190" s="444" t="str">
        <f t="shared" si="183"/>
        <v/>
      </c>
      <c r="AQ190" s="444" t="str">
        <f t="shared" si="183"/>
        <v>YES</v>
      </c>
      <c r="AR190" s="444" t="str">
        <f t="shared" si="183"/>
        <v/>
      </c>
      <c r="AS190" s="444" t="str">
        <f t="shared" si="184"/>
        <v/>
      </c>
      <c r="AT190" s="444" t="str">
        <f t="shared" si="184"/>
        <v/>
      </c>
      <c r="AU190" s="444" t="str">
        <f t="shared" si="184"/>
        <v/>
      </c>
      <c r="AV190" s="444" t="str">
        <f t="shared" si="184"/>
        <v/>
      </c>
      <c r="AW190" s="444" t="str">
        <f t="shared" si="184"/>
        <v/>
      </c>
      <c r="AX190" s="444" t="str">
        <f t="shared" si="184"/>
        <v>YES</v>
      </c>
      <c r="AY190" s="444" t="str">
        <f t="shared" si="184"/>
        <v>YES</v>
      </c>
      <c r="AZ190" s="444" t="str">
        <f t="shared" si="184"/>
        <v/>
      </c>
      <c r="BA190" s="444" t="str">
        <f t="shared" si="184"/>
        <v/>
      </c>
      <c r="BB190" s="444" t="str">
        <f t="shared" si="184"/>
        <v/>
      </c>
      <c r="BC190" s="444" t="str">
        <f t="shared" si="185"/>
        <v/>
      </c>
      <c r="BD190" s="444" t="str">
        <f t="shared" si="185"/>
        <v/>
      </c>
      <c r="BE190" s="444" t="str">
        <f t="shared" si="185"/>
        <v>YES</v>
      </c>
      <c r="BF190" s="444" t="str">
        <f t="shared" si="185"/>
        <v>YES</v>
      </c>
      <c r="BG190" s="444" t="str">
        <f t="shared" si="185"/>
        <v>YES</v>
      </c>
      <c r="BH190" s="445" t="str">
        <f t="shared" si="185"/>
        <v/>
      </c>
      <c r="BI190" s="502"/>
      <c r="BJ190" s="443" t="str">
        <f t="shared" ref="BJ190:BS195" si="190">_xlfn.IFNA(IF(INDEX(RoadmapData, MATCH(TRIM(BJ$1), RoadmapDataFeatures, 0), MATCH($A190, RoadmapDataProjects, 0)) = "-", "-", INDEX(RoadmapData, MATCH(TRIM(BJ$1), RoadmapDataFeatures, 0), MATCH($A190, RoadmapDataProjects, 0))), "")</f>
        <v/>
      </c>
      <c r="BK190" s="444" t="str">
        <f t="shared" si="190"/>
        <v/>
      </c>
      <c r="BL190" s="444" t="str">
        <f t="shared" si="190"/>
        <v/>
      </c>
      <c r="BM190" s="444" t="str">
        <f t="shared" si="190"/>
        <v/>
      </c>
      <c r="BN190" s="444" t="str">
        <f t="shared" si="190"/>
        <v/>
      </c>
      <c r="BO190" s="444" t="str">
        <f t="shared" si="190"/>
        <v/>
      </c>
      <c r="BP190" s="444" t="str">
        <f t="shared" si="190"/>
        <v/>
      </c>
      <c r="BQ190" s="444" t="str">
        <f t="shared" si="190"/>
        <v/>
      </c>
      <c r="BR190" s="444" t="str">
        <f t="shared" si="190"/>
        <v/>
      </c>
      <c r="BS190" s="444" t="str">
        <f t="shared" si="190"/>
        <v/>
      </c>
      <c r="BT190" s="444" t="str">
        <f t="shared" si="187"/>
        <v/>
      </c>
      <c r="BU190" s="444" t="str">
        <f t="shared" si="187"/>
        <v/>
      </c>
      <c r="BV190" s="444" t="str">
        <f t="shared" si="187"/>
        <v/>
      </c>
      <c r="BW190" s="444" t="str">
        <f t="shared" si="187"/>
        <v/>
      </c>
      <c r="BX190" s="444" t="str">
        <f t="shared" si="187"/>
        <v/>
      </c>
      <c r="BY190" s="444" t="str">
        <f t="shared" si="187"/>
        <v/>
      </c>
      <c r="BZ190" s="444" t="str">
        <f t="shared" si="187"/>
        <v/>
      </c>
      <c r="CA190" s="444" t="str">
        <f t="shared" si="187"/>
        <v/>
      </c>
      <c r="CB190" s="444" t="str">
        <f t="shared" si="187"/>
        <v/>
      </c>
      <c r="CC190" s="444" t="str">
        <f t="shared" si="187"/>
        <v/>
      </c>
      <c r="CD190" s="444" t="str">
        <f t="shared" si="188"/>
        <v/>
      </c>
      <c r="CE190" s="444" t="str">
        <f t="shared" si="188"/>
        <v/>
      </c>
      <c r="CF190" s="444" t="str">
        <f t="shared" si="188"/>
        <v/>
      </c>
      <c r="CG190" s="444" t="str">
        <f t="shared" si="188"/>
        <v/>
      </c>
      <c r="CH190" s="444" t="str">
        <f t="shared" si="188"/>
        <v/>
      </c>
      <c r="CI190" s="444" t="str">
        <f t="shared" si="188"/>
        <v/>
      </c>
      <c r="CJ190" s="444" t="str">
        <f t="shared" si="188"/>
        <v/>
      </c>
      <c r="CK190" s="444" t="str">
        <f t="shared" si="188"/>
        <v/>
      </c>
      <c r="CL190" s="444" t="str">
        <f t="shared" si="188"/>
        <v/>
      </c>
      <c r="CM190" s="444" t="str">
        <f t="shared" si="188"/>
        <v/>
      </c>
      <c r="CN190" s="444" t="str">
        <f t="shared" si="189"/>
        <v/>
      </c>
      <c r="CO190" s="444" t="str">
        <f t="shared" si="189"/>
        <v/>
      </c>
      <c r="CP190" s="444" t="str">
        <f t="shared" si="189"/>
        <v/>
      </c>
      <c r="CQ190" s="444" t="str">
        <f t="shared" si="189"/>
        <v/>
      </c>
      <c r="CR190" s="444" t="str">
        <f t="shared" si="189"/>
        <v/>
      </c>
      <c r="CS190" s="444" t="str">
        <f t="shared" si="189"/>
        <v/>
      </c>
      <c r="CT190" s="444" t="str">
        <f t="shared" si="189"/>
        <v/>
      </c>
      <c r="CU190" s="444" t="str">
        <f t="shared" si="189"/>
        <v/>
      </c>
      <c r="CV190" s="444" t="str">
        <f t="shared" si="189"/>
        <v/>
      </c>
      <c r="CW190" s="444" t="str">
        <f t="shared" si="189"/>
        <v/>
      </c>
      <c r="CX190" s="444" t="str">
        <f t="shared" si="189"/>
        <v/>
      </c>
      <c r="CY190" s="444" t="str">
        <f t="shared" si="189"/>
        <v/>
      </c>
      <c r="CZ190" s="445" t="str">
        <f t="shared" si="189"/>
        <v/>
      </c>
      <c r="DA190" s="528"/>
      <c r="DB190" s="460"/>
      <c r="DC190" s="464"/>
      <c r="DD190" s="463"/>
      <c r="DE190" s="529"/>
      <c r="DF190" s="516"/>
      <c r="DG190" s="508"/>
      <c r="DH190" s="463"/>
      <c r="DI190" s="461"/>
      <c r="DJ190" s="461"/>
      <c r="DK190" s="461"/>
      <c r="DL190" s="464"/>
      <c r="DM190" s="466"/>
      <c r="DN190" s="530"/>
      <c r="DO190" s="460"/>
      <c r="DP190" s="464"/>
      <c r="DQ190" s="464"/>
      <c r="DR190" s="464"/>
      <c r="DS190" s="508"/>
      <c r="DT190" s="525"/>
      <c r="DU190" s="525"/>
      <c r="DV190" s="463"/>
      <c r="DW190" s="464"/>
      <c r="DX190" s="465"/>
      <c r="DY190" s="463"/>
      <c r="DZ190" s="464"/>
      <c r="EA190" s="465"/>
      <c r="EB190" s="463"/>
      <c r="EC190" s="465"/>
      <c r="ED190" s="462"/>
      <c r="EE190" s="530"/>
      <c r="EF190" s="463"/>
      <c r="EG190" s="461"/>
      <c r="EH190" s="464"/>
      <c r="EI190" s="464"/>
      <c r="EJ190" s="464"/>
      <c r="EK190" s="464"/>
      <c r="EL190" s="464"/>
      <c r="EM190" s="464"/>
      <c r="EN190" s="464"/>
      <c r="EO190" s="464"/>
      <c r="EP190" s="464"/>
      <c r="EQ190" s="464"/>
      <c r="ER190" s="464"/>
      <c r="ES190" s="464"/>
      <c r="ET190" s="464"/>
      <c r="EU190" s="464"/>
      <c r="EV190" s="464"/>
      <c r="EW190" s="465"/>
      <c r="EX190" s="465"/>
      <c r="EY190" s="530"/>
      <c r="EZ190" s="460"/>
      <c r="FA190" s="464"/>
      <c r="FB190" s="464"/>
      <c r="FC190" s="464"/>
      <c r="FD190" s="464"/>
      <c r="FE190" s="464"/>
      <c r="FF190" s="464"/>
      <c r="FG190" s="466"/>
    </row>
    <row r="191" spans="1:163">
      <c r="A191" s="467" t="s">
        <v>383</v>
      </c>
      <c r="B191" s="471" t="s">
        <v>382</v>
      </c>
      <c r="C191" s="504"/>
      <c r="D191" s="527"/>
      <c r="E191" s="443" t="str">
        <f t="shared" si="180"/>
        <v>YES</v>
      </c>
      <c r="F191" s="444" t="str">
        <f t="shared" si="180"/>
        <v/>
      </c>
      <c r="G191" s="444" t="str">
        <f t="shared" si="180"/>
        <v>YES</v>
      </c>
      <c r="H191" s="444" t="str">
        <f t="shared" si="180"/>
        <v>YES</v>
      </c>
      <c r="I191" s="444" t="str">
        <f t="shared" si="180"/>
        <v/>
      </c>
      <c r="J191" s="444" t="str">
        <f t="shared" si="180"/>
        <v/>
      </c>
      <c r="K191" s="444" t="str">
        <f t="shared" si="180"/>
        <v/>
      </c>
      <c r="L191" s="444" t="str">
        <f t="shared" si="180"/>
        <v/>
      </c>
      <c r="M191" s="444" t="str">
        <f t="shared" si="180"/>
        <v/>
      </c>
      <c r="N191" s="444" t="str">
        <f t="shared" si="180"/>
        <v/>
      </c>
      <c r="O191" s="444" t="str">
        <f t="shared" si="181"/>
        <v/>
      </c>
      <c r="P191" s="444" t="str">
        <f t="shared" si="181"/>
        <v>YES</v>
      </c>
      <c r="Q191" s="444" t="str">
        <f t="shared" si="181"/>
        <v/>
      </c>
      <c r="R191" s="444" t="str">
        <f t="shared" si="181"/>
        <v/>
      </c>
      <c r="S191" s="444" t="str">
        <f t="shared" si="181"/>
        <v/>
      </c>
      <c r="T191" s="444" t="str">
        <f t="shared" si="181"/>
        <v/>
      </c>
      <c r="U191" s="444" t="str">
        <f t="shared" si="181"/>
        <v>YES</v>
      </c>
      <c r="V191" s="444" t="str">
        <f t="shared" si="181"/>
        <v>YES</v>
      </c>
      <c r="W191" s="444" t="str">
        <f t="shared" si="181"/>
        <v/>
      </c>
      <c r="X191" s="444" t="str">
        <f t="shared" si="181"/>
        <v/>
      </c>
      <c r="Y191" s="444" t="str">
        <f t="shared" si="182"/>
        <v/>
      </c>
      <c r="Z191" s="444" t="str">
        <f t="shared" si="182"/>
        <v/>
      </c>
      <c r="AA191" s="444" t="str">
        <f t="shared" si="182"/>
        <v>YES</v>
      </c>
      <c r="AB191" s="444" t="str">
        <f t="shared" si="182"/>
        <v/>
      </c>
      <c r="AC191" s="444" t="str">
        <f t="shared" si="182"/>
        <v/>
      </c>
      <c r="AD191" s="444" t="str">
        <f t="shared" si="182"/>
        <v/>
      </c>
      <c r="AE191" s="444" t="str">
        <f t="shared" si="182"/>
        <v/>
      </c>
      <c r="AF191" s="444" t="str">
        <f t="shared" si="182"/>
        <v/>
      </c>
      <c r="AG191" s="444" t="str">
        <f t="shared" si="182"/>
        <v/>
      </c>
      <c r="AH191" s="444" t="str">
        <f t="shared" si="182"/>
        <v/>
      </c>
      <c r="AI191" s="444" t="str">
        <f t="shared" si="183"/>
        <v/>
      </c>
      <c r="AJ191" s="444" t="str">
        <f t="shared" si="183"/>
        <v/>
      </c>
      <c r="AK191" s="444" t="str">
        <f t="shared" si="183"/>
        <v/>
      </c>
      <c r="AL191" s="444" t="str">
        <f t="shared" si="183"/>
        <v>YES</v>
      </c>
      <c r="AM191" s="444" t="str">
        <f t="shared" si="183"/>
        <v/>
      </c>
      <c r="AN191" s="444" t="str">
        <f t="shared" si="183"/>
        <v/>
      </c>
      <c r="AO191" s="444" t="str">
        <f t="shared" si="183"/>
        <v/>
      </c>
      <c r="AP191" s="444" t="str">
        <f t="shared" si="183"/>
        <v/>
      </c>
      <c r="AQ191" s="444" t="str">
        <f t="shared" si="183"/>
        <v>YES</v>
      </c>
      <c r="AR191" s="444" t="str">
        <f t="shared" si="183"/>
        <v/>
      </c>
      <c r="AS191" s="444" t="str">
        <f t="shared" si="184"/>
        <v/>
      </c>
      <c r="AT191" s="444" t="str">
        <f t="shared" si="184"/>
        <v/>
      </c>
      <c r="AU191" s="444" t="str">
        <f t="shared" si="184"/>
        <v/>
      </c>
      <c r="AV191" s="444" t="str">
        <f t="shared" si="184"/>
        <v/>
      </c>
      <c r="AW191" s="444" t="str">
        <f t="shared" si="184"/>
        <v/>
      </c>
      <c r="AX191" s="444" t="str">
        <f t="shared" si="184"/>
        <v>YES</v>
      </c>
      <c r="AY191" s="444" t="str">
        <f t="shared" si="184"/>
        <v>YES</v>
      </c>
      <c r="AZ191" s="444" t="str">
        <f t="shared" si="184"/>
        <v/>
      </c>
      <c r="BA191" s="444" t="str">
        <f t="shared" si="184"/>
        <v/>
      </c>
      <c r="BB191" s="444" t="str">
        <f t="shared" si="184"/>
        <v/>
      </c>
      <c r="BC191" s="444" t="str">
        <f t="shared" si="185"/>
        <v/>
      </c>
      <c r="BD191" s="444" t="str">
        <f t="shared" si="185"/>
        <v/>
      </c>
      <c r="BE191" s="444" t="str">
        <f t="shared" si="185"/>
        <v>YES</v>
      </c>
      <c r="BF191" s="444" t="str">
        <f t="shared" si="185"/>
        <v>YES</v>
      </c>
      <c r="BG191" s="444" t="str">
        <f t="shared" si="185"/>
        <v>YES</v>
      </c>
      <c r="BH191" s="445" t="str">
        <f t="shared" si="185"/>
        <v/>
      </c>
      <c r="BI191" s="502"/>
      <c r="BJ191" s="443" t="str">
        <f t="shared" si="190"/>
        <v/>
      </c>
      <c r="BK191" s="444" t="str">
        <f t="shared" si="190"/>
        <v/>
      </c>
      <c r="BL191" s="444" t="str">
        <f t="shared" si="190"/>
        <v/>
      </c>
      <c r="BM191" s="444" t="str">
        <f t="shared" si="190"/>
        <v/>
      </c>
      <c r="BN191" s="444" t="str">
        <f t="shared" si="190"/>
        <v/>
      </c>
      <c r="BO191" s="444" t="str">
        <f t="shared" si="190"/>
        <v/>
      </c>
      <c r="BP191" s="444" t="str">
        <f t="shared" si="190"/>
        <v/>
      </c>
      <c r="BQ191" s="444" t="str">
        <f t="shared" si="190"/>
        <v/>
      </c>
      <c r="BR191" s="444" t="str">
        <f t="shared" si="190"/>
        <v/>
      </c>
      <c r="BS191" s="444" t="str">
        <f t="shared" si="190"/>
        <v/>
      </c>
      <c r="BT191" s="444" t="str">
        <f t="shared" si="187"/>
        <v/>
      </c>
      <c r="BU191" s="444" t="str">
        <f t="shared" si="187"/>
        <v/>
      </c>
      <c r="BV191" s="444" t="str">
        <f t="shared" si="187"/>
        <v/>
      </c>
      <c r="BW191" s="444" t="str">
        <f t="shared" si="187"/>
        <v/>
      </c>
      <c r="BX191" s="444" t="str">
        <f t="shared" si="187"/>
        <v/>
      </c>
      <c r="BY191" s="444" t="str">
        <f t="shared" si="187"/>
        <v/>
      </c>
      <c r="BZ191" s="444" t="str">
        <f t="shared" si="187"/>
        <v/>
      </c>
      <c r="CA191" s="444" t="str">
        <f t="shared" si="187"/>
        <v/>
      </c>
      <c r="CB191" s="444" t="str">
        <f t="shared" si="187"/>
        <v/>
      </c>
      <c r="CC191" s="444" t="str">
        <f t="shared" si="187"/>
        <v/>
      </c>
      <c r="CD191" s="444" t="str">
        <f t="shared" si="188"/>
        <v/>
      </c>
      <c r="CE191" s="444" t="str">
        <f t="shared" si="188"/>
        <v/>
      </c>
      <c r="CF191" s="444" t="str">
        <f t="shared" si="188"/>
        <v/>
      </c>
      <c r="CG191" s="444" t="str">
        <f t="shared" si="188"/>
        <v/>
      </c>
      <c r="CH191" s="444" t="str">
        <f t="shared" si="188"/>
        <v/>
      </c>
      <c r="CI191" s="444" t="str">
        <f t="shared" si="188"/>
        <v/>
      </c>
      <c r="CJ191" s="444" t="str">
        <f t="shared" si="188"/>
        <v/>
      </c>
      <c r="CK191" s="444" t="str">
        <f t="shared" si="188"/>
        <v/>
      </c>
      <c r="CL191" s="444" t="str">
        <f t="shared" si="188"/>
        <v/>
      </c>
      <c r="CM191" s="444" t="str">
        <f t="shared" si="188"/>
        <v/>
      </c>
      <c r="CN191" s="444" t="str">
        <f t="shared" si="189"/>
        <v/>
      </c>
      <c r="CO191" s="444" t="str">
        <f t="shared" si="189"/>
        <v/>
      </c>
      <c r="CP191" s="444" t="str">
        <f t="shared" si="189"/>
        <v/>
      </c>
      <c r="CQ191" s="444" t="str">
        <f t="shared" si="189"/>
        <v/>
      </c>
      <c r="CR191" s="444" t="str">
        <f t="shared" si="189"/>
        <v/>
      </c>
      <c r="CS191" s="444" t="str">
        <f t="shared" si="189"/>
        <v/>
      </c>
      <c r="CT191" s="444" t="str">
        <f t="shared" si="189"/>
        <v/>
      </c>
      <c r="CU191" s="444" t="str">
        <f t="shared" si="189"/>
        <v/>
      </c>
      <c r="CV191" s="444" t="str">
        <f t="shared" si="189"/>
        <v/>
      </c>
      <c r="CW191" s="444" t="str">
        <f t="shared" si="189"/>
        <v/>
      </c>
      <c r="CX191" s="444" t="str">
        <f t="shared" si="189"/>
        <v/>
      </c>
      <c r="CY191" s="444" t="str">
        <f t="shared" si="189"/>
        <v/>
      </c>
      <c r="CZ191" s="445" t="str">
        <f t="shared" si="189"/>
        <v/>
      </c>
      <c r="DA191" s="528"/>
      <c r="DB191" s="460"/>
      <c r="DC191" s="464"/>
      <c r="DD191" s="463"/>
      <c r="DE191" s="529"/>
      <c r="DF191" s="516"/>
      <c r="DG191" s="508"/>
      <c r="DH191" s="463"/>
      <c r="DI191" s="461"/>
      <c r="DJ191" s="461"/>
      <c r="DK191" s="461"/>
      <c r="DL191" s="464"/>
      <c r="DM191" s="466"/>
      <c r="DN191" s="530"/>
      <c r="DO191" s="460"/>
      <c r="DP191" s="464"/>
      <c r="DQ191" s="464"/>
      <c r="DR191" s="464"/>
      <c r="DS191" s="508"/>
      <c r="DT191" s="525"/>
      <c r="DU191" s="525"/>
      <c r="DV191" s="463"/>
      <c r="DW191" s="464"/>
      <c r="DX191" s="465"/>
      <c r="DY191" s="463"/>
      <c r="DZ191" s="464"/>
      <c r="EA191" s="465"/>
      <c r="EB191" s="463"/>
      <c r="EC191" s="465"/>
      <c r="ED191" s="462"/>
      <c r="EE191" s="530"/>
      <c r="EF191" s="463"/>
      <c r="EG191" s="461"/>
      <c r="EH191" s="464"/>
      <c r="EI191" s="464"/>
      <c r="EJ191" s="464"/>
      <c r="EK191" s="464"/>
      <c r="EL191" s="464"/>
      <c r="EM191" s="464"/>
      <c r="EN191" s="464"/>
      <c r="EO191" s="464"/>
      <c r="EP191" s="464"/>
      <c r="EQ191" s="464"/>
      <c r="ER191" s="464"/>
      <c r="ES191" s="464"/>
      <c r="ET191" s="464"/>
      <c r="EU191" s="464"/>
      <c r="EV191" s="464"/>
      <c r="EW191" s="465"/>
      <c r="EX191" s="465"/>
      <c r="EY191" s="530"/>
      <c r="EZ191" s="460"/>
      <c r="FA191" s="464"/>
      <c r="FB191" s="464"/>
      <c r="FC191" s="464"/>
      <c r="FD191" s="464"/>
      <c r="FE191" s="464"/>
      <c r="FF191" s="464"/>
      <c r="FG191" s="466"/>
    </row>
    <row r="192" spans="1:163">
      <c r="A192" s="467" t="s">
        <v>384</v>
      </c>
      <c r="B192" s="471" t="s">
        <v>382</v>
      </c>
      <c r="C192" s="504"/>
      <c r="D192" s="527"/>
      <c r="E192" s="443" t="str">
        <f t="shared" ref="E192:N201" si="191" xml:space="preserve">
IFERROR(
_xlfn.IFNA(
   IF($B192="PLT",
      IF(INDEX(PRJGENVersions, MATCH(TRIM(E$1), PRJGENAlgosMapped, 0), MATCH($A192, PRJGENProjects, 0)), "YES", ""),
      IF(INDEX(RoadmapData, MATCH(TRIM(E$1), RoadmapDataFeatures, 0), MATCH($A192, RoadmapDataProjects, 0)) = "-", "-", INDEX(RoadmapData, MATCH(TRIM(E$1), RoadmapDataFeatures, 0), MATCH($A192, RoadmapDataProjects, 0)))),
""),
"")</f>
        <v/>
      </c>
      <c r="F192" s="444" t="str">
        <f t="shared" si="191"/>
        <v/>
      </c>
      <c r="G192" s="444" t="str">
        <f t="shared" si="191"/>
        <v/>
      </c>
      <c r="H192" s="444" t="str">
        <f t="shared" si="191"/>
        <v/>
      </c>
      <c r="I192" s="444" t="str">
        <f t="shared" si="191"/>
        <v/>
      </c>
      <c r="J192" s="444" t="str">
        <f t="shared" si="191"/>
        <v/>
      </c>
      <c r="K192" s="444" t="str">
        <f t="shared" si="191"/>
        <v/>
      </c>
      <c r="L192" s="444" t="str">
        <f t="shared" si="191"/>
        <v/>
      </c>
      <c r="M192" s="444" t="str">
        <f t="shared" si="191"/>
        <v/>
      </c>
      <c r="N192" s="444" t="str">
        <f t="shared" si="191"/>
        <v/>
      </c>
      <c r="O192" s="444" t="str">
        <f t="shared" ref="O192:X201" si="192" xml:space="preserve">
IFERROR(
_xlfn.IFNA(
   IF($B192="PLT",
      IF(INDEX(PRJGENVersions, MATCH(TRIM(O$1), PRJGENAlgosMapped, 0), MATCH($A192, PRJGENProjects, 0)), "YES", ""),
      IF(INDEX(RoadmapData, MATCH(TRIM(O$1), RoadmapDataFeatures, 0), MATCH($A192, RoadmapDataProjects, 0)) = "-", "-", INDEX(RoadmapData, MATCH(TRIM(O$1), RoadmapDataFeatures, 0), MATCH($A192, RoadmapDataProjects, 0)))),
""),
"")</f>
        <v/>
      </c>
      <c r="P192" s="444" t="str">
        <f t="shared" si="192"/>
        <v/>
      </c>
      <c r="Q192" s="444" t="str">
        <f t="shared" si="192"/>
        <v/>
      </c>
      <c r="R192" s="444" t="str">
        <f t="shared" si="192"/>
        <v/>
      </c>
      <c r="S192" s="444" t="str">
        <f t="shared" si="192"/>
        <v/>
      </c>
      <c r="T192" s="444" t="str">
        <f t="shared" si="192"/>
        <v/>
      </c>
      <c r="U192" s="444" t="str">
        <f t="shared" si="192"/>
        <v/>
      </c>
      <c r="V192" s="444" t="str">
        <f t="shared" si="192"/>
        <v/>
      </c>
      <c r="W192" s="444" t="str">
        <f t="shared" si="192"/>
        <v/>
      </c>
      <c r="X192" s="444" t="str">
        <f t="shared" si="192"/>
        <v/>
      </c>
      <c r="Y192" s="444" t="str">
        <f t="shared" ref="Y192:AH201" si="193" xml:space="preserve">
IFERROR(
_xlfn.IFNA(
   IF($B192="PLT",
      IF(INDEX(PRJGENVersions, MATCH(TRIM(Y$1), PRJGENAlgosMapped, 0), MATCH($A192, PRJGENProjects, 0)), "YES", ""),
      IF(INDEX(RoadmapData, MATCH(TRIM(Y$1), RoadmapDataFeatures, 0), MATCH($A192, RoadmapDataProjects, 0)) = "-", "-", INDEX(RoadmapData, MATCH(TRIM(Y$1), RoadmapDataFeatures, 0), MATCH($A192, RoadmapDataProjects, 0)))),
""),
"")</f>
        <v/>
      </c>
      <c r="Z192" s="444" t="str">
        <f t="shared" si="193"/>
        <v/>
      </c>
      <c r="AA192" s="444" t="str">
        <f t="shared" si="193"/>
        <v/>
      </c>
      <c r="AB192" s="444" t="str">
        <f t="shared" si="193"/>
        <v/>
      </c>
      <c r="AC192" s="444" t="str">
        <f t="shared" si="193"/>
        <v/>
      </c>
      <c r="AD192" s="444" t="str">
        <f t="shared" si="193"/>
        <v/>
      </c>
      <c r="AE192" s="444" t="str">
        <f t="shared" si="193"/>
        <v/>
      </c>
      <c r="AF192" s="444" t="str">
        <f t="shared" si="193"/>
        <v/>
      </c>
      <c r="AG192" s="444" t="str">
        <f t="shared" si="193"/>
        <v/>
      </c>
      <c r="AH192" s="444" t="str">
        <f t="shared" si="193"/>
        <v/>
      </c>
      <c r="AI192" s="444" t="str">
        <f t="shared" ref="AI192:AR201" si="194" xml:space="preserve">
IFERROR(
_xlfn.IFNA(
   IF($B192="PLT",
      IF(INDEX(PRJGENVersions, MATCH(TRIM(AI$1), PRJGENAlgosMapped, 0), MATCH($A192, PRJGENProjects, 0)), "YES", ""),
      IF(INDEX(RoadmapData, MATCH(TRIM(AI$1), RoadmapDataFeatures, 0), MATCH($A192, RoadmapDataProjects, 0)) = "-", "-", INDEX(RoadmapData, MATCH(TRIM(AI$1), RoadmapDataFeatures, 0), MATCH($A192, RoadmapDataProjects, 0)))),
""),
"")</f>
        <v/>
      </c>
      <c r="AJ192" s="444" t="str">
        <f t="shared" si="194"/>
        <v/>
      </c>
      <c r="AK192" s="444" t="str">
        <f t="shared" si="194"/>
        <v/>
      </c>
      <c r="AL192" s="444" t="str">
        <f t="shared" si="194"/>
        <v/>
      </c>
      <c r="AM192" s="444" t="str">
        <f t="shared" si="194"/>
        <v/>
      </c>
      <c r="AN192" s="444" t="str">
        <f t="shared" si="194"/>
        <v/>
      </c>
      <c r="AO192" s="444" t="str">
        <f t="shared" si="194"/>
        <v/>
      </c>
      <c r="AP192" s="444" t="str">
        <f t="shared" si="194"/>
        <v/>
      </c>
      <c r="AQ192" s="444" t="str">
        <f t="shared" si="194"/>
        <v/>
      </c>
      <c r="AR192" s="444" t="str">
        <f t="shared" si="194"/>
        <v/>
      </c>
      <c r="AS192" s="444" t="str">
        <f t="shared" ref="AS192:BB201" si="195" xml:space="preserve">
IFERROR(
_xlfn.IFNA(
   IF($B192="PLT",
      IF(INDEX(PRJGENVersions, MATCH(TRIM(AS$1), PRJGENAlgosMapped, 0), MATCH($A192, PRJGENProjects, 0)), "YES", ""),
      IF(INDEX(RoadmapData, MATCH(TRIM(AS$1), RoadmapDataFeatures, 0), MATCH($A192, RoadmapDataProjects, 0)) = "-", "-", INDEX(RoadmapData, MATCH(TRIM(AS$1), RoadmapDataFeatures, 0), MATCH($A192, RoadmapDataProjects, 0)))),
""),
"")</f>
        <v/>
      </c>
      <c r="AT192" s="444" t="str">
        <f t="shared" si="195"/>
        <v/>
      </c>
      <c r="AU192" s="444" t="str">
        <f t="shared" si="195"/>
        <v/>
      </c>
      <c r="AV192" s="444" t="str">
        <f t="shared" si="195"/>
        <v/>
      </c>
      <c r="AW192" s="444" t="str">
        <f t="shared" si="195"/>
        <v/>
      </c>
      <c r="AX192" s="444" t="str">
        <f t="shared" si="195"/>
        <v/>
      </c>
      <c r="AY192" s="444" t="str">
        <f t="shared" si="195"/>
        <v/>
      </c>
      <c r="AZ192" s="444" t="str">
        <f t="shared" si="195"/>
        <v/>
      </c>
      <c r="BA192" s="444" t="str">
        <f t="shared" si="195"/>
        <v/>
      </c>
      <c r="BB192" s="444" t="str">
        <f t="shared" si="195"/>
        <v/>
      </c>
      <c r="BC192" s="444" t="str">
        <f t="shared" ref="BC192:BH201" si="196" xml:space="preserve">
IFERROR(
_xlfn.IFNA(
   IF($B192="PLT",
      IF(INDEX(PRJGENVersions, MATCH(TRIM(BC$1), PRJGENAlgosMapped, 0), MATCH($A192, PRJGENProjects, 0)), "YES", ""),
      IF(INDEX(RoadmapData, MATCH(TRIM(BC$1), RoadmapDataFeatures, 0), MATCH($A192, RoadmapDataProjects, 0)) = "-", "-", INDEX(RoadmapData, MATCH(TRIM(BC$1), RoadmapDataFeatures, 0), MATCH($A192, RoadmapDataProjects, 0)))),
""),
"")</f>
        <v/>
      </c>
      <c r="BD192" s="444" t="str">
        <f t="shared" si="196"/>
        <v/>
      </c>
      <c r="BE192" s="444" t="str">
        <f t="shared" si="196"/>
        <v/>
      </c>
      <c r="BF192" s="444" t="str">
        <f t="shared" si="196"/>
        <v/>
      </c>
      <c r="BG192" s="444" t="str">
        <f t="shared" si="196"/>
        <v/>
      </c>
      <c r="BH192" s="445" t="str">
        <f t="shared" si="196"/>
        <v/>
      </c>
      <c r="BI192" s="502"/>
      <c r="BJ192" s="443" t="str">
        <f t="shared" si="190"/>
        <v/>
      </c>
      <c r="BK192" s="444" t="str">
        <f t="shared" si="190"/>
        <v/>
      </c>
      <c r="BL192" s="444" t="str">
        <f t="shared" si="190"/>
        <v/>
      </c>
      <c r="BM192" s="444" t="str">
        <f t="shared" si="190"/>
        <v/>
      </c>
      <c r="BN192" s="444" t="str">
        <f t="shared" si="190"/>
        <v/>
      </c>
      <c r="BO192" s="444" t="str">
        <f t="shared" si="190"/>
        <v/>
      </c>
      <c r="BP192" s="444" t="str">
        <f t="shared" si="190"/>
        <v/>
      </c>
      <c r="BQ192" s="444" t="str">
        <f t="shared" si="190"/>
        <v/>
      </c>
      <c r="BR192" s="444" t="str">
        <f t="shared" si="190"/>
        <v/>
      </c>
      <c r="BS192" s="444" t="str">
        <f t="shared" si="190"/>
        <v/>
      </c>
      <c r="BT192" s="444" t="str">
        <f t="shared" si="187"/>
        <v/>
      </c>
      <c r="BU192" s="444" t="str">
        <f t="shared" si="187"/>
        <v/>
      </c>
      <c r="BV192" s="444" t="str">
        <f t="shared" si="187"/>
        <v/>
      </c>
      <c r="BW192" s="444" t="str">
        <f t="shared" si="187"/>
        <v/>
      </c>
      <c r="BX192" s="444" t="str">
        <f t="shared" si="187"/>
        <v/>
      </c>
      <c r="BY192" s="444" t="str">
        <f t="shared" si="187"/>
        <v/>
      </c>
      <c r="BZ192" s="444" t="str">
        <f t="shared" si="187"/>
        <v/>
      </c>
      <c r="CA192" s="444" t="str">
        <f t="shared" si="187"/>
        <v/>
      </c>
      <c r="CB192" s="444" t="str">
        <f t="shared" si="187"/>
        <v/>
      </c>
      <c r="CC192" s="444" t="str">
        <f t="shared" si="187"/>
        <v/>
      </c>
      <c r="CD192" s="444" t="str">
        <f t="shared" si="188"/>
        <v/>
      </c>
      <c r="CE192" s="444" t="str">
        <f t="shared" si="188"/>
        <v/>
      </c>
      <c r="CF192" s="444" t="str">
        <f t="shared" si="188"/>
        <v/>
      </c>
      <c r="CG192" s="444" t="str">
        <f t="shared" si="188"/>
        <v/>
      </c>
      <c r="CH192" s="444" t="str">
        <f t="shared" si="188"/>
        <v/>
      </c>
      <c r="CI192" s="444" t="str">
        <f t="shared" si="188"/>
        <v/>
      </c>
      <c r="CJ192" s="444" t="str">
        <f t="shared" si="188"/>
        <v/>
      </c>
      <c r="CK192" s="444" t="str">
        <f t="shared" si="188"/>
        <v/>
      </c>
      <c r="CL192" s="444" t="str">
        <f t="shared" si="188"/>
        <v/>
      </c>
      <c r="CM192" s="444" t="str">
        <f t="shared" si="188"/>
        <v/>
      </c>
      <c r="CN192" s="444" t="str">
        <f t="shared" si="189"/>
        <v/>
      </c>
      <c r="CO192" s="444" t="str">
        <f t="shared" si="189"/>
        <v/>
      </c>
      <c r="CP192" s="444" t="str">
        <f t="shared" si="189"/>
        <v/>
      </c>
      <c r="CQ192" s="444" t="str">
        <f t="shared" si="189"/>
        <v/>
      </c>
      <c r="CR192" s="444" t="str">
        <f t="shared" si="189"/>
        <v/>
      </c>
      <c r="CS192" s="444" t="str">
        <f t="shared" si="189"/>
        <v/>
      </c>
      <c r="CT192" s="444" t="str">
        <f t="shared" si="189"/>
        <v/>
      </c>
      <c r="CU192" s="444" t="str">
        <f t="shared" si="189"/>
        <v/>
      </c>
      <c r="CV192" s="444" t="str">
        <f t="shared" si="189"/>
        <v/>
      </c>
      <c r="CW192" s="444" t="str">
        <f t="shared" si="189"/>
        <v/>
      </c>
      <c r="CX192" s="444" t="str">
        <f t="shared" si="189"/>
        <v/>
      </c>
      <c r="CY192" s="444" t="str">
        <f t="shared" si="189"/>
        <v/>
      </c>
      <c r="CZ192" s="445" t="str">
        <f t="shared" si="189"/>
        <v/>
      </c>
      <c r="DA192" s="528"/>
      <c r="DB192" s="460"/>
      <c r="DC192" s="464"/>
      <c r="DD192" s="463"/>
      <c r="DE192" s="529"/>
      <c r="DF192" s="516"/>
      <c r="DG192" s="508"/>
      <c r="DH192" s="463"/>
      <c r="DI192" s="461"/>
      <c r="DJ192" s="461"/>
      <c r="DK192" s="461"/>
      <c r="DL192" s="464"/>
      <c r="DM192" s="466"/>
      <c r="DN192" s="530"/>
      <c r="DO192" s="460"/>
      <c r="DP192" s="464"/>
      <c r="DQ192" s="464"/>
      <c r="DR192" s="464"/>
      <c r="DS192" s="508"/>
      <c r="DT192" s="525"/>
      <c r="DU192" s="525"/>
      <c r="DV192" s="463"/>
      <c r="DW192" s="464"/>
      <c r="DX192" s="465"/>
      <c r="DY192" s="463"/>
      <c r="DZ192" s="464"/>
      <c r="EA192" s="465"/>
      <c r="EB192" s="463"/>
      <c r="EC192" s="465"/>
      <c r="ED192" s="462"/>
      <c r="EE192" s="530"/>
      <c r="EF192" s="463"/>
      <c r="EG192" s="461"/>
      <c r="EH192" s="464"/>
      <c r="EI192" s="464"/>
      <c r="EJ192" s="464"/>
      <c r="EK192" s="464"/>
      <c r="EL192" s="464"/>
      <c r="EM192" s="464"/>
      <c r="EN192" s="464"/>
      <c r="EO192" s="464"/>
      <c r="EP192" s="464"/>
      <c r="EQ192" s="464"/>
      <c r="ER192" s="464"/>
      <c r="ES192" s="464"/>
      <c r="ET192" s="464"/>
      <c r="EU192" s="464"/>
      <c r="EV192" s="464"/>
      <c r="EW192" s="465"/>
      <c r="EX192" s="465"/>
      <c r="EY192" s="530"/>
      <c r="EZ192" s="460"/>
      <c r="FA192" s="464"/>
      <c r="FB192" s="464"/>
      <c r="FC192" s="464"/>
      <c r="FD192" s="464"/>
      <c r="FE192" s="464"/>
      <c r="FF192" s="464"/>
      <c r="FG192" s="466"/>
    </row>
    <row r="193" spans="1:163">
      <c r="A193" s="467" t="s">
        <v>385</v>
      </c>
      <c r="B193" s="471" t="s">
        <v>382</v>
      </c>
      <c r="C193" s="504"/>
      <c r="D193" s="527"/>
      <c r="E193" s="443" t="str">
        <f t="shared" si="191"/>
        <v>YES</v>
      </c>
      <c r="F193" s="444" t="str">
        <f t="shared" si="191"/>
        <v/>
      </c>
      <c r="G193" s="444" t="str">
        <f t="shared" si="191"/>
        <v>YES</v>
      </c>
      <c r="H193" s="444" t="str">
        <f t="shared" si="191"/>
        <v>YES</v>
      </c>
      <c r="I193" s="444" t="str">
        <f t="shared" si="191"/>
        <v/>
      </c>
      <c r="J193" s="444" t="str">
        <f t="shared" si="191"/>
        <v/>
      </c>
      <c r="K193" s="444" t="str">
        <f t="shared" si="191"/>
        <v/>
      </c>
      <c r="L193" s="444" t="str">
        <f t="shared" si="191"/>
        <v/>
      </c>
      <c r="M193" s="444" t="str">
        <f t="shared" si="191"/>
        <v/>
      </c>
      <c r="N193" s="444" t="str">
        <f t="shared" si="191"/>
        <v/>
      </c>
      <c r="O193" s="444" t="str">
        <f t="shared" si="192"/>
        <v/>
      </c>
      <c r="P193" s="444" t="str">
        <f t="shared" si="192"/>
        <v>YES</v>
      </c>
      <c r="Q193" s="444" t="str">
        <f t="shared" si="192"/>
        <v/>
      </c>
      <c r="R193" s="444" t="str">
        <f t="shared" si="192"/>
        <v/>
      </c>
      <c r="S193" s="444" t="str">
        <f t="shared" si="192"/>
        <v/>
      </c>
      <c r="T193" s="444" t="str">
        <f t="shared" si="192"/>
        <v/>
      </c>
      <c r="U193" s="444" t="str">
        <f t="shared" si="192"/>
        <v>YES</v>
      </c>
      <c r="V193" s="444" t="str">
        <f t="shared" si="192"/>
        <v>YES</v>
      </c>
      <c r="W193" s="444" t="str">
        <f t="shared" si="192"/>
        <v/>
      </c>
      <c r="X193" s="444" t="str">
        <f t="shared" si="192"/>
        <v/>
      </c>
      <c r="Y193" s="444" t="str">
        <f t="shared" si="193"/>
        <v/>
      </c>
      <c r="Z193" s="444" t="str">
        <f t="shared" si="193"/>
        <v/>
      </c>
      <c r="AA193" s="444" t="str">
        <f t="shared" si="193"/>
        <v>YES</v>
      </c>
      <c r="AB193" s="444" t="str">
        <f t="shared" si="193"/>
        <v/>
      </c>
      <c r="AC193" s="444" t="str">
        <f t="shared" si="193"/>
        <v/>
      </c>
      <c r="AD193" s="444" t="str">
        <f t="shared" si="193"/>
        <v/>
      </c>
      <c r="AE193" s="444" t="str">
        <f t="shared" si="193"/>
        <v/>
      </c>
      <c r="AF193" s="444" t="str">
        <f t="shared" si="193"/>
        <v/>
      </c>
      <c r="AG193" s="444" t="str">
        <f t="shared" si="193"/>
        <v/>
      </c>
      <c r="AH193" s="444" t="str">
        <f t="shared" si="193"/>
        <v/>
      </c>
      <c r="AI193" s="444" t="str">
        <f t="shared" si="194"/>
        <v/>
      </c>
      <c r="AJ193" s="444" t="str">
        <f t="shared" si="194"/>
        <v/>
      </c>
      <c r="AK193" s="444" t="str">
        <f t="shared" si="194"/>
        <v/>
      </c>
      <c r="AL193" s="444" t="str">
        <f t="shared" si="194"/>
        <v>YES</v>
      </c>
      <c r="AM193" s="444" t="str">
        <f t="shared" si="194"/>
        <v/>
      </c>
      <c r="AN193" s="444" t="str">
        <f t="shared" si="194"/>
        <v/>
      </c>
      <c r="AO193" s="444" t="str">
        <f t="shared" si="194"/>
        <v/>
      </c>
      <c r="AP193" s="444" t="str">
        <f t="shared" si="194"/>
        <v/>
      </c>
      <c r="AQ193" s="444" t="str">
        <f t="shared" si="194"/>
        <v>YES</v>
      </c>
      <c r="AR193" s="444" t="str">
        <f t="shared" si="194"/>
        <v/>
      </c>
      <c r="AS193" s="444" t="str">
        <f t="shared" si="195"/>
        <v/>
      </c>
      <c r="AT193" s="444" t="str">
        <f t="shared" si="195"/>
        <v/>
      </c>
      <c r="AU193" s="444" t="str">
        <f t="shared" si="195"/>
        <v/>
      </c>
      <c r="AV193" s="444" t="str">
        <f t="shared" si="195"/>
        <v/>
      </c>
      <c r="AW193" s="444" t="str">
        <f t="shared" si="195"/>
        <v/>
      </c>
      <c r="AX193" s="444" t="str">
        <f t="shared" si="195"/>
        <v>YES</v>
      </c>
      <c r="AY193" s="444" t="str">
        <f t="shared" si="195"/>
        <v>YES</v>
      </c>
      <c r="AZ193" s="444" t="str">
        <f t="shared" si="195"/>
        <v>YES</v>
      </c>
      <c r="BA193" s="444" t="str">
        <f t="shared" si="195"/>
        <v/>
      </c>
      <c r="BB193" s="444" t="str">
        <f t="shared" si="195"/>
        <v/>
      </c>
      <c r="BC193" s="444" t="str">
        <f t="shared" si="196"/>
        <v/>
      </c>
      <c r="BD193" s="444" t="str">
        <f t="shared" si="196"/>
        <v/>
      </c>
      <c r="BE193" s="444" t="str">
        <f t="shared" si="196"/>
        <v>YES</v>
      </c>
      <c r="BF193" s="444" t="str">
        <f t="shared" si="196"/>
        <v>YES</v>
      </c>
      <c r="BG193" s="444" t="str">
        <f t="shared" si="196"/>
        <v>YES</v>
      </c>
      <c r="BH193" s="445" t="str">
        <f t="shared" si="196"/>
        <v/>
      </c>
      <c r="BI193" s="502"/>
      <c r="BJ193" s="443" t="str">
        <f t="shared" si="190"/>
        <v/>
      </c>
      <c r="BK193" s="444" t="str">
        <f t="shared" si="190"/>
        <v/>
      </c>
      <c r="BL193" s="444" t="str">
        <f t="shared" si="190"/>
        <v/>
      </c>
      <c r="BM193" s="444" t="str">
        <f t="shared" si="190"/>
        <v/>
      </c>
      <c r="BN193" s="444" t="str">
        <f t="shared" si="190"/>
        <v/>
      </c>
      <c r="BO193" s="444" t="str">
        <f t="shared" si="190"/>
        <v/>
      </c>
      <c r="BP193" s="444" t="str">
        <f t="shared" si="190"/>
        <v/>
      </c>
      <c r="BQ193" s="444" t="str">
        <f t="shared" si="190"/>
        <v/>
      </c>
      <c r="BR193" s="444" t="str">
        <f t="shared" si="190"/>
        <v/>
      </c>
      <c r="BS193" s="444" t="str">
        <f t="shared" si="190"/>
        <v/>
      </c>
      <c r="BT193" s="444" t="str">
        <f t="shared" si="187"/>
        <v/>
      </c>
      <c r="BU193" s="444" t="str">
        <f t="shared" si="187"/>
        <v/>
      </c>
      <c r="BV193" s="444" t="str">
        <f t="shared" si="187"/>
        <v/>
      </c>
      <c r="BW193" s="444" t="str">
        <f t="shared" si="187"/>
        <v/>
      </c>
      <c r="BX193" s="444" t="str">
        <f t="shared" si="187"/>
        <v/>
      </c>
      <c r="BY193" s="444" t="str">
        <f t="shared" si="187"/>
        <v/>
      </c>
      <c r="BZ193" s="444" t="str">
        <f t="shared" si="187"/>
        <v/>
      </c>
      <c r="CA193" s="444" t="str">
        <f t="shared" si="187"/>
        <v/>
      </c>
      <c r="CB193" s="444" t="str">
        <f t="shared" si="187"/>
        <v/>
      </c>
      <c r="CC193" s="444" t="str">
        <f t="shared" si="187"/>
        <v/>
      </c>
      <c r="CD193" s="444" t="str">
        <f t="shared" si="188"/>
        <v/>
      </c>
      <c r="CE193" s="444" t="str">
        <f t="shared" si="188"/>
        <v/>
      </c>
      <c r="CF193" s="444" t="str">
        <f t="shared" si="188"/>
        <v/>
      </c>
      <c r="CG193" s="444" t="str">
        <f t="shared" si="188"/>
        <v/>
      </c>
      <c r="CH193" s="444" t="str">
        <f t="shared" si="188"/>
        <v/>
      </c>
      <c r="CI193" s="444" t="str">
        <f t="shared" si="188"/>
        <v/>
      </c>
      <c r="CJ193" s="444" t="str">
        <f t="shared" si="188"/>
        <v/>
      </c>
      <c r="CK193" s="444" t="str">
        <f t="shared" si="188"/>
        <v/>
      </c>
      <c r="CL193" s="444" t="str">
        <f t="shared" si="188"/>
        <v/>
      </c>
      <c r="CM193" s="444" t="str">
        <f t="shared" si="188"/>
        <v/>
      </c>
      <c r="CN193" s="444" t="str">
        <f t="shared" si="189"/>
        <v/>
      </c>
      <c r="CO193" s="444" t="str">
        <f t="shared" si="189"/>
        <v/>
      </c>
      <c r="CP193" s="444" t="str">
        <f t="shared" si="189"/>
        <v/>
      </c>
      <c r="CQ193" s="444" t="str">
        <f t="shared" si="189"/>
        <v/>
      </c>
      <c r="CR193" s="444" t="str">
        <f t="shared" si="189"/>
        <v/>
      </c>
      <c r="CS193" s="444" t="str">
        <f t="shared" si="189"/>
        <v/>
      </c>
      <c r="CT193" s="444" t="str">
        <f t="shared" si="189"/>
        <v/>
      </c>
      <c r="CU193" s="444" t="str">
        <f t="shared" si="189"/>
        <v/>
      </c>
      <c r="CV193" s="444" t="str">
        <f t="shared" si="189"/>
        <v/>
      </c>
      <c r="CW193" s="444" t="str">
        <f t="shared" si="189"/>
        <v/>
      </c>
      <c r="CX193" s="444" t="str">
        <f t="shared" si="189"/>
        <v/>
      </c>
      <c r="CY193" s="444" t="str">
        <f t="shared" si="189"/>
        <v/>
      </c>
      <c r="CZ193" s="445" t="str">
        <f t="shared" si="189"/>
        <v/>
      </c>
      <c r="DA193" s="528"/>
      <c r="DB193" s="460"/>
      <c r="DC193" s="464"/>
      <c r="DD193" s="463"/>
      <c r="DE193" s="529"/>
      <c r="DF193" s="516"/>
      <c r="DG193" s="508"/>
      <c r="DH193" s="463"/>
      <c r="DI193" s="461"/>
      <c r="DJ193" s="461"/>
      <c r="DK193" s="461"/>
      <c r="DL193" s="464"/>
      <c r="DM193" s="466"/>
      <c r="DN193" s="530"/>
      <c r="DO193" s="460"/>
      <c r="DP193" s="464"/>
      <c r="DQ193" s="464"/>
      <c r="DR193" s="464"/>
      <c r="DS193" s="508"/>
      <c r="DT193" s="525"/>
      <c r="DU193" s="525"/>
      <c r="DV193" s="463"/>
      <c r="DW193" s="464"/>
      <c r="DX193" s="465"/>
      <c r="DY193" s="463"/>
      <c r="DZ193" s="464"/>
      <c r="EA193" s="465"/>
      <c r="EB193" s="463"/>
      <c r="EC193" s="465"/>
      <c r="ED193" s="462"/>
      <c r="EE193" s="530"/>
      <c r="EF193" s="463"/>
      <c r="EG193" s="461"/>
      <c r="EH193" s="464"/>
      <c r="EI193" s="464"/>
      <c r="EJ193" s="464"/>
      <c r="EK193" s="464"/>
      <c r="EL193" s="464"/>
      <c r="EM193" s="464"/>
      <c r="EN193" s="464"/>
      <c r="EO193" s="464"/>
      <c r="EP193" s="464"/>
      <c r="EQ193" s="464"/>
      <c r="ER193" s="464"/>
      <c r="ES193" s="464"/>
      <c r="ET193" s="464"/>
      <c r="EU193" s="464"/>
      <c r="EV193" s="464"/>
      <c r="EW193" s="465"/>
      <c r="EX193" s="465"/>
      <c r="EY193" s="530"/>
      <c r="EZ193" s="460"/>
      <c r="FA193" s="464"/>
      <c r="FB193" s="464"/>
      <c r="FC193" s="464"/>
      <c r="FD193" s="464"/>
      <c r="FE193" s="464"/>
      <c r="FF193" s="464"/>
      <c r="FG193" s="466"/>
    </row>
    <row r="194" spans="1:163">
      <c r="A194" s="467" t="s">
        <v>386</v>
      </c>
      <c r="B194" s="471" t="s">
        <v>382</v>
      </c>
      <c r="C194" s="504"/>
      <c r="D194" s="527"/>
      <c r="E194" s="443" t="str">
        <f t="shared" si="191"/>
        <v/>
      </c>
      <c r="F194" s="444" t="str">
        <f t="shared" si="191"/>
        <v/>
      </c>
      <c r="G194" s="444" t="str">
        <f t="shared" si="191"/>
        <v/>
      </c>
      <c r="H194" s="444" t="str">
        <f t="shared" si="191"/>
        <v/>
      </c>
      <c r="I194" s="444" t="str">
        <f t="shared" si="191"/>
        <v/>
      </c>
      <c r="J194" s="444" t="str">
        <f t="shared" si="191"/>
        <v/>
      </c>
      <c r="K194" s="444" t="str">
        <f t="shared" si="191"/>
        <v/>
      </c>
      <c r="L194" s="444" t="str">
        <f t="shared" si="191"/>
        <v/>
      </c>
      <c r="M194" s="444" t="str">
        <f t="shared" si="191"/>
        <v/>
      </c>
      <c r="N194" s="444" t="str">
        <f t="shared" si="191"/>
        <v/>
      </c>
      <c r="O194" s="444" t="str">
        <f t="shared" si="192"/>
        <v/>
      </c>
      <c r="P194" s="444" t="str">
        <f t="shared" si="192"/>
        <v/>
      </c>
      <c r="Q194" s="444" t="str">
        <f t="shared" si="192"/>
        <v/>
      </c>
      <c r="R194" s="444" t="str">
        <f t="shared" si="192"/>
        <v/>
      </c>
      <c r="S194" s="444" t="str">
        <f t="shared" si="192"/>
        <v/>
      </c>
      <c r="T194" s="444" t="str">
        <f t="shared" si="192"/>
        <v/>
      </c>
      <c r="U194" s="444" t="str">
        <f t="shared" si="192"/>
        <v/>
      </c>
      <c r="V194" s="444" t="str">
        <f t="shared" si="192"/>
        <v/>
      </c>
      <c r="W194" s="444" t="str">
        <f t="shared" si="192"/>
        <v/>
      </c>
      <c r="X194" s="444" t="str">
        <f t="shared" si="192"/>
        <v/>
      </c>
      <c r="Y194" s="444" t="str">
        <f t="shared" si="193"/>
        <v/>
      </c>
      <c r="Z194" s="444" t="str">
        <f t="shared" si="193"/>
        <v/>
      </c>
      <c r="AA194" s="444" t="str">
        <f t="shared" si="193"/>
        <v/>
      </c>
      <c r="AB194" s="444" t="str">
        <f t="shared" si="193"/>
        <v/>
      </c>
      <c r="AC194" s="444" t="str">
        <f t="shared" si="193"/>
        <v/>
      </c>
      <c r="AD194" s="444" t="str">
        <f t="shared" si="193"/>
        <v/>
      </c>
      <c r="AE194" s="444" t="str">
        <f t="shared" si="193"/>
        <v/>
      </c>
      <c r="AF194" s="444" t="str">
        <f t="shared" si="193"/>
        <v/>
      </c>
      <c r="AG194" s="444" t="str">
        <f t="shared" si="193"/>
        <v/>
      </c>
      <c r="AH194" s="444" t="str">
        <f t="shared" si="193"/>
        <v/>
      </c>
      <c r="AI194" s="444" t="str">
        <f t="shared" si="194"/>
        <v/>
      </c>
      <c r="AJ194" s="444" t="str">
        <f t="shared" si="194"/>
        <v/>
      </c>
      <c r="AK194" s="444" t="str">
        <f t="shared" si="194"/>
        <v/>
      </c>
      <c r="AL194" s="444" t="str">
        <f t="shared" si="194"/>
        <v/>
      </c>
      <c r="AM194" s="444" t="str">
        <f t="shared" si="194"/>
        <v/>
      </c>
      <c r="AN194" s="444" t="str">
        <f t="shared" si="194"/>
        <v/>
      </c>
      <c r="AO194" s="444" t="str">
        <f t="shared" si="194"/>
        <v/>
      </c>
      <c r="AP194" s="444" t="str">
        <f t="shared" si="194"/>
        <v/>
      </c>
      <c r="AQ194" s="444" t="str">
        <f t="shared" si="194"/>
        <v/>
      </c>
      <c r="AR194" s="444" t="str">
        <f t="shared" si="194"/>
        <v/>
      </c>
      <c r="AS194" s="444" t="str">
        <f t="shared" si="195"/>
        <v/>
      </c>
      <c r="AT194" s="444" t="str">
        <f t="shared" si="195"/>
        <v/>
      </c>
      <c r="AU194" s="444" t="str">
        <f t="shared" si="195"/>
        <v/>
      </c>
      <c r="AV194" s="444" t="str">
        <f t="shared" si="195"/>
        <v/>
      </c>
      <c r="AW194" s="444" t="str">
        <f t="shared" si="195"/>
        <v/>
      </c>
      <c r="AX194" s="444" t="str">
        <f t="shared" si="195"/>
        <v/>
      </c>
      <c r="AY194" s="444" t="str">
        <f t="shared" si="195"/>
        <v/>
      </c>
      <c r="AZ194" s="444" t="str">
        <f t="shared" si="195"/>
        <v/>
      </c>
      <c r="BA194" s="444" t="str">
        <f t="shared" si="195"/>
        <v/>
      </c>
      <c r="BB194" s="444" t="str">
        <f t="shared" si="195"/>
        <v/>
      </c>
      <c r="BC194" s="444" t="str">
        <f t="shared" si="196"/>
        <v/>
      </c>
      <c r="BD194" s="444" t="str">
        <f t="shared" si="196"/>
        <v/>
      </c>
      <c r="BE194" s="444" t="str">
        <f t="shared" si="196"/>
        <v/>
      </c>
      <c r="BF194" s="444" t="str">
        <f t="shared" si="196"/>
        <v/>
      </c>
      <c r="BG194" s="444" t="str">
        <f t="shared" si="196"/>
        <v/>
      </c>
      <c r="BH194" s="445" t="str">
        <f t="shared" si="196"/>
        <v/>
      </c>
      <c r="BI194" s="502"/>
      <c r="BJ194" s="443" t="str">
        <f t="shared" si="190"/>
        <v/>
      </c>
      <c r="BK194" s="444" t="str">
        <f t="shared" si="190"/>
        <v/>
      </c>
      <c r="BL194" s="444" t="str">
        <f t="shared" si="190"/>
        <v/>
      </c>
      <c r="BM194" s="444" t="str">
        <f t="shared" si="190"/>
        <v/>
      </c>
      <c r="BN194" s="444" t="str">
        <f t="shared" si="190"/>
        <v/>
      </c>
      <c r="BO194" s="444" t="str">
        <f t="shared" si="190"/>
        <v/>
      </c>
      <c r="BP194" s="444" t="str">
        <f t="shared" si="190"/>
        <v/>
      </c>
      <c r="BQ194" s="444" t="str">
        <f t="shared" si="190"/>
        <v/>
      </c>
      <c r="BR194" s="444" t="str">
        <f t="shared" si="190"/>
        <v/>
      </c>
      <c r="BS194" s="444" t="str">
        <f t="shared" si="190"/>
        <v/>
      </c>
      <c r="BT194" s="444" t="str">
        <f t="shared" si="187"/>
        <v/>
      </c>
      <c r="BU194" s="444" t="str">
        <f t="shared" si="187"/>
        <v/>
      </c>
      <c r="BV194" s="444" t="str">
        <f t="shared" si="187"/>
        <v/>
      </c>
      <c r="BW194" s="444" t="str">
        <f t="shared" si="187"/>
        <v/>
      </c>
      <c r="BX194" s="444" t="str">
        <f t="shared" si="187"/>
        <v/>
      </c>
      <c r="BY194" s="444" t="str">
        <f t="shared" si="187"/>
        <v/>
      </c>
      <c r="BZ194" s="444" t="str">
        <f t="shared" si="187"/>
        <v/>
      </c>
      <c r="CA194" s="444" t="str">
        <f t="shared" si="187"/>
        <v/>
      </c>
      <c r="CB194" s="444" t="str">
        <f t="shared" si="187"/>
        <v/>
      </c>
      <c r="CC194" s="444" t="str">
        <f t="shared" si="187"/>
        <v/>
      </c>
      <c r="CD194" s="444" t="str">
        <f t="shared" si="188"/>
        <v/>
      </c>
      <c r="CE194" s="444" t="str">
        <f t="shared" si="188"/>
        <v/>
      </c>
      <c r="CF194" s="444" t="str">
        <f t="shared" si="188"/>
        <v/>
      </c>
      <c r="CG194" s="444" t="str">
        <f t="shared" si="188"/>
        <v/>
      </c>
      <c r="CH194" s="444" t="str">
        <f t="shared" si="188"/>
        <v/>
      </c>
      <c r="CI194" s="444" t="str">
        <f t="shared" si="188"/>
        <v/>
      </c>
      <c r="CJ194" s="444" t="str">
        <f t="shared" si="188"/>
        <v/>
      </c>
      <c r="CK194" s="444" t="str">
        <f t="shared" si="188"/>
        <v/>
      </c>
      <c r="CL194" s="444" t="str">
        <f t="shared" si="188"/>
        <v/>
      </c>
      <c r="CM194" s="444" t="str">
        <f t="shared" si="188"/>
        <v/>
      </c>
      <c r="CN194" s="444" t="str">
        <f t="shared" si="189"/>
        <v/>
      </c>
      <c r="CO194" s="444" t="str">
        <f t="shared" si="189"/>
        <v/>
      </c>
      <c r="CP194" s="444" t="str">
        <f t="shared" si="189"/>
        <v/>
      </c>
      <c r="CQ194" s="444" t="str">
        <f t="shared" si="189"/>
        <v/>
      </c>
      <c r="CR194" s="444" t="str">
        <f t="shared" si="189"/>
        <v/>
      </c>
      <c r="CS194" s="444" t="str">
        <f t="shared" si="189"/>
        <v/>
      </c>
      <c r="CT194" s="444" t="str">
        <f t="shared" si="189"/>
        <v/>
      </c>
      <c r="CU194" s="444" t="str">
        <f t="shared" si="189"/>
        <v/>
      </c>
      <c r="CV194" s="444" t="str">
        <f t="shared" si="189"/>
        <v/>
      </c>
      <c r="CW194" s="444" t="str">
        <f t="shared" si="189"/>
        <v/>
      </c>
      <c r="CX194" s="444" t="str">
        <f t="shared" si="189"/>
        <v/>
      </c>
      <c r="CY194" s="444" t="str">
        <f t="shared" si="189"/>
        <v/>
      </c>
      <c r="CZ194" s="445" t="str">
        <f t="shared" si="189"/>
        <v/>
      </c>
      <c r="DA194" s="528"/>
      <c r="DB194" s="460"/>
      <c r="DC194" s="464"/>
      <c r="DD194" s="463"/>
      <c r="DE194" s="529"/>
      <c r="DF194" s="516"/>
      <c r="DG194" s="508"/>
      <c r="DH194" s="463"/>
      <c r="DI194" s="461"/>
      <c r="DJ194" s="461"/>
      <c r="DK194" s="461"/>
      <c r="DL194" s="464"/>
      <c r="DM194" s="466"/>
      <c r="DN194" s="530"/>
      <c r="DO194" s="460"/>
      <c r="DP194" s="464"/>
      <c r="DQ194" s="464"/>
      <c r="DR194" s="464"/>
      <c r="DS194" s="508"/>
      <c r="DT194" s="525"/>
      <c r="DU194" s="525"/>
      <c r="DV194" s="463"/>
      <c r="DW194" s="464"/>
      <c r="DX194" s="465"/>
      <c r="DY194" s="463"/>
      <c r="DZ194" s="464"/>
      <c r="EA194" s="465"/>
      <c r="EB194" s="463"/>
      <c r="EC194" s="465"/>
      <c r="ED194" s="462"/>
      <c r="EE194" s="530"/>
      <c r="EF194" s="463"/>
      <c r="EG194" s="461"/>
      <c r="EH194" s="464"/>
      <c r="EI194" s="464"/>
      <c r="EJ194" s="464"/>
      <c r="EK194" s="464"/>
      <c r="EL194" s="464"/>
      <c r="EM194" s="464"/>
      <c r="EN194" s="464"/>
      <c r="EO194" s="464"/>
      <c r="EP194" s="464"/>
      <c r="EQ194" s="464"/>
      <c r="ER194" s="464"/>
      <c r="ES194" s="464"/>
      <c r="ET194" s="464"/>
      <c r="EU194" s="464"/>
      <c r="EV194" s="464"/>
      <c r="EW194" s="465"/>
      <c r="EX194" s="465"/>
      <c r="EY194" s="530"/>
      <c r="EZ194" s="460"/>
      <c r="FA194" s="464"/>
      <c r="FB194" s="464"/>
      <c r="FC194" s="464"/>
      <c r="FD194" s="464"/>
      <c r="FE194" s="464"/>
      <c r="FF194" s="464"/>
      <c r="FG194" s="466"/>
    </row>
    <row r="195" spans="1:163">
      <c r="A195" s="467" t="s">
        <v>387</v>
      </c>
      <c r="B195" s="471" t="s">
        <v>382</v>
      </c>
      <c r="C195" s="504"/>
      <c r="D195" s="527"/>
      <c r="E195" s="443" t="str">
        <f t="shared" si="191"/>
        <v/>
      </c>
      <c r="F195" s="444" t="str">
        <f t="shared" si="191"/>
        <v/>
      </c>
      <c r="G195" s="444" t="str">
        <f t="shared" si="191"/>
        <v/>
      </c>
      <c r="H195" s="444" t="str">
        <f t="shared" si="191"/>
        <v/>
      </c>
      <c r="I195" s="444" t="str">
        <f t="shared" si="191"/>
        <v/>
      </c>
      <c r="J195" s="444" t="str">
        <f t="shared" si="191"/>
        <v/>
      </c>
      <c r="K195" s="444" t="str">
        <f t="shared" si="191"/>
        <v/>
      </c>
      <c r="L195" s="444" t="str">
        <f t="shared" si="191"/>
        <v/>
      </c>
      <c r="M195" s="444" t="str">
        <f t="shared" si="191"/>
        <v/>
      </c>
      <c r="N195" s="444" t="str">
        <f t="shared" si="191"/>
        <v/>
      </c>
      <c r="O195" s="444" t="str">
        <f t="shared" si="192"/>
        <v/>
      </c>
      <c r="P195" s="444" t="str">
        <f t="shared" si="192"/>
        <v/>
      </c>
      <c r="Q195" s="444" t="str">
        <f t="shared" si="192"/>
        <v/>
      </c>
      <c r="R195" s="444" t="str">
        <f t="shared" si="192"/>
        <v/>
      </c>
      <c r="S195" s="444" t="str">
        <f t="shared" si="192"/>
        <v/>
      </c>
      <c r="T195" s="444" t="str">
        <f t="shared" si="192"/>
        <v/>
      </c>
      <c r="U195" s="444" t="str">
        <f t="shared" si="192"/>
        <v/>
      </c>
      <c r="V195" s="444" t="str">
        <f t="shared" si="192"/>
        <v/>
      </c>
      <c r="W195" s="444" t="str">
        <f t="shared" si="192"/>
        <v/>
      </c>
      <c r="X195" s="444" t="str">
        <f t="shared" si="192"/>
        <v/>
      </c>
      <c r="Y195" s="444" t="str">
        <f t="shared" si="193"/>
        <v/>
      </c>
      <c r="Z195" s="444" t="str">
        <f t="shared" si="193"/>
        <v/>
      </c>
      <c r="AA195" s="444" t="str">
        <f t="shared" si="193"/>
        <v/>
      </c>
      <c r="AB195" s="444" t="str">
        <f t="shared" si="193"/>
        <v/>
      </c>
      <c r="AC195" s="444" t="str">
        <f t="shared" si="193"/>
        <v/>
      </c>
      <c r="AD195" s="444" t="str">
        <f t="shared" si="193"/>
        <v/>
      </c>
      <c r="AE195" s="444" t="str">
        <f t="shared" si="193"/>
        <v/>
      </c>
      <c r="AF195" s="444" t="str">
        <f t="shared" si="193"/>
        <v/>
      </c>
      <c r="AG195" s="444" t="str">
        <f t="shared" si="193"/>
        <v/>
      </c>
      <c r="AH195" s="444" t="str">
        <f t="shared" si="193"/>
        <v/>
      </c>
      <c r="AI195" s="444" t="str">
        <f t="shared" si="194"/>
        <v/>
      </c>
      <c r="AJ195" s="444" t="str">
        <f t="shared" si="194"/>
        <v/>
      </c>
      <c r="AK195" s="444" t="str">
        <f t="shared" si="194"/>
        <v/>
      </c>
      <c r="AL195" s="444" t="str">
        <f t="shared" si="194"/>
        <v/>
      </c>
      <c r="AM195" s="444" t="str">
        <f t="shared" si="194"/>
        <v/>
      </c>
      <c r="AN195" s="444" t="str">
        <f t="shared" si="194"/>
        <v/>
      </c>
      <c r="AO195" s="444" t="str">
        <f t="shared" si="194"/>
        <v/>
      </c>
      <c r="AP195" s="444" t="str">
        <f t="shared" si="194"/>
        <v/>
      </c>
      <c r="AQ195" s="444" t="str">
        <f t="shared" si="194"/>
        <v/>
      </c>
      <c r="AR195" s="444" t="str">
        <f t="shared" si="194"/>
        <v/>
      </c>
      <c r="AS195" s="444" t="str">
        <f t="shared" si="195"/>
        <v/>
      </c>
      <c r="AT195" s="444" t="str">
        <f t="shared" si="195"/>
        <v/>
      </c>
      <c r="AU195" s="444" t="str">
        <f t="shared" si="195"/>
        <v/>
      </c>
      <c r="AV195" s="444" t="str">
        <f t="shared" si="195"/>
        <v/>
      </c>
      <c r="AW195" s="444" t="str">
        <f t="shared" si="195"/>
        <v/>
      </c>
      <c r="AX195" s="444" t="str">
        <f t="shared" si="195"/>
        <v/>
      </c>
      <c r="AY195" s="444" t="str">
        <f t="shared" si="195"/>
        <v/>
      </c>
      <c r="AZ195" s="444" t="str">
        <f t="shared" si="195"/>
        <v/>
      </c>
      <c r="BA195" s="444" t="str">
        <f t="shared" si="195"/>
        <v/>
      </c>
      <c r="BB195" s="444" t="str">
        <f t="shared" si="195"/>
        <v/>
      </c>
      <c r="BC195" s="444" t="str">
        <f t="shared" si="196"/>
        <v/>
      </c>
      <c r="BD195" s="444" t="str">
        <f t="shared" si="196"/>
        <v/>
      </c>
      <c r="BE195" s="444" t="str">
        <f t="shared" si="196"/>
        <v/>
      </c>
      <c r="BF195" s="444" t="str">
        <f t="shared" si="196"/>
        <v/>
      </c>
      <c r="BG195" s="444" t="str">
        <f t="shared" si="196"/>
        <v/>
      </c>
      <c r="BH195" s="445" t="str">
        <f t="shared" si="196"/>
        <v/>
      </c>
      <c r="BI195" s="502"/>
      <c r="BJ195" s="443" t="str">
        <f t="shared" si="190"/>
        <v/>
      </c>
      <c r="BK195" s="444" t="str">
        <f t="shared" si="190"/>
        <v/>
      </c>
      <c r="BL195" s="444" t="str">
        <f t="shared" si="190"/>
        <v/>
      </c>
      <c r="BM195" s="444" t="str">
        <f t="shared" si="190"/>
        <v/>
      </c>
      <c r="BN195" s="444" t="str">
        <f t="shared" si="190"/>
        <v/>
      </c>
      <c r="BO195" s="444" t="str">
        <f t="shared" si="190"/>
        <v/>
      </c>
      <c r="BP195" s="444" t="str">
        <f t="shared" si="190"/>
        <v/>
      </c>
      <c r="BQ195" s="444" t="str">
        <f t="shared" si="190"/>
        <v/>
      </c>
      <c r="BR195" s="444" t="str">
        <f t="shared" si="190"/>
        <v/>
      </c>
      <c r="BS195" s="444" t="str">
        <f t="shared" si="190"/>
        <v/>
      </c>
      <c r="BT195" s="444" t="str">
        <f t="shared" si="187"/>
        <v/>
      </c>
      <c r="BU195" s="444" t="str">
        <f t="shared" si="187"/>
        <v/>
      </c>
      <c r="BV195" s="444" t="str">
        <f t="shared" si="187"/>
        <v/>
      </c>
      <c r="BW195" s="444" t="str">
        <f t="shared" si="187"/>
        <v/>
      </c>
      <c r="BX195" s="444" t="str">
        <f t="shared" si="187"/>
        <v/>
      </c>
      <c r="BY195" s="444" t="str">
        <f t="shared" si="187"/>
        <v/>
      </c>
      <c r="BZ195" s="444" t="str">
        <f t="shared" si="187"/>
        <v/>
      </c>
      <c r="CA195" s="444" t="str">
        <f t="shared" si="187"/>
        <v/>
      </c>
      <c r="CB195" s="444" t="str">
        <f t="shared" si="187"/>
        <v/>
      </c>
      <c r="CC195" s="444" t="str">
        <f t="shared" si="187"/>
        <v/>
      </c>
      <c r="CD195" s="444" t="str">
        <f t="shared" si="188"/>
        <v/>
      </c>
      <c r="CE195" s="444" t="str">
        <f t="shared" si="188"/>
        <v/>
      </c>
      <c r="CF195" s="444" t="str">
        <f t="shared" si="188"/>
        <v/>
      </c>
      <c r="CG195" s="444" t="str">
        <f t="shared" si="188"/>
        <v/>
      </c>
      <c r="CH195" s="444" t="str">
        <f t="shared" si="188"/>
        <v/>
      </c>
      <c r="CI195" s="444" t="str">
        <f t="shared" si="188"/>
        <v/>
      </c>
      <c r="CJ195" s="444" t="str">
        <f t="shared" si="188"/>
        <v/>
      </c>
      <c r="CK195" s="444" t="str">
        <f t="shared" si="188"/>
        <v/>
      </c>
      <c r="CL195" s="444" t="str">
        <f t="shared" si="188"/>
        <v/>
      </c>
      <c r="CM195" s="444" t="str">
        <f t="shared" si="188"/>
        <v/>
      </c>
      <c r="CN195" s="444" t="str">
        <f t="shared" si="189"/>
        <v/>
      </c>
      <c r="CO195" s="444" t="str">
        <f t="shared" si="189"/>
        <v/>
      </c>
      <c r="CP195" s="444" t="str">
        <f t="shared" si="189"/>
        <v/>
      </c>
      <c r="CQ195" s="444" t="str">
        <f t="shared" si="189"/>
        <v/>
      </c>
      <c r="CR195" s="444" t="str">
        <f t="shared" si="189"/>
        <v/>
      </c>
      <c r="CS195" s="444" t="str">
        <f t="shared" si="189"/>
        <v/>
      </c>
      <c r="CT195" s="444" t="str">
        <f t="shared" si="189"/>
        <v/>
      </c>
      <c r="CU195" s="444" t="str">
        <f t="shared" si="189"/>
        <v/>
      </c>
      <c r="CV195" s="444" t="str">
        <f t="shared" si="189"/>
        <v/>
      </c>
      <c r="CW195" s="444" t="str">
        <f t="shared" si="189"/>
        <v/>
      </c>
      <c r="CX195" s="444" t="str">
        <f t="shared" si="189"/>
        <v/>
      </c>
      <c r="CY195" s="444" t="str">
        <f t="shared" si="189"/>
        <v/>
      </c>
      <c r="CZ195" s="445" t="str">
        <f t="shared" si="189"/>
        <v/>
      </c>
      <c r="DA195" s="528"/>
      <c r="DB195" s="460"/>
      <c r="DC195" s="464"/>
      <c r="DD195" s="463"/>
      <c r="DE195" s="529"/>
      <c r="DF195" s="516"/>
      <c r="DG195" s="508"/>
      <c r="DH195" s="463"/>
      <c r="DI195" s="461"/>
      <c r="DJ195" s="461"/>
      <c r="DK195" s="461"/>
      <c r="DL195" s="464"/>
      <c r="DM195" s="466"/>
      <c r="DN195" s="530"/>
      <c r="DO195" s="460"/>
      <c r="DP195" s="464"/>
      <c r="DQ195" s="464"/>
      <c r="DR195" s="464"/>
      <c r="DS195" s="508"/>
      <c r="DT195" s="525"/>
      <c r="DU195" s="525"/>
      <c r="DV195" s="463"/>
      <c r="DW195" s="464"/>
      <c r="DX195" s="465"/>
      <c r="DY195" s="463"/>
      <c r="DZ195" s="464"/>
      <c r="EA195" s="465"/>
      <c r="EB195" s="463"/>
      <c r="EC195" s="465"/>
      <c r="ED195" s="462"/>
      <c r="EE195" s="530"/>
      <c r="EF195" s="463"/>
      <c r="EG195" s="461"/>
      <c r="EH195" s="464"/>
      <c r="EI195" s="464"/>
      <c r="EJ195" s="464"/>
      <c r="EK195" s="464"/>
      <c r="EL195" s="464"/>
      <c r="EM195" s="464"/>
      <c r="EN195" s="464"/>
      <c r="EO195" s="464"/>
      <c r="EP195" s="464"/>
      <c r="EQ195" s="464"/>
      <c r="ER195" s="464"/>
      <c r="ES195" s="464"/>
      <c r="ET195" s="464"/>
      <c r="EU195" s="464"/>
      <c r="EV195" s="464"/>
      <c r="EW195" s="465"/>
      <c r="EX195" s="465"/>
      <c r="EY195" s="530"/>
      <c r="EZ195" s="460"/>
      <c r="FA195" s="464"/>
      <c r="FB195" s="464"/>
      <c r="FC195" s="464"/>
      <c r="FD195" s="464"/>
      <c r="FE195" s="464"/>
      <c r="FF195" s="464"/>
      <c r="FG195" s="466"/>
    </row>
    <row r="196" spans="1:163">
      <c r="A196" s="467" t="s">
        <v>388</v>
      </c>
      <c r="B196" s="471" t="s">
        <v>389</v>
      </c>
      <c r="C196" s="504">
        <v>45630</v>
      </c>
      <c r="D196" s="502"/>
      <c r="E196" s="443" t="str">
        <f t="shared" si="191"/>
        <v>NO</v>
      </c>
      <c r="F196" s="444" t="str">
        <f t="shared" si="191"/>
        <v>NO</v>
      </c>
      <c r="G196" s="444" t="str">
        <f t="shared" si="191"/>
        <v>NO</v>
      </c>
      <c r="H196" s="444" t="str">
        <f t="shared" si="191"/>
        <v>YES</v>
      </c>
      <c r="I196" s="444" t="str">
        <f t="shared" si="191"/>
        <v>YES</v>
      </c>
      <c r="J196" s="444" t="str">
        <f t="shared" si="191"/>
        <v>YES</v>
      </c>
      <c r="K196" s="444" t="str">
        <f t="shared" si="191"/>
        <v>NO</v>
      </c>
      <c r="L196" s="444" t="str">
        <f t="shared" si="191"/>
        <v>NO</v>
      </c>
      <c r="M196" s="444" t="str">
        <f t="shared" si="191"/>
        <v>NO</v>
      </c>
      <c r="N196" s="444" t="str">
        <f t="shared" si="191"/>
        <v>NO</v>
      </c>
      <c r="O196" s="444" t="str">
        <f t="shared" si="192"/>
        <v>NO</v>
      </c>
      <c r="P196" s="444" t="str">
        <f t="shared" si="192"/>
        <v>NO</v>
      </c>
      <c r="Q196" s="444" t="str">
        <f t="shared" si="192"/>
        <v>NO</v>
      </c>
      <c r="R196" s="444" t="str">
        <f t="shared" si="192"/>
        <v>NO</v>
      </c>
      <c r="S196" s="444" t="str">
        <f t="shared" si="192"/>
        <v>NO</v>
      </c>
      <c r="T196" s="444" t="str">
        <f t="shared" si="192"/>
        <v>NO</v>
      </c>
      <c r="U196" s="444" t="str">
        <f t="shared" si="192"/>
        <v>NO</v>
      </c>
      <c r="V196" s="444" t="str">
        <f t="shared" si="192"/>
        <v>NO</v>
      </c>
      <c r="W196" s="444" t="str">
        <f t="shared" si="192"/>
        <v>NO</v>
      </c>
      <c r="X196" s="444" t="str">
        <f t="shared" si="192"/>
        <v>NO</v>
      </c>
      <c r="Y196" s="444" t="str">
        <f t="shared" si="193"/>
        <v>YES</v>
      </c>
      <c r="Z196" s="444" t="str">
        <f t="shared" si="193"/>
        <v>NO</v>
      </c>
      <c r="AA196" s="444" t="str">
        <f t="shared" si="193"/>
        <v>NO</v>
      </c>
      <c r="AB196" s="444" t="str">
        <f t="shared" si="193"/>
        <v>NO</v>
      </c>
      <c r="AC196" s="444" t="str">
        <f t="shared" si="193"/>
        <v>NO</v>
      </c>
      <c r="AD196" s="444" t="str">
        <f t="shared" si="193"/>
        <v>NO</v>
      </c>
      <c r="AE196" s="444" t="str">
        <f t="shared" si="193"/>
        <v>NO</v>
      </c>
      <c r="AF196" s="444" t="str">
        <f t="shared" si="193"/>
        <v>NO</v>
      </c>
      <c r="AG196" s="444" t="str">
        <f t="shared" si="193"/>
        <v>NO</v>
      </c>
      <c r="AH196" s="444" t="str">
        <f t="shared" si="193"/>
        <v>NO</v>
      </c>
      <c r="AI196" s="444" t="str">
        <f t="shared" si="194"/>
        <v>NO</v>
      </c>
      <c r="AJ196" s="444" t="str">
        <f t="shared" si="194"/>
        <v>YES</v>
      </c>
      <c r="AK196" s="444" t="str">
        <f t="shared" si="194"/>
        <v>NO</v>
      </c>
      <c r="AL196" s="444" t="str">
        <f t="shared" si="194"/>
        <v>NO</v>
      </c>
      <c r="AM196" s="444" t="str">
        <f t="shared" si="194"/>
        <v>NO</v>
      </c>
      <c r="AN196" s="444" t="str">
        <f t="shared" si="194"/>
        <v>NO</v>
      </c>
      <c r="AO196" s="444" t="str">
        <f t="shared" si="194"/>
        <v>NO</v>
      </c>
      <c r="AP196" s="444" t="str">
        <f t="shared" si="194"/>
        <v>NO</v>
      </c>
      <c r="AQ196" s="444" t="str">
        <f t="shared" si="194"/>
        <v>NO</v>
      </c>
      <c r="AR196" s="444" t="str">
        <f t="shared" si="194"/>
        <v>NO</v>
      </c>
      <c r="AS196" s="444" t="str">
        <f t="shared" si="195"/>
        <v>NO</v>
      </c>
      <c r="AT196" s="444" t="str">
        <f t="shared" si="195"/>
        <v>YES</v>
      </c>
      <c r="AU196" s="444" t="str">
        <f t="shared" si="195"/>
        <v>NO</v>
      </c>
      <c r="AV196" s="444" t="str">
        <f t="shared" si="195"/>
        <v>YES</v>
      </c>
      <c r="AW196" s="444" t="str">
        <f t="shared" si="195"/>
        <v>NO</v>
      </c>
      <c r="AX196" s="444" t="str">
        <f t="shared" si="195"/>
        <v>YES</v>
      </c>
      <c r="AY196" s="444" t="str">
        <f t="shared" si="195"/>
        <v>YES</v>
      </c>
      <c r="AZ196" s="444" t="str">
        <f t="shared" si="195"/>
        <v>YES</v>
      </c>
      <c r="BA196" s="444" t="str">
        <f t="shared" si="195"/>
        <v>YES</v>
      </c>
      <c r="BB196" s="444" t="str">
        <f t="shared" si="195"/>
        <v>NO</v>
      </c>
      <c r="BC196" s="444" t="str">
        <f t="shared" si="196"/>
        <v>NO</v>
      </c>
      <c r="BD196" s="444" t="str">
        <f t="shared" si="196"/>
        <v>NO</v>
      </c>
      <c r="BE196" s="444" t="str">
        <f t="shared" si="196"/>
        <v>YES</v>
      </c>
      <c r="BF196" s="444" t="str">
        <f t="shared" si="196"/>
        <v>YES</v>
      </c>
      <c r="BG196" s="444" t="str">
        <f t="shared" si="196"/>
        <v>YES</v>
      </c>
      <c r="BH196" s="445" t="str">
        <f t="shared" si="196"/>
        <v>NO</v>
      </c>
      <c r="BI196" s="502"/>
      <c r="BJ196" s="474" t="str">
        <f t="shared" si="186"/>
        <v>NO</v>
      </c>
      <c r="BK196" s="475" t="str">
        <f t="shared" si="186"/>
        <v>NO</v>
      </c>
      <c r="BL196" s="475" t="str">
        <f t="shared" si="186"/>
        <v>NO</v>
      </c>
      <c r="BM196" s="475" t="str">
        <f t="shared" si="186"/>
        <v>NO</v>
      </c>
      <c r="BN196" s="475" t="str">
        <f t="shared" si="186"/>
        <v>NO</v>
      </c>
      <c r="BO196" s="475" t="str">
        <f t="shared" si="186"/>
        <v>NO</v>
      </c>
      <c r="BP196" s="475" t="str">
        <f t="shared" si="186"/>
        <v>NO</v>
      </c>
      <c r="BQ196" s="475" t="str">
        <f t="shared" si="186"/>
        <v>NO</v>
      </c>
      <c r="BR196" s="475" t="str">
        <f t="shared" si="186"/>
        <v>NO</v>
      </c>
      <c r="BS196" s="475" t="str">
        <f t="shared" si="186"/>
        <v>NO</v>
      </c>
      <c r="BT196" s="475" t="str">
        <f t="shared" si="187"/>
        <v>NO</v>
      </c>
      <c r="BU196" s="475" t="str">
        <f t="shared" si="187"/>
        <v>NO</v>
      </c>
      <c r="BV196" s="475" t="str">
        <f t="shared" si="187"/>
        <v>NO</v>
      </c>
      <c r="BW196" s="475" t="str">
        <f t="shared" si="187"/>
        <v>NO</v>
      </c>
      <c r="BX196" s="475" t="str">
        <f t="shared" si="187"/>
        <v>NO</v>
      </c>
      <c r="BY196" s="475" t="str">
        <f t="shared" si="187"/>
        <v>NO</v>
      </c>
      <c r="BZ196" s="475" t="str">
        <f t="shared" si="187"/>
        <v>YES</v>
      </c>
      <c r="CA196" s="475" t="str">
        <f t="shared" si="187"/>
        <v>NO</v>
      </c>
      <c r="CB196" s="475" t="str">
        <f t="shared" si="187"/>
        <v>NO</v>
      </c>
      <c r="CC196" s="475" t="str">
        <f t="shared" si="187"/>
        <v>NO</v>
      </c>
      <c r="CD196" s="475" t="str">
        <f t="shared" si="188"/>
        <v>NO</v>
      </c>
      <c r="CE196" s="475" t="str">
        <f t="shared" si="188"/>
        <v>NO</v>
      </c>
      <c r="CF196" s="475" t="str">
        <f t="shared" si="188"/>
        <v>NO</v>
      </c>
      <c r="CG196" s="475" t="str">
        <f t="shared" si="188"/>
        <v>NO</v>
      </c>
      <c r="CH196" s="475" t="str">
        <f t="shared" si="188"/>
        <v>NO</v>
      </c>
      <c r="CI196" s="475" t="str">
        <f t="shared" si="188"/>
        <v>NO</v>
      </c>
      <c r="CJ196" s="475" t="str">
        <f t="shared" si="188"/>
        <v>NO</v>
      </c>
      <c r="CK196" s="475" t="str">
        <f t="shared" si="188"/>
        <v>NO</v>
      </c>
      <c r="CL196" s="475" t="str">
        <f t="shared" si="188"/>
        <v>NO</v>
      </c>
      <c r="CM196" s="475" t="str">
        <f t="shared" si="188"/>
        <v>NO</v>
      </c>
      <c r="CN196" s="475" t="str">
        <f t="shared" si="189"/>
        <v>NO</v>
      </c>
      <c r="CO196" s="475" t="str">
        <f t="shared" si="189"/>
        <v>NO</v>
      </c>
      <c r="CP196" s="475" t="str">
        <f t="shared" si="189"/>
        <v>NO</v>
      </c>
      <c r="CQ196" s="475" t="str">
        <f t="shared" si="189"/>
        <v>NO</v>
      </c>
      <c r="CR196" s="475" t="str">
        <f t="shared" si="189"/>
        <v>NO</v>
      </c>
      <c r="CS196" s="475" t="str">
        <f t="shared" si="189"/>
        <v>NO</v>
      </c>
      <c r="CT196" s="475" t="str">
        <f t="shared" si="189"/>
        <v>NO</v>
      </c>
      <c r="CU196" s="475" t="str">
        <f t="shared" si="189"/>
        <v>NO</v>
      </c>
      <c r="CV196" s="475" t="str">
        <f t="shared" si="189"/>
        <v>NO</v>
      </c>
      <c r="CW196" s="475" t="str">
        <f t="shared" si="189"/>
        <v>NO</v>
      </c>
      <c r="CX196" s="475" t="str">
        <f t="shared" si="189"/>
        <v>NO</v>
      </c>
      <c r="CY196" s="475" t="str">
        <f t="shared" si="189"/>
        <v>NO</v>
      </c>
      <c r="CZ196" s="495" t="str">
        <f t="shared" si="189"/>
        <v>NO</v>
      </c>
      <c r="DA196" s="502"/>
      <c r="DB196" s="460"/>
      <c r="DC196" s="465"/>
      <c r="DD196" s="463"/>
      <c r="DE196" s="512"/>
      <c r="DF196" s="516"/>
      <c r="DG196" s="508"/>
      <c r="DH196" s="463"/>
      <c r="DI196" s="461"/>
      <c r="DJ196" s="461"/>
      <c r="DK196" s="461"/>
      <c r="DL196" s="464"/>
      <c r="DM196" s="466"/>
      <c r="DN196" s="502"/>
      <c r="DO196" s="460"/>
      <c r="DP196" s="464"/>
      <c r="DQ196" s="464"/>
      <c r="DR196" s="464"/>
      <c r="DS196" s="508"/>
      <c r="DT196" s="525"/>
      <c r="DU196" s="525"/>
      <c r="DV196" s="463"/>
      <c r="DW196" s="464"/>
      <c r="DX196" s="465"/>
      <c r="DY196" s="463"/>
      <c r="DZ196" s="464"/>
      <c r="EA196" s="465"/>
      <c r="EB196" s="463"/>
      <c r="EC196" s="465"/>
      <c r="ED196" s="462"/>
      <c r="EE196" s="502"/>
      <c r="EF196" s="463"/>
      <c r="EG196" s="461"/>
      <c r="EH196" s="464"/>
      <c r="EI196" s="464"/>
      <c r="EJ196" s="464"/>
      <c r="EK196" s="464"/>
      <c r="EL196" s="464"/>
      <c r="EM196" s="464"/>
      <c r="EN196" s="464"/>
      <c r="EO196" s="464"/>
      <c r="EP196" s="464"/>
      <c r="EQ196" s="464"/>
      <c r="ER196" s="464"/>
      <c r="ES196" s="464"/>
      <c r="ET196" s="464"/>
      <c r="EU196" s="464"/>
      <c r="EV196" s="464"/>
      <c r="EW196" s="465"/>
      <c r="EX196" s="465"/>
      <c r="EY196" s="502"/>
      <c r="EZ196" s="460"/>
      <c r="FA196" s="464"/>
      <c r="FB196" s="464"/>
      <c r="FC196" s="464"/>
      <c r="FD196" s="464"/>
      <c r="FE196" s="464"/>
      <c r="FF196" s="464"/>
      <c r="FG196" s="466"/>
    </row>
    <row r="197" spans="1:163">
      <c r="A197" s="467" t="s">
        <v>390</v>
      </c>
      <c r="B197" s="471" t="s">
        <v>389</v>
      </c>
      <c r="C197" s="504">
        <v>45630</v>
      </c>
      <c r="D197" s="502"/>
      <c r="E197" s="443" t="str">
        <f t="shared" si="191"/>
        <v>NO</v>
      </c>
      <c r="F197" s="444" t="str">
        <f t="shared" si="191"/>
        <v>NO</v>
      </c>
      <c r="G197" s="444" t="str">
        <f t="shared" si="191"/>
        <v>YES</v>
      </c>
      <c r="H197" s="444" t="str">
        <f t="shared" si="191"/>
        <v>NO</v>
      </c>
      <c r="I197" s="444" t="str">
        <f t="shared" si="191"/>
        <v>YES</v>
      </c>
      <c r="J197" s="444" t="str">
        <f t="shared" si="191"/>
        <v>NO</v>
      </c>
      <c r="K197" s="444" t="str">
        <f t="shared" si="191"/>
        <v>NO</v>
      </c>
      <c r="L197" s="444" t="str">
        <f t="shared" si="191"/>
        <v>NO</v>
      </c>
      <c r="M197" s="444" t="str">
        <f t="shared" si="191"/>
        <v>NO</v>
      </c>
      <c r="N197" s="444" t="str">
        <f t="shared" si="191"/>
        <v>NO</v>
      </c>
      <c r="O197" s="444" t="str">
        <f t="shared" si="192"/>
        <v>NO</v>
      </c>
      <c r="P197" s="444" t="str">
        <f t="shared" si="192"/>
        <v>NO</v>
      </c>
      <c r="Q197" s="444" t="str">
        <f t="shared" si="192"/>
        <v>NO</v>
      </c>
      <c r="R197" s="444" t="str">
        <f t="shared" si="192"/>
        <v>NO</v>
      </c>
      <c r="S197" s="444" t="str">
        <f t="shared" si="192"/>
        <v>NO</v>
      </c>
      <c r="T197" s="444" t="str">
        <f t="shared" si="192"/>
        <v>NO</v>
      </c>
      <c r="U197" s="444" t="str">
        <f t="shared" si="192"/>
        <v>NO</v>
      </c>
      <c r="V197" s="444" t="str">
        <f t="shared" si="192"/>
        <v>NO</v>
      </c>
      <c r="W197" s="444" t="str">
        <f t="shared" si="192"/>
        <v>YES</v>
      </c>
      <c r="X197" s="444" t="str">
        <f t="shared" si="192"/>
        <v>NO</v>
      </c>
      <c r="Y197" s="444" t="str">
        <f t="shared" si="193"/>
        <v>YES</v>
      </c>
      <c r="Z197" s="444" t="str">
        <f t="shared" si="193"/>
        <v>NO</v>
      </c>
      <c r="AA197" s="444" t="str">
        <f t="shared" si="193"/>
        <v>NO</v>
      </c>
      <c r="AB197" s="444" t="str">
        <f t="shared" si="193"/>
        <v>NO</v>
      </c>
      <c r="AC197" s="444" t="str">
        <f t="shared" si="193"/>
        <v>NO</v>
      </c>
      <c r="AD197" s="444" t="str">
        <f t="shared" si="193"/>
        <v>NO</v>
      </c>
      <c r="AE197" s="444" t="str">
        <f t="shared" si="193"/>
        <v>NO</v>
      </c>
      <c r="AF197" s="444" t="str">
        <f t="shared" si="193"/>
        <v>NO</v>
      </c>
      <c r="AG197" s="444" t="str">
        <f t="shared" si="193"/>
        <v>NO</v>
      </c>
      <c r="AH197" s="444" t="str">
        <f t="shared" si="193"/>
        <v>NO</v>
      </c>
      <c r="AI197" s="444" t="str">
        <f t="shared" si="194"/>
        <v>NO</v>
      </c>
      <c r="AJ197" s="444" t="str">
        <f t="shared" si="194"/>
        <v>NO</v>
      </c>
      <c r="AK197" s="444" t="str">
        <f t="shared" si="194"/>
        <v>NO</v>
      </c>
      <c r="AL197" s="444" t="str">
        <f t="shared" si="194"/>
        <v>NO</v>
      </c>
      <c r="AM197" s="444" t="str">
        <f t="shared" si="194"/>
        <v>NO</v>
      </c>
      <c r="AN197" s="444" t="str">
        <f t="shared" si="194"/>
        <v>NO</v>
      </c>
      <c r="AO197" s="444" t="str">
        <f t="shared" si="194"/>
        <v>NO</v>
      </c>
      <c r="AP197" s="444" t="str">
        <f t="shared" si="194"/>
        <v>NO</v>
      </c>
      <c r="AQ197" s="444" t="str">
        <f t="shared" si="194"/>
        <v>NO</v>
      </c>
      <c r="AR197" s="444" t="str">
        <f t="shared" si="194"/>
        <v>NO</v>
      </c>
      <c r="AS197" s="444" t="str">
        <f t="shared" si="195"/>
        <v>N/A</v>
      </c>
      <c r="AT197" s="444" t="str">
        <f t="shared" si="195"/>
        <v>YES</v>
      </c>
      <c r="AU197" s="444" t="str">
        <f t="shared" si="195"/>
        <v>NO</v>
      </c>
      <c r="AV197" s="444" t="str">
        <f t="shared" si="195"/>
        <v>YES</v>
      </c>
      <c r="AW197" s="444" t="str">
        <f t="shared" si="195"/>
        <v>NO</v>
      </c>
      <c r="AX197" s="444" t="str">
        <f t="shared" si="195"/>
        <v>YES</v>
      </c>
      <c r="AY197" s="444" t="str">
        <f t="shared" si="195"/>
        <v>YES</v>
      </c>
      <c r="AZ197" s="444" t="str">
        <f t="shared" si="195"/>
        <v>YES</v>
      </c>
      <c r="BA197" s="444" t="str">
        <f t="shared" si="195"/>
        <v>YES</v>
      </c>
      <c r="BB197" s="444" t="str">
        <f t="shared" si="195"/>
        <v>NO</v>
      </c>
      <c r="BC197" s="444" t="str">
        <f t="shared" si="196"/>
        <v>NO</v>
      </c>
      <c r="BD197" s="444" t="str">
        <f t="shared" si="196"/>
        <v>NO</v>
      </c>
      <c r="BE197" s="444" t="str">
        <f t="shared" si="196"/>
        <v>NO</v>
      </c>
      <c r="BF197" s="444" t="str">
        <f t="shared" si="196"/>
        <v>NO</v>
      </c>
      <c r="BG197" s="444" t="str">
        <f t="shared" si="196"/>
        <v>NO</v>
      </c>
      <c r="BH197" s="445" t="str">
        <f t="shared" si="196"/>
        <v>NO</v>
      </c>
      <c r="BI197" s="502"/>
      <c r="BJ197" s="474" t="str">
        <f t="shared" si="186"/>
        <v>N/A</v>
      </c>
      <c r="BK197" s="475" t="str">
        <f t="shared" si="186"/>
        <v>N/A</v>
      </c>
      <c r="BL197" s="475" t="str">
        <f t="shared" si="186"/>
        <v>N/A</v>
      </c>
      <c r="BM197" s="475" t="str">
        <f t="shared" si="186"/>
        <v>N/A</v>
      </c>
      <c r="BN197" s="475" t="str">
        <f t="shared" si="186"/>
        <v>N/A</v>
      </c>
      <c r="BO197" s="475" t="str">
        <f t="shared" si="186"/>
        <v>N/A</v>
      </c>
      <c r="BP197" s="475" t="str">
        <f t="shared" si="186"/>
        <v>N/A</v>
      </c>
      <c r="BQ197" s="475" t="str">
        <f t="shared" si="186"/>
        <v>N/A</v>
      </c>
      <c r="BR197" s="475" t="str">
        <f t="shared" si="186"/>
        <v>N/A</v>
      </c>
      <c r="BS197" s="475" t="str">
        <f t="shared" si="186"/>
        <v>N/A</v>
      </c>
      <c r="BT197" s="475" t="str">
        <f t="shared" si="187"/>
        <v>N/A</v>
      </c>
      <c r="BU197" s="475" t="str">
        <f t="shared" si="187"/>
        <v>N/A</v>
      </c>
      <c r="BV197" s="475" t="str">
        <f t="shared" si="187"/>
        <v>N/A</v>
      </c>
      <c r="BW197" s="475" t="str">
        <f t="shared" si="187"/>
        <v>N/A</v>
      </c>
      <c r="BX197" s="475" t="str">
        <f t="shared" si="187"/>
        <v>N/A</v>
      </c>
      <c r="BY197" s="475" t="str">
        <f t="shared" si="187"/>
        <v>N/A</v>
      </c>
      <c r="BZ197" s="475" t="str">
        <f t="shared" si="187"/>
        <v>N/A</v>
      </c>
      <c r="CA197" s="475" t="str">
        <f t="shared" si="187"/>
        <v>N/A</v>
      </c>
      <c r="CB197" s="475" t="str">
        <f t="shared" si="187"/>
        <v>N/A</v>
      </c>
      <c r="CC197" s="475" t="str">
        <f t="shared" si="187"/>
        <v>N/A</v>
      </c>
      <c r="CD197" s="475" t="str">
        <f t="shared" si="188"/>
        <v>N/A</v>
      </c>
      <c r="CE197" s="475" t="str">
        <f t="shared" si="188"/>
        <v>N/A</v>
      </c>
      <c r="CF197" s="475" t="str">
        <f t="shared" si="188"/>
        <v>N/A</v>
      </c>
      <c r="CG197" s="475" t="str">
        <f t="shared" si="188"/>
        <v>N/A</v>
      </c>
      <c r="CH197" s="475" t="str">
        <f t="shared" si="188"/>
        <v>N/A</v>
      </c>
      <c r="CI197" s="475" t="str">
        <f t="shared" si="188"/>
        <v>N/A</v>
      </c>
      <c r="CJ197" s="475" t="str">
        <f t="shared" si="188"/>
        <v>N/A</v>
      </c>
      <c r="CK197" s="475" t="str">
        <f t="shared" si="188"/>
        <v>N/A</v>
      </c>
      <c r="CL197" s="475" t="str">
        <f t="shared" si="188"/>
        <v>N/A</v>
      </c>
      <c r="CM197" s="475" t="str">
        <f t="shared" si="188"/>
        <v>N/A</v>
      </c>
      <c r="CN197" s="475" t="str">
        <f t="shared" si="189"/>
        <v>N/A</v>
      </c>
      <c r="CO197" s="475" t="str">
        <f t="shared" si="189"/>
        <v>N/A</v>
      </c>
      <c r="CP197" s="475" t="str">
        <f t="shared" si="189"/>
        <v>N/A</v>
      </c>
      <c r="CQ197" s="475" t="str">
        <f t="shared" si="189"/>
        <v>N/A</v>
      </c>
      <c r="CR197" s="475" t="str">
        <f t="shared" si="189"/>
        <v>N/A</v>
      </c>
      <c r="CS197" s="475" t="str">
        <f t="shared" si="189"/>
        <v>N/A</v>
      </c>
      <c r="CT197" s="475" t="str">
        <f t="shared" si="189"/>
        <v>N/A</v>
      </c>
      <c r="CU197" s="475" t="str">
        <f t="shared" si="189"/>
        <v>N/A</v>
      </c>
      <c r="CV197" s="475" t="str">
        <f t="shared" si="189"/>
        <v>N/A</v>
      </c>
      <c r="CW197" s="475" t="str">
        <f t="shared" si="189"/>
        <v>N/A</v>
      </c>
      <c r="CX197" s="475" t="str">
        <f t="shared" si="189"/>
        <v>N/A</v>
      </c>
      <c r="CY197" s="475" t="str">
        <f t="shared" si="189"/>
        <v>N/A</v>
      </c>
      <c r="CZ197" s="495" t="str">
        <f t="shared" si="189"/>
        <v>N/A</v>
      </c>
      <c r="DA197" s="502"/>
      <c r="DB197" s="460"/>
      <c r="DC197" s="465"/>
      <c r="DD197" s="463"/>
      <c r="DE197" s="512"/>
      <c r="DF197" s="516"/>
      <c r="DG197" s="508"/>
      <c r="DH197" s="463"/>
      <c r="DI197" s="461"/>
      <c r="DJ197" s="461"/>
      <c r="DK197" s="461"/>
      <c r="DL197" s="464"/>
      <c r="DM197" s="466"/>
      <c r="DN197" s="502"/>
      <c r="DO197" s="460"/>
      <c r="DP197" s="464"/>
      <c r="DQ197" s="464"/>
      <c r="DR197" s="464"/>
      <c r="DS197" s="508"/>
      <c r="DT197" s="525"/>
      <c r="DU197" s="525"/>
      <c r="DV197" s="463"/>
      <c r="DW197" s="464"/>
      <c r="DX197" s="465"/>
      <c r="DY197" s="463"/>
      <c r="DZ197" s="464"/>
      <c r="EA197" s="465"/>
      <c r="EB197" s="463"/>
      <c r="EC197" s="465"/>
      <c r="ED197" s="462"/>
      <c r="EE197" s="502"/>
      <c r="EF197" s="463"/>
      <c r="EG197" s="461"/>
      <c r="EH197" s="464"/>
      <c r="EI197" s="464"/>
      <c r="EJ197" s="464"/>
      <c r="EK197" s="464"/>
      <c r="EL197" s="464"/>
      <c r="EM197" s="464"/>
      <c r="EN197" s="464"/>
      <c r="EO197" s="464"/>
      <c r="EP197" s="464"/>
      <c r="EQ197" s="464"/>
      <c r="ER197" s="464"/>
      <c r="ES197" s="464"/>
      <c r="ET197" s="464"/>
      <c r="EU197" s="464"/>
      <c r="EV197" s="464"/>
      <c r="EW197" s="465"/>
      <c r="EX197" s="465"/>
      <c r="EY197" s="502"/>
      <c r="EZ197" s="460"/>
      <c r="FA197" s="464"/>
      <c r="FB197" s="464"/>
      <c r="FC197" s="464"/>
      <c r="FD197" s="464"/>
      <c r="FE197" s="464"/>
      <c r="FF197" s="464"/>
      <c r="FG197" s="466"/>
    </row>
    <row r="198" spans="1:163">
      <c r="A198" s="467" t="s">
        <v>391</v>
      </c>
      <c r="B198" s="471" t="s">
        <v>389</v>
      </c>
      <c r="C198" s="504">
        <v>45630</v>
      </c>
      <c r="D198" s="502"/>
      <c r="E198" s="443" t="str">
        <f t="shared" si="191"/>
        <v>NO</v>
      </c>
      <c r="F198" s="444" t="str">
        <f t="shared" si="191"/>
        <v>NO</v>
      </c>
      <c r="G198" s="444" t="str">
        <f t="shared" si="191"/>
        <v>NO</v>
      </c>
      <c r="H198" s="444" t="str">
        <f t="shared" si="191"/>
        <v>NO</v>
      </c>
      <c r="I198" s="444" t="str">
        <f t="shared" si="191"/>
        <v>NO</v>
      </c>
      <c r="J198" s="444" t="str">
        <f t="shared" si="191"/>
        <v>NO</v>
      </c>
      <c r="K198" s="444" t="str">
        <f t="shared" si="191"/>
        <v>NO</v>
      </c>
      <c r="L198" s="444" t="str">
        <f t="shared" si="191"/>
        <v>NO</v>
      </c>
      <c r="M198" s="444" t="str">
        <f t="shared" si="191"/>
        <v>NO</v>
      </c>
      <c r="N198" s="444" t="str">
        <f t="shared" si="191"/>
        <v>NO</v>
      </c>
      <c r="O198" s="444" t="str">
        <f t="shared" si="192"/>
        <v>NO</v>
      </c>
      <c r="P198" s="444" t="str">
        <f t="shared" si="192"/>
        <v>NO</v>
      </c>
      <c r="Q198" s="444" t="str">
        <f t="shared" si="192"/>
        <v>NO</v>
      </c>
      <c r="R198" s="444" t="str">
        <f t="shared" si="192"/>
        <v>NO</v>
      </c>
      <c r="S198" s="444" t="str">
        <f t="shared" si="192"/>
        <v>NO</v>
      </c>
      <c r="T198" s="444" t="str">
        <f t="shared" si="192"/>
        <v>NO</v>
      </c>
      <c r="U198" s="444" t="str">
        <f t="shared" si="192"/>
        <v>NO</v>
      </c>
      <c r="V198" s="444" t="str">
        <f t="shared" si="192"/>
        <v>NO</v>
      </c>
      <c r="W198" s="444" t="str">
        <f t="shared" si="192"/>
        <v>NO</v>
      </c>
      <c r="X198" s="444" t="str">
        <f t="shared" si="192"/>
        <v>NO</v>
      </c>
      <c r="Y198" s="444" t="str">
        <f t="shared" si="193"/>
        <v>NO</v>
      </c>
      <c r="Z198" s="444" t="str">
        <f t="shared" si="193"/>
        <v>NO</v>
      </c>
      <c r="AA198" s="444" t="str">
        <f t="shared" si="193"/>
        <v>YES</v>
      </c>
      <c r="AB198" s="444" t="str">
        <f t="shared" si="193"/>
        <v>NO</v>
      </c>
      <c r="AC198" s="444" t="str">
        <f t="shared" si="193"/>
        <v>YES</v>
      </c>
      <c r="AD198" s="444" t="str">
        <f t="shared" si="193"/>
        <v>NO</v>
      </c>
      <c r="AE198" s="444" t="str">
        <f t="shared" si="193"/>
        <v>NO</v>
      </c>
      <c r="AF198" s="444" t="str">
        <f t="shared" si="193"/>
        <v>NO</v>
      </c>
      <c r="AG198" s="444" t="str">
        <f t="shared" si="193"/>
        <v>NO</v>
      </c>
      <c r="AH198" s="444" t="str">
        <f t="shared" si="193"/>
        <v>NO</v>
      </c>
      <c r="AI198" s="444" t="str">
        <f t="shared" si="194"/>
        <v>NO</v>
      </c>
      <c r="AJ198" s="444" t="str">
        <f t="shared" si="194"/>
        <v>NO</v>
      </c>
      <c r="AK198" s="444" t="str">
        <f t="shared" si="194"/>
        <v>NO</v>
      </c>
      <c r="AL198" s="444" t="str">
        <f t="shared" si="194"/>
        <v>NO</v>
      </c>
      <c r="AM198" s="444" t="str">
        <f t="shared" si="194"/>
        <v>NO</v>
      </c>
      <c r="AN198" s="444" t="str">
        <f t="shared" si="194"/>
        <v>YES</v>
      </c>
      <c r="AO198" s="444" t="str">
        <f t="shared" si="194"/>
        <v>NO</v>
      </c>
      <c r="AP198" s="444" t="str">
        <f t="shared" si="194"/>
        <v>NO</v>
      </c>
      <c r="AQ198" s="444" t="str">
        <f t="shared" si="194"/>
        <v>NO</v>
      </c>
      <c r="AR198" s="444" t="str">
        <f t="shared" si="194"/>
        <v>NO</v>
      </c>
      <c r="AS198" s="444" t="str">
        <f t="shared" si="195"/>
        <v>N/A</v>
      </c>
      <c r="AT198" s="444" t="str">
        <f t="shared" si="195"/>
        <v>YES</v>
      </c>
      <c r="AU198" s="444" t="str">
        <f t="shared" si="195"/>
        <v>NO</v>
      </c>
      <c r="AV198" s="444" t="str">
        <f t="shared" si="195"/>
        <v>YES</v>
      </c>
      <c r="AW198" s="444" t="str">
        <f t="shared" si="195"/>
        <v>NO</v>
      </c>
      <c r="AX198" s="444" t="str">
        <f t="shared" si="195"/>
        <v>YES</v>
      </c>
      <c r="AY198" s="444" t="str">
        <f t="shared" si="195"/>
        <v>YES</v>
      </c>
      <c r="AZ198" s="444" t="str">
        <f t="shared" si="195"/>
        <v>YES</v>
      </c>
      <c r="BA198" s="444" t="str">
        <f t="shared" si="195"/>
        <v>NO</v>
      </c>
      <c r="BB198" s="444" t="str">
        <f t="shared" si="195"/>
        <v>NO</v>
      </c>
      <c r="BC198" s="444" t="str">
        <f t="shared" si="196"/>
        <v>NO</v>
      </c>
      <c r="BD198" s="444" t="str">
        <f t="shared" si="196"/>
        <v>NO</v>
      </c>
      <c r="BE198" s="444" t="str">
        <f t="shared" si="196"/>
        <v>NO</v>
      </c>
      <c r="BF198" s="444" t="str">
        <f t="shared" si="196"/>
        <v>YES</v>
      </c>
      <c r="BG198" s="444" t="str">
        <f t="shared" si="196"/>
        <v>YES</v>
      </c>
      <c r="BH198" s="445" t="str">
        <f t="shared" si="196"/>
        <v>NO</v>
      </c>
      <c r="BI198" s="502"/>
      <c r="BJ198" s="474" t="str">
        <f t="shared" ref="BJ198:BS207" si="197">_xlfn.IFNA(IF(INDEX(RoadmapData, MATCH(TRIM(BJ$1), RoadmapDataFeatures, 0), MATCH($A198, RoadmapDataProjects, 0)) = "-", "-", INDEX(RoadmapData, MATCH(TRIM(BJ$1), RoadmapDataFeatures, 0), MATCH($A198, RoadmapDataProjects, 0))), "")</f>
        <v>N/A</v>
      </c>
      <c r="BK198" s="475" t="str">
        <f t="shared" si="197"/>
        <v>N/A</v>
      </c>
      <c r="BL198" s="475" t="str">
        <f t="shared" si="197"/>
        <v>N/A</v>
      </c>
      <c r="BM198" s="475" t="str">
        <f t="shared" si="197"/>
        <v>N/A</v>
      </c>
      <c r="BN198" s="475" t="str">
        <f t="shared" si="197"/>
        <v>N/A</v>
      </c>
      <c r="BO198" s="475" t="str">
        <f t="shared" si="197"/>
        <v>N/A</v>
      </c>
      <c r="BP198" s="475" t="str">
        <f t="shared" si="197"/>
        <v>N/A</v>
      </c>
      <c r="BQ198" s="475" t="str">
        <f t="shared" si="197"/>
        <v>N/A</v>
      </c>
      <c r="BR198" s="475" t="str">
        <f t="shared" si="197"/>
        <v>N/A</v>
      </c>
      <c r="BS198" s="475" t="str">
        <f t="shared" si="197"/>
        <v>N/A</v>
      </c>
      <c r="BT198" s="475" t="str">
        <f t="shared" ref="BT198:CC207" si="198">_xlfn.IFNA(IF(INDEX(RoadmapData, MATCH(TRIM(BT$1), RoadmapDataFeatures, 0), MATCH($A198, RoadmapDataProjects, 0)) = "-", "-", INDEX(RoadmapData, MATCH(TRIM(BT$1), RoadmapDataFeatures, 0), MATCH($A198, RoadmapDataProjects, 0))), "")</f>
        <v>N/A</v>
      </c>
      <c r="BU198" s="475" t="str">
        <f t="shared" si="198"/>
        <v>N/A</v>
      </c>
      <c r="BV198" s="475" t="str">
        <f t="shared" si="198"/>
        <v>N/A</v>
      </c>
      <c r="BW198" s="475" t="str">
        <f t="shared" si="198"/>
        <v>N/A</v>
      </c>
      <c r="BX198" s="475" t="str">
        <f t="shared" si="198"/>
        <v>N/A</v>
      </c>
      <c r="BY198" s="475" t="str">
        <f t="shared" si="198"/>
        <v>N/A</v>
      </c>
      <c r="BZ198" s="475" t="str">
        <f t="shared" si="198"/>
        <v>N/A</v>
      </c>
      <c r="CA198" s="475" t="str">
        <f t="shared" si="198"/>
        <v>N/A</v>
      </c>
      <c r="CB198" s="475" t="str">
        <f t="shared" si="198"/>
        <v>N/A</v>
      </c>
      <c r="CC198" s="475" t="str">
        <f t="shared" si="198"/>
        <v>N/A</v>
      </c>
      <c r="CD198" s="475" t="str">
        <f t="shared" ref="CD198:CM207" si="199">_xlfn.IFNA(IF(INDEX(RoadmapData, MATCH(TRIM(CD$1), RoadmapDataFeatures, 0), MATCH($A198, RoadmapDataProjects, 0)) = "-", "-", INDEX(RoadmapData, MATCH(TRIM(CD$1), RoadmapDataFeatures, 0), MATCH($A198, RoadmapDataProjects, 0))), "")</f>
        <v>N/A</v>
      </c>
      <c r="CE198" s="475" t="str">
        <f t="shared" si="199"/>
        <v>N/A</v>
      </c>
      <c r="CF198" s="475" t="str">
        <f t="shared" si="199"/>
        <v>N/A</v>
      </c>
      <c r="CG198" s="475" t="str">
        <f t="shared" si="199"/>
        <v>N/A</v>
      </c>
      <c r="CH198" s="475" t="str">
        <f t="shared" si="199"/>
        <v>N/A</v>
      </c>
      <c r="CI198" s="475" t="str">
        <f t="shared" si="199"/>
        <v>N/A</v>
      </c>
      <c r="CJ198" s="475" t="str">
        <f t="shared" si="199"/>
        <v>N/A</v>
      </c>
      <c r="CK198" s="475" t="str">
        <f t="shared" si="199"/>
        <v>N/A</v>
      </c>
      <c r="CL198" s="475" t="str">
        <f t="shared" si="199"/>
        <v>N/A</v>
      </c>
      <c r="CM198" s="475" t="str">
        <f t="shared" si="199"/>
        <v>N/A</v>
      </c>
      <c r="CN198" s="475" t="str">
        <f t="shared" ref="CN198:CZ207" si="200">_xlfn.IFNA(IF(INDEX(RoadmapData, MATCH(TRIM(CN$1), RoadmapDataFeatures, 0), MATCH($A198, RoadmapDataProjects, 0)) = "-", "-", INDEX(RoadmapData, MATCH(TRIM(CN$1), RoadmapDataFeatures, 0), MATCH($A198, RoadmapDataProjects, 0))), "")</f>
        <v>N/A</v>
      </c>
      <c r="CO198" s="475" t="str">
        <f t="shared" si="200"/>
        <v>N/A</v>
      </c>
      <c r="CP198" s="475" t="str">
        <f t="shared" si="200"/>
        <v>N/A</v>
      </c>
      <c r="CQ198" s="475" t="str">
        <f t="shared" si="200"/>
        <v>N/A</v>
      </c>
      <c r="CR198" s="475" t="str">
        <f t="shared" si="200"/>
        <v>N/A</v>
      </c>
      <c r="CS198" s="475" t="str">
        <f t="shared" si="200"/>
        <v>N/A</v>
      </c>
      <c r="CT198" s="475" t="str">
        <f t="shared" si="200"/>
        <v>N/A</v>
      </c>
      <c r="CU198" s="475" t="str">
        <f t="shared" si="200"/>
        <v>N/A</v>
      </c>
      <c r="CV198" s="475" t="str">
        <f t="shared" si="200"/>
        <v>N/A</v>
      </c>
      <c r="CW198" s="475" t="str">
        <f t="shared" si="200"/>
        <v>N/A</v>
      </c>
      <c r="CX198" s="475" t="str">
        <f t="shared" si="200"/>
        <v>N/A</v>
      </c>
      <c r="CY198" s="475" t="str">
        <f t="shared" si="200"/>
        <v>N/A</v>
      </c>
      <c r="CZ198" s="495" t="str">
        <f t="shared" si="200"/>
        <v>N/A</v>
      </c>
      <c r="DA198" s="502"/>
      <c r="DB198" s="460"/>
      <c r="DC198" s="465"/>
      <c r="DD198" s="463"/>
      <c r="DE198" s="512"/>
      <c r="DF198" s="516"/>
      <c r="DG198" s="508"/>
      <c r="DH198" s="463"/>
      <c r="DI198" s="461"/>
      <c r="DJ198" s="461"/>
      <c r="DK198" s="461"/>
      <c r="DL198" s="464"/>
      <c r="DM198" s="466"/>
      <c r="DN198" s="502"/>
      <c r="DO198" s="460"/>
      <c r="DP198" s="464"/>
      <c r="DQ198" s="464"/>
      <c r="DR198" s="464"/>
      <c r="DS198" s="508"/>
      <c r="DT198" s="525"/>
      <c r="DU198" s="525"/>
      <c r="DV198" s="463"/>
      <c r="DW198" s="464"/>
      <c r="DX198" s="465"/>
      <c r="DY198" s="463"/>
      <c r="DZ198" s="464"/>
      <c r="EA198" s="465"/>
      <c r="EB198" s="463"/>
      <c r="EC198" s="465"/>
      <c r="ED198" s="462"/>
      <c r="EE198" s="502"/>
      <c r="EF198" s="463"/>
      <c r="EG198" s="461"/>
      <c r="EH198" s="464"/>
      <c r="EI198" s="464"/>
      <c r="EJ198" s="464"/>
      <c r="EK198" s="464"/>
      <c r="EL198" s="464"/>
      <c r="EM198" s="464"/>
      <c r="EN198" s="464"/>
      <c r="EO198" s="464"/>
      <c r="EP198" s="464"/>
      <c r="EQ198" s="464"/>
      <c r="ER198" s="464"/>
      <c r="ES198" s="464"/>
      <c r="ET198" s="464"/>
      <c r="EU198" s="464"/>
      <c r="EV198" s="464"/>
      <c r="EW198" s="465"/>
      <c r="EX198" s="465"/>
      <c r="EY198" s="502"/>
      <c r="EZ198" s="460"/>
      <c r="FA198" s="464"/>
      <c r="FB198" s="464"/>
      <c r="FC198" s="464"/>
      <c r="FD198" s="464"/>
      <c r="FE198" s="464"/>
      <c r="FF198" s="464"/>
      <c r="FG198" s="466"/>
    </row>
    <row r="199" spans="1:163">
      <c r="A199" s="467" t="s">
        <v>392</v>
      </c>
      <c r="B199" s="471" t="s">
        <v>389</v>
      </c>
      <c r="C199" s="504">
        <v>45630</v>
      </c>
      <c r="D199" s="502"/>
      <c r="E199" s="443" t="str">
        <f t="shared" si="191"/>
        <v>NO</v>
      </c>
      <c r="F199" s="444" t="str">
        <f t="shared" si="191"/>
        <v>NO</v>
      </c>
      <c r="G199" s="444" t="str">
        <f t="shared" si="191"/>
        <v>NO</v>
      </c>
      <c r="H199" s="444" t="str">
        <f t="shared" si="191"/>
        <v>NO</v>
      </c>
      <c r="I199" s="444" t="str">
        <f t="shared" si="191"/>
        <v>NO</v>
      </c>
      <c r="J199" s="444" t="str">
        <f t="shared" si="191"/>
        <v>NO</v>
      </c>
      <c r="K199" s="444" t="str">
        <f t="shared" si="191"/>
        <v>NO</v>
      </c>
      <c r="L199" s="444" t="str">
        <f t="shared" si="191"/>
        <v>NO</v>
      </c>
      <c r="M199" s="444" t="str">
        <f t="shared" si="191"/>
        <v>NO</v>
      </c>
      <c r="N199" s="444" t="str">
        <f t="shared" si="191"/>
        <v>NO</v>
      </c>
      <c r="O199" s="444" t="str">
        <f t="shared" si="192"/>
        <v>NO</v>
      </c>
      <c r="P199" s="444" t="str">
        <f t="shared" si="192"/>
        <v>NO</v>
      </c>
      <c r="Q199" s="444" t="str">
        <f t="shared" si="192"/>
        <v>NO</v>
      </c>
      <c r="R199" s="444" t="str">
        <f t="shared" si="192"/>
        <v>NO</v>
      </c>
      <c r="S199" s="444" t="str">
        <f t="shared" si="192"/>
        <v>NO</v>
      </c>
      <c r="T199" s="444" t="str">
        <f t="shared" si="192"/>
        <v>NO</v>
      </c>
      <c r="U199" s="444" t="str">
        <f t="shared" si="192"/>
        <v>NO</v>
      </c>
      <c r="V199" s="444" t="str">
        <f t="shared" si="192"/>
        <v>NO</v>
      </c>
      <c r="W199" s="444" t="str">
        <f t="shared" si="192"/>
        <v>YES</v>
      </c>
      <c r="X199" s="444" t="str">
        <f t="shared" si="192"/>
        <v>NO</v>
      </c>
      <c r="Y199" s="444" t="str">
        <f t="shared" si="193"/>
        <v>YES</v>
      </c>
      <c r="Z199" s="444" t="str">
        <f t="shared" si="193"/>
        <v>NO</v>
      </c>
      <c r="AA199" s="444" t="str">
        <f t="shared" si="193"/>
        <v>YES</v>
      </c>
      <c r="AB199" s="444" t="str">
        <f t="shared" si="193"/>
        <v>NO</v>
      </c>
      <c r="AC199" s="444" t="str">
        <f t="shared" si="193"/>
        <v>NO</v>
      </c>
      <c r="AD199" s="444" t="str">
        <f t="shared" si="193"/>
        <v>NO</v>
      </c>
      <c r="AE199" s="444" t="str">
        <f t="shared" si="193"/>
        <v>NO</v>
      </c>
      <c r="AF199" s="444" t="str">
        <f t="shared" si="193"/>
        <v>NO</v>
      </c>
      <c r="AG199" s="444" t="str">
        <f t="shared" si="193"/>
        <v>NO</v>
      </c>
      <c r="AH199" s="444" t="str">
        <f t="shared" si="193"/>
        <v>NO</v>
      </c>
      <c r="AI199" s="444" t="str">
        <f t="shared" si="194"/>
        <v>NO</v>
      </c>
      <c r="AJ199" s="444" t="str">
        <f t="shared" si="194"/>
        <v>NO</v>
      </c>
      <c r="AK199" s="444" t="str">
        <f t="shared" si="194"/>
        <v>NO</v>
      </c>
      <c r="AL199" s="444" t="str">
        <f t="shared" si="194"/>
        <v>NO</v>
      </c>
      <c r="AM199" s="444" t="str">
        <f t="shared" si="194"/>
        <v>NO</v>
      </c>
      <c r="AN199" s="444" t="str">
        <f t="shared" si="194"/>
        <v>NO</v>
      </c>
      <c r="AO199" s="444" t="str">
        <f t="shared" si="194"/>
        <v>NO</v>
      </c>
      <c r="AP199" s="444" t="str">
        <f t="shared" si="194"/>
        <v>NO</v>
      </c>
      <c r="AQ199" s="444" t="str">
        <f t="shared" si="194"/>
        <v>NO</v>
      </c>
      <c r="AR199" s="444" t="str">
        <f t="shared" si="194"/>
        <v>NO</v>
      </c>
      <c r="AS199" s="444" t="str">
        <f t="shared" si="195"/>
        <v>N/A</v>
      </c>
      <c r="AT199" s="444" t="str">
        <f t="shared" si="195"/>
        <v>YES</v>
      </c>
      <c r="AU199" s="444" t="str">
        <f t="shared" si="195"/>
        <v>NO</v>
      </c>
      <c r="AV199" s="444" t="str">
        <f t="shared" si="195"/>
        <v>YES</v>
      </c>
      <c r="AW199" s="444" t="str">
        <f t="shared" si="195"/>
        <v>NO</v>
      </c>
      <c r="AX199" s="444" t="str">
        <f t="shared" si="195"/>
        <v>YES</v>
      </c>
      <c r="AY199" s="444" t="str">
        <f t="shared" si="195"/>
        <v>YES</v>
      </c>
      <c r="AZ199" s="444" t="str">
        <f t="shared" si="195"/>
        <v>YES</v>
      </c>
      <c r="BA199" s="444" t="str">
        <f t="shared" si="195"/>
        <v>YES</v>
      </c>
      <c r="BB199" s="444" t="str">
        <f t="shared" si="195"/>
        <v>NO</v>
      </c>
      <c r="BC199" s="444" t="str">
        <f t="shared" si="196"/>
        <v>NO</v>
      </c>
      <c r="BD199" s="444" t="str">
        <f t="shared" si="196"/>
        <v>NO</v>
      </c>
      <c r="BE199" s="444" t="str">
        <f t="shared" si="196"/>
        <v>NO</v>
      </c>
      <c r="BF199" s="444" t="str">
        <f t="shared" si="196"/>
        <v>YES</v>
      </c>
      <c r="BG199" s="444" t="str">
        <f t="shared" si="196"/>
        <v>NO</v>
      </c>
      <c r="BH199" s="445" t="str">
        <f t="shared" si="196"/>
        <v>NO</v>
      </c>
      <c r="BI199" s="502"/>
      <c r="BJ199" s="474" t="str">
        <f t="shared" si="197"/>
        <v>N/A</v>
      </c>
      <c r="BK199" s="475" t="str">
        <f t="shared" si="197"/>
        <v>N/A</v>
      </c>
      <c r="BL199" s="475" t="str">
        <f t="shared" si="197"/>
        <v>N/A</v>
      </c>
      <c r="BM199" s="475" t="str">
        <f t="shared" si="197"/>
        <v>N/A</v>
      </c>
      <c r="BN199" s="475" t="str">
        <f t="shared" si="197"/>
        <v>N/A</v>
      </c>
      <c r="BO199" s="475" t="str">
        <f t="shared" si="197"/>
        <v>N/A</v>
      </c>
      <c r="BP199" s="475" t="str">
        <f t="shared" si="197"/>
        <v>N/A</v>
      </c>
      <c r="BQ199" s="475" t="str">
        <f t="shared" si="197"/>
        <v>N/A</v>
      </c>
      <c r="BR199" s="475" t="str">
        <f t="shared" si="197"/>
        <v>N/A</v>
      </c>
      <c r="BS199" s="475" t="str">
        <f t="shared" si="197"/>
        <v>N/A</v>
      </c>
      <c r="BT199" s="475" t="str">
        <f t="shared" si="198"/>
        <v>N/A</v>
      </c>
      <c r="BU199" s="475" t="str">
        <f t="shared" si="198"/>
        <v>N/A</v>
      </c>
      <c r="BV199" s="475" t="str">
        <f t="shared" si="198"/>
        <v>N/A</v>
      </c>
      <c r="BW199" s="475" t="str">
        <f t="shared" si="198"/>
        <v>N/A</v>
      </c>
      <c r="BX199" s="475" t="str">
        <f t="shared" si="198"/>
        <v>N/A</v>
      </c>
      <c r="BY199" s="475" t="str">
        <f t="shared" si="198"/>
        <v>N/A</v>
      </c>
      <c r="BZ199" s="475" t="str">
        <f t="shared" si="198"/>
        <v>N/A</v>
      </c>
      <c r="CA199" s="475" t="str">
        <f t="shared" si="198"/>
        <v>N/A</v>
      </c>
      <c r="CB199" s="475" t="str">
        <f t="shared" si="198"/>
        <v>N/A</v>
      </c>
      <c r="CC199" s="475" t="str">
        <f t="shared" si="198"/>
        <v>N/A</v>
      </c>
      <c r="CD199" s="475" t="str">
        <f t="shared" si="199"/>
        <v>N/A</v>
      </c>
      <c r="CE199" s="475" t="str">
        <f t="shared" si="199"/>
        <v>N/A</v>
      </c>
      <c r="CF199" s="475" t="str">
        <f t="shared" si="199"/>
        <v>N/A</v>
      </c>
      <c r="CG199" s="475" t="str">
        <f t="shared" si="199"/>
        <v>N/A</v>
      </c>
      <c r="CH199" s="475" t="str">
        <f t="shared" si="199"/>
        <v>N/A</v>
      </c>
      <c r="CI199" s="475" t="str">
        <f t="shared" si="199"/>
        <v>N/A</v>
      </c>
      <c r="CJ199" s="475" t="str">
        <f t="shared" si="199"/>
        <v>N/A</v>
      </c>
      <c r="CK199" s="475" t="str">
        <f t="shared" si="199"/>
        <v>N/A</v>
      </c>
      <c r="CL199" s="475" t="str">
        <f t="shared" si="199"/>
        <v>N/A</v>
      </c>
      <c r="CM199" s="475" t="str">
        <f t="shared" si="199"/>
        <v>N/A</v>
      </c>
      <c r="CN199" s="475" t="str">
        <f t="shared" si="200"/>
        <v>N/A</v>
      </c>
      <c r="CO199" s="475" t="str">
        <f t="shared" si="200"/>
        <v>N/A</v>
      </c>
      <c r="CP199" s="475" t="str">
        <f t="shared" si="200"/>
        <v>N/A</v>
      </c>
      <c r="CQ199" s="475" t="str">
        <f t="shared" si="200"/>
        <v>N/A</v>
      </c>
      <c r="CR199" s="475" t="str">
        <f t="shared" si="200"/>
        <v>N/A</v>
      </c>
      <c r="CS199" s="475" t="str">
        <f t="shared" si="200"/>
        <v>N/A</v>
      </c>
      <c r="CT199" s="475" t="str">
        <f t="shared" si="200"/>
        <v>N/A</v>
      </c>
      <c r="CU199" s="475" t="str">
        <f t="shared" si="200"/>
        <v>N/A</v>
      </c>
      <c r="CV199" s="475" t="str">
        <f t="shared" si="200"/>
        <v>N/A</v>
      </c>
      <c r="CW199" s="475" t="str">
        <f t="shared" si="200"/>
        <v>N/A</v>
      </c>
      <c r="CX199" s="475" t="str">
        <f t="shared" si="200"/>
        <v>N/A</v>
      </c>
      <c r="CY199" s="475" t="str">
        <f t="shared" si="200"/>
        <v>N/A</v>
      </c>
      <c r="CZ199" s="495" t="str">
        <f t="shared" si="200"/>
        <v>N/A</v>
      </c>
      <c r="DA199" s="502"/>
      <c r="DB199" s="460"/>
      <c r="DC199" s="465"/>
      <c r="DD199" s="463"/>
      <c r="DE199" s="512"/>
      <c r="DF199" s="516"/>
      <c r="DG199" s="508"/>
      <c r="DH199" s="463"/>
      <c r="DI199" s="461"/>
      <c r="DJ199" s="461"/>
      <c r="DK199" s="461"/>
      <c r="DL199" s="464"/>
      <c r="DM199" s="466"/>
      <c r="DN199" s="502"/>
      <c r="DO199" s="460"/>
      <c r="DP199" s="464"/>
      <c r="DQ199" s="464"/>
      <c r="DR199" s="464"/>
      <c r="DS199" s="508"/>
      <c r="DT199" s="525"/>
      <c r="DU199" s="525"/>
      <c r="DV199" s="463"/>
      <c r="DW199" s="464"/>
      <c r="DX199" s="465"/>
      <c r="DY199" s="463"/>
      <c r="DZ199" s="464"/>
      <c r="EA199" s="465"/>
      <c r="EB199" s="463"/>
      <c r="EC199" s="465"/>
      <c r="ED199" s="462"/>
      <c r="EE199" s="502"/>
      <c r="EF199" s="463"/>
      <c r="EG199" s="461"/>
      <c r="EH199" s="464"/>
      <c r="EI199" s="464"/>
      <c r="EJ199" s="464"/>
      <c r="EK199" s="464"/>
      <c r="EL199" s="464"/>
      <c r="EM199" s="464"/>
      <c r="EN199" s="464"/>
      <c r="EO199" s="464"/>
      <c r="EP199" s="464"/>
      <c r="EQ199" s="464"/>
      <c r="ER199" s="464"/>
      <c r="ES199" s="464"/>
      <c r="ET199" s="464"/>
      <c r="EU199" s="464"/>
      <c r="EV199" s="464"/>
      <c r="EW199" s="465"/>
      <c r="EX199" s="465"/>
      <c r="EY199" s="502"/>
      <c r="EZ199" s="460"/>
      <c r="FA199" s="464"/>
      <c r="FB199" s="464"/>
      <c r="FC199" s="464"/>
      <c r="FD199" s="464"/>
      <c r="FE199" s="464"/>
      <c r="FF199" s="464"/>
      <c r="FG199" s="466"/>
    </row>
    <row r="200" spans="1:163">
      <c r="A200" s="467" t="s">
        <v>393</v>
      </c>
      <c r="B200" s="471" t="s">
        <v>389</v>
      </c>
      <c r="C200" s="504">
        <v>45630</v>
      </c>
      <c r="D200" s="502"/>
      <c r="E200" s="443" t="str">
        <f t="shared" si="191"/>
        <v>NO</v>
      </c>
      <c r="F200" s="444" t="str">
        <f t="shared" si="191"/>
        <v>NO</v>
      </c>
      <c r="G200" s="444" t="str">
        <f t="shared" si="191"/>
        <v>YES</v>
      </c>
      <c r="H200" s="444" t="str">
        <f t="shared" si="191"/>
        <v>YES</v>
      </c>
      <c r="I200" s="444" t="str">
        <f t="shared" si="191"/>
        <v>NO</v>
      </c>
      <c r="J200" s="444" t="str">
        <f t="shared" si="191"/>
        <v>NO</v>
      </c>
      <c r="K200" s="444" t="str">
        <f t="shared" si="191"/>
        <v>NO</v>
      </c>
      <c r="L200" s="444" t="str">
        <f t="shared" si="191"/>
        <v>NO</v>
      </c>
      <c r="M200" s="444" t="str">
        <f t="shared" si="191"/>
        <v>NO</v>
      </c>
      <c r="N200" s="444" t="str">
        <f t="shared" si="191"/>
        <v>NO</v>
      </c>
      <c r="O200" s="444" t="str">
        <f t="shared" si="192"/>
        <v>NO</v>
      </c>
      <c r="P200" s="444" t="str">
        <f t="shared" si="192"/>
        <v>NO</v>
      </c>
      <c r="Q200" s="444" t="str">
        <f t="shared" si="192"/>
        <v>NO</v>
      </c>
      <c r="R200" s="444" t="str">
        <f t="shared" si="192"/>
        <v>NO</v>
      </c>
      <c r="S200" s="444" t="str">
        <f t="shared" si="192"/>
        <v>NO</v>
      </c>
      <c r="T200" s="444" t="str">
        <f t="shared" si="192"/>
        <v>NO</v>
      </c>
      <c r="U200" s="444" t="str">
        <f t="shared" si="192"/>
        <v>NO</v>
      </c>
      <c r="V200" s="444" t="str">
        <f t="shared" si="192"/>
        <v>NO</v>
      </c>
      <c r="W200" s="444" t="str">
        <f t="shared" si="192"/>
        <v>YES</v>
      </c>
      <c r="X200" s="444" t="str">
        <f t="shared" si="192"/>
        <v>NO</v>
      </c>
      <c r="Y200" s="444" t="str">
        <f t="shared" si="193"/>
        <v>YES</v>
      </c>
      <c r="Z200" s="444" t="str">
        <f t="shared" si="193"/>
        <v>NO</v>
      </c>
      <c r="AA200" s="444" t="str">
        <f t="shared" si="193"/>
        <v>NO</v>
      </c>
      <c r="AB200" s="444" t="str">
        <f t="shared" si="193"/>
        <v>NO</v>
      </c>
      <c r="AC200" s="444" t="str">
        <f t="shared" si="193"/>
        <v>YES</v>
      </c>
      <c r="AD200" s="444" t="str">
        <f t="shared" si="193"/>
        <v>NO</v>
      </c>
      <c r="AE200" s="444" t="str">
        <f t="shared" si="193"/>
        <v>NO</v>
      </c>
      <c r="AF200" s="444" t="str">
        <f t="shared" si="193"/>
        <v>NO</v>
      </c>
      <c r="AG200" s="444" t="str">
        <f t="shared" si="193"/>
        <v>NO</v>
      </c>
      <c r="AH200" s="444" t="str">
        <f t="shared" si="193"/>
        <v>NO</v>
      </c>
      <c r="AI200" s="444" t="str">
        <f t="shared" si="194"/>
        <v>NO</v>
      </c>
      <c r="AJ200" s="444" t="str">
        <f t="shared" si="194"/>
        <v>NO</v>
      </c>
      <c r="AK200" s="444" t="str">
        <f t="shared" si="194"/>
        <v>NO</v>
      </c>
      <c r="AL200" s="444" t="str">
        <f t="shared" si="194"/>
        <v>YES</v>
      </c>
      <c r="AM200" s="444" t="str">
        <f t="shared" si="194"/>
        <v>NO</v>
      </c>
      <c r="AN200" s="444" t="str">
        <f t="shared" si="194"/>
        <v>NO</v>
      </c>
      <c r="AO200" s="444" t="str">
        <f t="shared" si="194"/>
        <v>YES</v>
      </c>
      <c r="AP200" s="444" t="str">
        <f t="shared" si="194"/>
        <v>NO</v>
      </c>
      <c r="AQ200" s="444" t="str">
        <f t="shared" si="194"/>
        <v>NO</v>
      </c>
      <c r="AR200" s="444" t="str">
        <f t="shared" si="194"/>
        <v>NO</v>
      </c>
      <c r="AS200" s="444" t="str">
        <f t="shared" si="195"/>
        <v>N/A</v>
      </c>
      <c r="AT200" s="444" t="str">
        <f t="shared" si="195"/>
        <v>YES</v>
      </c>
      <c r="AU200" s="444" t="str">
        <f t="shared" si="195"/>
        <v>NO</v>
      </c>
      <c r="AV200" s="444" t="str">
        <f t="shared" si="195"/>
        <v>YES</v>
      </c>
      <c r="AW200" s="444" t="str">
        <f t="shared" si="195"/>
        <v>NO</v>
      </c>
      <c r="AX200" s="444" t="str">
        <f t="shared" si="195"/>
        <v>YES</v>
      </c>
      <c r="AY200" s="444" t="str">
        <f t="shared" si="195"/>
        <v>YES</v>
      </c>
      <c r="AZ200" s="444" t="str">
        <f t="shared" si="195"/>
        <v>YES</v>
      </c>
      <c r="BA200" s="444" t="str">
        <f t="shared" si="195"/>
        <v>NO</v>
      </c>
      <c r="BB200" s="444" t="str">
        <f t="shared" si="195"/>
        <v>NO</v>
      </c>
      <c r="BC200" s="444" t="str">
        <f t="shared" si="196"/>
        <v>NO</v>
      </c>
      <c r="BD200" s="444" t="str">
        <f t="shared" si="196"/>
        <v>NO</v>
      </c>
      <c r="BE200" s="444" t="str">
        <f t="shared" si="196"/>
        <v>YES</v>
      </c>
      <c r="BF200" s="444" t="str">
        <f t="shared" si="196"/>
        <v>YES</v>
      </c>
      <c r="BG200" s="444" t="str">
        <f t="shared" si="196"/>
        <v>YES</v>
      </c>
      <c r="BH200" s="445" t="str">
        <f t="shared" si="196"/>
        <v>YES</v>
      </c>
      <c r="BI200" s="502"/>
      <c r="BJ200" s="474" t="str">
        <f t="shared" si="197"/>
        <v>N/A</v>
      </c>
      <c r="BK200" s="475" t="str">
        <f t="shared" si="197"/>
        <v>N/A</v>
      </c>
      <c r="BL200" s="475" t="str">
        <f t="shared" si="197"/>
        <v>N/A</v>
      </c>
      <c r="BM200" s="475" t="str">
        <f t="shared" si="197"/>
        <v>N/A</v>
      </c>
      <c r="BN200" s="475" t="str">
        <f t="shared" si="197"/>
        <v>N/A</v>
      </c>
      <c r="BO200" s="475" t="str">
        <f t="shared" si="197"/>
        <v>N/A</v>
      </c>
      <c r="BP200" s="475" t="str">
        <f t="shared" si="197"/>
        <v>N/A</v>
      </c>
      <c r="BQ200" s="475" t="str">
        <f t="shared" si="197"/>
        <v>N/A</v>
      </c>
      <c r="BR200" s="475" t="str">
        <f t="shared" si="197"/>
        <v>N/A</v>
      </c>
      <c r="BS200" s="475" t="str">
        <f t="shared" si="197"/>
        <v>N/A</v>
      </c>
      <c r="BT200" s="475" t="str">
        <f t="shared" si="198"/>
        <v>N/A</v>
      </c>
      <c r="BU200" s="475" t="str">
        <f t="shared" si="198"/>
        <v>N/A</v>
      </c>
      <c r="BV200" s="475" t="str">
        <f t="shared" si="198"/>
        <v>N/A</v>
      </c>
      <c r="BW200" s="475" t="str">
        <f t="shared" si="198"/>
        <v>N/A</v>
      </c>
      <c r="BX200" s="475" t="str">
        <f t="shared" si="198"/>
        <v>N/A</v>
      </c>
      <c r="BY200" s="475" t="str">
        <f t="shared" si="198"/>
        <v>N/A</v>
      </c>
      <c r="BZ200" s="475" t="str">
        <f t="shared" si="198"/>
        <v>N/A</v>
      </c>
      <c r="CA200" s="475" t="str">
        <f t="shared" si="198"/>
        <v>N/A</v>
      </c>
      <c r="CB200" s="475" t="str">
        <f t="shared" si="198"/>
        <v>N/A</v>
      </c>
      <c r="CC200" s="475" t="str">
        <f t="shared" si="198"/>
        <v>N/A</v>
      </c>
      <c r="CD200" s="475" t="str">
        <f t="shared" si="199"/>
        <v>N/A</v>
      </c>
      <c r="CE200" s="475" t="str">
        <f t="shared" si="199"/>
        <v>N/A</v>
      </c>
      <c r="CF200" s="475" t="str">
        <f t="shared" si="199"/>
        <v>N/A</v>
      </c>
      <c r="CG200" s="475" t="str">
        <f t="shared" si="199"/>
        <v>N/A</v>
      </c>
      <c r="CH200" s="475" t="str">
        <f t="shared" si="199"/>
        <v>N/A</v>
      </c>
      <c r="CI200" s="475" t="str">
        <f t="shared" si="199"/>
        <v>N/A</v>
      </c>
      <c r="CJ200" s="475" t="str">
        <f t="shared" si="199"/>
        <v>N/A</v>
      </c>
      <c r="CK200" s="475" t="str">
        <f t="shared" si="199"/>
        <v>N/A</v>
      </c>
      <c r="CL200" s="475" t="str">
        <f t="shared" si="199"/>
        <v>N/A</v>
      </c>
      <c r="CM200" s="475" t="str">
        <f t="shared" si="199"/>
        <v>N/A</v>
      </c>
      <c r="CN200" s="475" t="str">
        <f t="shared" si="200"/>
        <v>N/A</v>
      </c>
      <c r="CO200" s="475" t="str">
        <f t="shared" si="200"/>
        <v>N/A</v>
      </c>
      <c r="CP200" s="475" t="str">
        <f t="shared" si="200"/>
        <v>N/A</v>
      </c>
      <c r="CQ200" s="475" t="str">
        <f t="shared" si="200"/>
        <v>N/A</v>
      </c>
      <c r="CR200" s="475" t="str">
        <f t="shared" si="200"/>
        <v>N/A</v>
      </c>
      <c r="CS200" s="475" t="str">
        <f t="shared" si="200"/>
        <v>N/A</v>
      </c>
      <c r="CT200" s="475" t="str">
        <f t="shared" si="200"/>
        <v>N/A</v>
      </c>
      <c r="CU200" s="475" t="str">
        <f t="shared" si="200"/>
        <v>N/A</v>
      </c>
      <c r="CV200" s="475" t="str">
        <f t="shared" si="200"/>
        <v>N/A</v>
      </c>
      <c r="CW200" s="475" t="str">
        <f t="shared" si="200"/>
        <v>N/A</v>
      </c>
      <c r="CX200" s="475" t="str">
        <f t="shared" si="200"/>
        <v>N/A</v>
      </c>
      <c r="CY200" s="475" t="str">
        <f t="shared" si="200"/>
        <v>N/A</v>
      </c>
      <c r="CZ200" s="495" t="str">
        <f t="shared" si="200"/>
        <v>N/A</v>
      </c>
      <c r="DA200" s="502"/>
      <c r="DB200" s="460">
        <v>1</v>
      </c>
      <c r="DC200" s="465">
        <v>3.1</v>
      </c>
      <c r="DD200" s="463"/>
      <c r="DE200" s="513" t="s">
        <v>394</v>
      </c>
      <c r="DF200" s="517"/>
      <c r="DG200" s="508"/>
      <c r="DH200" s="463"/>
      <c r="DI200" s="461"/>
      <c r="DJ200" s="461"/>
      <c r="DK200" s="461"/>
      <c r="DL200" s="464"/>
      <c r="DM200" s="466"/>
      <c r="DN200" s="502"/>
      <c r="DO200" s="460" t="s">
        <v>339</v>
      </c>
      <c r="DP200" s="464"/>
      <c r="DQ200" s="464"/>
      <c r="DR200" s="464"/>
      <c r="DS200" s="508"/>
      <c r="DT200" s="525"/>
      <c r="DU200" s="525"/>
      <c r="DV200" s="463"/>
      <c r="DW200" s="464"/>
      <c r="DX200" s="465"/>
      <c r="DY200" s="463"/>
      <c r="DZ200" s="464"/>
      <c r="EA200" s="465"/>
      <c r="EB200" s="463"/>
      <c r="EC200" s="465"/>
      <c r="ED200" s="462">
        <v>1</v>
      </c>
      <c r="EE200" s="502"/>
      <c r="EF200" s="463"/>
      <c r="EG200" s="461"/>
      <c r="EH200" s="464"/>
      <c r="EI200" s="464"/>
      <c r="EJ200" s="464"/>
      <c r="EK200" s="464"/>
      <c r="EL200" s="464"/>
      <c r="EM200" s="464"/>
      <c r="EN200" s="464"/>
      <c r="EO200" s="464" t="s">
        <v>339</v>
      </c>
      <c r="EP200" s="464"/>
      <c r="EQ200" s="464"/>
      <c r="ER200" s="464"/>
      <c r="ES200" s="464"/>
      <c r="ET200" s="464"/>
      <c r="EU200" s="464"/>
      <c r="EV200" s="464"/>
      <c r="EW200" s="465"/>
      <c r="EX200" s="465"/>
      <c r="EY200" s="502"/>
      <c r="EZ200" s="460"/>
      <c r="FA200" s="464"/>
      <c r="FB200" s="464"/>
      <c r="FC200" s="464"/>
      <c r="FD200" s="464"/>
      <c r="FE200" s="464"/>
      <c r="FF200" s="464"/>
      <c r="FG200" s="466" t="s">
        <v>339</v>
      </c>
    </row>
    <row r="201" spans="1:163">
      <c r="A201" s="467" t="s">
        <v>395</v>
      </c>
      <c r="B201" s="471" t="s">
        <v>389</v>
      </c>
      <c r="C201" s="504">
        <v>45630</v>
      </c>
      <c r="D201" s="502"/>
      <c r="E201" s="443" t="str">
        <f t="shared" si="191"/>
        <v>NO</v>
      </c>
      <c r="F201" s="444" t="str">
        <f t="shared" si="191"/>
        <v>NO</v>
      </c>
      <c r="G201" s="444" t="str">
        <f t="shared" si="191"/>
        <v>YES</v>
      </c>
      <c r="H201" s="444" t="str">
        <f t="shared" si="191"/>
        <v>YES</v>
      </c>
      <c r="I201" s="444" t="str">
        <f t="shared" si="191"/>
        <v>YES</v>
      </c>
      <c r="J201" s="444" t="str">
        <f t="shared" si="191"/>
        <v>NO</v>
      </c>
      <c r="K201" s="444" t="str">
        <f t="shared" si="191"/>
        <v>NO</v>
      </c>
      <c r="L201" s="444" t="str">
        <f t="shared" si="191"/>
        <v>NO</v>
      </c>
      <c r="M201" s="444" t="str">
        <f t="shared" si="191"/>
        <v>NO</v>
      </c>
      <c r="N201" s="444" t="str">
        <f t="shared" si="191"/>
        <v>NO</v>
      </c>
      <c r="O201" s="444" t="str">
        <f t="shared" si="192"/>
        <v>NO</v>
      </c>
      <c r="P201" s="444" t="str">
        <f t="shared" si="192"/>
        <v>NO</v>
      </c>
      <c r="Q201" s="444" t="str">
        <f t="shared" si="192"/>
        <v>NO</v>
      </c>
      <c r="R201" s="444" t="str">
        <f t="shared" si="192"/>
        <v>NO</v>
      </c>
      <c r="S201" s="444" t="str">
        <f t="shared" si="192"/>
        <v>NO</v>
      </c>
      <c r="T201" s="444" t="str">
        <f t="shared" si="192"/>
        <v>NO</v>
      </c>
      <c r="U201" s="444" t="str">
        <f t="shared" si="192"/>
        <v>NO</v>
      </c>
      <c r="V201" s="444" t="str">
        <f t="shared" si="192"/>
        <v>NO</v>
      </c>
      <c r="W201" s="444" t="str">
        <f t="shared" si="192"/>
        <v>YES</v>
      </c>
      <c r="X201" s="444" t="str">
        <f t="shared" si="192"/>
        <v>NO</v>
      </c>
      <c r="Y201" s="444" t="str">
        <f t="shared" si="193"/>
        <v>DEP</v>
      </c>
      <c r="Z201" s="444" t="str">
        <f t="shared" si="193"/>
        <v>NO</v>
      </c>
      <c r="AA201" s="444" t="str">
        <f t="shared" si="193"/>
        <v>NO</v>
      </c>
      <c r="AB201" s="444" t="str">
        <f t="shared" si="193"/>
        <v>NO</v>
      </c>
      <c r="AC201" s="444" t="str">
        <f t="shared" si="193"/>
        <v>YES</v>
      </c>
      <c r="AD201" s="444" t="str">
        <f t="shared" si="193"/>
        <v>NO</v>
      </c>
      <c r="AE201" s="444" t="str">
        <f t="shared" si="193"/>
        <v>NO</v>
      </c>
      <c r="AF201" s="444" t="str">
        <f t="shared" si="193"/>
        <v>NO</v>
      </c>
      <c r="AG201" s="444" t="str">
        <f t="shared" si="193"/>
        <v>NO</v>
      </c>
      <c r="AH201" s="444" t="str">
        <f t="shared" si="193"/>
        <v>NO</v>
      </c>
      <c r="AI201" s="444" t="str">
        <f t="shared" si="194"/>
        <v>NO</v>
      </c>
      <c r="AJ201" s="444" t="str">
        <f t="shared" si="194"/>
        <v>NO</v>
      </c>
      <c r="AK201" s="444" t="str">
        <f t="shared" si="194"/>
        <v>NO</v>
      </c>
      <c r="AL201" s="444" t="str">
        <f t="shared" si="194"/>
        <v>NO</v>
      </c>
      <c r="AM201" s="444" t="str">
        <f t="shared" si="194"/>
        <v>NO</v>
      </c>
      <c r="AN201" s="444" t="str">
        <f t="shared" si="194"/>
        <v>NO</v>
      </c>
      <c r="AO201" s="444" t="str">
        <f t="shared" si="194"/>
        <v>YES</v>
      </c>
      <c r="AP201" s="444" t="str">
        <f t="shared" si="194"/>
        <v>NO</v>
      </c>
      <c r="AQ201" s="444" t="str">
        <f t="shared" si="194"/>
        <v>NO</v>
      </c>
      <c r="AR201" s="444" t="str">
        <f t="shared" si="194"/>
        <v>NO</v>
      </c>
      <c r="AS201" s="444" t="str">
        <f t="shared" si="195"/>
        <v>NO</v>
      </c>
      <c r="AT201" s="444" t="str">
        <f t="shared" si="195"/>
        <v>DEP</v>
      </c>
      <c r="AU201" s="444" t="str">
        <f t="shared" si="195"/>
        <v>DEP</v>
      </c>
      <c r="AV201" s="444" t="str">
        <f t="shared" si="195"/>
        <v>DEP</v>
      </c>
      <c r="AW201" s="444" t="str">
        <f t="shared" si="195"/>
        <v>DEP</v>
      </c>
      <c r="AX201" s="444" t="str">
        <f t="shared" si="195"/>
        <v>DEP</v>
      </c>
      <c r="AY201" s="444" t="str">
        <f t="shared" si="195"/>
        <v>YES</v>
      </c>
      <c r="AZ201" s="444" t="str">
        <f t="shared" si="195"/>
        <v>DEP</v>
      </c>
      <c r="BA201" s="444" t="str">
        <f t="shared" si="195"/>
        <v>DEP</v>
      </c>
      <c r="BB201" s="444" t="str">
        <f t="shared" si="195"/>
        <v>NO</v>
      </c>
      <c r="BC201" s="444" t="str">
        <f t="shared" si="196"/>
        <v>NO</v>
      </c>
      <c r="BD201" s="444" t="str">
        <f t="shared" si="196"/>
        <v>NO</v>
      </c>
      <c r="BE201" s="444" t="str">
        <f t="shared" si="196"/>
        <v>NO</v>
      </c>
      <c r="BF201" s="444" t="str">
        <f t="shared" si="196"/>
        <v>YES</v>
      </c>
      <c r="BG201" s="444" t="str">
        <f t="shared" si="196"/>
        <v>NO</v>
      </c>
      <c r="BH201" s="445" t="str">
        <f t="shared" si="196"/>
        <v>NO</v>
      </c>
      <c r="BI201" s="502"/>
      <c r="BJ201" s="474" t="str">
        <f t="shared" si="197"/>
        <v>NO</v>
      </c>
      <c r="BK201" s="475" t="str">
        <f t="shared" si="197"/>
        <v>NO</v>
      </c>
      <c r="BL201" s="475" t="str">
        <f t="shared" si="197"/>
        <v>NO</v>
      </c>
      <c r="BM201" s="475" t="str">
        <f t="shared" si="197"/>
        <v>NO</v>
      </c>
      <c r="BN201" s="475" t="str">
        <f t="shared" si="197"/>
        <v>NO</v>
      </c>
      <c r="BO201" s="475" t="str">
        <f t="shared" si="197"/>
        <v>NO</v>
      </c>
      <c r="BP201" s="475" t="str">
        <f t="shared" si="197"/>
        <v>NO</v>
      </c>
      <c r="BQ201" s="475" t="str">
        <f t="shared" si="197"/>
        <v>NO</v>
      </c>
      <c r="BR201" s="475" t="str">
        <f t="shared" si="197"/>
        <v>NO</v>
      </c>
      <c r="BS201" s="475" t="str">
        <f t="shared" si="197"/>
        <v>NO</v>
      </c>
      <c r="BT201" s="475" t="str">
        <f t="shared" si="198"/>
        <v>NO</v>
      </c>
      <c r="BU201" s="475" t="str">
        <f t="shared" si="198"/>
        <v>NO</v>
      </c>
      <c r="BV201" s="475" t="str">
        <f t="shared" si="198"/>
        <v>NO</v>
      </c>
      <c r="BW201" s="475" t="str">
        <f t="shared" si="198"/>
        <v>NO</v>
      </c>
      <c r="BX201" s="475" t="str">
        <f t="shared" si="198"/>
        <v>NO</v>
      </c>
      <c r="BY201" s="475" t="str">
        <f t="shared" si="198"/>
        <v>NO</v>
      </c>
      <c r="BZ201" s="475" t="str">
        <f t="shared" si="198"/>
        <v>NO</v>
      </c>
      <c r="CA201" s="475" t="str">
        <f t="shared" si="198"/>
        <v>NO</v>
      </c>
      <c r="CB201" s="475" t="str">
        <f t="shared" si="198"/>
        <v>NO</v>
      </c>
      <c r="CC201" s="475" t="str">
        <f t="shared" si="198"/>
        <v>NO</v>
      </c>
      <c r="CD201" s="475" t="str">
        <f t="shared" si="199"/>
        <v>NO</v>
      </c>
      <c r="CE201" s="475" t="str">
        <f t="shared" si="199"/>
        <v>NO</v>
      </c>
      <c r="CF201" s="475" t="str">
        <f t="shared" si="199"/>
        <v>NO</v>
      </c>
      <c r="CG201" s="475" t="str">
        <f t="shared" si="199"/>
        <v>NO</v>
      </c>
      <c r="CH201" s="475" t="str">
        <f t="shared" si="199"/>
        <v>NO</v>
      </c>
      <c r="CI201" s="475" t="str">
        <f t="shared" si="199"/>
        <v>NO</v>
      </c>
      <c r="CJ201" s="475" t="str">
        <f t="shared" si="199"/>
        <v>NO</v>
      </c>
      <c r="CK201" s="475" t="str">
        <f t="shared" si="199"/>
        <v>NO</v>
      </c>
      <c r="CL201" s="475" t="str">
        <f t="shared" si="199"/>
        <v>NO</v>
      </c>
      <c r="CM201" s="475" t="str">
        <f t="shared" si="199"/>
        <v>NO</v>
      </c>
      <c r="CN201" s="475" t="str">
        <f t="shared" si="200"/>
        <v>NO</v>
      </c>
      <c r="CO201" s="475" t="str">
        <f t="shared" si="200"/>
        <v>NO</v>
      </c>
      <c r="CP201" s="475" t="str">
        <f t="shared" si="200"/>
        <v>NO</v>
      </c>
      <c r="CQ201" s="475" t="str">
        <f t="shared" si="200"/>
        <v>NO</v>
      </c>
      <c r="CR201" s="475" t="str">
        <f t="shared" si="200"/>
        <v>NO</v>
      </c>
      <c r="CS201" s="475" t="str">
        <f t="shared" si="200"/>
        <v>NO</v>
      </c>
      <c r="CT201" s="475" t="str">
        <f t="shared" si="200"/>
        <v>NO</v>
      </c>
      <c r="CU201" s="475" t="str">
        <f t="shared" si="200"/>
        <v>NO</v>
      </c>
      <c r="CV201" s="475" t="str">
        <f t="shared" si="200"/>
        <v>NO</v>
      </c>
      <c r="CW201" s="475" t="str">
        <f t="shared" si="200"/>
        <v>NO</v>
      </c>
      <c r="CX201" s="475" t="str">
        <f t="shared" si="200"/>
        <v>NO</v>
      </c>
      <c r="CY201" s="475" t="str">
        <f t="shared" si="200"/>
        <v>NO</v>
      </c>
      <c r="CZ201" s="495" t="str">
        <f t="shared" si="200"/>
        <v>NO</v>
      </c>
      <c r="DA201" s="502"/>
      <c r="DB201" s="460"/>
      <c r="DC201" s="465"/>
      <c r="DD201" s="463"/>
      <c r="DE201" s="512"/>
      <c r="DF201" s="516"/>
      <c r="DG201" s="508"/>
      <c r="DH201" s="463"/>
      <c r="DI201" s="461"/>
      <c r="DJ201" s="461"/>
      <c r="DK201" s="461"/>
      <c r="DL201" s="464"/>
      <c r="DM201" s="466"/>
      <c r="DN201" s="502"/>
      <c r="DO201" s="460"/>
      <c r="DP201" s="464"/>
      <c r="DQ201" s="464"/>
      <c r="DR201" s="464"/>
      <c r="DS201" s="508"/>
      <c r="DT201" s="525"/>
      <c r="DU201" s="525"/>
      <c r="DV201" s="463"/>
      <c r="DW201" s="464"/>
      <c r="DX201" s="465"/>
      <c r="DY201" s="463"/>
      <c r="DZ201" s="464"/>
      <c r="EA201" s="465"/>
      <c r="EB201" s="463"/>
      <c r="EC201" s="465"/>
      <c r="ED201" s="462"/>
      <c r="EE201" s="502"/>
      <c r="EF201" s="463"/>
      <c r="EG201" s="461"/>
      <c r="EH201" s="464"/>
      <c r="EI201" s="464"/>
      <c r="EJ201" s="464"/>
      <c r="EK201" s="464"/>
      <c r="EL201" s="464"/>
      <c r="EM201" s="464"/>
      <c r="EN201" s="464"/>
      <c r="EO201" s="464"/>
      <c r="EP201" s="464"/>
      <c r="EQ201" s="464"/>
      <c r="ER201" s="464"/>
      <c r="ES201" s="464"/>
      <c r="ET201" s="464"/>
      <c r="EU201" s="464"/>
      <c r="EV201" s="464"/>
      <c r="EW201" s="465"/>
      <c r="EX201" s="465"/>
      <c r="EY201" s="502"/>
      <c r="EZ201" s="460"/>
      <c r="FA201" s="464"/>
      <c r="FB201" s="464"/>
      <c r="FC201" s="464"/>
      <c r="FD201" s="464"/>
      <c r="FE201" s="464"/>
      <c r="FF201" s="464"/>
      <c r="FG201" s="466"/>
    </row>
    <row r="202" spans="1:163">
      <c r="A202" s="467" t="s">
        <v>396</v>
      </c>
      <c r="B202" s="471" t="s">
        <v>389</v>
      </c>
      <c r="C202" s="504">
        <v>45630</v>
      </c>
      <c r="D202" s="502"/>
      <c r="E202" s="443" t="str">
        <f t="shared" ref="E202:N211" si="201" xml:space="preserve">
IFERROR(
_xlfn.IFNA(
   IF($B202="PLT",
      IF(INDEX(PRJGENVersions, MATCH(TRIM(E$1), PRJGENAlgosMapped, 0), MATCH($A202, PRJGENProjects, 0)), "YES", ""),
      IF(INDEX(RoadmapData, MATCH(TRIM(E$1), RoadmapDataFeatures, 0), MATCH($A202, RoadmapDataProjects, 0)) = "-", "-", INDEX(RoadmapData, MATCH(TRIM(E$1), RoadmapDataFeatures, 0), MATCH($A202, RoadmapDataProjects, 0)))),
""),
"")</f>
        <v>NO</v>
      </c>
      <c r="F202" s="444" t="str">
        <f t="shared" si="201"/>
        <v>NO</v>
      </c>
      <c r="G202" s="444" t="str">
        <f t="shared" si="201"/>
        <v>NO</v>
      </c>
      <c r="H202" s="444" t="str">
        <f t="shared" si="201"/>
        <v>NO</v>
      </c>
      <c r="I202" s="444" t="str">
        <f t="shared" si="201"/>
        <v>NO</v>
      </c>
      <c r="J202" s="444" t="str">
        <f t="shared" si="201"/>
        <v>NO</v>
      </c>
      <c r="K202" s="444" t="str">
        <f t="shared" si="201"/>
        <v>NO</v>
      </c>
      <c r="L202" s="444" t="str">
        <f t="shared" si="201"/>
        <v>NO</v>
      </c>
      <c r="M202" s="444" t="str">
        <f t="shared" si="201"/>
        <v>NO</v>
      </c>
      <c r="N202" s="444" t="str">
        <f t="shared" si="201"/>
        <v>NO</v>
      </c>
      <c r="O202" s="444" t="str">
        <f t="shared" ref="O202:X211" si="202" xml:space="preserve">
IFERROR(
_xlfn.IFNA(
   IF($B202="PLT",
      IF(INDEX(PRJGENVersions, MATCH(TRIM(O$1), PRJGENAlgosMapped, 0), MATCH($A202, PRJGENProjects, 0)), "YES", ""),
      IF(INDEX(RoadmapData, MATCH(TRIM(O$1), RoadmapDataFeatures, 0), MATCH($A202, RoadmapDataProjects, 0)) = "-", "-", INDEX(RoadmapData, MATCH(TRIM(O$1), RoadmapDataFeatures, 0), MATCH($A202, RoadmapDataProjects, 0)))),
""),
"")</f>
        <v>NO</v>
      </c>
      <c r="P202" s="444" t="str">
        <f t="shared" si="202"/>
        <v>NO</v>
      </c>
      <c r="Q202" s="444" t="str">
        <f t="shared" si="202"/>
        <v>NO</v>
      </c>
      <c r="R202" s="444" t="str">
        <f t="shared" si="202"/>
        <v>NO</v>
      </c>
      <c r="S202" s="444" t="str">
        <f t="shared" si="202"/>
        <v>NO</v>
      </c>
      <c r="T202" s="444" t="str">
        <f t="shared" si="202"/>
        <v>NO</v>
      </c>
      <c r="U202" s="444" t="str">
        <f t="shared" si="202"/>
        <v>NO</v>
      </c>
      <c r="V202" s="444" t="str">
        <f t="shared" si="202"/>
        <v>NO</v>
      </c>
      <c r="W202" s="444" t="str">
        <f t="shared" si="202"/>
        <v>YES</v>
      </c>
      <c r="X202" s="444" t="str">
        <f t="shared" si="202"/>
        <v>NO</v>
      </c>
      <c r="Y202" s="444" t="str">
        <f t="shared" ref="Y202:AH211" si="203" xml:space="preserve">
IFERROR(
_xlfn.IFNA(
   IF($B202="PLT",
      IF(INDEX(PRJGENVersions, MATCH(TRIM(Y$1), PRJGENAlgosMapped, 0), MATCH($A202, PRJGENProjects, 0)), "YES", ""),
      IF(INDEX(RoadmapData, MATCH(TRIM(Y$1), RoadmapDataFeatures, 0), MATCH($A202, RoadmapDataProjects, 0)) = "-", "-", INDEX(RoadmapData, MATCH(TRIM(Y$1), RoadmapDataFeatures, 0), MATCH($A202, RoadmapDataProjects, 0)))),
""),
"")</f>
        <v>YES</v>
      </c>
      <c r="Z202" s="444" t="str">
        <f t="shared" si="203"/>
        <v>NO</v>
      </c>
      <c r="AA202" s="444" t="str">
        <f t="shared" si="203"/>
        <v>NO</v>
      </c>
      <c r="AB202" s="444" t="str">
        <f t="shared" si="203"/>
        <v>NO</v>
      </c>
      <c r="AC202" s="444" t="str">
        <f t="shared" si="203"/>
        <v>YES</v>
      </c>
      <c r="AD202" s="444" t="str">
        <f t="shared" si="203"/>
        <v>NO</v>
      </c>
      <c r="AE202" s="444" t="str">
        <f t="shared" si="203"/>
        <v>NO</v>
      </c>
      <c r="AF202" s="444" t="str">
        <f t="shared" si="203"/>
        <v>NO</v>
      </c>
      <c r="AG202" s="444" t="str">
        <f t="shared" si="203"/>
        <v>NO</v>
      </c>
      <c r="AH202" s="444" t="str">
        <f t="shared" si="203"/>
        <v>NO</v>
      </c>
      <c r="AI202" s="444" t="str">
        <f t="shared" ref="AI202:AR211" si="204" xml:space="preserve">
IFERROR(
_xlfn.IFNA(
   IF($B202="PLT",
      IF(INDEX(PRJGENVersions, MATCH(TRIM(AI$1), PRJGENAlgosMapped, 0), MATCH($A202, PRJGENProjects, 0)), "YES", ""),
      IF(INDEX(RoadmapData, MATCH(TRIM(AI$1), RoadmapDataFeatures, 0), MATCH($A202, RoadmapDataProjects, 0)) = "-", "-", INDEX(RoadmapData, MATCH(TRIM(AI$1), RoadmapDataFeatures, 0), MATCH($A202, RoadmapDataProjects, 0)))),
""),
"")</f>
        <v>NO</v>
      </c>
      <c r="AJ202" s="444" t="str">
        <f t="shared" si="204"/>
        <v>NO</v>
      </c>
      <c r="AK202" s="444" t="str">
        <f t="shared" si="204"/>
        <v>NO</v>
      </c>
      <c r="AL202" s="444" t="str">
        <f t="shared" si="204"/>
        <v>NO</v>
      </c>
      <c r="AM202" s="444" t="str">
        <f t="shared" si="204"/>
        <v>NO</v>
      </c>
      <c r="AN202" s="444" t="str">
        <f t="shared" si="204"/>
        <v>NO</v>
      </c>
      <c r="AO202" s="444" t="str">
        <f t="shared" si="204"/>
        <v>NO</v>
      </c>
      <c r="AP202" s="444" t="str">
        <f t="shared" si="204"/>
        <v>NO</v>
      </c>
      <c r="AQ202" s="444" t="str">
        <f t="shared" si="204"/>
        <v>NO</v>
      </c>
      <c r="AR202" s="444" t="str">
        <f t="shared" si="204"/>
        <v>NO</v>
      </c>
      <c r="AS202" s="444" t="str">
        <f t="shared" ref="AS202:BB211" si="205" xml:space="preserve">
IFERROR(
_xlfn.IFNA(
   IF($B202="PLT",
      IF(INDEX(PRJGENVersions, MATCH(TRIM(AS$1), PRJGENAlgosMapped, 0), MATCH($A202, PRJGENProjects, 0)), "YES", ""),
      IF(INDEX(RoadmapData, MATCH(TRIM(AS$1), RoadmapDataFeatures, 0), MATCH($A202, RoadmapDataProjects, 0)) = "-", "-", INDEX(RoadmapData, MATCH(TRIM(AS$1), RoadmapDataFeatures, 0), MATCH($A202, RoadmapDataProjects, 0)))),
""),
"")</f>
        <v>N/A</v>
      </c>
      <c r="AT202" s="444" t="str">
        <f t="shared" si="205"/>
        <v>YES</v>
      </c>
      <c r="AU202" s="444" t="str">
        <f t="shared" si="205"/>
        <v>NO</v>
      </c>
      <c r="AV202" s="444" t="str">
        <f t="shared" si="205"/>
        <v>YES</v>
      </c>
      <c r="AW202" s="444" t="str">
        <f t="shared" si="205"/>
        <v>NO</v>
      </c>
      <c r="AX202" s="444" t="str">
        <f t="shared" si="205"/>
        <v>YES</v>
      </c>
      <c r="AY202" s="444" t="str">
        <f t="shared" si="205"/>
        <v>YES</v>
      </c>
      <c r="AZ202" s="444" t="str">
        <f t="shared" si="205"/>
        <v>YES</v>
      </c>
      <c r="BA202" s="444" t="str">
        <f t="shared" si="205"/>
        <v>NO</v>
      </c>
      <c r="BB202" s="444" t="str">
        <f t="shared" si="205"/>
        <v>NO</v>
      </c>
      <c r="BC202" s="444" t="str">
        <f t="shared" ref="BC202:BH211" si="206" xml:space="preserve">
IFERROR(
_xlfn.IFNA(
   IF($B202="PLT",
      IF(INDEX(PRJGENVersions, MATCH(TRIM(BC$1), PRJGENAlgosMapped, 0), MATCH($A202, PRJGENProjects, 0)), "YES", ""),
      IF(INDEX(RoadmapData, MATCH(TRIM(BC$1), RoadmapDataFeatures, 0), MATCH($A202, RoadmapDataProjects, 0)) = "-", "-", INDEX(RoadmapData, MATCH(TRIM(BC$1), RoadmapDataFeatures, 0), MATCH($A202, RoadmapDataProjects, 0)))),
""),
"")</f>
        <v>NO</v>
      </c>
      <c r="BD202" s="444" t="str">
        <f t="shared" si="206"/>
        <v>NO</v>
      </c>
      <c r="BE202" s="444" t="str">
        <f t="shared" si="206"/>
        <v>NO</v>
      </c>
      <c r="BF202" s="444" t="str">
        <f t="shared" si="206"/>
        <v>NO</v>
      </c>
      <c r="BG202" s="444" t="str">
        <f t="shared" si="206"/>
        <v>NO</v>
      </c>
      <c r="BH202" s="445" t="str">
        <f t="shared" si="206"/>
        <v>NO</v>
      </c>
      <c r="BI202" s="502"/>
      <c r="BJ202" s="474" t="str">
        <f t="shared" si="197"/>
        <v>N/A</v>
      </c>
      <c r="BK202" s="475" t="str">
        <f t="shared" si="197"/>
        <v>N/A</v>
      </c>
      <c r="BL202" s="475" t="str">
        <f t="shared" si="197"/>
        <v>N/A</v>
      </c>
      <c r="BM202" s="475" t="str">
        <f t="shared" si="197"/>
        <v>N/A</v>
      </c>
      <c r="BN202" s="475" t="str">
        <f t="shared" si="197"/>
        <v>N/A</v>
      </c>
      <c r="BO202" s="475" t="str">
        <f t="shared" si="197"/>
        <v>N/A</v>
      </c>
      <c r="BP202" s="475" t="str">
        <f t="shared" si="197"/>
        <v>N/A</v>
      </c>
      <c r="BQ202" s="475" t="str">
        <f t="shared" si="197"/>
        <v>N/A</v>
      </c>
      <c r="BR202" s="475" t="str">
        <f t="shared" si="197"/>
        <v>N/A</v>
      </c>
      <c r="BS202" s="475" t="str">
        <f t="shared" si="197"/>
        <v>N/A</v>
      </c>
      <c r="BT202" s="475" t="str">
        <f t="shared" si="198"/>
        <v>N/A</v>
      </c>
      <c r="BU202" s="475" t="str">
        <f t="shared" si="198"/>
        <v>N/A</v>
      </c>
      <c r="BV202" s="475" t="str">
        <f t="shared" si="198"/>
        <v>N/A</v>
      </c>
      <c r="BW202" s="475" t="str">
        <f t="shared" si="198"/>
        <v>N/A</v>
      </c>
      <c r="BX202" s="475" t="str">
        <f t="shared" si="198"/>
        <v>N/A</v>
      </c>
      <c r="BY202" s="475" t="str">
        <f t="shared" si="198"/>
        <v>N/A</v>
      </c>
      <c r="BZ202" s="475" t="str">
        <f t="shared" si="198"/>
        <v>N/A</v>
      </c>
      <c r="CA202" s="475" t="str">
        <f t="shared" si="198"/>
        <v>N/A</v>
      </c>
      <c r="CB202" s="475" t="str">
        <f t="shared" si="198"/>
        <v>N/A</v>
      </c>
      <c r="CC202" s="475" t="str">
        <f t="shared" si="198"/>
        <v>N/A</v>
      </c>
      <c r="CD202" s="475" t="str">
        <f t="shared" si="199"/>
        <v>N/A</v>
      </c>
      <c r="CE202" s="475" t="str">
        <f t="shared" si="199"/>
        <v>N/A</v>
      </c>
      <c r="CF202" s="475" t="str">
        <f t="shared" si="199"/>
        <v>N/A</v>
      </c>
      <c r="CG202" s="475" t="str">
        <f t="shared" si="199"/>
        <v>N/A</v>
      </c>
      <c r="CH202" s="475" t="str">
        <f t="shared" si="199"/>
        <v>N/A</v>
      </c>
      <c r="CI202" s="475" t="str">
        <f t="shared" si="199"/>
        <v>N/A</v>
      </c>
      <c r="CJ202" s="475" t="str">
        <f t="shared" si="199"/>
        <v>N/A</v>
      </c>
      <c r="CK202" s="475" t="str">
        <f t="shared" si="199"/>
        <v>N/A</v>
      </c>
      <c r="CL202" s="475" t="str">
        <f t="shared" si="199"/>
        <v>N/A</v>
      </c>
      <c r="CM202" s="475" t="str">
        <f t="shared" si="199"/>
        <v>N/A</v>
      </c>
      <c r="CN202" s="475" t="str">
        <f t="shared" si="200"/>
        <v>N/A</v>
      </c>
      <c r="CO202" s="475" t="str">
        <f t="shared" si="200"/>
        <v>N/A</v>
      </c>
      <c r="CP202" s="475" t="str">
        <f t="shared" si="200"/>
        <v>N/A</v>
      </c>
      <c r="CQ202" s="475" t="str">
        <f t="shared" si="200"/>
        <v>N/A</v>
      </c>
      <c r="CR202" s="475" t="str">
        <f t="shared" si="200"/>
        <v>N/A</v>
      </c>
      <c r="CS202" s="475" t="str">
        <f t="shared" si="200"/>
        <v>N/A</v>
      </c>
      <c r="CT202" s="475" t="str">
        <f t="shared" si="200"/>
        <v>N/A</v>
      </c>
      <c r="CU202" s="475" t="str">
        <f t="shared" si="200"/>
        <v>N/A</v>
      </c>
      <c r="CV202" s="475" t="str">
        <f t="shared" si="200"/>
        <v>N/A</v>
      </c>
      <c r="CW202" s="475" t="str">
        <f t="shared" si="200"/>
        <v>N/A</v>
      </c>
      <c r="CX202" s="475" t="str">
        <f t="shared" si="200"/>
        <v>N/A</v>
      </c>
      <c r="CY202" s="475" t="str">
        <f t="shared" si="200"/>
        <v>N/A</v>
      </c>
      <c r="CZ202" s="495" t="str">
        <f t="shared" si="200"/>
        <v>N/A</v>
      </c>
      <c r="DA202" s="502"/>
      <c r="DB202" s="460"/>
      <c r="DC202" s="465"/>
      <c r="DD202" s="463"/>
      <c r="DE202" s="512"/>
      <c r="DF202" s="516"/>
      <c r="DG202" s="508"/>
      <c r="DH202" s="463"/>
      <c r="DI202" s="461"/>
      <c r="DJ202" s="461"/>
      <c r="DK202" s="461"/>
      <c r="DL202" s="464"/>
      <c r="DM202" s="466"/>
      <c r="DN202" s="502"/>
      <c r="DO202" s="460"/>
      <c r="DP202" s="464"/>
      <c r="DQ202" s="464"/>
      <c r="DR202" s="464"/>
      <c r="DS202" s="508"/>
      <c r="DT202" s="525"/>
      <c r="DU202" s="525"/>
      <c r="DV202" s="463"/>
      <c r="DW202" s="464"/>
      <c r="DX202" s="465"/>
      <c r="DY202" s="463"/>
      <c r="DZ202" s="464"/>
      <c r="EA202" s="465"/>
      <c r="EB202" s="463"/>
      <c r="EC202" s="465"/>
      <c r="ED202" s="462"/>
      <c r="EE202" s="502"/>
      <c r="EF202" s="463"/>
      <c r="EG202" s="461"/>
      <c r="EH202" s="464"/>
      <c r="EI202" s="464"/>
      <c r="EJ202" s="464"/>
      <c r="EK202" s="464"/>
      <c r="EL202" s="464"/>
      <c r="EM202" s="464"/>
      <c r="EN202" s="464"/>
      <c r="EO202" s="464"/>
      <c r="EP202" s="464"/>
      <c r="EQ202" s="464"/>
      <c r="ER202" s="464"/>
      <c r="ES202" s="464"/>
      <c r="ET202" s="464"/>
      <c r="EU202" s="464"/>
      <c r="EV202" s="464"/>
      <c r="EW202" s="465"/>
      <c r="EX202" s="465"/>
      <c r="EY202" s="502"/>
      <c r="EZ202" s="460"/>
      <c r="FA202" s="464"/>
      <c r="FB202" s="464"/>
      <c r="FC202" s="464"/>
      <c r="FD202" s="464"/>
      <c r="FE202" s="464"/>
      <c r="FF202" s="464"/>
      <c r="FG202" s="466"/>
    </row>
    <row r="203" spans="1:163">
      <c r="A203" s="467" t="s">
        <v>397</v>
      </c>
      <c r="B203" s="471" t="s">
        <v>389</v>
      </c>
      <c r="C203" s="504">
        <v>45630</v>
      </c>
      <c r="D203" s="502"/>
      <c r="E203" s="443" t="str">
        <f t="shared" si="201"/>
        <v>NO</v>
      </c>
      <c r="F203" s="444" t="str">
        <f t="shared" si="201"/>
        <v>NO</v>
      </c>
      <c r="G203" s="444" t="str">
        <f t="shared" si="201"/>
        <v>YES</v>
      </c>
      <c r="H203" s="444" t="str">
        <f t="shared" si="201"/>
        <v>YES</v>
      </c>
      <c r="I203" s="444" t="str">
        <f t="shared" si="201"/>
        <v>YES</v>
      </c>
      <c r="J203" s="444" t="str">
        <f t="shared" si="201"/>
        <v>NO</v>
      </c>
      <c r="K203" s="444" t="str">
        <f t="shared" si="201"/>
        <v>NO</v>
      </c>
      <c r="L203" s="444" t="str">
        <f t="shared" si="201"/>
        <v>NO</v>
      </c>
      <c r="M203" s="444" t="str">
        <f t="shared" si="201"/>
        <v>NO</v>
      </c>
      <c r="N203" s="444" t="str">
        <f t="shared" si="201"/>
        <v>NO</v>
      </c>
      <c r="O203" s="444" t="str">
        <f t="shared" si="202"/>
        <v>NO</v>
      </c>
      <c r="P203" s="444" t="str">
        <f t="shared" si="202"/>
        <v>NO</v>
      </c>
      <c r="Q203" s="444" t="str">
        <f t="shared" si="202"/>
        <v>NO</v>
      </c>
      <c r="R203" s="444" t="str">
        <f t="shared" si="202"/>
        <v>NO</v>
      </c>
      <c r="S203" s="444" t="str">
        <f t="shared" si="202"/>
        <v>NO</v>
      </c>
      <c r="T203" s="444" t="str">
        <f t="shared" si="202"/>
        <v>DEP</v>
      </c>
      <c r="U203" s="444" t="str">
        <f t="shared" si="202"/>
        <v>NO</v>
      </c>
      <c r="V203" s="444" t="str">
        <f t="shared" si="202"/>
        <v>NO</v>
      </c>
      <c r="W203" s="444" t="str">
        <f t="shared" si="202"/>
        <v>NO</v>
      </c>
      <c r="X203" s="444" t="str">
        <f t="shared" si="202"/>
        <v>NO</v>
      </c>
      <c r="Y203" s="444" t="str">
        <f t="shared" si="203"/>
        <v>NO</v>
      </c>
      <c r="Z203" s="444" t="str">
        <f t="shared" si="203"/>
        <v>NO</v>
      </c>
      <c r="AA203" s="444" t="str">
        <f t="shared" si="203"/>
        <v>NO</v>
      </c>
      <c r="AB203" s="444" t="str">
        <f t="shared" si="203"/>
        <v>NO</v>
      </c>
      <c r="AC203" s="444" t="str">
        <f t="shared" si="203"/>
        <v>NO</v>
      </c>
      <c r="AD203" s="444" t="str">
        <f t="shared" si="203"/>
        <v>NO</v>
      </c>
      <c r="AE203" s="444" t="str">
        <f t="shared" si="203"/>
        <v>NO</v>
      </c>
      <c r="AF203" s="444" t="str">
        <f t="shared" si="203"/>
        <v>NO</v>
      </c>
      <c r="AG203" s="444" t="str">
        <f t="shared" si="203"/>
        <v>NO</v>
      </c>
      <c r="AH203" s="444" t="str">
        <f t="shared" si="203"/>
        <v>NO</v>
      </c>
      <c r="AI203" s="444" t="str">
        <f t="shared" si="204"/>
        <v>NO</v>
      </c>
      <c r="AJ203" s="444" t="str">
        <f t="shared" si="204"/>
        <v>NO</v>
      </c>
      <c r="AK203" s="444" t="str">
        <f t="shared" si="204"/>
        <v>NO</v>
      </c>
      <c r="AL203" s="444" t="str">
        <f t="shared" si="204"/>
        <v>NO</v>
      </c>
      <c r="AM203" s="444" t="str">
        <f t="shared" si="204"/>
        <v>NO</v>
      </c>
      <c r="AN203" s="444" t="str">
        <f t="shared" si="204"/>
        <v>NO</v>
      </c>
      <c r="AO203" s="444" t="str">
        <f t="shared" si="204"/>
        <v>NO</v>
      </c>
      <c r="AP203" s="444" t="str">
        <f t="shared" si="204"/>
        <v>NO</v>
      </c>
      <c r="AQ203" s="444" t="str">
        <f t="shared" si="204"/>
        <v>NO</v>
      </c>
      <c r="AR203" s="444" t="str">
        <f t="shared" si="204"/>
        <v>NO</v>
      </c>
      <c r="AS203" s="444" t="str">
        <f t="shared" si="205"/>
        <v>NO</v>
      </c>
      <c r="AT203" s="444" t="str">
        <f t="shared" si="205"/>
        <v>NO</v>
      </c>
      <c r="AU203" s="444" t="str">
        <f t="shared" si="205"/>
        <v>DEP</v>
      </c>
      <c r="AV203" s="444" t="str">
        <f t="shared" si="205"/>
        <v>DEP</v>
      </c>
      <c r="AW203" s="444" t="str">
        <f t="shared" si="205"/>
        <v>DEP</v>
      </c>
      <c r="AX203" s="444" t="str">
        <f t="shared" si="205"/>
        <v>DEP</v>
      </c>
      <c r="AY203" s="444" t="str">
        <f t="shared" si="205"/>
        <v>YES</v>
      </c>
      <c r="AZ203" s="444" t="str">
        <f t="shared" si="205"/>
        <v>DEP</v>
      </c>
      <c r="BA203" s="444" t="str">
        <f t="shared" si="205"/>
        <v>DEP</v>
      </c>
      <c r="BB203" s="444" t="str">
        <f t="shared" si="205"/>
        <v>NO</v>
      </c>
      <c r="BC203" s="444" t="str">
        <f t="shared" si="206"/>
        <v>NO</v>
      </c>
      <c r="BD203" s="444" t="str">
        <f t="shared" si="206"/>
        <v>NO</v>
      </c>
      <c r="BE203" s="444" t="str">
        <f t="shared" si="206"/>
        <v>NO</v>
      </c>
      <c r="BF203" s="444" t="str">
        <f t="shared" si="206"/>
        <v>NO</v>
      </c>
      <c r="BG203" s="444" t="str">
        <f t="shared" si="206"/>
        <v>NO</v>
      </c>
      <c r="BH203" s="445" t="str">
        <f t="shared" si="206"/>
        <v>NO</v>
      </c>
      <c r="BI203" s="502"/>
      <c r="BJ203" s="474" t="str">
        <f t="shared" si="197"/>
        <v>NO</v>
      </c>
      <c r="BK203" s="475" t="str">
        <f t="shared" si="197"/>
        <v>NO</v>
      </c>
      <c r="BL203" s="475" t="str">
        <f t="shared" si="197"/>
        <v>NO</v>
      </c>
      <c r="BM203" s="475" t="str">
        <f t="shared" si="197"/>
        <v>NO</v>
      </c>
      <c r="BN203" s="475" t="str">
        <f t="shared" si="197"/>
        <v>NO</v>
      </c>
      <c r="BO203" s="475" t="str">
        <f t="shared" si="197"/>
        <v>NO</v>
      </c>
      <c r="BP203" s="475" t="str">
        <f t="shared" si="197"/>
        <v>NO</v>
      </c>
      <c r="BQ203" s="475" t="str">
        <f t="shared" si="197"/>
        <v>NO</v>
      </c>
      <c r="BR203" s="475" t="str">
        <f t="shared" si="197"/>
        <v>NO</v>
      </c>
      <c r="BS203" s="475" t="str">
        <f t="shared" si="197"/>
        <v>NO</v>
      </c>
      <c r="BT203" s="475" t="str">
        <f t="shared" si="198"/>
        <v>NO</v>
      </c>
      <c r="BU203" s="475" t="str">
        <f t="shared" si="198"/>
        <v>NO</v>
      </c>
      <c r="BV203" s="475" t="str">
        <f t="shared" si="198"/>
        <v>NO</v>
      </c>
      <c r="BW203" s="475" t="str">
        <f t="shared" si="198"/>
        <v>NO</v>
      </c>
      <c r="BX203" s="475" t="str">
        <f t="shared" si="198"/>
        <v>NO</v>
      </c>
      <c r="BY203" s="475" t="str">
        <f t="shared" si="198"/>
        <v>NO</v>
      </c>
      <c r="BZ203" s="475" t="str">
        <f t="shared" si="198"/>
        <v>NO</v>
      </c>
      <c r="CA203" s="475" t="str">
        <f t="shared" si="198"/>
        <v>NO</v>
      </c>
      <c r="CB203" s="475" t="str">
        <f t="shared" si="198"/>
        <v>NO</v>
      </c>
      <c r="CC203" s="475" t="str">
        <f t="shared" si="198"/>
        <v>NO</v>
      </c>
      <c r="CD203" s="475" t="str">
        <f t="shared" si="199"/>
        <v>NO</v>
      </c>
      <c r="CE203" s="475" t="str">
        <f t="shared" si="199"/>
        <v>NO</v>
      </c>
      <c r="CF203" s="475" t="str">
        <f t="shared" si="199"/>
        <v>NO</v>
      </c>
      <c r="CG203" s="475" t="str">
        <f t="shared" si="199"/>
        <v>NO</v>
      </c>
      <c r="CH203" s="475" t="str">
        <f t="shared" si="199"/>
        <v>NO</v>
      </c>
      <c r="CI203" s="475" t="str">
        <f t="shared" si="199"/>
        <v>NO</v>
      </c>
      <c r="CJ203" s="475" t="str">
        <f t="shared" si="199"/>
        <v>NO</v>
      </c>
      <c r="CK203" s="475" t="str">
        <f t="shared" si="199"/>
        <v>NO</v>
      </c>
      <c r="CL203" s="475" t="str">
        <f t="shared" si="199"/>
        <v>NO</v>
      </c>
      <c r="CM203" s="475" t="str">
        <f t="shared" si="199"/>
        <v>NO</v>
      </c>
      <c r="CN203" s="475" t="str">
        <f t="shared" si="200"/>
        <v>NO</v>
      </c>
      <c r="CO203" s="475" t="str">
        <f t="shared" si="200"/>
        <v>NO</v>
      </c>
      <c r="CP203" s="475" t="str">
        <f t="shared" si="200"/>
        <v>NO</v>
      </c>
      <c r="CQ203" s="475" t="str">
        <f t="shared" si="200"/>
        <v>NO</v>
      </c>
      <c r="CR203" s="475" t="str">
        <f t="shared" si="200"/>
        <v>NO</v>
      </c>
      <c r="CS203" s="475" t="str">
        <f t="shared" si="200"/>
        <v>NO</v>
      </c>
      <c r="CT203" s="475" t="str">
        <f t="shared" si="200"/>
        <v>NO</v>
      </c>
      <c r="CU203" s="475" t="str">
        <f t="shared" si="200"/>
        <v>NO</v>
      </c>
      <c r="CV203" s="475" t="str">
        <f t="shared" si="200"/>
        <v>NO</v>
      </c>
      <c r="CW203" s="475" t="str">
        <f t="shared" si="200"/>
        <v>NO</v>
      </c>
      <c r="CX203" s="475" t="str">
        <f t="shared" si="200"/>
        <v>NO</v>
      </c>
      <c r="CY203" s="475" t="str">
        <f t="shared" si="200"/>
        <v>NO</v>
      </c>
      <c r="CZ203" s="495" t="str">
        <f t="shared" si="200"/>
        <v>NO</v>
      </c>
      <c r="DA203" s="502"/>
      <c r="DB203" s="460"/>
      <c r="DC203" s="465"/>
      <c r="DD203" s="463"/>
      <c r="DE203" s="512"/>
      <c r="DF203" s="516"/>
      <c r="DG203" s="508"/>
      <c r="DH203" s="463"/>
      <c r="DI203" s="461"/>
      <c r="DJ203" s="461"/>
      <c r="DK203" s="461"/>
      <c r="DL203" s="464"/>
      <c r="DM203" s="466"/>
      <c r="DN203" s="502"/>
      <c r="DO203" s="460"/>
      <c r="DP203" s="464"/>
      <c r="DQ203" s="464"/>
      <c r="DR203" s="464"/>
      <c r="DS203" s="508"/>
      <c r="DT203" s="525"/>
      <c r="DU203" s="525"/>
      <c r="DV203" s="463"/>
      <c r="DW203" s="464"/>
      <c r="DX203" s="465"/>
      <c r="DY203" s="463"/>
      <c r="DZ203" s="464"/>
      <c r="EA203" s="465"/>
      <c r="EB203" s="463"/>
      <c r="EC203" s="465"/>
      <c r="ED203" s="462"/>
      <c r="EE203" s="502"/>
      <c r="EF203" s="463"/>
      <c r="EG203" s="461"/>
      <c r="EH203" s="464"/>
      <c r="EI203" s="464"/>
      <c r="EJ203" s="464"/>
      <c r="EK203" s="464"/>
      <c r="EL203" s="464"/>
      <c r="EM203" s="464"/>
      <c r="EN203" s="464"/>
      <c r="EO203" s="464"/>
      <c r="EP203" s="464"/>
      <c r="EQ203" s="464"/>
      <c r="ER203" s="464"/>
      <c r="ES203" s="464"/>
      <c r="ET203" s="464"/>
      <c r="EU203" s="464"/>
      <c r="EV203" s="464"/>
      <c r="EW203" s="465"/>
      <c r="EX203" s="465"/>
      <c r="EY203" s="502"/>
      <c r="EZ203" s="460"/>
      <c r="FA203" s="464"/>
      <c r="FB203" s="464"/>
      <c r="FC203" s="464"/>
      <c r="FD203" s="464"/>
      <c r="FE203" s="464"/>
      <c r="FF203" s="464"/>
      <c r="FG203" s="466"/>
    </row>
    <row r="204" spans="1:163">
      <c r="A204" s="467" t="s">
        <v>398</v>
      </c>
      <c r="B204" s="471" t="s">
        <v>389</v>
      </c>
      <c r="C204" s="504">
        <v>45630</v>
      </c>
      <c r="D204" s="502"/>
      <c r="E204" s="443" t="str">
        <f t="shared" si="201"/>
        <v>NO</v>
      </c>
      <c r="F204" s="444" t="str">
        <f t="shared" si="201"/>
        <v>NO</v>
      </c>
      <c r="G204" s="444" t="str">
        <f t="shared" si="201"/>
        <v>CAN</v>
      </c>
      <c r="H204" s="444" t="str">
        <f t="shared" si="201"/>
        <v>CAN</v>
      </c>
      <c r="I204" s="444" t="str">
        <f t="shared" si="201"/>
        <v>CAN</v>
      </c>
      <c r="J204" s="444" t="str">
        <f t="shared" si="201"/>
        <v>CAN</v>
      </c>
      <c r="K204" s="444" t="str">
        <f t="shared" si="201"/>
        <v>NO</v>
      </c>
      <c r="L204" s="444" t="str">
        <f t="shared" si="201"/>
        <v>CAN</v>
      </c>
      <c r="M204" s="444" t="str">
        <f t="shared" si="201"/>
        <v>NO</v>
      </c>
      <c r="N204" s="444" t="str">
        <f t="shared" si="201"/>
        <v>NO</v>
      </c>
      <c r="O204" s="444" t="str">
        <f t="shared" si="202"/>
        <v>NO</v>
      </c>
      <c r="P204" s="444" t="str">
        <f t="shared" si="202"/>
        <v>CAN</v>
      </c>
      <c r="Q204" s="444" t="str">
        <f t="shared" si="202"/>
        <v>CAN</v>
      </c>
      <c r="R204" s="444" t="str">
        <f t="shared" si="202"/>
        <v>CAN</v>
      </c>
      <c r="S204" s="444" t="str">
        <f t="shared" si="202"/>
        <v>CAN</v>
      </c>
      <c r="T204" s="444" t="str">
        <f t="shared" si="202"/>
        <v>CAN</v>
      </c>
      <c r="U204" s="444" t="str">
        <f t="shared" si="202"/>
        <v>NO</v>
      </c>
      <c r="V204" s="444" t="str">
        <f t="shared" si="202"/>
        <v>NO</v>
      </c>
      <c r="W204" s="444" t="str">
        <f t="shared" si="202"/>
        <v>CAN</v>
      </c>
      <c r="X204" s="444" t="str">
        <f t="shared" si="202"/>
        <v>NO</v>
      </c>
      <c r="Y204" s="444" t="str">
        <f t="shared" si="203"/>
        <v>CAN</v>
      </c>
      <c r="Z204" s="444" t="str">
        <f t="shared" si="203"/>
        <v>NO</v>
      </c>
      <c r="AA204" s="444" t="str">
        <f t="shared" si="203"/>
        <v>NO</v>
      </c>
      <c r="AB204" s="444" t="str">
        <f t="shared" si="203"/>
        <v>NO</v>
      </c>
      <c r="AC204" s="444" t="str">
        <f t="shared" si="203"/>
        <v>NO</v>
      </c>
      <c r="AD204" s="444" t="str">
        <f t="shared" si="203"/>
        <v>NO</v>
      </c>
      <c r="AE204" s="444" t="str">
        <f t="shared" si="203"/>
        <v>NO</v>
      </c>
      <c r="AF204" s="444" t="str">
        <f t="shared" si="203"/>
        <v>NO</v>
      </c>
      <c r="AG204" s="444" t="str">
        <f t="shared" si="203"/>
        <v>NO</v>
      </c>
      <c r="AH204" s="444" t="str">
        <f t="shared" si="203"/>
        <v>NO</v>
      </c>
      <c r="AI204" s="444" t="str">
        <f t="shared" si="204"/>
        <v>NO</v>
      </c>
      <c r="AJ204" s="444" t="str">
        <f t="shared" si="204"/>
        <v>CAN</v>
      </c>
      <c r="AK204" s="444" t="str">
        <f t="shared" si="204"/>
        <v>NO</v>
      </c>
      <c r="AL204" s="444" t="str">
        <f t="shared" si="204"/>
        <v>NO</v>
      </c>
      <c r="AM204" s="444" t="str">
        <f t="shared" si="204"/>
        <v>NO</v>
      </c>
      <c r="AN204" s="444" t="str">
        <f t="shared" si="204"/>
        <v>NO</v>
      </c>
      <c r="AO204" s="444" t="str">
        <f t="shared" si="204"/>
        <v>NO</v>
      </c>
      <c r="AP204" s="444" t="str">
        <f t="shared" si="204"/>
        <v>NO</v>
      </c>
      <c r="AQ204" s="444" t="str">
        <f t="shared" si="204"/>
        <v>CAN</v>
      </c>
      <c r="AR204" s="444" t="str">
        <f t="shared" si="204"/>
        <v>NO</v>
      </c>
      <c r="AS204" s="444" t="str">
        <f t="shared" si="205"/>
        <v>NO</v>
      </c>
      <c r="AT204" s="444" t="str">
        <f t="shared" si="205"/>
        <v>CAN</v>
      </c>
      <c r="AU204" s="444" t="str">
        <f t="shared" si="205"/>
        <v>CAN</v>
      </c>
      <c r="AV204" s="444" t="str">
        <f t="shared" si="205"/>
        <v>CAN</v>
      </c>
      <c r="AW204" s="444" t="str">
        <f t="shared" si="205"/>
        <v>CAN</v>
      </c>
      <c r="AX204" s="444" t="str">
        <f t="shared" si="205"/>
        <v>CAN</v>
      </c>
      <c r="AY204" s="444" t="str">
        <f t="shared" si="205"/>
        <v>CAN</v>
      </c>
      <c r="AZ204" s="444" t="str">
        <f t="shared" si="205"/>
        <v>CAN</v>
      </c>
      <c r="BA204" s="444" t="str">
        <f t="shared" si="205"/>
        <v>CAN</v>
      </c>
      <c r="BB204" s="444" t="str">
        <f t="shared" si="205"/>
        <v>CAN</v>
      </c>
      <c r="BC204" s="444" t="str">
        <f t="shared" si="206"/>
        <v>NO</v>
      </c>
      <c r="BD204" s="444" t="str">
        <f t="shared" si="206"/>
        <v>NO</v>
      </c>
      <c r="BE204" s="444" t="str">
        <f t="shared" si="206"/>
        <v>NO</v>
      </c>
      <c r="BF204" s="444" t="str">
        <f t="shared" si="206"/>
        <v>NO</v>
      </c>
      <c r="BG204" s="444" t="str">
        <f t="shared" si="206"/>
        <v>NO</v>
      </c>
      <c r="BH204" s="445" t="str">
        <f t="shared" si="206"/>
        <v>NO</v>
      </c>
      <c r="BI204" s="502"/>
      <c r="BJ204" s="474" t="str">
        <f t="shared" si="197"/>
        <v>NO</v>
      </c>
      <c r="BK204" s="475" t="str">
        <f t="shared" si="197"/>
        <v>NO</v>
      </c>
      <c r="BL204" s="475" t="str">
        <f t="shared" si="197"/>
        <v>NO</v>
      </c>
      <c r="BM204" s="475" t="str">
        <f t="shared" si="197"/>
        <v>NO</v>
      </c>
      <c r="BN204" s="475" t="str">
        <f t="shared" si="197"/>
        <v>NO</v>
      </c>
      <c r="BO204" s="475" t="str">
        <f t="shared" si="197"/>
        <v>NO</v>
      </c>
      <c r="BP204" s="475" t="str">
        <f t="shared" si="197"/>
        <v>NO</v>
      </c>
      <c r="BQ204" s="475" t="str">
        <f t="shared" si="197"/>
        <v>NO</v>
      </c>
      <c r="BR204" s="475" t="str">
        <f t="shared" si="197"/>
        <v>NO</v>
      </c>
      <c r="BS204" s="475" t="str">
        <f t="shared" si="197"/>
        <v>NO</v>
      </c>
      <c r="BT204" s="475" t="str">
        <f t="shared" si="198"/>
        <v>NO</v>
      </c>
      <c r="BU204" s="475" t="str">
        <f t="shared" si="198"/>
        <v>NO</v>
      </c>
      <c r="BV204" s="475" t="str">
        <f t="shared" si="198"/>
        <v>NO</v>
      </c>
      <c r="BW204" s="475" t="str">
        <f t="shared" si="198"/>
        <v>NO</v>
      </c>
      <c r="BX204" s="475" t="str">
        <f t="shared" si="198"/>
        <v>NO</v>
      </c>
      <c r="BY204" s="475" t="str">
        <f t="shared" si="198"/>
        <v>NO</v>
      </c>
      <c r="BZ204" s="475" t="str">
        <f t="shared" si="198"/>
        <v>NO</v>
      </c>
      <c r="CA204" s="475" t="str">
        <f t="shared" si="198"/>
        <v>NO</v>
      </c>
      <c r="CB204" s="475" t="str">
        <f t="shared" si="198"/>
        <v>NO</v>
      </c>
      <c r="CC204" s="475" t="str">
        <f t="shared" si="198"/>
        <v>NO</v>
      </c>
      <c r="CD204" s="475" t="str">
        <f t="shared" si="199"/>
        <v>NO</v>
      </c>
      <c r="CE204" s="475" t="str">
        <f t="shared" si="199"/>
        <v>NO</v>
      </c>
      <c r="CF204" s="475" t="str">
        <f t="shared" si="199"/>
        <v>NO</v>
      </c>
      <c r="CG204" s="475" t="str">
        <f t="shared" si="199"/>
        <v>NO</v>
      </c>
      <c r="CH204" s="475" t="str">
        <f t="shared" si="199"/>
        <v>NO</v>
      </c>
      <c r="CI204" s="475" t="str">
        <f t="shared" si="199"/>
        <v>NO</v>
      </c>
      <c r="CJ204" s="475" t="str">
        <f t="shared" si="199"/>
        <v>NO</v>
      </c>
      <c r="CK204" s="475" t="str">
        <f t="shared" si="199"/>
        <v>NO</v>
      </c>
      <c r="CL204" s="475" t="str">
        <f t="shared" si="199"/>
        <v>NO</v>
      </c>
      <c r="CM204" s="475" t="str">
        <f t="shared" si="199"/>
        <v>NO</v>
      </c>
      <c r="CN204" s="475" t="str">
        <f t="shared" si="200"/>
        <v>NO</v>
      </c>
      <c r="CO204" s="475" t="str">
        <f t="shared" si="200"/>
        <v>NO</v>
      </c>
      <c r="CP204" s="475" t="str">
        <f t="shared" si="200"/>
        <v>NO</v>
      </c>
      <c r="CQ204" s="475" t="str">
        <f t="shared" si="200"/>
        <v>NO</v>
      </c>
      <c r="CR204" s="475" t="str">
        <f t="shared" si="200"/>
        <v>NO</v>
      </c>
      <c r="CS204" s="475" t="str">
        <f t="shared" si="200"/>
        <v>NO</v>
      </c>
      <c r="CT204" s="475" t="str">
        <f t="shared" si="200"/>
        <v>NO</v>
      </c>
      <c r="CU204" s="475" t="str">
        <f t="shared" si="200"/>
        <v>NO</v>
      </c>
      <c r="CV204" s="475" t="str">
        <f t="shared" si="200"/>
        <v>NO</v>
      </c>
      <c r="CW204" s="475" t="str">
        <f t="shared" si="200"/>
        <v>NO</v>
      </c>
      <c r="CX204" s="475" t="str">
        <f t="shared" si="200"/>
        <v>NO</v>
      </c>
      <c r="CY204" s="475" t="str">
        <f t="shared" si="200"/>
        <v>NO</v>
      </c>
      <c r="CZ204" s="495" t="str">
        <f t="shared" si="200"/>
        <v>NO</v>
      </c>
      <c r="DA204" s="502"/>
      <c r="DB204" s="460"/>
      <c r="DC204" s="465"/>
      <c r="DD204" s="463"/>
      <c r="DE204" s="512"/>
      <c r="DF204" s="516"/>
      <c r="DG204" s="508"/>
      <c r="DH204" s="463"/>
      <c r="DI204" s="461"/>
      <c r="DJ204" s="461"/>
      <c r="DK204" s="461"/>
      <c r="DL204" s="464"/>
      <c r="DM204" s="466"/>
      <c r="DN204" s="502"/>
      <c r="DO204" s="460"/>
      <c r="DP204" s="464"/>
      <c r="DQ204" s="464"/>
      <c r="DR204" s="464"/>
      <c r="DS204" s="508"/>
      <c r="DT204" s="525"/>
      <c r="DU204" s="525"/>
      <c r="DV204" s="463"/>
      <c r="DW204" s="464"/>
      <c r="DX204" s="465"/>
      <c r="DY204" s="463"/>
      <c r="DZ204" s="464"/>
      <c r="EA204" s="465"/>
      <c r="EB204" s="463"/>
      <c r="EC204" s="465"/>
      <c r="ED204" s="462"/>
      <c r="EE204" s="502"/>
      <c r="EF204" s="463"/>
      <c r="EG204" s="461"/>
      <c r="EH204" s="464"/>
      <c r="EI204" s="464"/>
      <c r="EJ204" s="464"/>
      <c r="EK204" s="464"/>
      <c r="EL204" s="464"/>
      <c r="EM204" s="464"/>
      <c r="EN204" s="464"/>
      <c r="EO204" s="464"/>
      <c r="EP204" s="464"/>
      <c r="EQ204" s="464"/>
      <c r="ER204" s="464"/>
      <c r="ES204" s="464"/>
      <c r="ET204" s="464"/>
      <c r="EU204" s="464"/>
      <c r="EV204" s="464"/>
      <c r="EW204" s="465"/>
      <c r="EX204" s="465"/>
      <c r="EY204" s="502"/>
      <c r="EZ204" s="460"/>
      <c r="FA204" s="464"/>
      <c r="FB204" s="464"/>
      <c r="FC204" s="464"/>
      <c r="FD204" s="464"/>
      <c r="FE204" s="464"/>
      <c r="FF204" s="464"/>
      <c r="FG204" s="466"/>
    </row>
    <row r="205" spans="1:163">
      <c r="A205" s="467" t="s">
        <v>399</v>
      </c>
      <c r="B205" s="471" t="s">
        <v>389</v>
      </c>
      <c r="C205" s="504">
        <v>45630</v>
      </c>
      <c r="D205" s="502"/>
      <c r="E205" s="443" t="str">
        <f t="shared" si="201"/>
        <v>NO</v>
      </c>
      <c r="F205" s="444" t="str">
        <f t="shared" si="201"/>
        <v>NO</v>
      </c>
      <c r="G205" s="444" t="str">
        <f t="shared" si="201"/>
        <v>YES</v>
      </c>
      <c r="H205" s="444" t="str">
        <f t="shared" si="201"/>
        <v>YES</v>
      </c>
      <c r="I205" s="444" t="str">
        <f t="shared" si="201"/>
        <v>YES</v>
      </c>
      <c r="J205" s="444" t="str">
        <f t="shared" si="201"/>
        <v>YES</v>
      </c>
      <c r="K205" s="444" t="str">
        <f t="shared" si="201"/>
        <v>NO</v>
      </c>
      <c r="L205" s="444" t="str">
        <f t="shared" si="201"/>
        <v>NO</v>
      </c>
      <c r="M205" s="444" t="str">
        <f t="shared" si="201"/>
        <v>NO</v>
      </c>
      <c r="N205" s="444" t="str">
        <f t="shared" si="201"/>
        <v>NO</v>
      </c>
      <c r="O205" s="444" t="str">
        <f t="shared" si="202"/>
        <v>NO</v>
      </c>
      <c r="P205" s="444" t="str">
        <f t="shared" si="202"/>
        <v>DEP</v>
      </c>
      <c r="Q205" s="444" t="str">
        <f t="shared" si="202"/>
        <v>DEP</v>
      </c>
      <c r="R205" s="444" t="str">
        <f t="shared" si="202"/>
        <v>DEP</v>
      </c>
      <c r="S205" s="444" t="str">
        <f t="shared" si="202"/>
        <v>DEP</v>
      </c>
      <c r="T205" s="444" t="str">
        <f t="shared" si="202"/>
        <v>DEP</v>
      </c>
      <c r="U205" s="444" t="str">
        <f t="shared" si="202"/>
        <v>NO</v>
      </c>
      <c r="V205" s="444" t="str">
        <f t="shared" si="202"/>
        <v>NO</v>
      </c>
      <c r="W205" s="444" t="str">
        <f t="shared" si="202"/>
        <v>YES</v>
      </c>
      <c r="X205" s="444" t="str">
        <f t="shared" si="202"/>
        <v>NO</v>
      </c>
      <c r="Y205" s="444" t="str">
        <f t="shared" si="203"/>
        <v>DEP</v>
      </c>
      <c r="Z205" s="444" t="str">
        <f t="shared" si="203"/>
        <v>NO</v>
      </c>
      <c r="AA205" s="444" t="str">
        <f t="shared" si="203"/>
        <v>NO</v>
      </c>
      <c r="AB205" s="444" t="str">
        <f t="shared" si="203"/>
        <v>NO</v>
      </c>
      <c r="AC205" s="444" t="str">
        <f t="shared" si="203"/>
        <v>YES</v>
      </c>
      <c r="AD205" s="444" t="str">
        <f t="shared" si="203"/>
        <v>NO</v>
      </c>
      <c r="AE205" s="444" t="str">
        <f t="shared" si="203"/>
        <v>NO</v>
      </c>
      <c r="AF205" s="444" t="str">
        <f t="shared" si="203"/>
        <v>NO</v>
      </c>
      <c r="AG205" s="444" t="str">
        <f t="shared" si="203"/>
        <v>NO</v>
      </c>
      <c r="AH205" s="444" t="str">
        <f t="shared" si="203"/>
        <v>NO</v>
      </c>
      <c r="AI205" s="444" t="str">
        <f t="shared" si="204"/>
        <v>NO</v>
      </c>
      <c r="AJ205" s="444" t="str">
        <f t="shared" si="204"/>
        <v>YES</v>
      </c>
      <c r="AK205" s="444" t="str">
        <f t="shared" si="204"/>
        <v>NO</v>
      </c>
      <c r="AL205" s="444" t="str">
        <f t="shared" si="204"/>
        <v>NO</v>
      </c>
      <c r="AM205" s="444" t="str">
        <f t="shared" si="204"/>
        <v>NO</v>
      </c>
      <c r="AN205" s="444" t="str">
        <f t="shared" si="204"/>
        <v>NO</v>
      </c>
      <c r="AO205" s="444" t="str">
        <f t="shared" si="204"/>
        <v>YES</v>
      </c>
      <c r="AP205" s="444" t="str">
        <f t="shared" si="204"/>
        <v>NO</v>
      </c>
      <c r="AQ205" s="444" t="str">
        <f t="shared" si="204"/>
        <v>NO</v>
      </c>
      <c r="AR205" s="444" t="str">
        <f t="shared" si="204"/>
        <v>NO</v>
      </c>
      <c r="AS205" s="444" t="str">
        <f t="shared" si="205"/>
        <v>NO</v>
      </c>
      <c r="AT205" s="444" t="str">
        <f t="shared" si="205"/>
        <v>DEP</v>
      </c>
      <c r="AU205" s="444" t="str">
        <f t="shared" si="205"/>
        <v>DEP</v>
      </c>
      <c r="AV205" s="444" t="str">
        <f t="shared" si="205"/>
        <v>DEP</v>
      </c>
      <c r="AW205" s="444" t="str">
        <f t="shared" si="205"/>
        <v>DEP</v>
      </c>
      <c r="AX205" s="444" t="str">
        <f t="shared" si="205"/>
        <v>DEP</v>
      </c>
      <c r="AY205" s="444" t="str">
        <f t="shared" si="205"/>
        <v>YES</v>
      </c>
      <c r="AZ205" s="444" t="str">
        <f t="shared" si="205"/>
        <v>DEP</v>
      </c>
      <c r="BA205" s="444" t="str">
        <f t="shared" si="205"/>
        <v>DEP</v>
      </c>
      <c r="BB205" s="444" t="str">
        <f t="shared" si="205"/>
        <v>NO</v>
      </c>
      <c r="BC205" s="444" t="str">
        <f t="shared" si="206"/>
        <v>NO</v>
      </c>
      <c r="BD205" s="444" t="str">
        <f t="shared" si="206"/>
        <v>NO</v>
      </c>
      <c r="BE205" s="444" t="str">
        <f t="shared" si="206"/>
        <v>NO</v>
      </c>
      <c r="BF205" s="444" t="str">
        <f t="shared" si="206"/>
        <v>YES</v>
      </c>
      <c r="BG205" s="444" t="str">
        <f t="shared" si="206"/>
        <v>NO</v>
      </c>
      <c r="BH205" s="445" t="str">
        <f t="shared" si="206"/>
        <v>NO</v>
      </c>
      <c r="BI205" s="502"/>
      <c r="BJ205" s="474" t="str">
        <f t="shared" si="197"/>
        <v>NO</v>
      </c>
      <c r="BK205" s="475" t="str">
        <f t="shared" si="197"/>
        <v>NO</v>
      </c>
      <c r="BL205" s="475" t="str">
        <f t="shared" si="197"/>
        <v>NO</v>
      </c>
      <c r="BM205" s="475" t="str">
        <f t="shared" si="197"/>
        <v>NO</v>
      </c>
      <c r="BN205" s="475" t="str">
        <f t="shared" si="197"/>
        <v>NO</v>
      </c>
      <c r="BO205" s="475" t="str">
        <f t="shared" si="197"/>
        <v>NO</v>
      </c>
      <c r="BP205" s="475" t="str">
        <f t="shared" si="197"/>
        <v>NO</v>
      </c>
      <c r="BQ205" s="475" t="str">
        <f t="shared" si="197"/>
        <v>NO</v>
      </c>
      <c r="BR205" s="475" t="str">
        <f t="shared" si="197"/>
        <v>NO</v>
      </c>
      <c r="BS205" s="475" t="str">
        <f t="shared" si="197"/>
        <v>NO</v>
      </c>
      <c r="BT205" s="475" t="str">
        <f t="shared" si="198"/>
        <v>NO</v>
      </c>
      <c r="BU205" s="475" t="str">
        <f t="shared" si="198"/>
        <v>NO</v>
      </c>
      <c r="BV205" s="475" t="str">
        <f t="shared" si="198"/>
        <v>NO</v>
      </c>
      <c r="BW205" s="475" t="str">
        <f t="shared" si="198"/>
        <v>NO</v>
      </c>
      <c r="BX205" s="475" t="str">
        <f t="shared" si="198"/>
        <v>NO</v>
      </c>
      <c r="BY205" s="475" t="str">
        <f t="shared" si="198"/>
        <v>NO</v>
      </c>
      <c r="BZ205" s="475" t="str">
        <f t="shared" si="198"/>
        <v>NO</v>
      </c>
      <c r="CA205" s="475" t="str">
        <f t="shared" si="198"/>
        <v>NO</v>
      </c>
      <c r="CB205" s="475" t="str">
        <f t="shared" si="198"/>
        <v>NO</v>
      </c>
      <c r="CC205" s="475" t="str">
        <f t="shared" si="198"/>
        <v>NO</v>
      </c>
      <c r="CD205" s="475" t="str">
        <f t="shared" si="199"/>
        <v>NO</v>
      </c>
      <c r="CE205" s="475" t="str">
        <f t="shared" si="199"/>
        <v>NO</v>
      </c>
      <c r="CF205" s="475" t="str">
        <f t="shared" si="199"/>
        <v>NO</v>
      </c>
      <c r="CG205" s="475" t="str">
        <f t="shared" si="199"/>
        <v>NO</v>
      </c>
      <c r="CH205" s="475" t="str">
        <f t="shared" si="199"/>
        <v>NO</v>
      </c>
      <c r="CI205" s="475" t="str">
        <f t="shared" si="199"/>
        <v>NO</v>
      </c>
      <c r="CJ205" s="475" t="str">
        <f t="shared" si="199"/>
        <v>NO</v>
      </c>
      <c r="CK205" s="475" t="str">
        <f t="shared" si="199"/>
        <v>NO</v>
      </c>
      <c r="CL205" s="475" t="str">
        <f t="shared" si="199"/>
        <v>CR</v>
      </c>
      <c r="CM205" s="475" t="str">
        <f t="shared" si="199"/>
        <v>NO</v>
      </c>
      <c r="CN205" s="475" t="str">
        <f t="shared" si="200"/>
        <v>NO</v>
      </c>
      <c r="CO205" s="475" t="str">
        <f t="shared" si="200"/>
        <v>NO</v>
      </c>
      <c r="CP205" s="475" t="str">
        <f t="shared" si="200"/>
        <v>NO</v>
      </c>
      <c r="CQ205" s="475" t="str">
        <f t="shared" si="200"/>
        <v>NO</v>
      </c>
      <c r="CR205" s="475" t="str">
        <f t="shared" si="200"/>
        <v>NO</v>
      </c>
      <c r="CS205" s="475" t="str">
        <f t="shared" si="200"/>
        <v>NO</v>
      </c>
      <c r="CT205" s="475" t="str">
        <f t="shared" si="200"/>
        <v>NO</v>
      </c>
      <c r="CU205" s="475" t="str">
        <f t="shared" si="200"/>
        <v>NO</v>
      </c>
      <c r="CV205" s="475" t="str">
        <f t="shared" si="200"/>
        <v>NO</v>
      </c>
      <c r="CW205" s="475" t="str">
        <f t="shared" si="200"/>
        <v>NO</v>
      </c>
      <c r="CX205" s="475" t="str">
        <f t="shared" si="200"/>
        <v>NO</v>
      </c>
      <c r="CY205" s="475" t="str">
        <f t="shared" si="200"/>
        <v>NO</v>
      </c>
      <c r="CZ205" s="495" t="str">
        <f t="shared" si="200"/>
        <v>NO</v>
      </c>
      <c r="DA205" s="502"/>
      <c r="DB205" s="460">
        <v>2</v>
      </c>
      <c r="DC205" s="465">
        <v>3.1</v>
      </c>
      <c r="DD205" s="463"/>
      <c r="DE205" s="512"/>
      <c r="DF205" s="516"/>
      <c r="DG205" s="508"/>
      <c r="DH205" s="463"/>
      <c r="DI205" s="461"/>
      <c r="DJ205" s="461"/>
      <c r="DK205" s="461"/>
      <c r="DL205" s="464"/>
      <c r="DM205" s="466"/>
      <c r="DN205" s="502"/>
      <c r="DO205" s="460"/>
      <c r="DP205" s="464"/>
      <c r="DQ205" s="464"/>
      <c r="DR205" s="464"/>
      <c r="DS205" s="508"/>
      <c r="DT205" s="525"/>
      <c r="DU205" s="525"/>
      <c r="DV205" s="463"/>
      <c r="DW205" s="464"/>
      <c r="DX205" s="465"/>
      <c r="DY205" s="463"/>
      <c r="DZ205" s="464"/>
      <c r="EA205" s="465"/>
      <c r="EB205" s="463"/>
      <c r="EC205" s="465"/>
      <c r="ED205" s="462"/>
      <c r="EE205" s="502"/>
      <c r="EF205" s="463"/>
      <c r="EG205" s="461"/>
      <c r="EH205" s="464"/>
      <c r="EI205" s="464"/>
      <c r="EJ205" s="464"/>
      <c r="EK205" s="464"/>
      <c r="EL205" s="464"/>
      <c r="EM205" s="464"/>
      <c r="EN205" s="464"/>
      <c r="EO205" s="464"/>
      <c r="EP205" s="464"/>
      <c r="EQ205" s="464"/>
      <c r="ER205" s="464"/>
      <c r="ES205" s="464"/>
      <c r="ET205" s="464"/>
      <c r="EU205" s="464"/>
      <c r="EV205" s="464"/>
      <c r="EW205" s="465"/>
      <c r="EX205" s="465"/>
      <c r="EY205" s="502"/>
      <c r="EZ205" s="460"/>
      <c r="FA205" s="464"/>
      <c r="FB205" s="464"/>
      <c r="FC205" s="464" t="s">
        <v>339</v>
      </c>
      <c r="FD205" s="464"/>
      <c r="FE205" s="464"/>
      <c r="FF205" s="464"/>
      <c r="FG205" s="466"/>
    </row>
    <row r="206" spans="1:163">
      <c r="A206" s="467" t="s">
        <v>400</v>
      </c>
      <c r="B206" s="471" t="s">
        <v>389</v>
      </c>
      <c r="C206" s="504">
        <v>45630</v>
      </c>
      <c r="D206" s="502"/>
      <c r="E206" s="443" t="str">
        <f t="shared" si="201"/>
        <v>NO</v>
      </c>
      <c r="F206" s="444" t="str">
        <f t="shared" si="201"/>
        <v>NO</v>
      </c>
      <c r="G206" s="444" t="str">
        <f t="shared" si="201"/>
        <v>YES</v>
      </c>
      <c r="H206" s="444" t="str">
        <f t="shared" si="201"/>
        <v>YES</v>
      </c>
      <c r="I206" s="444" t="str">
        <f t="shared" si="201"/>
        <v>YES</v>
      </c>
      <c r="J206" s="444" t="str">
        <f t="shared" si="201"/>
        <v>YES</v>
      </c>
      <c r="K206" s="444" t="str">
        <f t="shared" si="201"/>
        <v>NO</v>
      </c>
      <c r="L206" s="444" t="str">
        <f t="shared" si="201"/>
        <v>NO</v>
      </c>
      <c r="M206" s="444" t="str">
        <f t="shared" si="201"/>
        <v>NO</v>
      </c>
      <c r="N206" s="444" t="str">
        <f t="shared" si="201"/>
        <v>NO</v>
      </c>
      <c r="O206" s="444" t="str">
        <f t="shared" si="202"/>
        <v>NO</v>
      </c>
      <c r="P206" s="444" t="str">
        <f t="shared" si="202"/>
        <v>DEP</v>
      </c>
      <c r="Q206" s="444" t="str">
        <f t="shared" si="202"/>
        <v>DEP</v>
      </c>
      <c r="R206" s="444" t="str">
        <f t="shared" si="202"/>
        <v>DEP</v>
      </c>
      <c r="S206" s="444" t="str">
        <f t="shared" si="202"/>
        <v>DEP</v>
      </c>
      <c r="T206" s="444" t="str">
        <f t="shared" si="202"/>
        <v>DEP</v>
      </c>
      <c r="U206" s="444" t="str">
        <f t="shared" si="202"/>
        <v>NO</v>
      </c>
      <c r="V206" s="444" t="str">
        <f t="shared" si="202"/>
        <v>NO</v>
      </c>
      <c r="W206" s="444" t="str">
        <f t="shared" si="202"/>
        <v>DEP</v>
      </c>
      <c r="X206" s="444" t="str">
        <f t="shared" si="202"/>
        <v>NO</v>
      </c>
      <c r="Y206" s="444" t="str">
        <f t="shared" si="203"/>
        <v>DEP</v>
      </c>
      <c r="Z206" s="444" t="str">
        <f t="shared" si="203"/>
        <v>NO</v>
      </c>
      <c r="AA206" s="444" t="str">
        <f t="shared" si="203"/>
        <v>NO</v>
      </c>
      <c r="AB206" s="444" t="str">
        <f t="shared" si="203"/>
        <v>NO</v>
      </c>
      <c r="AC206" s="444" t="str">
        <f t="shared" si="203"/>
        <v>NO</v>
      </c>
      <c r="AD206" s="444" t="str">
        <f t="shared" si="203"/>
        <v>NO</v>
      </c>
      <c r="AE206" s="444" t="str">
        <f t="shared" si="203"/>
        <v>NO</v>
      </c>
      <c r="AF206" s="444" t="str">
        <f t="shared" si="203"/>
        <v>NO</v>
      </c>
      <c r="AG206" s="444" t="str">
        <f t="shared" si="203"/>
        <v>NO</v>
      </c>
      <c r="AH206" s="444" t="str">
        <f t="shared" si="203"/>
        <v>NO</v>
      </c>
      <c r="AI206" s="444" t="str">
        <f t="shared" si="204"/>
        <v>NO</v>
      </c>
      <c r="AJ206" s="444" t="str">
        <f t="shared" si="204"/>
        <v>NO</v>
      </c>
      <c r="AK206" s="444" t="str">
        <f t="shared" si="204"/>
        <v>NO</v>
      </c>
      <c r="AL206" s="444" t="str">
        <f t="shared" si="204"/>
        <v>NO</v>
      </c>
      <c r="AM206" s="444" t="str">
        <f t="shared" si="204"/>
        <v>NO</v>
      </c>
      <c r="AN206" s="444" t="str">
        <f t="shared" si="204"/>
        <v>NO</v>
      </c>
      <c r="AO206" s="444" t="str">
        <f t="shared" si="204"/>
        <v>NO</v>
      </c>
      <c r="AP206" s="444" t="str">
        <f t="shared" si="204"/>
        <v>NO</v>
      </c>
      <c r="AQ206" s="444" t="str">
        <f t="shared" si="204"/>
        <v>NO</v>
      </c>
      <c r="AR206" s="444" t="str">
        <f t="shared" si="204"/>
        <v>NO</v>
      </c>
      <c r="AS206" s="444" t="str">
        <f t="shared" si="205"/>
        <v>NO</v>
      </c>
      <c r="AT206" s="444" t="str">
        <f t="shared" si="205"/>
        <v>DEP</v>
      </c>
      <c r="AU206" s="444" t="str">
        <f t="shared" si="205"/>
        <v>DEP</v>
      </c>
      <c r="AV206" s="444" t="str">
        <f t="shared" si="205"/>
        <v>DEP</v>
      </c>
      <c r="AW206" s="444" t="str">
        <f t="shared" si="205"/>
        <v>DEP</v>
      </c>
      <c r="AX206" s="444" t="str">
        <f t="shared" si="205"/>
        <v>DEP</v>
      </c>
      <c r="AY206" s="444" t="str">
        <f t="shared" si="205"/>
        <v>YES</v>
      </c>
      <c r="AZ206" s="444" t="str">
        <f t="shared" si="205"/>
        <v>DEP</v>
      </c>
      <c r="BA206" s="444" t="str">
        <f t="shared" si="205"/>
        <v>DEP</v>
      </c>
      <c r="BB206" s="444" t="str">
        <f t="shared" si="205"/>
        <v>NO</v>
      </c>
      <c r="BC206" s="444" t="str">
        <f t="shared" si="206"/>
        <v>NO</v>
      </c>
      <c r="BD206" s="444" t="str">
        <f t="shared" si="206"/>
        <v>NO</v>
      </c>
      <c r="BE206" s="444" t="str">
        <f t="shared" si="206"/>
        <v>YES</v>
      </c>
      <c r="BF206" s="444" t="str">
        <f t="shared" si="206"/>
        <v>YES</v>
      </c>
      <c r="BG206" s="444" t="str">
        <f t="shared" si="206"/>
        <v>YES</v>
      </c>
      <c r="BH206" s="445" t="str">
        <f t="shared" si="206"/>
        <v>NO</v>
      </c>
      <c r="BI206" s="502"/>
      <c r="BJ206" s="474" t="str">
        <f t="shared" si="197"/>
        <v>NO</v>
      </c>
      <c r="BK206" s="475" t="str">
        <f t="shared" si="197"/>
        <v>NO</v>
      </c>
      <c r="BL206" s="475" t="str">
        <f t="shared" si="197"/>
        <v>NO</v>
      </c>
      <c r="BM206" s="475" t="str">
        <f t="shared" si="197"/>
        <v>NO</v>
      </c>
      <c r="BN206" s="475" t="str">
        <f t="shared" si="197"/>
        <v>NO</v>
      </c>
      <c r="BO206" s="475" t="str">
        <f t="shared" si="197"/>
        <v>NO</v>
      </c>
      <c r="BP206" s="475" t="str">
        <f t="shared" si="197"/>
        <v>NO</v>
      </c>
      <c r="BQ206" s="475" t="str">
        <f t="shared" si="197"/>
        <v>NO</v>
      </c>
      <c r="BR206" s="475" t="str">
        <f t="shared" si="197"/>
        <v>NO</v>
      </c>
      <c r="BS206" s="475" t="str">
        <f t="shared" si="197"/>
        <v>NO</v>
      </c>
      <c r="BT206" s="475" t="str">
        <f t="shared" si="198"/>
        <v>NO</v>
      </c>
      <c r="BU206" s="475" t="str">
        <f t="shared" si="198"/>
        <v>NO</v>
      </c>
      <c r="BV206" s="475" t="str">
        <f t="shared" si="198"/>
        <v>NO</v>
      </c>
      <c r="BW206" s="475" t="str">
        <f t="shared" si="198"/>
        <v>NO</v>
      </c>
      <c r="BX206" s="475" t="str">
        <f t="shared" si="198"/>
        <v>NO</v>
      </c>
      <c r="BY206" s="475" t="str">
        <f t="shared" si="198"/>
        <v>NO</v>
      </c>
      <c r="BZ206" s="475" t="str">
        <f t="shared" si="198"/>
        <v>NO</v>
      </c>
      <c r="CA206" s="475" t="str">
        <f t="shared" si="198"/>
        <v>NO</v>
      </c>
      <c r="CB206" s="475" t="str">
        <f t="shared" si="198"/>
        <v>NO</v>
      </c>
      <c r="CC206" s="475" t="str">
        <f t="shared" si="198"/>
        <v>NO</v>
      </c>
      <c r="CD206" s="475" t="str">
        <f t="shared" si="199"/>
        <v>NO</v>
      </c>
      <c r="CE206" s="475" t="str">
        <f t="shared" si="199"/>
        <v>NO</v>
      </c>
      <c r="CF206" s="475" t="str">
        <f t="shared" si="199"/>
        <v>NO</v>
      </c>
      <c r="CG206" s="475" t="str">
        <f t="shared" si="199"/>
        <v>NO</v>
      </c>
      <c r="CH206" s="475" t="str">
        <f t="shared" si="199"/>
        <v>NO</v>
      </c>
      <c r="CI206" s="475" t="str">
        <f t="shared" si="199"/>
        <v>NO</v>
      </c>
      <c r="CJ206" s="475" t="str">
        <f t="shared" si="199"/>
        <v>NO</v>
      </c>
      <c r="CK206" s="475" t="str">
        <f t="shared" si="199"/>
        <v>NO</v>
      </c>
      <c r="CL206" s="475" t="str">
        <f t="shared" si="199"/>
        <v>CR</v>
      </c>
      <c r="CM206" s="475" t="str">
        <f t="shared" si="199"/>
        <v>NO</v>
      </c>
      <c r="CN206" s="475" t="str">
        <f t="shared" si="200"/>
        <v>NO</v>
      </c>
      <c r="CO206" s="475" t="str">
        <f t="shared" si="200"/>
        <v>NO</v>
      </c>
      <c r="CP206" s="475" t="str">
        <f t="shared" si="200"/>
        <v>NO</v>
      </c>
      <c r="CQ206" s="475" t="str">
        <f t="shared" si="200"/>
        <v>NO</v>
      </c>
      <c r="CR206" s="475" t="str">
        <f t="shared" si="200"/>
        <v>NO</v>
      </c>
      <c r="CS206" s="475" t="str">
        <f t="shared" si="200"/>
        <v>NO</v>
      </c>
      <c r="CT206" s="475" t="str">
        <f t="shared" si="200"/>
        <v>NO</v>
      </c>
      <c r="CU206" s="475" t="str">
        <f t="shared" si="200"/>
        <v>NO</v>
      </c>
      <c r="CV206" s="475" t="str">
        <f t="shared" si="200"/>
        <v>NO</v>
      </c>
      <c r="CW206" s="475" t="str">
        <f t="shared" si="200"/>
        <v>NO</v>
      </c>
      <c r="CX206" s="475" t="str">
        <f t="shared" si="200"/>
        <v>NO</v>
      </c>
      <c r="CY206" s="475" t="str">
        <f t="shared" si="200"/>
        <v>NO</v>
      </c>
      <c r="CZ206" s="495" t="str">
        <f t="shared" si="200"/>
        <v>NO</v>
      </c>
      <c r="DA206" s="502"/>
      <c r="DB206" s="460">
        <v>2</v>
      </c>
      <c r="DC206" s="465">
        <v>3.1</v>
      </c>
      <c r="DD206" s="463"/>
      <c r="DE206" s="512"/>
      <c r="DF206" s="516"/>
      <c r="DG206" s="508"/>
      <c r="DH206" s="463"/>
      <c r="DI206" s="461"/>
      <c r="DJ206" s="461"/>
      <c r="DK206" s="461"/>
      <c r="DL206" s="464"/>
      <c r="DM206" s="466"/>
      <c r="DN206" s="502"/>
      <c r="DO206" s="460"/>
      <c r="DP206" s="464"/>
      <c r="DQ206" s="464"/>
      <c r="DR206" s="464"/>
      <c r="DS206" s="508"/>
      <c r="DT206" s="525"/>
      <c r="DU206" s="525"/>
      <c r="DV206" s="463"/>
      <c r="DW206" s="464"/>
      <c r="DX206" s="465"/>
      <c r="DY206" s="463"/>
      <c r="DZ206" s="464"/>
      <c r="EA206" s="465"/>
      <c r="EB206" s="463"/>
      <c r="EC206" s="465"/>
      <c r="ED206" s="462"/>
      <c r="EE206" s="502"/>
      <c r="EF206" s="463"/>
      <c r="EG206" s="461"/>
      <c r="EH206" s="464"/>
      <c r="EI206" s="464"/>
      <c r="EJ206" s="464"/>
      <c r="EK206" s="464"/>
      <c r="EL206" s="464"/>
      <c r="EM206" s="464"/>
      <c r="EN206" s="464"/>
      <c r="EO206" s="464"/>
      <c r="EP206" s="464"/>
      <c r="EQ206" s="464"/>
      <c r="ER206" s="464"/>
      <c r="ES206" s="464"/>
      <c r="ET206" s="464"/>
      <c r="EU206" s="464"/>
      <c r="EV206" s="464"/>
      <c r="EW206" s="465"/>
      <c r="EX206" s="465"/>
      <c r="EY206" s="502"/>
      <c r="EZ206" s="460"/>
      <c r="FA206" s="464"/>
      <c r="FB206" s="464"/>
      <c r="FC206" s="464"/>
      <c r="FD206" s="464"/>
      <c r="FE206" s="464"/>
      <c r="FF206" s="464"/>
      <c r="FG206" s="466"/>
    </row>
    <row r="207" spans="1:163">
      <c r="A207" s="467" t="s">
        <v>401</v>
      </c>
      <c r="B207" s="471" t="s">
        <v>402</v>
      </c>
      <c r="C207" s="504">
        <v>45630</v>
      </c>
      <c r="D207" s="502"/>
      <c r="E207" s="443" t="str">
        <f t="shared" si="201"/>
        <v>NO</v>
      </c>
      <c r="F207" s="444" t="str">
        <f t="shared" si="201"/>
        <v>NO</v>
      </c>
      <c r="G207" s="444" t="str">
        <f t="shared" si="201"/>
        <v>NO</v>
      </c>
      <c r="H207" s="444" t="str">
        <f t="shared" si="201"/>
        <v>YES</v>
      </c>
      <c r="I207" s="444" t="str">
        <f t="shared" si="201"/>
        <v>YES</v>
      </c>
      <c r="J207" s="444" t="str">
        <f t="shared" si="201"/>
        <v>NO</v>
      </c>
      <c r="K207" s="444" t="str">
        <f t="shared" si="201"/>
        <v>NO</v>
      </c>
      <c r="L207" s="444" t="str">
        <f t="shared" si="201"/>
        <v>NO</v>
      </c>
      <c r="M207" s="444" t="str">
        <f t="shared" si="201"/>
        <v>NO</v>
      </c>
      <c r="N207" s="444" t="str">
        <f t="shared" si="201"/>
        <v>NO</v>
      </c>
      <c r="O207" s="444" t="str">
        <f t="shared" si="202"/>
        <v>NO</v>
      </c>
      <c r="P207" s="444" t="str">
        <f t="shared" si="202"/>
        <v>DEP</v>
      </c>
      <c r="Q207" s="444" t="str">
        <f t="shared" si="202"/>
        <v>DEP</v>
      </c>
      <c r="R207" s="444" t="str">
        <f t="shared" si="202"/>
        <v>DEP</v>
      </c>
      <c r="S207" s="444" t="str">
        <f t="shared" si="202"/>
        <v>DEP</v>
      </c>
      <c r="T207" s="444" t="str">
        <f t="shared" si="202"/>
        <v>DEP</v>
      </c>
      <c r="U207" s="444" t="str">
        <f t="shared" si="202"/>
        <v>NO</v>
      </c>
      <c r="V207" s="444" t="str">
        <f t="shared" si="202"/>
        <v>NO</v>
      </c>
      <c r="W207" s="444" t="str">
        <f t="shared" si="202"/>
        <v>NO</v>
      </c>
      <c r="X207" s="444" t="str">
        <f t="shared" si="202"/>
        <v>NO</v>
      </c>
      <c r="Y207" s="444" t="str">
        <f t="shared" si="203"/>
        <v>NO</v>
      </c>
      <c r="Z207" s="444" t="str">
        <f t="shared" si="203"/>
        <v>NO</v>
      </c>
      <c r="AA207" s="444" t="str">
        <f t="shared" si="203"/>
        <v>NO</v>
      </c>
      <c r="AB207" s="444" t="str">
        <f t="shared" si="203"/>
        <v>NO</v>
      </c>
      <c r="AC207" s="444" t="str">
        <f t="shared" si="203"/>
        <v>NO</v>
      </c>
      <c r="AD207" s="444" t="str">
        <f t="shared" si="203"/>
        <v>NO</v>
      </c>
      <c r="AE207" s="444" t="str">
        <f t="shared" si="203"/>
        <v>NO</v>
      </c>
      <c r="AF207" s="444" t="str">
        <f t="shared" si="203"/>
        <v>NO</v>
      </c>
      <c r="AG207" s="444" t="str">
        <f t="shared" si="203"/>
        <v>NO</v>
      </c>
      <c r="AH207" s="444" t="str">
        <f t="shared" si="203"/>
        <v>NO</v>
      </c>
      <c r="AI207" s="444" t="str">
        <f t="shared" si="204"/>
        <v>NO</v>
      </c>
      <c r="AJ207" s="444" t="str">
        <f t="shared" si="204"/>
        <v>NO</v>
      </c>
      <c r="AK207" s="444" t="str">
        <f t="shared" si="204"/>
        <v>NO</v>
      </c>
      <c r="AL207" s="444" t="str">
        <f t="shared" si="204"/>
        <v>NO</v>
      </c>
      <c r="AM207" s="444" t="str">
        <f t="shared" si="204"/>
        <v>NO</v>
      </c>
      <c r="AN207" s="444" t="str">
        <f t="shared" si="204"/>
        <v>NO</v>
      </c>
      <c r="AO207" s="444" t="str">
        <f t="shared" si="204"/>
        <v>NO</v>
      </c>
      <c r="AP207" s="444" t="str">
        <f t="shared" si="204"/>
        <v>NO</v>
      </c>
      <c r="AQ207" s="444" t="str">
        <f t="shared" si="204"/>
        <v>NO</v>
      </c>
      <c r="AR207" s="444" t="str">
        <f t="shared" si="204"/>
        <v>NO</v>
      </c>
      <c r="AS207" s="444" t="str">
        <f t="shared" si="205"/>
        <v>NO</v>
      </c>
      <c r="AT207" s="444" t="str">
        <f t="shared" si="205"/>
        <v>DEP</v>
      </c>
      <c r="AU207" s="444" t="str">
        <f t="shared" si="205"/>
        <v>DEP</v>
      </c>
      <c r="AV207" s="444" t="str">
        <f t="shared" si="205"/>
        <v>DEP</v>
      </c>
      <c r="AW207" s="444" t="str">
        <f t="shared" si="205"/>
        <v>DEP</v>
      </c>
      <c r="AX207" s="444" t="str">
        <f t="shared" si="205"/>
        <v>DEP</v>
      </c>
      <c r="AY207" s="444" t="str">
        <f t="shared" si="205"/>
        <v>YES</v>
      </c>
      <c r="AZ207" s="444" t="str">
        <f t="shared" si="205"/>
        <v>DEP</v>
      </c>
      <c r="BA207" s="444" t="str">
        <f t="shared" si="205"/>
        <v>DEP</v>
      </c>
      <c r="BB207" s="444" t="str">
        <f t="shared" si="205"/>
        <v>NO</v>
      </c>
      <c r="BC207" s="444" t="str">
        <f t="shared" si="206"/>
        <v>NO</v>
      </c>
      <c r="BD207" s="444" t="str">
        <f t="shared" si="206"/>
        <v>NO</v>
      </c>
      <c r="BE207" s="444" t="str">
        <f t="shared" si="206"/>
        <v>NO</v>
      </c>
      <c r="BF207" s="444" t="str">
        <f t="shared" si="206"/>
        <v>NO</v>
      </c>
      <c r="BG207" s="444" t="str">
        <f t="shared" si="206"/>
        <v>NO</v>
      </c>
      <c r="BH207" s="445" t="str">
        <f t="shared" si="206"/>
        <v>NO</v>
      </c>
      <c r="BI207" s="502"/>
      <c r="BJ207" s="474" t="str">
        <f t="shared" si="197"/>
        <v>NO</v>
      </c>
      <c r="BK207" s="475" t="str">
        <f t="shared" si="197"/>
        <v>NO</v>
      </c>
      <c r="BL207" s="475" t="str">
        <f t="shared" si="197"/>
        <v>NO</v>
      </c>
      <c r="BM207" s="475" t="str">
        <f t="shared" si="197"/>
        <v>NO</v>
      </c>
      <c r="BN207" s="475" t="str">
        <f t="shared" si="197"/>
        <v>NO</v>
      </c>
      <c r="BO207" s="475" t="str">
        <f t="shared" si="197"/>
        <v>NO</v>
      </c>
      <c r="BP207" s="475" t="str">
        <f t="shared" si="197"/>
        <v>NO</v>
      </c>
      <c r="BQ207" s="475" t="str">
        <f t="shared" si="197"/>
        <v>NO</v>
      </c>
      <c r="BR207" s="475" t="str">
        <f t="shared" si="197"/>
        <v>NO</v>
      </c>
      <c r="BS207" s="475" t="str">
        <f t="shared" si="197"/>
        <v>NO</v>
      </c>
      <c r="BT207" s="475" t="str">
        <f t="shared" si="198"/>
        <v>NO</v>
      </c>
      <c r="BU207" s="475" t="str">
        <f t="shared" si="198"/>
        <v>NO</v>
      </c>
      <c r="BV207" s="475" t="str">
        <f t="shared" si="198"/>
        <v>NO</v>
      </c>
      <c r="BW207" s="475" t="str">
        <f t="shared" si="198"/>
        <v>NO</v>
      </c>
      <c r="BX207" s="475" t="str">
        <f t="shared" si="198"/>
        <v>NO</v>
      </c>
      <c r="BY207" s="475" t="str">
        <f t="shared" si="198"/>
        <v>NO</v>
      </c>
      <c r="BZ207" s="475" t="str">
        <f t="shared" si="198"/>
        <v>NO</v>
      </c>
      <c r="CA207" s="475" t="str">
        <f t="shared" si="198"/>
        <v>NO</v>
      </c>
      <c r="CB207" s="475" t="str">
        <f t="shared" si="198"/>
        <v>NO</v>
      </c>
      <c r="CC207" s="475" t="str">
        <f t="shared" si="198"/>
        <v>NO</v>
      </c>
      <c r="CD207" s="475" t="str">
        <f t="shared" si="199"/>
        <v>NO</v>
      </c>
      <c r="CE207" s="475" t="str">
        <f t="shared" si="199"/>
        <v>NO</v>
      </c>
      <c r="CF207" s="475" t="str">
        <f t="shared" si="199"/>
        <v>NO</v>
      </c>
      <c r="CG207" s="475" t="str">
        <f t="shared" si="199"/>
        <v>NO</v>
      </c>
      <c r="CH207" s="475" t="str">
        <f t="shared" si="199"/>
        <v>NO</v>
      </c>
      <c r="CI207" s="475" t="str">
        <f t="shared" si="199"/>
        <v>NO</v>
      </c>
      <c r="CJ207" s="475" t="str">
        <f t="shared" si="199"/>
        <v>NO</v>
      </c>
      <c r="CK207" s="475" t="str">
        <f t="shared" si="199"/>
        <v>NO</v>
      </c>
      <c r="CL207" s="475" t="str">
        <f t="shared" si="199"/>
        <v>NO</v>
      </c>
      <c r="CM207" s="475" t="str">
        <f t="shared" si="199"/>
        <v>NO</v>
      </c>
      <c r="CN207" s="475" t="str">
        <f t="shared" si="200"/>
        <v>NO</v>
      </c>
      <c r="CO207" s="475" t="str">
        <f t="shared" si="200"/>
        <v>NO</v>
      </c>
      <c r="CP207" s="475" t="str">
        <f t="shared" si="200"/>
        <v>NO</v>
      </c>
      <c r="CQ207" s="475" t="str">
        <f t="shared" si="200"/>
        <v>NO</v>
      </c>
      <c r="CR207" s="475" t="str">
        <f t="shared" si="200"/>
        <v>NO</v>
      </c>
      <c r="CS207" s="475" t="str">
        <f t="shared" si="200"/>
        <v>NO</v>
      </c>
      <c r="CT207" s="475" t="str">
        <f t="shared" si="200"/>
        <v>NO</v>
      </c>
      <c r="CU207" s="475" t="str">
        <f t="shared" si="200"/>
        <v>NO</v>
      </c>
      <c r="CV207" s="475" t="str">
        <f t="shared" si="200"/>
        <v>NO</v>
      </c>
      <c r="CW207" s="475" t="str">
        <f t="shared" si="200"/>
        <v>NO</v>
      </c>
      <c r="CX207" s="475" t="str">
        <f t="shared" si="200"/>
        <v>NO</v>
      </c>
      <c r="CY207" s="475" t="str">
        <f t="shared" si="200"/>
        <v>NO</v>
      </c>
      <c r="CZ207" s="495" t="str">
        <f t="shared" si="200"/>
        <v>NO</v>
      </c>
      <c r="DA207" s="502"/>
      <c r="DB207" s="460"/>
      <c r="DC207" s="465"/>
      <c r="DD207" s="463"/>
      <c r="DE207" s="512"/>
      <c r="DF207" s="516"/>
      <c r="DG207" s="508"/>
      <c r="DH207" s="463"/>
      <c r="DI207" s="461"/>
      <c r="DJ207" s="461"/>
      <c r="DK207" s="461"/>
      <c r="DL207" s="464"/>
      <c r="DM207" s="466"/>
      <c r="DN207" s="502"/>
      <c r="DO207" s="460"/>
      <c r="DP207" s="464"/>
      <c r="DQ207" s="464"/>
      <c r="DR207" s="464"/>
      <c r="DS207" s="508"/>
      <c r="DT207" s="525"/>
      <c r="DU207" s="525"/>
      <c r="DV207" s="463"/>
      <c r="DW207" s="464"/>
      <c r="DX207" s="465"/>
      <c r="DY207" s="463"/>
      <c r="DZ207" s="464"/>
      <c r="EA207" s="465"/>
      <c r="EB207" s="463"/>
      <c r="EC207" s="465"/>
      <c r="ED207" s="462"/>
      <c r="EE207" s="502"/>
      <c r="EF207" s="463"/>
      <c r="EG207" s="461"/>
      <c r="EH207" s="464"/>
      <c r="EI207" s="464"/>
      <c r="EJ207" s="464"/>
      <c r="EK207" s="464"/>
      <c r="EL207" s="464"/>
      <c r="EM207" s="464"/>
      <c r="EN207" s="464"/>
      <c r="EO207" s="464"/>
      <c r="EP207" s="464"/>
      <c r="EQ207" s="464"/>
      <c r="ER207" s="464"/>
      <c r="ES207" s="464"/>
      <c r="ET207" s="464"/>
      <c r="EU207" s="464"/>
      <c r="EV207" s="464"/>
      <c r="EW207" s="465"/>
      <c r="EX207" s="465"/>
      <c r="EY207" s="502"/>
      <c r="EZ207" s="460"/>
      <c r="FA207" s="464"/>
      <c r="FB207" s="464"/>
      <c r="FC207" s="464"/>
      <c r="FD207" s="464"/>
      <c r="FE207" s="464"/>
      <c r="FF207" s="464"/>
      <c r="FG207" s="466"/>
    </row>
    <row r="208" spans="1:163">
      <c r="A208" s="467" t="s">
        <v>403</v>
      </c>
      <c r="B208" s="471" t="s">
        <v>402</v>
      </c>
      <c r="C208" s="504">
        <v>45630</v>
      </c>
      <c r="D208" s="502"/>
      <c r="E208" s="443" t="str">
        <f t="shared" si="201"/>
        <v>NO</v>
      </c>
      <c r="F208" s="444" t="str">
        <f t="shared" si="201"/>
        <v>NO</v>
      </c>
      <c r="G208" s="444" t="str">
        <f t="shared" si="201"/>
        <v>NO</v>
      </c>
      <c r="H208" s="444" t="str">
        <f t="shared" si="201"/>
        <v>YES</v>
      </c>
      <c r="I208" s="444" t="str">
        <f t="shared" si="201"/>
        <v>YES</v>
      </c>
      <c r="J208" s="444" t="str">
        <f t="shared" si="201"/>
        <v>NO</v>
      </c>
      <c r="K208" s="444" t="str">
        <f t="shared" si="201"/>
        <v>NO</v>
      </c>
      <c r="L208" s="444" t="str">
        <f t="shared" si="201"/>
        <v>NO</v>
      </c>
      <c r="M208" s="444" t="str">
        <f t="shared" si="201"/>
        <v>NO</v>
      </c>
      <c r="N208" s="444" t="str">
        <f t="shared" si="201"/>
        <v>NO</v>
      </c>
      <c r="O208" s="444" t="str">
        <f t="shared" si="202"/>
        <v>NO</v>
      </c>
      <c r="P208" s="444" t="str">
        <f t="shared" si="202"/>
        <v>DEP</v>
      </c>
      <c r="Q208" s="444" t="str">
        <f t="shared" si="202"/>
        <v>DEP</v>
      </c>
      <c r="R208" s="444" t="str">
        <f t="shared" si="202"/>
        <v>DEP</v>
      </c>
      <c r="S208" s="444" t="str">
        <f t="shared" si="202"/>
        <v>DEP</v>
      </c>
      <c r="T208" s="444" t="str">
        <f t="shared" si="202"/>
        <v>DEP</v>
      </c>
      <c r="U208" s="444" t="str">
        <f t="shared" si="202"/>
        <v>NO</v>
      </c>
      <c r="V208" s="444" t="str">
        <f t="shared" si="202"/>
        <v>NO</v>
      </c>
      <c r="W208" s="444" t="str">
        <f t="shared" si="202"/>
        <v>NO</v>
      </c>
      <c r="X208" s="444" t="str">
        <f t="shared" si="202"/>
        <v>DEP</v>
      </c>
      <c r="Y208" s="444" t="str">
        <f t="shared" si="203"/>
        <v>DEP</v>
      </c>
      <c r="Z208" s="444" t="str">
        <f t="shared" si="203"/>
        <v>DEP</v>
      </c>
      <c r="AA208" s="444" t="str">
        <f t="shared" si="203"/>
        <v>NO</v>
      </c>
      <c r="AB208" s="444" t="str">
        <f t="shared" si="203"/>
        <v>NO</v>
      </c>
      <c r="AC208" s="444" t="str">
        <f t="shared" si="203"/>
        <v>NO</v>
      </c>
      <c r="AD208" s="444" t="str">
        <f t="shared" si="203"/>
        <v>NO</v>
      </c>
      <c r="AE208" s="444" t="str">
        <f t="shared" si="203"/>
        <v>NO</v>
      </c>
      <c r="AF208" s="444" t="str">
        <f t="shared" si="203"/>
        <v>NO</v>
      </c>
      <c r="AG208" s="444" t="str">
        <f t="shared" si="203"/>
        <v>NO</v>
      </c>
      <c r="AH208" s="444" t="str">
        <f t="shared" si="203"/>
        <v>NO</v>
      </c>
      <c r="AI208" s="444" t="str">
        <f t="shared" si="204"/>
        <v>NO</v>
      </c>
      <c r="AJ208" s="444" t="str">
        <f t="shared" si="204"/>
        <v>YES</v>
      </c>
      <c r="AK208" s="444" t="str">
        <f t="shared" si="204"/>
        <v>NO</v>
      </c>
      <c r="AL208" s="444" t="str">
        <f t="shared" si="204"/>
        <v>NO</v>
      </c>
      <c r="AM208" s="444" t="str">
        <f t="shared" si="204"/>
        <v>NO</v>
      </c>
      <c r="AN208" s="444" t="str">
        <f t="shared" si="204"/>
        <v>YES</v>
      </c>
      <c r="AO208" s="444" t="str">
        <f t="shared" si="204"/>
        <v>NO</v>
      </c>
      <c r="AP208" s="444" t="str">
        <f t="shared" si="204"/>
        <v>NO</v>
      </c>
      <c r="AQ208" s="444" t="str">
        <f t="shared" si="204"/>
        <v>DEP</v>
      </c>
      <c r="AR208" s="444" t="str">
        <f t="shared" si="204"/>
        <v>NO</v>
      </c>
      <c r="AS208" s="444" t="str">
        <f t="shared" si="205"/>
        <v>NO</v>
      </c>
      <c r="AT208" s="444" t="str">
        <f t="shared" si="205"/>
        <v>DEP</v>
      </c>
      <c r="AU208" s="444" t="str">
        <f t="shared" si="205"/>
        <v>DEP</v>
      </c>
      <c r="AV208" s="444" t="str">
        <f t="shared" si="205"/>
        <v>DEP</v>
      </c>
      <c r="AW208" s="444" t="str">
        <f t="shared" si="205"/>
        <v>DEP</v>
      </c>
      <c r="AX208" s="444" t="str">
        <f t="shared" si="205"/>
        <v>DEP</v>
      </c>
      <c r="AY208" s="444" t="str">
        <f t="shared" si="205"/>
        <v>YES</v>
      </c>
      <c r="AZ208" s="444" t="str">
        <f t="shared" si="205"/>
        <v>DEP</v>
      </c>
      <c r="BA208" s="444" t="str">
        <f t="shared" si="205"/>
        <v>DEP</v>
      </c>
      <c r="BB208" s="444" t="str">
        <f t="shared" si="205"/>
        <v>DEP</v>
      </c>
      <c r="BC208" s="444" t="str">
        <f t="shared" si="206"/>
        <v>NO</v>
      </c>
      <c r="BD208" s="444" t="str">
        <f t="shared" si="206"/>
        <v>NO</v>
      </c>
      <c r="BE208" s="444" t="str">
        <f t="shared" si="206"/>
        <v>YES</v>
      </c>
      <c r="BF208" s="444" t="str">
        <f t="shared" si="206"/>
        <v>YES</v>
      </c>
      <c r="BG208" s="444" t="str">
        <f t="shared" si="206"/>
        <v>YES</v>
      </c>
      <c r="BH208" s="445" t="str">
        <f t="shared" si="206"/>
        <v>YES</v>
      </c>
      <c r="BI208" s="502"/>
      <c r="BJ208" s="474" t="str">
        <f t="shared" ref="BJ208:BS220" si="207">_xlfn.IFNA(IF(INDEX(RoadmapData, MATCH(TRIM(BJ$1), RoadmapDataFeatures, 0), MATCH($A208, RoadmapDataProjects, 0)) = "-", "-", INDEX(RoadmapData, MATCH(TRIM(BJ$1), RoadmapDataFeatures, 0), MATCH($A208, RoadmapDataProjects, 0))), "")</f>
        <v>NO</v>
      </c>
      <c r="BK208" s="475" t="str">
        <f t="shared" si="207"/>
        <v>NO</v>
      </c>
      <c r="BL208" s="475" t="str">
        <f t="shared" si="207"/>
        <v>NO</v>
      </c>
      <c r="BM208" s="475" t="str">
        <f t="shared" si="207"/>
        <v>NO</v>
      </c>
      <c r="BN208" s="475" t="str">
        <f t="shared" si="207"/>
        <v>NO</v>
      </c>
      <c r="BO208" s="475" t="str">
        <f t="shared" si="207"/>
        <v>NO</v>
      </c>
      <c r="BP208" s="475" t="str">
        <f t="shared" si="207"/>
        <v>NO</v>
      </c>
      <c r="BQ208" s="475" t="str">
        <f t="shared" si="207"/>
        <v>NO</v>
      </c>
      <c r="BR208" s="475" t="str">
        <f t="shared" si="207"/>
        <v>NO</v>
      </c>
      <c r="BS208" s="475" t="str">
        <f t="shared" si="207"/>
        <v>NO</v>
      </c>
      <c r="BT208" s="475" t="str">
        <f t="shared" ref="BT208:CC220" si="208">_xlfn.IFNA(IF(INDEX(RoadmapData, MATCH(TRIM(BT$1), RoadmapDataFeatures, 0), MATCH($A208, RoadmapDataProjects, 0)) = "-", "-", INDEX(RoadmapData, MATCH(TRIM(BT$1), RoadmapDataFeatures, 0), MATCH($A208, RoadmapDataProjects, 0))), "")</f>
        <v>NO</v>
      </c>
      <c r="BU208" s="475" t="str">
        <f t="shared" si="208"/>
        <v>NO</v>
      </c>
      <c r="BV208" s="475" t="str">
        <f t="shared" si="208"/>
        <v>NO</v>
      </c>
      <c r="BW208" s="475" t="str">
        <f t="shared" si="208"/>
        <v>NO</v>
      </c>
      <c r="BX208" s="475" t="str">
        <f t="shared" si="208"/>
        <v>NO</v>
      </c>
      <c r="BY208" s="475" t="str">
        <f t="shared" si="208"/>
        <v>NO</v>
      </c>
      <c r="BZ208" s="475" t="str">
        <f t="shared" si="208"/>
        <v>NO</v>
      </c>
      <c r="CA208" s="475" t="str">
        <f t="shared" si="208"/>
        <v>NO</v>
      </c>
      <c r="CB208" s="475" t="str">
        <f t="shared" si="208"/>
        <v>NO</v>
      </c>
      <c r="CC208" s="475" t="str">
        <f t="shared" si="208"/>
        <v>NO</v>
      </c>
      <c r="CD208" s="475" t="str">
        <f t="shared" ref="CD208:CM220" si="209">_xlfn.IFNA(IF(INDEX(RoadmapData, MATCH(TRIM(CD$1), RoadmapDataFeatures, 0), MATCH($A208, RoadmapDataProjects, 0)) = "-", "-", INDEX(RoadmapData, MATCH(TRIM(CD$1), RoadmapDataFeatures, 0), MATCH($A208, RoadmapDataProjects, 0))), "")</f>
        <v>NO</v>
      </c>
      <c r="CE208" s="475" t="str">
        <f t="shared" si="209"/>
        <v>NO</v>
      </c>
      <c r="CF208" s="475" t="str">
        <f t="shared" si="209"/>
        <v>NO</v>
      </c>
      <c r="CG208" s="475" t="str">
        <f t="shared" si="209"/>
        <v>NO</v>
      </c>
      <c r="CH208" s="475" t="str">
        <f t="shared" si="209"/>
        <v>NO</v>
      </c>
      <c r="CI208" s="475" t="str">
        <f t="shared" si="209"/>
        <v>NO</v>
      </c>
      <c r="CJ208" s="475" t="str">
        <f t="shared" si="209"/>
        <v>NO</v>
      </c>
      <c r="CK208" s="475" t="str">
        <f t="shared" si="209"/>
        <v>NO</v>
      </c>
      <c r="CL208" s="475" t="str">
        <f t="shared" si="209"/>
        <v>NO</v>
      </c>
      <c r="CM208" s="475" t="str">
        <f t="shared" si="209"/>
        <v>NO</v>
      </c>
      <c r="CN208" s="475" t="str">
        <f t="shared" ref="CN208:CZ220" si="210">_xlfn.IFNA(IF(INDEX(RoadmapData, MATCH(TRIM(CN$1), RoadmapDataFeatures, 0), MATCH($A208, RoadmapDataProjects, 0)) = "-", "-", INDEX(RoadmapData, MATCH(TRIM(CN$1), RoadmapDataFeatures, 0), MATCH($A208, RoadmapDataProjects, 0))), "")</f>
        <v>NO</v>
      </c>
      <c r="CO208" s="475" t="str">
        <f t="shared" si="210"/>
        <v>NO</v>
      </c>
      <c r="CP208" s="475" t="str">
        <f t="shared" si="210"/>
        <v>NO</v>
      </c>
      <c r="CQ208" s="475" t="str">
        <f t="shared" si="210"/>
        <v>NO</v>
      </c>
      <c r="CR208" s="475" t="str">
        <f t="shared" si="210"/>
        <v>NO</v>
      </c>
      <c r="CS208" s="475" t="str">
        <f t="shared" si="210"/>
        <v>NO</v>
      </c>
      <c r="CT208" s="475" t="str">
        <f t="shared" si="210"/>
        <v>NO</v>
      </c>
      <c r="CU208" s="475" t="str">
        <f t="shared" si="210"/>
        <v>NO</v>
      </c>
      <c r="CV208" s="475" t="str">
        <f t="shared" si="210"/>
        <v>NO</v>
      </c>
      <c r="CW208" s="475" t="str">
        <f t="shared" si="210"/>
        <v>NO</v>
      </c>
      <c r="CX208" s="475" t="str">
        <f t="shared" si="210"/>
        <v>NO</v>
      </c>
      <c r="CY208" s="475" t="str">
        <f t="shared" si="210"/>
        <v>NO</v>
      </c>
      <c r="CZ208" s="495" t="str">
        <f t="shared" si="210"/>
        <v>NO</v>
      </c>
      <c r="DA208" s="502"/>
      <c r="DB208" s="460"/>
      <c r="DC208" s="465"/>
      <c r="DD208" s="463"/>
      <c r="DE208" s="512"/>
      <c r="DF208" s="516"/>
      <c r="DG208" s="508"/>
      <c r="DH208" s="463"/>
      <c r="DI208" s="461"/>
      <c r="DJ208" s="461"/>
      <c r="DK208" s="461"/>
      <c r="DL208" s="464"/>
      <c r="DM208" s="466"/>
      <c r="DN208" s="502"/>
      <c r="DO208" s="460"/>
      <c r="DP208" s="464"/>
      <c r="DQ208" s="464"/>
      <c r="DR208" s="464"/>
      <c r="DS208" s="508"/>
      <c r="DT208" s="525"/>
      <c r="DU208" s="525"/>
      <c r="DV208" s="463"/>
      <c r="DW208" s="464"/>
      <c r="DX208" s="465"/>
      <c r="DY208" s="463"/>
      <c r="DZ208" s="464"/>
      <c r="EA208" s="465"/>
      <c r="EB208" s="463"/>
      <c r="EC208" s="465"/>
      <c r="ED208" s="462"/>
      <c r="EE208" s="502"/>
      <c r="EF208" s="463"/>
      <c r="EG208" s="461"/>
      <c r="EH208" s="464"/>
      <c r="EI208" s="464"/>
      <c r="EJ208" s="464"/>
      <c r="EK208" s="464"/>
      <c r="EL208" s="464"/>
      <c r="EM208" s="464"/>
      <c r="EN208" s="464"/>
      <c r="EO208" s="464"/>
      <c r="EP208" s="464"/>
      <c r="EQ208" s="464"/>
      <c r="ER208" s="464"/>
      <c r="ES208" s="464"/>
      <c r="ET208" s="464"/>
      <c r="EU208" s="464"/>
      <c r="EV208" s="464"/>
      <c r="EW208" s="465"/>
      <c r="EX208" s="465"/>
      <c r="EY208" s="502"/>
      <c r="EZ208" s="460"/>
      <c r="FA208" s="464"/>
      <c r="FB208" s="464"/>
      <c r="FC208" s="464"/>
      <c r="FD208" s="464"/>
      <c r="FE208" s="464"/>
      <c r="FF208" s="464"/>
      <c r="FG208" s="466"/>
    </row>
    <row r="209" spans="1:163">
      <c r="A209" s="467" t="s">
        <v>404</v>
      </c>
      <c r="B209" s="471" t="s">
        <v>402</v>
      </c>
      <c r="C209" s="504">
        <v>45630</v>
      </c>
      <c r="D209" s="502"/>
      <c r="E209" s="443" t="str">
        <f t="shared" si="201"/>
        <v>NO</v>
      </c>
      <c r="F209" s="444" t="str">
        <f t="shared" si="201"/>
        <v>NO</v>
      </c>
      <c r="G209" s="444" t="str">
        <f t="shared" si="201"/>
        <v>NO</v>
      </c>
      <c r="H209" s="444" t="str">
        <f t="shared" si="201"/>
        <v>NO</v>
      </c>
      <c r="I209" s="444" t="str">
        <f t="shared" si="201"/>
        <v>NO</v>
      </c>
      <c r="J209" s="444" t="str">
        <f t="shared" si="201"/>
        <v>NO</v>
      </c>
      <c r="K209" s="444" t="str">
        <f t="shared" si="201"/>
        <v>NO</v>
      </c>
      <c r="L209" s="444" t="str">
        <f t="shared" si="201"/>
        <v>NO</v>
      </c>
      <c r="M209" s="444" t="str">
        <f t="shared" si="201"/>
        <v>NO</v>
      </c>
      <c r="N209" s="444" t="str">
        <f t="shared" si="201"/>
        <v>NO</v>
      </c>
      <c r="O209" s="444" t="str">
        <f t="shared" si="202"/>
        <v>NO</v>
      </c>
      <c r="P209" s="444" t="str">
        <f t="shared" si="202"/>
        <v>NO</v>
      </c>
      <c r="Q209" s="444" t="str">
        <f t="shared" si="202"/>
        <v>NO</v>
      </c>
      <c r="R209" s="444" t="str">
        <f t="shared" si="202"/>
        <v>NO</v>
      </c>
      <c r="S209" s="444" t="str">
        <f t="shared" si="202"/>
        <v>NO</v>
      </c>
      <c r="T209" s="444" t="str">
        <f t="shared" si="202"/>
        <v>NO</v>
      </c>
      <c r="U209" s="444" t="str">
        <f t="shared" si="202"/>
        <v>NO</v>
      </c>
      <c r="V209" s="444" t="str">
        <f t="shared" si="202"/>
        <v>NO</v>
      </c>
      <c r="W209" s="444" t="str">
        <f t="shared" si="202"/>
        <v>NO</v>
      </c>
      <c r="X209" s="444" t="str">
        <f t="shared" si="202"/>
        <v>NO</v>
      </c>
      <c r="Y209" s="444" t="str">
        <f t="shared" si="203"/>
        <v>NO</v>
      </c>
      <c r="Z209" s="444" t="str">
        <f t="shared" si="203"/>
        <v>NO</v>
      </c>
      <c r="AA209" s="444" t="str">
        <f t="shared" si="203"/>
        <v>YES</v>
      </c>
      <c r="AB209" s="444" t="str">
        <f t="shared" si="203"/>
        <v>NO</v>
      </c>
      <c r="AC209" s="444" t="str">
        <f t="shared" si="203"/>
        <v>NO</v>
      </c>
      <c r="AD209" s="444" t="str">
        <f t="shared" si="203"/>
        <v>NO</v>
      </c>
      <c r="AE209" s="444" t="str">
        <f t="shared" si="203"/>
        <v>NO</v>
      </c>
      <c r="AF209" s="444" t="str">
        <f t="shared" si="203"/>
        <v>NO</v>
      </c>
      <c r="AG209" s="444" t="str">
        <f t="shared" si="203"/>
        <v>NO</v>
      </c>
      <c r="AH209" s="444" t="str">
        <f t="shared" si="203"/>
        <v>NO</v>
      </c>
      <c r="AI209" s="444" t="str">
        <f t="shared" si="204"/>
        <v>NO</v>
      </c>
      <c r="AJ209" s="444" t="str">
        <f t="shared" si="204"/>
        <v>NO</v>
      </c>
      <c r="AK209" s="444" t="str">
        <f t="shared" si="204"/>
        <v>NO</v>
      </c>
      <c r="AL209" s="444" t="str">
        <f t="shared" si="204"/>
        <v>NO</v>
      </c>
      <c r="AM209" s="444" t="str">
        <f t="shared" si="204"/>
        <v>NO</v>
      </c>
      <c r="AN209" s="444" t="str">
        <f t="shared" si="204"/>
        <v>NO</v>
      </c>
      <c r="AO209" s="444" t="str">
        <f t="shared" si="204"/>
        <v>NO</v>
      </c>
      <c r="AP209" s="444" t="str">
        <f t="shared" si="204"/>
        <v>NO</v>
      </c>
      <c r="AQ209" s="444" t="str">
        <f t="shared" si="204"/>
        <v>NO</v>
      </c>
      <c r="AR209" s="444" t="str">
        <f t="shared" si="204"/>
        <v>NO</v>
      </c>
      <c r="AS209" s="444" t="str">
        <f t="shared" si="205"/>
        <v>YES</v>
      </c>
      <c r="AT209" s="444" t="str">
        <f t="shared" si="205"/>
        <v>YES</v>
      </c>
      <c r="AU209" s="444" t="str">
        <f t="shared" si="205"/>
        <v>NO</v>
      </c>
      <c r="AV209" s="444" t="str">
        <f t="shared" si="205"/>
        <v>NO</v>
      </c>
      <c r="AW209" s="444" t="str">
        <f t="shared" si="205"/>
        <v>NO</v>
      </c>
      <c r="AX209" s="444" t="str">
        <f t="shared" si="205"/>
        <v>NO</v>
      </c>
      <c r="AY209" s="444" t="str">
        <f t="shared" si="205"/>
        <v>YES</v>
      </c>
      <c r="AZ209" s="444" t="str">
        <f t="shared" si="205"/>
        <v>YES</v>
      </c>
      <c r="BA209" s="444" t="str">
        <f t="shared" si="205"/>
        <v>NO</v>
      </c>
      <c r="BB209" s="444" t="str">
        <f t="shared" si="205"/>
        <v>NO</v>
      </c>
      <c r="BC209" s="444" t="str">
        <f t="shared" si="206"/>
        <v>NO</v>
      </c>
      <c r="BD209" s="444" t="str">
        <f t="shared" si="206"/>
        <v>NO</v>
      </c>
      <c r="BE209" s="444" t="str">
        <f t="shared" si="206"/>
        <v>YES</v>
      </c>
      <c r="BF209" s="444" t="str">
        <f t="shared" si="206"/>
        <v>YES</v>
      </c>
      <c r="BG209" s="444" t="str">
        <f t="shared" si="206"/>
        <v>YES</v>
      </c>
      <c r="BH209" s="445" t="str">
        <f t="shared" si="206"/>
        <v>NO</v>
      </c>
      <c r="BI209" s="502"/>
      <c r="BJ209" s="474" t="str">
        <f t="shared" si="207"/>
        <v>NO</v>
      </c>
      <c r="BK209" s="475" t="str">
        <f t="shared" si="207"/>
        <v>NO</v>
      </c>
      <c r="BL209" s="475" t="str">
        <f t="shared" si="207"/>
        <v>NO</v>
      </c>
      <c r="BM209" s="475" t="str">
        <f t="shared" si="207"/>
        <v>NO</v>
      </c>
      <c r="BN209" s="475" t="str">
        <f t="shared" si="207"/>
        <v>NO</v>
      </c>
      <c r="BO209" s="475" t="str">
        <f t="shared" si="207"/>
        <v>NO</v>
      </c>
      <c r="BP209" s="475" t="str">
        <f t="shared" si="207"/>
        <v>NO</v>
      </c>
      <c r="BQ209" s="475" t="str">
        <f t="shared" si="207"/>
        <v>NO</v>
      </c>
      <c r="BR209" s="475" t="str">
        <f t="shared" si="207"/>
        <v>NO</v>
      </c>
      <c r="BS209" s="475" t="str">
        <f t="shared" si="207"/>
        <v>NO</v>
      </c>
      <c r="BT209" s="475" t="str">
        <f t="shared" si="208"/>
        <v>NO</v>
      </c>
      <c r="BU209" s="475" t="str">
        <f t="shared" si="208"/>
        <v>NO</v>
      </c>
      <c r="BV209" s="475" t="str">
        <f t="shared" si="208"/>
        <v>NO</v>
      </c>
      <c r="BW209" s="475" t="str">
        <f t="shared" si="208"/>
        <v>NO</v>
      </c>
      <c r="BX209" s="475" t="str">
        <f t="shared" si="208"/>
        <v>NO</v>
      </c>
      <c r="BY209" s="475" t="str">
        <f t="shared" si="208"/>
        <v>NO</v>
      </c>
      <c r="BZ209" s="475" t="str">
        <f t="shared" si="208"/>
        <v>NO</v>
      </c>
      <c r="CA209" s="475" t="str">
        <f t="shared" si="208"/>
        <v>NO</v>
      </c>
      <c r="CB209" s="475" t="str">
        <f t="shared" si="208"/>
        <v>NO</v>
      </c>
      <c r="CC209" s="475" t="str">
        <f t="shared" si="208"/>
        <v>NO</v>
      </c>
      <c r="CD209" s="475" t="str">
        <f t="shared" si="209"/>
        <v>NO</v>
      </c>
      <c r="CE209" s="475" t="str">
        <f t="shared" si="209"/>
        <v>NO</v>
      </c>
      <c r="CF209" s="475" t="str">
        <f t="shared" si="209"/>
        <v>NO</v>
      </c>
      <c r="CG209" s="475" t="str">
        <f t="shared" si="209"/>
        <v>NO</v>
      </c>
      <c r="CH209" s="475" t="str">
        <f t="shared" si="209"/>
        <v>NO</v>
      </c>
      <c r="CI209" s="475" t="str">
        <f t="shared" si="209"/>
        <v>NO</v>
      </c>
      <c r="CJ209" s="475" t="str">
        <f t="shared" si="209"/>
        <v>NO</v>
      </c>
      <c r="CK209" s="475" t="str">
        <f t="shared" si="209"/>
        <v>NO</v>
      </c>
      <c r="CL209" s="475" t="str">
        <f t="shared" si="209"/>
        <v>NO</v>
      </c>
      <c r="CM209" s="475" t="str">
        <f t="shared" si="209"/>
        <v>NO</v>
      </c>
      <c r="CN209" s="475" t="str">
        <f t="shared" si="210"/>
        <v>NO</v>
      </c>
      <c r="CO209" s="475" t="str">
        <f t="shared" si="210"/>
        <v>NO</v>
      </c>
      <c r="CP209" s="475" t="str">
        <f t="shared" si="210"/>
        <v>NO</v>
      </c>
      <c r="CQ209" s="475" t="str">
        <f t="shared" si="210"/>
        <v>NO</v>
      </c>
      <c r="CR209" s="475" t="str">
        <f t="shared" si="210"/>
        <v>NO</v>
      </c>
      <c r="CS209" s="475" t="str">
        <f t="shared" si="210"/>
        <v>NO</v>
      </c>
      <c r="CT209" s="475" t="str">
        <f t="shared" si="210"/>
        <v>NO</v>
      </c>
      <c r="CU209" s="475" t="str">
        <f t="shared" si="210"/>
        <v>NO</v>
      </c>
      <c r="CV209" s="475" t="str">
        <f t="shared" si="210"/>
        <v>NO</v>
      </c>
      <c r="CW209" s="475" t="str">
        <f t="shared" si="210"/>
        <v>NO</v>
      </c>
      <c r="CX209" s="475" t="str">
        <f t="shared" si="210"/>
        <v>NO</v>
      </c>
      <c r="CY209" s="475" t="str">
        <f t="shared" si="210"/>
        <v>NO</v>
      </c>
      <c r="CZ209" s="495" t="str">
        <f t="shared" si="210"/>
        <v>NO</v>
      </c>
      <c r="DA209" s="502"/>
      <c r="DB209" s="460"/>
      <c r="DC209" s="465"/>
      <c r="DD209" s="463" t="s">
        <v>337</v>
      </c>
      <c r="DE209" s="512"/>
      <c r="DF209" s="516"/>
      <c r="DG209" s="508"/>
      <c r="DH209" s="463"/>
      <c r="DI209" s="461"/>
      <c r="DJ209" s="461"/>
      <c r="DK209" s="461"/>
      <c r="DL209" s="464"/>
      <c r="DM209" s="466"/>
      <c r="DN209" s="502"/>
      <c r="DO209" s="460"/>
      <c r="DP209" s="464"/>
      <c r="DQ209" s="464"/>
      <c r="DR209" s="464"/>
      <c r="DS209" s="508"/>
      <c r="DT209" s="525"/>
      <c r="DU209" s="525"/>
      <c r="DV209" s="463"/>
      <c r="DW209" s="464"/>
      <c r="DX209" s="465"/>
      <c r="DY209" s="463"/>
      <c r="DZ209" s="464"/>
      <c r="EA209" s="465"/>
      <c r="EB209" s="463"/>
      <c r="EC209" s="465"/>
      <c r="ED209" s="462"/>
      <c r="EE209" s="502"/>
      <c r="EF209" s="463"/>
      <c r="EG209" s="461"/>
      <c r="EH209" s="464"/>
      <c r="EI209" s="464"/>
      <c r="EJ209" s="464"/>
      <c r="EK209" s="464"/>
      <c r="EL209" s="464"/>
      <c r="EM209" s="464"/>
      <c r="EN209" s="464"/>
      <c r="EO209" s="464"/>
      <c r="EP209" s="464"/>
      <c r="EQ209" s="464"/>
      <c r="ER209" s="464"/>
      <c r="ES209" s="464"/>
      <c r="ET209" s="464"/>
      <c r="EU209" s="464"/>
      <c r="EV209" s="464"/>
      <c r="EW209" s="465"/>
      <c r="EX209" s="465"/>
      <c r="EY209" s="502"/>
      <c r="EZ209" s="460"/>
      <c r="FA209" s="464"/>
      <c r="FB209" s="464"/>
      <c r="FC209" s="464"/>
      <c r="FD209" s="464"/>
      <c r="FE209" s="464"/>
      <c r="FF209" s="464"/>
      <c r="FG209" s="466"/>
    </row>
    <row r="210" spans="1:163">
      <c r="A210" s="467" t="s">
        <v>405</v>
      </c>
      <c r="B210" s="471" t="s">
        <v>402</v>
      </c>
      <c r="C210" s="504">
        <v>45630</v>
      </c>
      <c r="D210" s="502"/>
      <c r="E210" s="443" t="str">
        <f t="shared" si="201"/>
        <v>NO</v>
      </c>
      <c r="F210" s="444" t="str">
        <f t="shared" si="201"/>
        <v>NO</v>
      </c>
      <c r="G210" s="444" t="str">
        <f t="shared" si="201"/>
        <v>NO</v>
      </c>
      <c r="H210" s="444" t="str">
        <f t="shared" si="201"/>
        <v>YES</v>
      </c>
      <c r="I210" s="444" t="str">
        <f t="shared" si="201"/>
        <v>YES</v>
      </c>
      <c r="J210" s="444" t="str">
        <f t="shared" si="201"/>
        <v>YES</v>
      </c>
      <c r="K210" s="444" t="str">
        <f t="shared" si="201"/>
        <v>NO</v>
      </c>
      <c r="L210" s="444" t="str">
        <f t="shared" si="201"/>
        <v>NO</v>
      </c>
      <c r="M210" s="444" t="str">
        <f t="shared" si="201"/>
        <v>NO</v>
      </c>
      <c r="N210" s="444" t="str">
        <f t="shared" si="201"/>
        <v>NO</v>
      </c>
      <c r="O210" s="444" t="str">
        <f t="shared" si="202"/>
        <v>NO</v>
      </c>
      <c r="P210" s="444" t="str">
        <f t="shared" si="202"/>
        <v>NO</v>
      </c>
      <c r="Q210" s="444" t="str">
        <f t="shared" si="202"/>
        <v>NO</v>
      </c>
      <c r="R210" s="444" t="str">
        <f t="shared" si="202"/>
        <v>NO</v>
      </c>
      <c r="S210" s="444" t="str">
        <f t="shared" si="202"/>
        <v>NO</v>
      </c>
      <c r="T210" s="444" t="str">
        <f t="shared" si="202"/>
        <v>NO</v>
      </c>
      <c r="U210" s="444" t="str">
        <f t="shared" si="202"/>
        <v>NO</v>
      </c>
      <c r="V210" s="444" t="str">
        <f t="shared" si="202"/>
        <v>NO</v>
      </c>
      <c r="W210" s="444" t="str">
        <f t="shared" si="202"/>
        <v>NO</v>
      </c>
      <c r="X210" s="444" t="str">
        <f t="shared" si="202"/>
        <v>NO</v>
      </c>
      <c r="Y210" s="444" t="str">
        <f t="shared" si="203"/>
        <v>NO</v>
      </c>
      <c r="Z210" s="444" t="str">
        <f t="shared" si="203"/>
        <v>NO</v>
      </c>
      <c r="AA210" s="444" t="str">
        <f t="shared" si="203"/>
        <v>NO</v>
      </c>
      <c r="AB210" s="444" t="str">
        <f t="shared" si="203"/>
        <v>NO</v>
      </c>
      <c r="AC210" s="444" t="str">
        <f t="shared" si="203"/>
        <v>NO</v>
      </c>
      <c r="AD210" s="444" t="str">
        <f t="shared" si="203"/>
        <v>NO</v>
      </c>
      <c r="AE210" s="444" t="str">
        <f t="shared" si="203"/>
        <v>NO</v>
      </c>
      <c r="AF210" s="444" t="str">
        <f t="shared" si="203"/>
        <v>NO</v>
      </c>
      <c r="AG210" s="444" t="str">
        <f t="shared" si="203"/>
        <v>NO</v>
      </c>
      <c r="AH210" s="444" t="str">
        <f t="shared" si="203"/>
        <v>NO</v>
      </c>
      <c r="AI210" s="444" t="str">
        <f t="shared" si="204"/>
        <v>NO</v>
      </c>
      <c r="AJ210" s="444" t="str">
        <f t="shared" si="204"/>
        <v>YES</v>
      </c>
      <c r="AK210" s="444" t="str">
        <f t="shared" si="204"/>
        <v>NO</v>
      </c>
      <c r="AL210" s="444" t="str">
        <f t="shared" si="204"/>
        <v>YES</v>
      </c>
      <c r="AM210" s="444" t="str">
        <f t="shared" si="204"/>
        <v>NO</v>
      </c>
      <c r="AN210" s="444" t="str">
        <f t="shared" si="204"/>
        <v>NO</v>
      </c>
      <c r="AO210" s="444" t="str">
        <f t="shared" si="204"/>
        <v>NO</v>
      </c>
      <c r="AP210" s="444" t="str">
        <f t="shared" si="204"/>
        <v>NO</v>
      </c>
      <c r="AQ210" s="444" t="str">
        <f t="shared" si="204"/>
        <v>YES</v>
      </c>
      <c r="AR210" s="444" t="str">
        <f t="shared" si="204"/>
        <v>NO</v>
      </c>
      <c r="AS210" s="444" t="str">
        <f t="shared" si="205"/>
        <v>NO</v>
      </c>
      <c r="AT210" s="444" t="str">
        <f t="shared" si="205"/>
        <v>DEP</v>
      </c>
      <c r="AU210" s="444" t="str">
        <f t="shared" si="205"/>
        <v>DEP</v>
      </c>
      <c r="AV210" s="444" t="str">
        <f t="shared" si="205"/>
        <v>DEP</v>
      </c>
      <c r="AW210" s="444" t="str">
        <f t="shared" si="205"/>
        <v>DEP</v>
      </c>
      <c r="AX210" s="444" t="str">
        <f t="shared" si="205"/>
        <v>NO</v>
      </c>
      <c r="AY210" s="444" t="str">
        <f t="shared" si="205"/>
        <v>YES</v>
      </c>
      <c r="AZ210" s="444" t="str">
        <f t="shared" si="205"/>
        <v>DEP</v>
      </c>
      <c r="BA210" s="444" t="str">
        <f t="shared" si="205"/>
        <v>NO</v>
      </c>
      <c r="BB210" s="444" t="str">
        <f t="shared" si="205"/>
        <v>NO</v>
      </c>
      <c r="BC210" s="444" t="str">
        <f t="shared" si="206"/>
        <v>NO</v>
      </c>
      <c r="BD210" s="444" t="str">
        <f t="shared" si="206"/>
        <v>NO</v>
      </c>
      <c r="BE210" s="444" t="str">
        <f t="shared" si="206"/>
        <v>YES</v>
      </c>
      <c r="BF210" s="444" t="str">
        <f t="shared" si="206"/>
        <v>YES</v>
      </c>
      <c r="BG210" s="444" t="str">
        <f t="shared" si="206"/>
        <v>YES</v>
      </c>
      <c r="BH210" s="445" t="str">
        <f t="shared" si="206"/>
        <v>NO</v>
      </c>
      <c r="BI210" s="502"/>
      <c r="BJ210" s="474" t="str">
        <f t="shared" si="207"/>
        <v>NO</v>
      </c>
      <c r="BK210" s="475" t="str">
        <f t="shared" si="207"/>
        <v>NO</v>
      </c>
      <c r="BL210" s="475" t="str">
        <f t="shared" si="207"/>
        <v>NO</v>
      </c>
      <c r="BM210" s="475" t="str">
        <f t="shared" si="207"/>
        <v>NO</v>
      </c>
      <c r="BN210" s="475" t="str">
        <f t="shared" si="207"/>
        <v>NO</v>
      </c>
      <c r="BO210" s="475" t="str">
        <f t="shared" si="207"/>
        <v>NO</v>
      </c>
      <c r="BP210" s="475" t="str">
        <f t="shared" si="207"/>
        <v>NO</v>
      </c>
      <c r="BQ210" s="475" t="str">
        <f t="shared" si="207"/>
        <v>NO</v>
      </c>
      <c r="BR210" s="475" t="str">
        <f t="shared" si="207"/>
        <v>NO</v>
      </c>
      <c r="BS210" s="475" t="str">
        <f t="shared" si="207"/>
        <v>NO</v>
      </c>
      <c r="BT210" s="475" t="str">
        <f t="shared" si="208"/>
        <v>NO</v>
      </c>
      <c r="BU210" s="475" t="str">
        <f t="shared" si="208"/>
        <v>NO</v>
      </c>
      <c r="BV210" s="475" t="str">
        <f t="shared" si="208"/>
        <v>NO</v>
      </c>
      <c r="BW210" s="475" t="str">
        <f t="shared" si="208"/>
        <v>NO</v>
      </c>
      <c r="BX210" s="475" t="str">
        <f t="shared" si="208"/>
        <v>NO</v>
      </c>
      <c r="BY210" s="475" t="str">
        <f t="shared" si="208"/>
        <v>NO</v>
      </c>
      <c r="BZ210" s="475" t="str">
        <f t="shared" si="208"/>
        <v>NO</v>
      </c>
      <c r="CA210" s="475" t="str">
        <f t="shared" si="208"/>
        <v>NO</v>
      </c>
      <c r="CB210" s="475" t="str">
        <f t="shared" si="208"/>
        <v>NO</v>
      </c>
      <c r="CC210" s="475" t="str">
        <f t="shared" si="208"/>
        <v>NO</v>
      </c>
      <c r="CD210" s="475" t="str">
        <f t="shared" si="209"/>
        <v>NO</v>
      </c>
      <c r="CE210" s="475" t="str">
        <f t="shared" si="209"/>
        <v>NO</v>
      </c>
      <c r="CF210" s="475" t="str">
        <f t="shared" si="209"/>
        <v>NO</v>
      </c>
      <c r="CG210" s="475" t="str">
        <f t="shared" si="209"/>
        <v>NO</v>
      </c>
      <c r="CH210" s="475" t="str">
        <f t="shared" si="209"/>
        <v>NO</v>
      </c>
      <c r="CI210" s="475" t="str">
        <f t="shared" si="209"/>
        <v>NO</v>
      </c>
      <c r="CJ210" s="475" t="str">
        <f t="shared" si="209"/>
        <v>NO</v>
      </c>
      <c r="CK210" s="475" t="str">
        <f t="shared" si="209"/>
        <v>NO</v>
      </c>
      <c r="CL210" s="475" t="str">
        <f t="shared" si="209"/>
        <v>NO</v>
      </c>
      <c r="CM210" s="475" t="str">
        <f t="shared" si="209"/>
        <v>NO</v>
      </c>
      <c r="CN210" s="475" t="str">
        <f t="shared" si="210"/>
        <v>NO</v>
      </c>
      <c r="CO210" s="475" t="str">
        <f t="shared" si="210"/>
        <v>NO</v>
      </c>
      <c r="CP210" s="475" t="str">
        <f t="shared" si="210"/>
        <v>NO</v>
      </c>
      <c r="CQ210" s="475" t="str">
        <f t="shared" si="210"/>
        <v>NO</v>
      </c>
      <c r="CR210" s="475" t="str">
        <f t="shared" si="210"/>
        <v>NO</v>
      </c>
      <c r="CS210" s="475" t="str">
        <f t="shared" si="210"/>
        <v>NO</v>
      </c>
      <c r="CT210" s="475" t="str">
        <f t="shared" si="210"/>
        <v>NO</v>
      </c>
      <c r="CU210" s="475" t="str">
        <f t="shared" si="210"/>
        <v>NO</v>
      </c>
      <c r="CV210" s="475" t="str">
        <f t="shared" si="210"/>
        <v>NO</v>
      </c>
      <c r="CW210" s="475" t="str">
        <f t="shared" si="210"/>
        <v>NO</v>
      </c>
      <c r="CX210" s="475" t="str">
        <f t="shared" si="210"/>
        <v>NO</v>
      </c>
      <c r="CY210" s="475" t="str">
        <f t="shared" si="210"/>
        <v>NO</v>
      </c>
      <c r="CZ210" s="495" t="str">
        <f t="shared" si="210"/>
        <v>NO</v>
      </c>
      <c r="DA210" s="502"/>
      <c r="DB210" s="460"/>
      <c r="DC210" s="465"/>
      <c r="DD210" s="463"/>
      <c r="DE210" s="512"/>
      <c r="DF210" s="516"/>
      <c r="DG210" s="508"/>
      <c r="DH210" s="463"/>
      <c r="DI210" s="461"/>
      <c r="DJ210" s="461"/>
      <c r="DK210" s="461"/>
      <c r="DL210" s="464"/>
      <c r="DM210" s="466"/>
      <c r="DN210" s="502"/>
      <c r="DO210" s="460"/>
      <c r="DP210" s="464"/>
      <c r="DQ210" s="464"/>
      <c r="DR210" s="464"/>
      <c r="DS210" s="508"/>
      <c r="DT210" s="525"/>
      <c r="DU210" s="525"/>
      <c r="DV210" s="463"/>
      <c r="DW210" s="464"/>
      <c r="DX210" s="465"/>
      <c r="DY210" s="463"/>
      <c r="DZ210" s="464"/>
      <c r="EA210" s="465"/>
      <c r="EB210" s="463"/>
      <c r="EC210" s="465"/>
      <c r="ED210" s="462"/>
      <c r="EE210" s="502"/>
      <c r="EF210" s="463"/>
      <c r="EG210" s="461"/>
      <c r="EH210" s="464"/>
      <c r="EI210" s="464"/>
      <c r="EJ210" s="464"/>
      <c r="EK210" s="464"/>
      <c r="EL210" s="464"/>
      <c r="EM210" s="464"/>
      <c r="EN210" s="464"/>
      <c r="EO210" s="464"/>
      <c r="EP210" s="464"/>
      <c r="EQ210" s="464"/>
      <c r="ER210" s="464"/>
      <c r="ES210" s="464"/>
      <c r="ET210" s="464"/>
      <c r="EU210" s="464"/>
      <c r="EV210" s="464"/>
      <c r="EW210" s="465"/>
      <c r="EX210" s="465"/>
      <c r="EY210" s="502"/>
      <c r="EZ210" s="460"/>
      <c r="FA210" s="464"/>
      <c r="FB210" s="464"/>
      <c r="FC210" s="464"/>
      <c r="FD210" s="464"/>
      <c r="FE210" s="464"/>
      <c r="FF210" s="464"/>
      <c r="FG210" s="466"/>
    </row>
    <row r="211" spans="1:163">
      <c r="A211" s="467" t="s">
        <v>406</v>
      </c>
      <c r="B211" s="471" t="s">
        <v>402</v>
      </c>
      <c r="C211" s="504">
        <v>45630</v>
      </c>
      <c r="D211" s="502"/>
      <c r="E211" s="443" t="str">
        <f t="shared" si="201"/>
        <v>NO</v>
      </c>
      <c r="F211" s="444" t="str">
        <f t="shared" si="201"/>
        <v>NO</v>
      </c>
      <c r="G211" s="444" t="str">
        <f t="shared" si="201"/>
        <v>YES</v>
      </c>
      <c r="H211" s="444" t="str">
        <f t="shared" si="201"/>
        <v>YES</v>
      </c>
      <c r="I211" s="444" t="str">
        <f t="shared" si="201"/>
        <v>YES</v>
      </c>
      <c r="J211" s="444" t="str">
        <f t="shared" si="201"/>
        <v>YES</v>
      </c>
      <c r="K211" s="444" t="str">
        <f t="shared" si="201"/>
        <v>NO</v>
      </c>
      <c r="L211" s="444" t="str">
        <f t="shared" si="201"/>
        <v>NO</v>
      </c>
      <c r="M211" s="444" t="str">
        <f t="shared" si="201"/>
        <v>NO</v>
      </c>
      <c r="N211" s="444" t="str">
        <f t="shared" si="201"/>
        <v>NO</v>
      </c>
      <c r="O211" s="444" t="str">
        <f t="shared" si="202"/>
        <v>NO</v>
      </c>
      <c r="P211" s="444" t="str">
        <f t="shared" si="202"/>
        <v>NO</v>
      </c>
      <c r="Q211" s="444" t="str">
        <f t="shared" si="202"/>
        <v>NO</v>
      </c>
      <c r="R211" s="444" t="str">
        <f t="shared" si="202"/>
        <v>NO</v>
      </c>
      <c r="S211" s="444" t="str">
        <f t="shared" si="202"/>
        <v>NO</v>
      </c>
      <c r="T211" s="444" t="str">
        <f t="shared" si="202"/>
        <v>DEP</v>
      </c>
      <c r="U211" s="444" t="str">
        <f t="shared" si="202"/>
        <v>NO</v>
      </c>
      <c r="V211" s="444" t="str">
        <f t="shared" si="202"/>
        <v>NO</v>
      </c>
      <c r="W211" s="444" t="str">
        <f t="shared" si="202"/>
        <v>DEP</v>
      </c>
      <c r="X211" s="444" t="str">
        <f t="shared" si="202"/>
        <v>NO</v>
      </c>
      <c r="Y211" s="444" t="str">
        <f t="shared" si="203"/>
        <v>DEP</v>
      </c>
      <c r="Z211" s="444" t="str">
        <f t="shared" si="203"/>
        <v>NO</v>
      </c>
      <c r="AA211" s="444" t="str">
        <f t="shared" si="203"/>
        <v>NO</v>
      </c>
      <c r="AB211" s="444" t="str">
        <f t="shared" si="203"/>
        <v>NO</v>
      </c>
      <c r="AC211" s="444" t="str">
        <f t="shared" si="203"/>
        <v>NO</v>
      </c>
      <c r="AD211" s="444" t="str">
        <f t="shared" si="203"/>
        <v>NO</v>
      </c>
      <c r="AE211" s="444" t="str">
        <f t="shared" si="203"/>
        <v>NO</v>
      </c>
      <c r="AF211" s="444" t="str">
        <f t="shared" si="203"/>
        <v>NO</v>
      </c>
      <c r="AG211" s="444" t="str">
        <f t="shared" si="203"/>
        <v>NO</v>
      </c>
      <c r="AH211" s="444" t="str">
        <f t="shared" si="203"/>
        <v>NO</v>
      </c>
      <c r="AI211" s="444" t="str">
        <f t="shared" si="204"/>
        <v>NO</v>
      </c>
      <c r="AJ211" s="444" t="str">
        <f t="shared" si="204"/>
        <v>NO</v>
      </c>
      <c r="AK211" s="444" t="str">
        <f t="shared" si="204"/>
        <v>NO</v>
      </c>
      <c r="AL211" s="444" t="str">
        <f t="shared" si="204"/>
        <v>NO</v>
      </c>
      <c r="AM211" s="444" t="str">
        <f t="shared" si="204"/>
        <v>NO</v>
      </c>
      <c r="AN211" s="444" t="str">
        <f t="shared" si="204"/>
        <v>NO</v>
      </c>
      <c r="AO211" s="444" t="str">
        <f t="shared" si="204"/>
        <v>NO</v>
      </c>
      <c r="AP211" s="444" t="str">
        <f t="shared" si="204"/>
        <v>NO</v>
      </c>
      <c r="AQ211" s="444" t="str">
        <f t="shared" si="204"/>
        <v>NO</v>
      </c>
      <c r="AR211" s="444" t="str">
        <f t="shared" si="204"/>
        <v>NO</v>
      </c>
      <c r="AS211" s="444" t="str">
        <f t="shared" si="205"/>
        <v>NO</v>
      </c>
      <c r="AT211" s="444" t="str">
        <f t="shared" si="205"/>
        <v>DEP</v>
      </c>
      <c r="AU211" s="444" t="str">
        <f t="shared" si="205"/>
        <v>DEP</v>
      </c>
      <c r="AV211" s="444" t="str">
        <f t="shared" si="205"/>
        <v>DEP</v>
      </c>
      <c r="AW211" s="444" t="str">
        <f t="shared" si="205"/>
        <v>DEP</v>
      </c>
      <c r="AX211" s="444" t="str">
        <f t="shared" si="205"/>
        <v>DEP</v>
      </c>
      <c r="AY211" s="444" t="str">
        <f t="shared" si="205"/>
        <v>YES</v>
      </c>
      <c r="AZ211" s="444" t="str">
        <f t="shared" si="205"/>
        <v>DEP</v>
      </c>
      <c r="BA211" s="444" t="str">
        <f t="shared" si="205"/>
        <v>DEP</v>
      </c>
      <c r="BB211" s="444" t="str">
        <f t="shared" si="205"/>
        <v>DEP</v>
      </c>
      <c r="BC211" s="444" t="str">
        <f t="shared" si="206"/>
        <v>NO</v>
      </c>
      <c r="BD211" s="444" t="str">
        <f t="shared" si="206"/>
        <v>NO</v>
      </c>
      <c r="BE211" s="444" t="str">
        <f t="shared" si="206"/>
        <v>YES</v>
      </c>
      <c r="BF211" s="444" t="str">
        <f t="shared" si="206"/>
        <v>YES</v>
      </c>
      <c r="BG211" s="444" t="str">
        <f t="shared" si="206"/>
        <v>YES</v>
      </c>
      <c r="BH211" s="445" t="str">
        <f t="shared" si="206"/>
        <v>YES</v>
      </c>
      <c r="BI211" s="502"/>
      <c r="BJ211" s="474" t="str">
        <f t="shared" si="207"/>
        <v>NO</v>
      </c>
      <c r="BK211" s="475" t="str">
        <f t="shared" si="207"/>
        <v>NO</v>
      </c>
      <c r="BL211" s="475" t="str">
        <f t="shared" si="207"/>
        <v>NO</v>
      </c>
      <c r="BM211" s="475" t="str">
        <f t="shared" si="207"/>
        <v>NO</v>
      </c>
      <c r="BN211" s="475" t="str">
        <f t="shared" si="207"/>
        <v>NO</v>
      </c>
      <c r="BO211" s="475" t="str">
        <f t="shared" si="207"/>
        <v>NO</v>
      </c>
      <c r="BP211" s="475" t="str">
        <f t="shared" si="207"/>
        <v>NO</v>
      </c>
      <c r="BQ211" s="475" t="str">
        <f t="shared" si="207"/>
        <v>NO</v>
      </c>
      <c r="BR211" s="475" t="str">
        <f t="shared" si="207"/>
        <v>NO</v>
      </c>
      <c r="BS211" s="475" t="str">
        <f t="shared" si="207"/>
        <v>NO</v>
      </c>
      <c r="BT211" s="475" t="str">
        <f t="shared" si="208"/>
        <v>NO</v>
      </c>
      <c r="BU211" s="475" t="str">
        <f t="shared" si="208"/>
        <v>NO</v>
      </c>
      <c r="BV211" s="475" t="str">
        <f t="shared" si="208"/>
        <v>NO</v>
      </c>
      <c r="BW211" s="475" t="str">
        <f t="shared" si="208"/>
        <v>NO</v>
      </c>
      <c r="BX211" s="475" t="str">
        <f t="shared" si="208"/>
        <v>NO</v>
      </c>
      <c r="BY211" s="475" t="str">
        <f t="shared" si="208"/>
        <v>NO</v>
      </c>
      <c r="BZ211" s="475" t="str">
        <f t="shared" si="208"/>
        <v>NO</v>
      </c>
      <c r="CA211" s="475" t="str">
        <f t="shared" si="208"/>
        <v>NO</v>
      </c>
      <c r="CB211" s="475" t="str">
        <f t="shared" si="208"/>
        <v>NO</v>
      </c>
      <c r="CC211" s="475" t="str">
        <f t="shared" si="208"/>
        <v>NO</v>
      </c>
      <c r="CD211" s="475" t="str">
        <f t="shared" si="209"/>
        <v>NO</v>
      </c>
      <c r="CE211" s="475" t="str">
        <f t="shared" si="209"/>
        <v>NO</v>
      </c>
      <c r="CF211" s="475" t="str">
        <f t="shared" si="209"/>
        <v>NO</v>
      </c>
      <c r="CG211" s="475" t="str">
        <f t="shared" si="209"/>
        <v>NO</v>
      </c>
      <c r="CH211" s="475" t="str">
        <f t="shared" si="209"/>
        <v>NO</v>
      </c>
      <c r="CI211" s="475" t="str">
        <f t="shared" si="209"/>
        <v>NO</v>
      </c>
      <c r="CJ211" s="475" t="str">
        <f t="shared" si="209"/>
        <v>NO</v>
      </c>
      <c r="CK211" s="475" t="str">
        <f t="shared" si="209"/>
        <v>NO</v>
      </c>
      <c r="CL211" s="475" t="str">
        <f t="shared" si="209"/>
        <v>NO</v>
      </c>
      <c r="CM211" s="475" t="str">
        <f t="shared" si="209"/>
        <v>NO</v>
      </c>
      <c r="CN211" s="475" t="str">
        <f t="shared" si="210"/>
        <v>NO</v>
      </c>
      <c r="CO211" s="475" t="str">
        <f t="shared" si="210"/>
        <v>NO</v>
      </c>
      <c r="CP211" s="475" t="str">
        <f t="shared" si="210"/>
        <v>NO</v>
      </c>
      <c r="CQ211" s="475" t="str">
        <f t="shared" si="210"/>
        <v>NO</v>
      </c>
      <c r="CR211" s="475" t="str">
        <f t="shared" si="210"/>
        <v>NO</v>
      </c>
      <c r="CS211" s="475" t="str">
        <f t="shared" si="210"/>
        <v>NO</v>
      </c>
      <c r="CT211" s="475" t="str">
        <f t="shared" si="210"/>
        <v>NO</v>
      </c>
      <c r="CU211" s="475" t="str">
        <f t="shared" si="210"/>
        <v>NO</v>
      </c>
      <c r="CV211" s="475" t="str">
        <f t="shared" si="210"/>
        <v>NO</v>
      </c>
      <c r="CW211" s="475" t="str">
        <f t="shared" si="210"/>
        <v>NO</v>
      </c>
      <c r="CX211" s="475" t="str">
        <f t="shared" si="210"/>
        <v>NO</v>
      </c>
      <c r="CY211" s="475" t="str">
        <f t="shared" si="210"/>
        <v>NO</v>
      </c>
      <c r="CZ211" s="495" t="str">
        <f t="shared" si="210"/>
        <v>NO</v>
      </c>
      <c r="DA211" s="502"/>
      <c r="DB211" s="460"/>
      <c r="DC211" s="465"/>
      <c r="DD211" s="463"/>
      <c r="DE211" s="512"/>
      <c r="DF211" s="516"/>
      <c r="DG211" s="508"/>
      <c r="DH211" s="463"/>
      <c r="DI211" s="461"/>
      <c r="DJ211" s="461"/>
      <c r="DK211" s="461"/>
      <c r="DL211" s="464"/>
      <c r="DM211" s="466"/>
      <c r="DN211" s="502"/>
      <c r="DO211" s="460" t="s">
        <v>339</v>
      </c>
      <c r="DP211" s="464"/>
      <c r="DQ211" s="464"/>
      <c r="DR211" s="464"/>
      <c r="DS211" s="508"/>
      <c r="DT211" s="525"/>
      <c r="DU211" s="525"/>
      <c r="DV211" s="463"/>
      <c r="DW211" s="464"/>
      <c r="DX211" s="465"/>
      <c r="DY211" s="463"/>
      <c r="DZ211" s="464"/>
      <c r="EA211" s="465"/>
      <c r="EB211" s="463"/>
      <c r="EC211" s="465"/>
      <c r="ED211" s="462"/>
      <c r="EE211" s="502"/>
      <c r="EF211" s="463"/>
      <c r="EG211" s="461"/>
      <c r="EH211" s="464"/>
      <c r="EI211" s="464"/>
      <c r="EJ211" s="464"/>
      <c r="EK211" s="464"/>
      <c r="EL211" s="464"/>
      <c r="EM211" s="464"/>
      <c r="EN211" s="464"/>
      <c r="EO211" s="464"/>
      <c r="EP211" s="464"/>
      <c r="EQ211" s="464"/>
      <c r="ER211" s="464"/>
      <c r="ES211" s="464"/>
      <c r="ET211" s="464"/>
      <c r="EU211" s="464"/>
      <c r="EV211" s="464"/>
      <c r="EW211" s="465"/>
      <c r="EX211" s="465"/>
      <c r="EY211" s="502"/>
      <c r="EZ211" s="460"/>
      <c r="FA211" s="464"/>
      <c r="FB211" s="464"/>
      <c r="FC211" s="464"/>
      <c r="FD211" s="464"/>
      <c r="FE211" s="464"/>
      <c r="FF211" s="464"/>
      <c r="FG211" s="466" t="s">
        <v>339</v>
      </c>
    </row>
    <row r="212" spans="1:163">
      <c r="A212" s="467" t="s">
        <v>407</v>
      </c>
      <c r="B212" s="471" t="s">
        <v>402</v>
      </c>
      <c r="C212" s="504">
        <v>45630</v>
      </c>
      <c r="D212" s="502"/>
      <c r="E212" s="443" t="str">
        <f t="shared" ref="E212:N220" si="211" xml:space="preserve">
IFERROR(
_xlfn.IFNA(
   IF($B212="PLT",
      IF(INDEX(PRJGENVersions, MATCH(TRIM(E$1), PRJGENAlgosMapped, 0), MATCH($A212, PRJGENProjects, 0)), "YES", ""),
      IF(INDEX(RoadmapData, MATCH(TRIM(E$1), RoadmapDataFeatures, 0), MATCH($A212, RoadmapDataProjects, 0)) = "-", "-", INDEX(RoadmapData, MATCH(TRIM(E$1), RoadmapDataFeatures, 0), MATCH($A212, RoadmapDataProjects, 0)))),
""),
"")</f>
        <v>NO</v>
      </c>
      <c r="F212" s="444" t="str">
        <f t="shared" si="211"/>
        <v>CAN</v>
      </c>
      <c r="G212" s="444" t="str">
        <f t="shared" si="211"/>
        <v>YES</v>
      </c>
      <c r="H212" s="444" t="str">
        <f t="shared" si="211"/>
        <v>YES</v>
      </c>
      <c r="I212" s="444" t="str">
        <f t="shared" si="211"/>
        <v>YES</v>
      </c>
      <c r="J212" s="444" t="str">
        <f t="shared" si="211"/>
        <v>YES</v>
      </c>
      <c r="K212" s="444" t="str">
        <f t="shared" si="211"/>
        <v>NO</v>
      </c>
      <c r="L212" s="444" t="str">
        <f t="shared" si="211"/>
        <v>NO</v>
      </c>
      <c r="M212" s="444" t="str">
        <f t="shared" si="211"/>
        <v>NO</v>
      </c>
      <c r="N212" s="444" t="str">
        <f t="shared" si="211"/>
        <v>NO</v>
      </c>
      <c r="O212" s="444" t="str">
        <f t="shared" ref="O212:X220" si="212" xml:space="preserve">
IFERROR(
_xlfn.IFNA(
   IF($B212="PLT",
      IF(INDEX(PRJGENVersions, MATCH(TRIM(O$1), PRJGENAlgosMapped, 0), MATCH($A212, PRJGENProjects, 0)), "YES", ""),
      IF(INDEX(RoadmapData, MATCH(TRIM(O$1), RoadmapDataFeatures, 0), MATCH($A212, RoadmapDataProjects, 0)) = "-", "-", INDEX(RoadmapData, MATCH(TRIM(O$1), RoadmapDataFeatures, 0), MATCH($A212, RoadmapDataProjects, 0)))),
""),
"")</f>
        <v>NO</v>
      </c>
      <c r="P212" s="444" t="str">
        <f t="shared" si="212"/>
        <v>DEP</v>
      </c>
      <c r="Q212" s="444" t="str">
        <f t="shared" si="212"/>
        <v>DEP</v>
      </c>
      <c r="R212" s="444" t="str">
        <f t="shared" si="212"/>
        <v>DEP</v>
      </c>
      <c r="S212" s="444" t="str">
        <f t="shared" si="212"/>
        <v>DEP</v>
      </c>
      <c r="T212" s="444" t="str">
        <f t="shared" si="212"/>
        <v>NO</v>
      </c>
      <c r="U212" s="444" t="str">
        <f t="shared" si="212"/>
        <v>NO</v>
      </c>
      <c r="V212" s="444" t="str">
        <f t="shared" si="212"/>
        <v>NO</v>
      </c>
      <c r="W212" s="444" t="str">
        <f t="shared" si="212"/>
        <v>NO</v>
      </c>
      <c r="X212" s="444" t="str">
        <f t="shared" si="212"/>
        <v>YES</v>
      </c>
      <c r="Y212" s="444" t="str">
        <f t="shared" ref="Y212:AH220" si="213" xml:space="preserve">
IFERROR(
_xlfn.IFNA(
   IF($B212="PLT",
      IF(INDEX(PRJGENVersions, MATCH(TRIM(Y$1), PRJGENAlgosMapped, 0), MATCH($A212, PRJGENProjects, 0)), "YES", ""),
      IF(INDEX(RoadmapData, MATCH(TRIM(Y$1), RoadmapDataFeatures, 0), MATCH($A212, RoadmapDataProjects, 0)) = "-", "-", INDEX(RoadmapData, MATCH(TRIM(Y$1), RoadmapDataFeatures, 0), MATCH($A212, RoadmapDataProjects, 0)))),
""),
"")</f>
        <v>DEP</v>
      </c>
      <c r="Z212" s="444" t="str">
        <f t="shared" si="213"/>
        <v>NO</v>
      </c>
      <c r="AA212" s="444" t="str">
        <f t="shared" si="213"/>
        <v>NO</v>
      </c>
      <c r="AB212" s="444" t="str">
        <f t="shared" si="213"/>
        <v>NO</v>
      </c>
      <c r="AC212" s="444" t="str">
        <f t="shared" si="213"/>
        <v>YES</v>
      </c>
      <c r="AD212" s="444" t="str">
        <f t="shared" si="213"/>
        <v>NO</v>
      </c>
      <c r="AE212" s="444" t="str">
        <f t="shared" si="213"/>
        <v>NO</v>
      </c>
      <c r="AF212" s="444" t="str">
        <f t="shared" si="213"/>
        <v>NO</v>
      </c>
      <c r="AG212" s="444" t="str">
        <f t="shared" si="213"/>
        <v>NO</v>
      </c>
      <c r="AH212" s="444" t="str">
        <f t="shared" si="213"/>
        <v>NO</v>
      </c>
      <c r="AI212" s="444" t="str">
        <f t="shared" ref="AI212:AR220" si="214" xml:space="preserve">
IFERROR(
_xlfn.IFNA(
   IF($B212="PLT",
      IF(INDEX(PRJGENVersions, MATCH(TRIM(AI$1), PRJGENAlgosMapped, 0), MATCH($A212, PRJGENProjects, 0)), "YES", ""),
      IF(INDEX(RoadmapData, MATCH(TRIM(AI$1), RoadmapDataFeatures, 0), MATCH($A212, RoadmapDataProjects, 0)) = "-", "-", INDEX(RoadmapData, MATCH(TRIM(AI$1), RoadmapDataFeatures, 0), MATCH($A212, RoadmapDataProjects, 0)))),
""),
"")</f>
        <v>NO</v>
      </c>
      <c r="AJ212" s="444" t="str">
        <f t="shared" si="214"/>
        <v>YES</v>
      </c>
      <c r="AK212" s="444" t="str">
        <f t="shared" si="214"/>
        <v>NO</v>
      </c>
      <c r="AL212" s="444" t="str">
        <f t="shared" si="214"/>
        <v>YES</v>
      </c>
      <c r="AM212" s="444" t="str">
        <f t="shared" si="214"/>
        <v>NO</v>
      </c>
      <c r="AN212" s="444" t="str">
        <f t="shared" si="214"/>
        <v>NO</v>
      </c>
      <c r="AO212" s="444" t="str">
        <f t="shared" si="214"/>
        <v>YES</v>
      </c>
      <c r="AP212" s="444" t="str">
        <f t="shared" si="214"/>
        <v>NO</v>
      </c>
      <c r="AQ212" s="444" t="str">
        <f t="shared" si="214"/>
        <v>NO</v>
      </c>
      <c r="AR212" s="444" t="str">
        <f t="shared" si="214"/>
        <v>NO</v>
      </c>
      <c r="AS212" s="444" t="str">
        <f t="shared" ref="AS212:BB220" si="215" xml:space="preserve">
IFERROR(
_xlfn.IFNA(
   IF($B212="PLT",
      IF(INDEX(PRJGENVersions, MATCH(TRIM(AS$1), PRJGENAlgosMapped, 0), MATCH($A212, PRJGENProjects, 0)), "YES", ""),
      IF(INDEX(RoadmapData, MATCH(TRIM(AS$1), RoadmapDataFeatures, 0), MATCH($A212, RoadmapDataProjects, 0)) = "-", "-", INDEX(RoadmapData, MATCH(TRIM(AS$1), RoadmapDataFeatures, 0), MATCH($A212, RoadmapDataProjects, 0)))),
""),
"")</f>
        <v>NO</v>
      </c>
      <c r="AT212" s="444" t="str">
        <f t="shared" si="215"/>
        <v>DEP</v>
      </c>
      <c r="AU212" s="444" t="str">
        <f t="shared" si="215"/>
        <v>DEP</v>
      </c>
      <c r="AV212" s="444" t="str">
        <f t="shared" si="215"/>
        <v>DEP</v>
      </c>
      <c r="AW212" s="444" t="str">
        <f t="shared" si="215"/>
        <v>NO</v>
      </c>
      <c r="AX212" s="444" t="str">
        <f t="shared" si="215"/>
        <v>DEP</v>
      </c>
      <c r="AY212" s="444" t="str">
        <f t="shared" si="215"/>
        <v>YES</v>
      </c>
      <c r="AZ212" s="444" t="str">
        <f t="shared" si="215"/>
        <v>DEP</v>
      </c>
      <c r="BA212" s="444" t="str">
        <f t="shared" si="215"/>
        <v>DEP</v>
      </c>
      <c r="BB212" s="444" t="str">
        <f t="shared" si="215"/>
        <v>DEP</v>
      </c>
      <c r="BC212" s="444" t="str">
        <f t="shared" ref="BC212:BH220" si="216" xml:space="preserve">
IFERROR(
_xlfn.IFNA(
   IF($B212="PLT",
      IF(INDEX(PRJGENVersions, MATCH(TRIM(BC$1), PRJGENAlgosMapped, 0), MATCH($A212, PRJGENProjects, 0)), "YES", ""),
      IF(INDEX(RoadmapData, MATCH(TRIM(BC$1), RoadmapDataFeatures, 0), MATCH($A212, RoadmapDataProjects, 0)) = "-", "-", INDEX(RoadmapData, MATCH(TRIM(BC$1), RoadmapDataFeatures, 0), MATCH($A212, RoadmapDataProjects, 0)))),
""),
"")</f>
        <v>NO</v>
      </c>
      <c r="BD212" s="444" t="str">
        <f t="shared" si="216"/>
        <v>NO</v>
      </c>
      <c r="BE212" s="444" t="str">
        <f t="shared" si="216"/>
        <v>YES</v>
      </c>
      <c r="BF212" s="444" t="str">
        <f t="shared" si="216"/>
        <v>YES</v>
      </c>
      <c r="BG212" s="444" t="str">
        <f t="shared" si="216"/>
        <v>NO</v>
      </c>
      <c r="BH212" s="445" t="str">
        <f t="shared" si="216"/>
        <v>YES</v>
      </c>
      <c r="BI212" s="502"/>
      <c r="BJ212" s="474" t="str">
        <f t="shared" si="207"/>
        <v>NO</v>
      </c>
      <c r="BK212" s="475" t="str">
        <f t="shared" si="207"/>
        <v>NO</v>
      </c>
      <c r="BL212" s="475" t="str">
        <f t="shared" si="207"/>
        <v>NO</v>
      </c>
      <c r="BM212" s="475" t="str">
        <f t="shared" si="207"/>
        <v>NO</v>
      </c>
      <c r="BN212" s="475" t="str">
        <f t="shared" si="207"/>
        <v>NO</v>
      </c>
      <c r="BO212" s="475" t="str">
        <f t="shared" si="207"/>
        <v>NO</v>
      </c>
      <c r="BP212" s="475" t="str">
        <f t="shared" si="207"/>
        <v>NO</v>
      </c>
      <c r="BQ212" s="475" t="str">
        <f t="shared" si="207"/>
        <v>NO</v>
      </c>
      <c r="BR212" s="475" t="str">
        <f t="shared" si="207"/>
        <v>NO</v>
      </c>
      <c r="BS212" s="475" t="str">
        <f t="shared" si="207"/>
        <v>NO</v>
      </c>
      <c r="BT212" s="475" t="str">
        <f t="shared" si="208"/>
        <v>NO</v>
      </c>
      <c r="BU212" s="475" t="str">
        <f t="shared" si="208"/>
        <v>NO</v>
      </c>
      <c r="BV212" s="475" t="str">
        <f t="shared" si="208"/>
        <v>NO</v>
      </c>
      <c r="BW212" s="475" t="str">
        <f t="shared" si="208"/>
        <v>NO</v>
      </c>
      <c r="BX212" s="475" t="str">
        <f t="shared" si="208"/>
        <v>NO</v>
      </c>
      <c r="BY212" s="475" t="str">
        <f t="shared" si="208"/>
        <v>NO</v>
      </c>
      <c r="BZ212" s="475" t="str">
        <f t="shared" si="208"/>
        <v>NO</v>
      </c>
      <c r="CA212" s="475" t="str">
        <f t="shared" si="208"/>
        <v>NO</v>
      </c>
      <c r="CB212" s="475" t="str">
        <f t="shared" si="208"/>
        <v>NO</v>
      </c>
      <c r="CC212" s="475" t="str">
        <f t="shared" si="208"/>
        <v>NO</v>
      </c>
      <c r="CD212" s="475" t="str">
        <f t="shared" si="209"/>
        <v>NO</v>
      </c>
      <c r="CE212" s="475" t="str">
        <f t="shared" si="209"/>
        <v>NO</v>
      </c>
      <c r="CF212" s="475" t="str">
        <f t="shared" si="209"/>
        <v>NO</v>
      </c>
      <c r="CG212" s="475" t="str">
        <f t="shared" si="209"/>
        <v>NO</v>
      </c>
      <c r="CH212" s="475" t="str">
        <f t="shared" si="209"/>
        <v>NO</v>
      </c>
      <c r="CI212" s="475" t="str">
        <f t="shared" si="209"/>
        <v>NO</v>
      </c>
      <c r="CJ212" s="475" t="str">
        <f t="shared" si="209"/>
        <v>NO</v>
      </c>
      <c r="CK212" s="475" t="str">
        <f t="shared" si="209"/>
        <v>NO</v>
      </c>
      <c r="CL212" s="475" t="str">
        <f t="shared" si="209"/>
        <v>NO</v>
      </c>
      <c r="CM212" s="475" t="str">
        <f t="shared" si="209"/>
        <v>NO</v>
      </c>
      <c r="CN212" s="475" t="str">
        <f t="shared" si="210"/>
        <v>NO</v>
      </c>
      <c r="CO212" s="475" t="str">
        <f t="shared" si="210"/>
        <v>NO</v>
      </c>
      <c r="CP212" s="475" t="str">
        <f t="shared" si="210"/>
        <v>NO</v>
      </c>
      <c r="CQ212" s="475" t="str">
        <f t="shared" si="210"/>
        <v>NO</v>
      </c>
      <c r="CR212" s="475" t="str">
        <f t="shared" si="210"/>
        <v>NO</v>
      </c>
      <c r="CS212" s="475" t="str">
        <f t="shared" si="210"/>
        <v>NO</v>
      </c>
      <c r="CT212" s="475" t="str">
        <f t="shared" si="210"/>
        <v>NO</v>
      </c>
      <c r="CU212" s="475" t="str">
        <f t="shared" si="210"/>
        <v>NO</v>
      </c>
      <c r="CV212" s="475" t="str">
        <f t="shared" si="210"/>
        <v>NO</v>
      </c>
      <c r="CW212" s="475" t="str">
        <f t="shared" si="210"/>
        <v>NO</v>
      </c>
      <c r="CX212" s="475" t="str">
        <f t="shared" si="210"/>
        <v>NO</v>
      </c>
      <c r="CY212" s="475" t="str">
        <f t="shared" si="210"/>
        <v>NO</v>
      </c>
      <c r="CZ212" s="495" t="str">
        <f t="shared" si="210"/>
        <v>NO</v>
      </c>
      <c r="DA212" s="502"/>
      <c r="DB212" s="460">
        <v>2</v>
      </c>
      <c r="DC212" s="465">
        <v>3.1</v>
      </c>
      <c r="DD212" s="463"/>
      <c r="DE212" s="513" t="s">
        <v>338</v>
      </c>
      <c r="DF212" s="517"/>
      <c r="DG212" s="508"/>
      <c r="DH212" s="463"/>
      <c r="DI212" s="461"/>
      <c r="DJ212" s="461"/>
      <c r="DK212" s="461"/>
      <c r="DL212" s="464"/>
      <c r="DM212" s="466"/>
      <c r="DN212" s="502"/>
      <c r="DO212" s="460" t="s">
        <v>339</v>
      </c>
      <c r="DP212" s="464"/>
      <c r="DQ212" s="464"/>
      <c r="DR212" s="464"/>
      <c r="DS212" s="508"/>
      <c r="DT212" s="525"/>
      <c r="DU212" s="525"/>
      <c r="DV212" s="463"/>
      <c r="DW212" s="464"/>
      <c r="DX212" s="465"/>
      <c r="DY212" s="463"/>
      <c r="DZ212" s="464"/>
      <c r="EA212" s="465"/>
      <c r="EB212" s="463"/>
      <c r="EC212" s="465"/>
      <c r="ED212" s="462">
        <v>1</v>
      </c>
      <c r="EE212" s="502"/>
      <c r="EF212" s="463"/>
      <c r="EG212" s="461"/>
      <c r="EH212" s="464"/>
      <c r="EI212" s="464"/>
      <c r="EJ212" s="464"/>
      <c r="EK212" s="464"/>
      <c r="EL212" s="464"/>
      <c r="EM212" s="464"/>
      <c r="EN212" s="464"/>
      <c r="EO212" s="464"/>
      <c r="EP212" s="464" t="s">
        <v>339</v>
      </c>
      <c r="EQ212" s="464"/>
      <c r="ER212" s="464"/>
      <c r="ES212" s="464"/>
      <c r="ET212" s="464"/>
      <c r="EU212" s="464"/>
      <c r="EV212" s="464"/>
      <c r="EW212" s="465"/>
      <c r="EX212" s="465"/>
      <c r="EY212" s="502"/>
      <c r="EZ212" s="460"/>
      <c r="FA212" s="464"/>
      <c r="FB212" s="464"/>
      <c r="FC212" s="464"/>
      <c r="FD212" s="464"/>
      <c r="FE212" s="464"/>
      <c r="FF212" s="464"/>
      <c r="FG212" s="466" t="s">
        <v>339</v>
      </c>
    </row>
    <row r="213" spans="1:163">
      <c r="A213" s="467" t="s">
        <v>408</v>
      </c>
      <c r="B213" s="471" t="s">
        <v>402</v>
      </c>
      <c r="C213" s="504">
        <v>45630</v>
      </c>
      <c r="D213" s="502"/>
      <c r="E213" s="443" t="str">
        <f t="shared" si="211"/>
        <v>NO</v>
      </c>
      <c r="F213" s="444" t="str">
        <f t="shared" si="211"/>
        <v>NO</v>
      </c>
      <c r="G213" s="444" t="str">
        <f t="shared" si="211"/>
        <v>YES</v>
      </c>
      <c r="H213" s="444" t="str">
        <f t="shared" si="211"/>
        <v>YES</v>
      </c>
      <c r="I213" s="444" t="str">
        <f t="shared" si="211"/>
        <v>YES</v>
      </c>
      <c r="J213" s="444" t="str">
        <f t="shared" si="211"/>
        <v>YES</v>
      </c>
      <c r="K213" s="444" t="str">
        <f t="shared" si="211"/>
        <v>NO</v>
      </c>
      <c r="L213" s="444" t="str">
        <f t="shared" si="211"/>
        <v>NO</v>
      </c>
      <c r="M213" s="444" t="str">
        <f t="shared" si="211"/>
        <v>NO</v>
      </c>
      <c r="N213" s="444" t="str">
        <f t="shared" si="211"/>
        <v>NO</v>
      </c>
      <c r="O213" s="444" t="str">
        <f t="shared" si="212"/>
        <v>NO</v>
      </c>
      <c r="P213" s="444" t="str">
        <f t="shared" si="212"/>
        <v>DEP</v>
      </c>
      <c r="Q213" s="444" t="str">
        <f t="shared" si="212"/>
        <v>DEP</v>
      </c>
      <c r="R213" s="444" t="str">
        <f t="shared" si="212"/>
        <v>DEP</v>
      </c>
      <c r="S213" s="444" t="str">
        <f t="shared" si="212"/>
        <v>DEP</v>
      </c>
      <c r="T213" s="444" t="str">
        <f t="shared" si="212"/>
        <v>DEP</v>
      </c>
      <c r="U213" s="444" t="str">
        <f t="shared" si="212"/>
        <v>YES</v>
      </c>
      <c r="V213" s="444" t="str">
        <f t="shared" si="212"/>
        <v>YES</v>
      </c>
      <c r="W213" s="444" t="str">
        <f t="shared" si="212"/>
        <v>YES</v>
      </c>
      <c r="X213" s="444" t="str">
        <f t="shared" si="212"/>
        <v>NO</v>
      </c>
      <c r="Y213" s="444" t="str">
        <f t="shared" si="213"/>
        <v>DEP</v>
      </c>
      <c r="Z213" s="444" t="str">
        <f t="shared" si="213"/>
        <v>NO</v>
      </c>
      <c r="AA213" s="444" t="str">
        <f t="shared" si="213"/>
        <v>NO</v>
      </c>
      <c r="AB213" s="444" t="str">
        <f t="shared" si="213"/>
        <v>DEP</v>
      </c>
      <c r="AC213" s="444" t="str">
        <f t="shared" si="213"/>
        <v>NO</v>
      </c>
      <c r="AD213" s="444" t="str">
        <f t="shared" si="213"/>
        <v>NO</v>
      </c>
      <c r="AE213" s="444" t="str">
        <f t="shared" si="213"/>
        <v>YES</v>
      </c>
      <c r="AF213" s="444" t="str">
        <f t="shared" si="213"/>
        <v>NO</v>
      </c>
      <c r="AG213" s="444" t="str">
        <f t="shared" si="213"/>
        <v>NO</v>
      </c>
      <c r="AH213" s="444" t="str">
        <f t="shared" si="213"/>
        <v>NO</v>
      </c>
      <c r="AI213" s="444" t="str">
        <f t="shared" si="214"/>
        <v>NO</v>
      </c>
      <c r="AJ213" s="444" t="str">
        <f t="shared" si="214"/>
        <v>NO</v>
      </c>
      <c r="AK213" s="444" t="str">
        <f t="shared" si="214"/>
        <v>NO</v>
      </c>
      <c r="AL213" s="444" t="str">
        <f t="shared" si="214"/>
        <v>YES</v>
      </c>
      <c r="AM213" s="444" t="str">
        <f t="shared" si="214"/>
        <v>NO</v>
      </c>
      <c r="AN213" s="444" t="str">
        <f t="shared" si="214"/>
        <v>YES</v>
      </c>
      <c r="AO213" s="444" t="str">
        <f t="shared" si="214"/>
        <v>NO</v>
      </c>
      <c r="AP213" s="444" t="str">
        <f t="shared" si="214"/>
        <v>NO</v>
      </c>
      <c r="AQ213" s="444" t="str">
        <f t="shared" si="214"/>
        <v>NO</v>
      </c>
      <c r="AR213" s="444" t="str">
        <f t="shared" si="214"/>
        <v>NO</v>
      </c>
      <c r="AS213" s="444" t="str">
        <f t="shared" si="215"/>
        <v>NO</v>
      </c>
      <c r="AT213" s="444" t="str">
        <f t="shared" si="215"/>
        <v>DEP</v>
      </c>
      <c r="AU213" s="444" t="str">
        <f t="shared" si="215"/>
        <v>DEP</v>
      </c>
      <c r="AV213" s="444" t="str">
        <f t="shared" si="215"/>
        <v>DEP</v>
      </c>
      <c r="AW213" s="444" t="str">
        <f t="shared" si="215"/>
        <v>DEP</v>
      </c>
      <c r="AX213" s="444" t="str">
        <f t="shared" si="215"/>
        <v>DEP</v>
      </c>
      <c r="AY213" s="444" t="str">
        <f t="shared" si="215"/>
        <v>YES</v>
      </c>
      <c r="AZ213" s="444" t="str">
        <f t="shared" si="215"/>
        <v>DEP</v>
      </c>
      <c r="BA213" s="444" t="str">
        <f t="shared" si="215"/>
        <v>DEP</v>
      </c>
      <c r="BB213" s="444" t="str">
        <f t="shared" si="215"/>
        <v>DEP</v>
      </c>
      <c r="BC213" s="444" t="str">
        <f t="shared" si="216"/>
        <v>NO</v>
      </c>
      <c r="BD213" s="444" t="str">
        <f t="shared" si="216"/>
        <v>NO</v>
      </c>
      <c r="BE213" s="444" t="str">
        <f t="shared" si="216"/>
        <v>YES</v>
      </c>
      <c r="BF213" s="444" t="str">
        <f t="shared" si="216"/>
        <v>YES</v>
      </c>
      <c r="BG213" s="444" t="str">
        <f t="shared" si="216"/>
        <v>YES</v>
      </c>
      <c r="BH213" s="445" t="str">
        <f t="shared" si="216"/>
        <v>YES</v>
      </c>
      <c r="BI213" s="502"/>
      <c r="BJ213" s="474" t="str">
        <f t="shared" si="207"/>
        <v>NO</v>
      </c>
      <c r="BK213" s="475" t="str">
        <f t="shared" si="207"/>
        <v>NO</v>
      </c>
      <c r="BL213" s="475" t="str">
        <f t="shared" si="207"/>
        <v>NO</v>
      </c>
      <c r="BM213" s="475" t="str">
        <f t="shared" si="207"/>
        <v>NO</v>
      </c>
      <c r="BN213" s="475" t="str">
        <f t="shared" si="207"/>
        <v>NO</v>
      </c>
      <c r="BO213" s="475" t="str">
        <f t="shared" si="207"/>
        <v>NO</v>
      </c>
      <c r="BP213" s="475" t="str">
        <f t="shared" si="207"/>
        <v>NO</v>
      </c>
      <c r="BQ213" s="475" t="str">
        <f t="shared" si="207"/>
        <v>NO</v>
      </c>
      <c r="BR213" s="475" t="str">
        <f t="shared" si="207"/>
        <v>NO</v>
      </c>
      <c r="BS213" s="475" t="str">
        <f t="shared" si="207"/>
        <v>NO</v>
      </c>
      <c r="BT213" s="475" t="str">
        <f t="shared" si="208"/>
        <v>NO</v>
      </c>
      <c r="BU213" s="475" t="str">
        <f t="shared" si="208"/>
        <v>NO</v>
      </c>
      <c r="BV213" s="475" t="str">
        <f t="shared" si="208"/>
        <v>NO</v>
      </c>
      <c r="BW213" s="475" t="str">
        <f t="shared" si="208"/>
        <v>NO</v>
      </c>
      <c r="BX213" s="475" t="str">
        <f t="shared" si="208"/>
        <v>NO</v>
      </c>
      <c r="BY213" s="475" t="str">
        <f t="shared" si="208"/>
        <v>NO</v>
      </c>
      <c r="BZ213" s="475" t="str">
        <f t="shared" si="208"/>
        <v>NO</v>
      </c>
      <c r="CA213" s="475" t="str">
        <f t="shared" si="208"/>
        <v>NO</v>
      </c>
      <c r="CB213" s="475" t="str">
        <f t="shared" si="208"/>
        <v>NO</v>
      </c>
      <c r="CC213" s="475" t="str">
        <f t="shared" si="208"/>
        <v>NO</v>
      </c>
      <c r="CD213" s="475" t="str">
        <f t="shared" si="209"/>
        <v>NO</v>
      </c>
      <c r="CE213" s="475" t="str">
        <f t="shared" si="209"/>
        <v>NO</v>
      </c>
      <c r="CF213" s="475" t="str">
        <f t="shared" si="209"/>
        <v>NO</v>
      </c>
      <c r="CG213" s="475" t="str">
        <f t="shared" si="209"/>
        <v>NO</v>
      </c>
      <c r="CH213" s="475" t="str">
        <f t="shared" si="209"/>
        <v>NO</v>
      </c>
      <c r="CI213" s="475" t="str">
        <f t="shared" si="209"/>
        <v>NO</v>
      </c>
      <c r="CJ213" s="475" t="str">
        <f t="shared" si="209"/>
        <v>NO</v>
      </c>
      <c r="CK213" s="475" t="str">
        <f t="shared" si="209"/>
        <v>NO</v>
      </c>
      <c r="CL213" s="475" t="str">
        <f t="shared" si="209"/>
        <v>NO</v>
      </c>
      <c r="CM213" s="475" t="str">
        <f t="shared" si="209"/>
        <v>NO</v>
      </c>
      <c r="CN213" s="475" t="str">
        <f t="shared" si="210"/>
        <v>NO</v>
      </c>
      <c r="CO213" s="475" t="str">
        <f t="shared" si="210"/>
        <v>NO</v>
      </c>
      <c r="CP213" s="475" t="str">
        <f t="shared" si="210"/>
        <v>NO</v>
      </c>
      <c r="CQ213" s="475" t="str">
        <f t="shared" si="210"/>
        <v>NO</v>
      </c>
      <c r="CR213" s="475" t="str">
        <f t="shared" si="210"/>
        <v>NO</v>
      </c>
      <c r="CS213" s="475" t="str">
        <f t="shared" si="210"/>
        <v>NO</v>
      </c>
      <c r="CT213" s="475" t="str">
        <f t="shared" si="210"/>
        <v>NO</v>
      </c>
      <c r="CU213" s="475" t="str">
        <f t="shared" si="210"/>
        <v>NO</v>
      </c>
      <c r="CV213" s="475" t="str">
        <f t="shared" si="210"/>
        <v>NO</v>
      </c>
      <c r="CW213" s="475" t="str">
        <f t="shared" si="210"/>
        <v>NO</v>
      </c>
      <c r="CX213" s="475" t="str">
        <f t="shared" si="210"/>
        <v>NO</v>
      </c>
      <c r="CY213" s="475" t="str">
        <f t="shared" si="210"/>
        <v>NO</v>
      </c>
      <c r="CZ213" s="495" t="str">
        <f t="shared" si="210"/>
        <v>NO</v>
      </c>
      <c r="DA213" s="502"/>
      <c r="DB213" s="460"/>
      <c r="DC213" s="465"/>
      <c r="DD213" s="463"/>
      <c r="DE213" s="512"/>
      <c r="DF213" s="516"/>
      <c r="DG213" s="508"/>
      <c r="DH213" s="463"/>
      <c r="DI213" s="461"/>
      <c r="DJ213" s="461"/>
      <c r="DK213" s="461"/>
      <c r="DL213" s="464"/>
      <c r="DM213" s="466"/>
      <c r="DN213" s="502"/>
      <c r="DO213" s="460" t="s">
        <v>339</v>
      </c>
      <c r="DP213" s="464"/>
      <c r="DQ213" s="464"/>
      <c r="DR213" s="464"/>
      <c r="DS213" s="508"/>
      <c r="DT213" s="525"/>
      <c r="DU213" s="525"/>
      <c r="DV213" s="463"/>
      <c r="DW213" s="464"/>
      <c r="DX213" s="465"/>
      <c r="DY213" s="463"/>
      <c r="DZ213" s="464"/>
      <c r="EA213" s="465"/>
      <c r="EB213" s="463"/>
      <c r="EC213" s="465"/>
      <c r="ED213" s="462">
        <v>1</v>
      </c>
      <c r="EE213" s="502"/>
      <c r="EF213" s="463"/>
      <c r="EG213" s="461"/>
      <c r="EH213" s="464"/>
      <c r="EI213" s="464"/>
      <c r="EJ213" s="464"/>
      <c r="EK213" s="464"/>
      <c r="EL213" s="464"/>
      <c r="EM213" s="464"/>
      <c r="EN213" s="464"/>
      <c r="EO213" s="464"/>
      <c r="EP213" s="464"/>
      <c r="EQ213" s="464"/>
      <c r="ER213" s="464"/>
      <c r="ES213" s="464"/>
      <c r="ET213" s="464"/>
      <c r="EU213" s="464"/>
      <c r="EV213" s="464"/>
      <c r="EW213" s="465"/>
      <c r="EX213" s="465"/>
      <c r="EY213" s="502"/>
      <c r="EZ213" s="460"/>
      <c r="FA213" s="464"/>
      <c r="FB213" s="464"/>
      <c r="FC213" s="464"/>
      <c r="FD213" s="464"/>
      <c r="FE213" s="464"/>
      <c r="FF213" s="464"/>
      <c r="FG213" s="466"/>
    </row>
    <row r="214" spans="1:163">
      <c r="A214" s="467" t="s">
        <v>409</v>
      </c>
      <c r="B214" s="471" t="s">
        <v>402</v>
      </c>
      <c r="C214" s="504">
        <v>45628</v>
      </c>
      <c r="D214" s="502"/>
      <c r="E214" s="443" t="str">
        <f t="shared" si="211"/>
        <v/>
      </c>
      <c r="F214" s="444" t="str">
        <f t="shared" si="211"/>
        <v/>
      </c>
      <c r="G214" s="444" t="str">
        <f t="shared" si="211"/>
        <v/>
      </c>
      <c r="H214" s="444" t="str">
        <f t="shared" si="211"/>
        <v/>
      </c>
      <c r="I214" s="444" t="str">
        <f t="shared" si="211"/>
        <v/>
      </c>
      <c r="J214" s="444" t="str">
        <f t="shared" si="211"/>
        <v/>
      </c>
      <c r="K214" s="444" t="str">
        <f t="shared" si="211"/>
        <v/>
      </c>
      <c r="L214" s="444" t="str">
        <f t="shared" si="211"/>
        <v/>
      </c>
      <c r="M214" s="444" t="str">
        <f t="shared" si="211"/>
        <v/>
      </c>
      <c r="N214" s="444" t="str">
        <f t="shared" si="211"/>
        <v/>
      </c>
      <c r="O214" s="444" t="str">
        <f t="shared" si="212"/>
        <v/>
      </c>
      <c r="P214" s="444" t="str">
        <f t="shared" si="212"/>
        <v/>
      </c>
      <c r="Q214" s="444" t="str">
        <f t="shared" si="212"/>
        <v/>
      </c>
      <c r="R214" s="444" t="str">
        <f t="shared" si="212"/>
        <v/>
      </c>
      <c r="S214" s="444" t="str">
        <f t="shared" si="212"/>
        <v/>
      </c>
      <c r="T214" s="444" t="str">
        <f t="shared" si="212"/>
        <v/>
      </c>
      <c r="U214" s="444" t="str">
        <f t="shared" si="212"/>
        <v/>
      </c>
      <c r="V214" s="444" t="str">
        <f t="shared" si="212"/>
        <v/>
      </c>
      <c r="W214" s="444" t="str">
        <f t="shared" si="212"/>
        <v/>
      </c>
      <c r="X214" s="444" t="str">
        <f t="shared" si="212"/>
        <v/>
      </c>
      <c r="Y214" s="444" t="str">
        <f t="shared" si="213"/>
        <v/>
      </c>
      <c r="Z214" s="444" t="str">
        <f t="shared" si="213"/>
        <v/>
      </c>
      <c r="AA214" s="444" t="str">
        <f t="shared" si="213"/>
        <v/>
      </c>
      <c r="AB214" s="444" t="str">
        <f t="shared" si="213"/>
        <v/>
      </c>
      <c r="AC214" s="444" t="str">
        <f t="shared" si="213"/>
        <v/>
      </c>
      <c r="AD214" s="444" t="str">
        <f t="shared" si="213"/>
        <v/>
      </c>
      <c r="AE214" s="444" t="str">
        <f t="shared" si="213"/>
        <v/>
      </c>
      <c r="AF214" s="444" t="str">
        <f t="shared" si="213"/>
        <v/>
      </c>
      <c r="AG214" s="444" t="str">
        <f t="shared" si="213"/>
        <v/>
      </c>
      <c r="AH214" s="444" t="str">
        <f t="shared" si="213"/>
        <v/>
      </c>
      <c r="AI214" s="444" t="str">
        <f t="shared" si="214"/>
        <v/>
      </c>
      <c r="AJ214" s="444" t="str">
        <f t="shared" si="214"/>
        <v/>
      </c>
      <c r="AK214" s="444" t="str">
        <f t="shared" si="214"/>
        <v/>
      </c>
      <c r="AL214" s="444" t="str">
        <f t="shared" si="214"/>
        <v/>
      </c>
      <c r="AM214" s="444" t="str">
        <f t="shared" si="214"/>
        <v/>
      </c>
      <c r="AN214" s="444" t="str">
        <f t="shared" si="214"/>
        <v/>
      </c>
      <c r="AO214" s="444" t="str">
        <f t="shared" si="214"/>
        <v/>
      </c>
      <c r="AP214" s="444" t="str">
        <f t="shared" si="214"/>
        <v/>
      </c>
      <c r="AQ214" s="444" t="str">
        <f t="shared" si="214"/>
        <v/>
      </c>
      <c r="AR214" s="444" t="str">
        <f t="shared" si="214"/>
        <v/>
      </c>
      <c r="AS214" s="444" t="str">
        <f t="shared" si="215"/>
        <v/>
      </c>
      <c r="AT214" s="444" t="str">
        <f t="shared" si="215"/>
        <v/>
      </c>
      <c r="AU214" s="444" t="str">
        <f t="shared" si="215"/>
        <v/>
      </c>
      <c r="AV214" s="444" t="str">
        <f t="shared" si="215"/>
        <v/>
      </c>
      <c r="AW214" s="444" t="str">
        <f t="shared" si="215"/>
        <v/>
      </c>
      <c r="AX214" s="444" t="str">
        <f t="shared" si="215"/>
        <v/>
      </c>
      <c r="AY214" s="444" t="str">
        <f t="shared" si="215"/>
        <v/>
      </c>
      <c r="AZ214" s="444" t="str">
        <f t="shared" si="215"/>
        <v/>
      </c>
      <c r="BA214" s="444" t="str">
        <f t="shared" si="215"/>
        <v/>
      </c>
      <c r="BB214" s="444" t="str">
        <f t="shared" si="215"/>
        <v/>
      </c>
      <c r="BC214" s="444" t="str">
        <f t="shared" si="216"/>
        <v/>
      </c>
      <c r="BD214" s="444" t="str">
        <f t="shared" si="216"/>
        <v/>
      </c>
      <c r="BE214" s="444" t="str">
        <f t="shared" si="216"/>
        <v/>
      </c>
      <c r="BF214" s="444" t="str">
        <f t="shared" si="216"/>
        <v/>
      </c>
      <c r="BG214" s="444" t="str">
        <f t="shared" si="216"/>
        <v/>
      </c>
      <c r="BH214" s="445" t="str">
        <f t="shared" si="216"/>
        <v/>
      </c>
      <c r="BI214" s="502"/>
      <c r="BJ214" s="474" t="str">
        <f t="shared" si="207"/>
        <v/>
      </c>
      <c r="BK214" s="475" t="str">
        <f t="shared" si="207"/>
        <v/>
      </c>
      <c r="BL214" s="475" t="str">
        <f t="shared" si="207"/>
        <v/>
      </c>
      <c r="BM214" s="475" t="str">
        <f t="shared" si="207"/>
        <v/>
      </c>
      <c r="BN214" s="475" t="str">
        <f t="shared" si="207"/>
        <v/>
      </c>
      <c r="BO214" s="475" t="str">
        <f t="shared" si="207"/>
        <v/>
      </c>
      <c r="BP214" s="475" t="str">
        <f t="shared" si="207"/>
        <v/>
      </c>
      <c r="BQ214" s="475" t="str">
        <f t="shared" si="207"/>
        <v/>
      </c>
      <c r="BR214" s="475" t="str">
        <f t="shared" si="207"/>
        <v/>
      </c>
      <c r="BS214" s="475" t="str">
        <f t="shared" si="207"/>
        <v/>
      </c>
      <c r="BT214" s="475" t="str">
        <f t="shared" si="208"/>
        <v/>
      </c>
      <c r="BU214" s="475" t="str">
        <f t="shared" si="208"/>
        <v/>
      </c>
      <c r="BV214" s="475" t="str">
        <f t="shared" si="208"/>
        <v/>
      </c>
      <c r="BW214" s="475" t="str">
        <f t="shared" si="208"/>
        <v/>
      </c>
      <c r="BX214" s="475" t="str">
        <f t="shared" si="208"/>
        <v/>
      </c>
      <c r="BY214" s="475" t="str">
        <f t="shared" si="208"/>
        <v/>
      </c>
      <c r="BZ214" s="475" t="str">
        <f t="shared" si="208"/>
        <v/>
      </c>
      <c r="CA214" s="475" t="str">
        <f t="shared" si="208"/>
        <v/>
      </c>
      <c r="CB214" s="475" t="str">
        <f t="shared" si="208"/>
        <v/>
      </c>
      <c r="CC214" s="475" t="str">
        <f t="shared" si="208"/>
        <v/>
      </c>
      <c r="CD214" s="475" t="str">
        <f t="shared" si="209"/>
        <v/>
      </c>
      <c r="CE214" s="475" t="str">
        <f t="shared" si="209"/>
        <v/>
      </c>
      <c r="CF214" s="475" t="str">
        <f t="shared" si="209"/>
        <v/>
      </c>
      <c r="CG214" s="475" t="str">
        <f t="shared" si="209"/>
        <v/>
      </c>
      <c r="CH214" s="475" t="str">
        <f t="shared" si="209"/>
        <v/>
      </c>
      <c r="CI214" s="475" t="str">
        <f t="shared" si="209"/>
        <v/>
      </c>
      <c r="CJ214" s="475" t="str">
        <f t="shared" si="209"/>
        <v/>
      </c>
      <c r="CK214" s="475" t="str">
        <f t="shared" si="209"/>
        <v/>
      </c>
      <c r="CL214" s="475" t="str">
        <f t="shared" si="209"/>
        <v/>
      </c>
      <c r="CM214" s="475" t="str">
        <f t="shared" si="209"/>
        <v/>
      </c>
      <c r="CN214" s="475" t="str">
        <f t="shared" si="210"/>
        <v/>
      </c>
      <c r="CO214" s="475" t="str">
        <f t="shared" si="210"/>
        <v/>
      </c>
      <c r="CP214" s="475" t="str">
        <f t="shared" si="210"/>
        <v/>
      </c>
      <c r="CQ214" s="475" t="str">
        <f t="shared" si="210"/>
        <v/>
      </c>
      <c r="CR214" s="475" t="str">
        <f t="shared" si="210"/>
        <v/>
      </c>
      <c r="CS214" s="475" t="str">
        <f t="shared" si="210"/>
        <v/>
      </c>
      <c r="CT214" s="475" t="str">
        <f t="shared" si="210"/>
        <v/>
      </c>
      <c r="CU214" s="475" t="str">
        <f t="shared" si="210"/>
        <v/>
      </c>
      <c r="CV214" s="475" t="str">
        <f t="shared" si="210"/>
        <v/>
      </c>
      <c r="CW214" s="475" t="str">
        <f t="shared" si="210"/>
        <v/>
      </c>
      <c r="CX214" s="475" t="str">
        <f t="shared" si="210"/>
        <v/>
      </c>
      <c r="CY214" s="475" t="str">
        <f t="shared" si="210"/>
        <v/>
      </c>
      <c r="CZ214" s="495" t="str">
        <f t="shared" si="210"/>
        <v/>
      </c>
      <c r="DA214" s="502"/>
      <c r="DB214" s="460">
        <v>2</v>
      </c>
      <c r="DC214" s="465">
        <v>3.1</v>
      </c>
      <c r="DD214" s="463"/>
      <c r="DE214" s="512"/>
      <c r="DF214" s="516"/>
      <c r="DG214" s="508"/>
      <c r="DH214" s="463"/>
      <c r="DI214" s="461"/>
      <c r="DJ214" s="461"/>
      <c r="DK214" s="461"/>
      <c r="DL214" s="464"/>
      <c r="DM214" s="466"/>
      <c r="DN214" s="502"/>
      <c r="DO214" s="460"/>
      <c r="DP214" s="464"/>
      <c r="DQ214" s="464"/>
      <c r="DR214" s="464"/>
      <c r="DS214" s="508"/>
      <c r="DT214" s="525"/>
      <c r="DU214" s="525"/>
      <c r="DV214" s="463"/>
      <c r="DW214" s="464"/>
      <c r="DX214" s="465"/>
      <c r="DY214" s="463"/>
      <c r="DZ214" s="464"/>
      <c r="EA214" s="465"/>
      <c r="EB214" s="463"/>
      <c r="EC214" s="465"/>
      <c r="ED214" s="462"/>
      <c r="EE214" s="502"/>
      <c r="EF214" s="463"/>
      <c r="EG214" s="461"/>
      <c r="EH214" s="464"/>
      <c r="EI214" s="464"/>
      <c r="EJ214" s="464"/>
      <c r="EK214" s="464"/>
      <c r="EL214" s="464"/>
      <c r="EM214" s="464"/>
      <c r="EN214" s="464"/>
      <c r="EO214" s="464"/>
      <c r="EP214" s="464"/>
      <c r="EQ214" s="464"/>
      <c r="ER214" s="464"/>
      <c r="ES214" s="464"/>
      <c r="ET214" s="464"/>
      <c r="EU214" s="464"/>
      <c r="EV214" s="464"/>
      <c r="EW214" s="465"/>
      <c r="EX214" s="465"/>
      <c r="EY214" s="502"/>
      <c r="EZ214" s="460"/>
      <c r="FA214" s="464"/>
      <c r="FB214" s="464"/>
      <c r="FC214" s="464" t="s">
        <v>339</v>
      </c>
      <c r="FD214" s="464"/>
      <c r="FE214" s="464"/>
      <c r="FF214" s="464"/>
      <c r="FG214" s="466"/>
    </row>
    <row r="215" spans="1:163">
      <c r="A215" s="467" t="s">
        <v>410</v>
      </c>
      <c r="B215" s="471" t="s">
        <v>402</v>
      </c>
      <c r="C215" s="504">
        <v>45630</v>
      </c>
      <c r="D215" s="502"/>
      <c r="E215" s="443" t="str">
        <f t="shared" si="211"/>
        <v>NO</v>
      </c>
      <c r="F215" s="444" t="str">
        <f t="shared" si="211"/>
        <v>NO</v>
      </c>
      <c r="G215" s="444" t="str">
        <f t="shared" si="211"/>
        <v>YES</v>
      </c>
      <c r="H215" s="444" t="str">
        <f t="shared" si="211"/>
        <v>YES</v>
      </c>
      <c r="I215" s="444" t="str">
        <f t="shared" si="211"/>
        <v>YES</v>
      </c>
      <c r="J215" s="444" t="str">
        <f t="shared" si="211"/>
        <v>YES</v>
      </c>
      <c r="K215" s="444" t="str">
        <f t="shared" si="211"/>
        <v>NO</v>
      </c>
      <c r="L215" s="444" t="str">
        <f t="shared" si="211"/>
        <v>NO</v>
      </c>
      <c r="M215" s="444" t="str">
        <f t="shared" si="211"/>
        <v>NO</v>
      </c>
      <c r="N215" s="444" t="str">
        <f t="shared" si="211"/>
        <v>NO</v>
      </c>
      <c r="O215" s="444" t="str">
        <f t="shared" si="212"/>
        <v>NO</v>
      </c>
      <c r="P215" s="444" t="str">
        <f t="shared" si="212"/>
        <v>NO</v>
      </c>
      <c r="Q215" s="444" t="str">
        <f t="shared" si="212"/>
        <v>NO</v>
      </c>
      <c r="R215" s="444" t="str">
        <f t="shared" si="212"/>
        <v>NO</v>
      </c>
      <c r="S215" s="444" t="str">
        <f t="shared" si="212"/>
        <v>NO</v>
      </c>
      <c r="T215" s="444" t="str">
        <f t="shared" si="212"/>
        <v>NO</v>
      </c>
      <c r="U215" s="444" t="str">
        <f t="shared" si="212"/>
        <v>NO</v>
      </c>
      <c r="V215" s="444" t="str">
        <f t="shared" si="212"/>
        <v>NO</v>
      </c>
      <c r="W215" s="444" t="str">
        <f t="shared" si="212"/>
        <v>YES</v>
      </c>
      <c r="X215" s="444" t="str">
        <f t="shared" si="212"/>
        <v>NO</v>
      </c>
      <c r="Y215" s="444" t="str">
        <f t="shared" si="213"/>
        <v>YES</v>
      </c>
      <c r="Z215" s="444" t="str">
        <f t="shared" si="213"/>
        <v>NO</v>
      </c>
      <c r="AA215" s="444" t="str">
        <f t="shared" si="213"/>
        <v>DEP</v>
      </c>
      <c r="AB215" s="444" t="str">
        <f t="shared" si="213"/>
        <v>YES</v>
      </c>
      <c r="AC215" s="444" t="str">
        <f t="shared" si="213"/>
        <v>YES</v>
      </c>
      <c r="AD215" s="444" t="str">
        <f t="shared" si="213"/>
        <v>NO</v>
      </c>
      <c r="AE215" s="444" t="str">
        <f t="shared" si="213"/>
        <v>NO</v>
      </c>
      <c r="AF215" s="444" t="str">
        <f t="shared" si="213"/>
        <v>NO</v>
      </c>
      <c r="AG215" s="444" t="str">
        <f t="shared" si="213"/>
        <v>NO</v>
      </c>
      <c r="AH215" s="444" t="str">
        <f t="shared" si="213"/>
        <v>NO</v>
      </c>
      <c r="AI215" s="444" t="str">
        <f t="shared" si="214"/>
        <v>NO</v>
      </c>
      <c r="AJ215" s="444" t="str">
        <f t="shared" si="214"/>
        <v>NO</v>
      </c>
      <c r="AK215" s="444" t="str">
        <f t="shared" si="214"/>
        <v>NO</v>
      </c>
      <c r="AL215" s="444" t="str">
        <f t="shared" si="214"/>
        <v>NO</v>
      </c>
      <c r="AM215" s="444" t="str">
        <f t="shared" si="214"/>
        <v>NO</v>
      </c>
      <c r="AN215" s="444" t="str">
        <f t="shared" si="214"/>
        <v>YES</v>
      </c>
      <c r="AO215" s="444" t="str">
        <f t="shared" si="214"/>
        <v>YES</v>
      </c>
      <c r="AP215" s="444" t="str">
        <f t="shared" si="214"/>
        <v>NO</v>
      </c>
      <c r="AQ215" s="444" t="str">
        <f t="shared" si="214"/>
        <v>NO</v>
      </c>
      <c r="AR215" s="444" t="str">
        <f t="shared" si="214"/>
        <v>NO</v>
      </c>
      <c r="AS215" s="444" t="str">
        <f t="shared" si="215"/>
        <v>NO</v>
      </c>
      <c r="AT215" s="444" t="str">
        <f t="shared" si="215"/>
        <v>NO</v>
      </c>
      <c r="AU215" s="444" t="str">
        <f t="shared" si="215"/>
        <v>YES</v>
      </c>
      <c r="AV215" s="444" t="str">
        <f t="shared" si="215"/>
        <v>YES</v>
      </c>
      <c r="AW215" s="444" t="str">
        <f t="shared" si="215"/>
        <v>NO</v>
      </c>
      <c r="AX215" s="444" t="str">
        <f t="shared" si="215"/>
        <v>NO</v>
      </c>
      <c r="AY215" s="444" t="str">
        <f t="shared" si="215"/>
        <v>DEP</v>
      </c>
      <c r="AZ215" s="444" t="str">
        <f t="shared" si="215"/>
        <v>YES</v>
      </c>
      <c r="BA215" s="444" t="str">
        <f t="shared" si="215"/>
        <v>NO</v>
      </c>
      <c r="BB215" s="444" t="str">
        <f t="shared" si="215"/>
        <v>NO</v>
      </c>
      <c r="BC215" s="444" t="str">
        <f t="shared" si="216"/>
        <v>NO</v>
      </c>
      <c r="BD215" s="444" t="str">
        <f t="shared" si="216"/>
        <v>NO</v>
      </c>
      <c r="BE215" s="444" t="str">
        <f t="shared" si="216"/>
        <v>NO</v>
      </c>
      <c r="BF215" s="444" t="str">
        <f t="shared" si="216"/>
        <v>YES</v>
      </c>
      <c r="BG215" s="444" t="str">
        <f t="shared" si="216"/>
        <v>NO</v>
      </c>
      <c r="BH215" s="445" t="str">
        <f t="shared" si="216"/>
        <v>NO</v>
      </c>
      <c r="BI215" s="502"/>
      <c r="BJ215" s="474" t="str">
        <f t="shared" si="207"/>
        <v>NO</v>
      </c>
      <c r="BK215" s="475" t="str">
        <f t="shared" si="207"/>
        <v>NO</v>
      </c>
      <c r="BL215" s="475" t="str">
        <f t="shared" si="207"/>
        <v>NO</v>
      </c>
      <c r="BM215" s="475" t="str">
        <f t="shared" si="207"/>
        <v>NO</v>
      </c>
      <c r="BN215" s="475" t="str">
        <f t="shared" si="207"/>
        <v>NO</v>
      </c>
      <c r="BO215" s="475" t="str">
        <f t="shared" si="207"/>
        <v>NO</v>
      </c>
      <c r="BP215" s="475" t="str">
        <f t="shared" si="207"/>
        <v>NO</v>
      </c>
      <c r="BQ215" s="475" t="str">
        <f t="shared" si="207"/>
        <v>NO</v>
      </c>
      <c r="BR215" s="475" t="str">
        <f t="shared" si="207"/>
        <v>NO</v>
      </c>
      <c r="BS215" s="475" t="str">
        <f t="shared" si="207"/>
        <v>NO</v>
      </c>
      <c r="BT215" s="475" t="str">
        <f t="shared" si="208"/>
        <v>NO</v>
      </c>
      <c r="BU215" s="475" t="str">
        <f t="shared" si="208"/>
        <v>NO</v>
      </c>
      <c r="BV215" s="475" t="str">
        <f t="shared" si="208"/>
        <v>NO</v>
      </c>
      <c r="BW215" s="475" t="str">
        <f t="shared" si="208"/>
        <v>NO</v>
      </c>
      <c r="BX215" s="475" t="str">
        <f t="shared" si="208"/>
        <v>NO</v>
      </c>
      <c r="BY215" s="475" t="str">
        <f t="shared" si="208"/>
        <v>NO</v>
      </c>
      <c r="BZ215" s="475" t="str">
        <f t="shared" si="208"/>
        <v>NO</v>
      </c>
      <c r="CA215" s="475" t="str">
        <f t="shared" si="208"/>
        <v>NO</v>
      </c>
      <c r="CB215" s="475" t="str">
        <f t="shared" si="208"/>
        <v>NO</v>
      </c>
      <c r="CC215" s="475" t="str">
        <f t="shared" si="208"/>
        <v>NO</v>
      </c>
      <c r="CD215" s="475" t="str">
        <f t="shared" si="209"/>
        <v>NO</v>
      </c>
      <c r="CE215" s="475" t="str">
        <f t="shared" si="209"/>
        <v>NO</v>
      </c>
      <c r="CF215" s="475" t="str">
        <f t="shared" si="209"/>
        <v>NO</v>
      </c>
      <c r="CG215" s="475" t="str">
        <f t="shared" si="209"/>
        <v>NO</v>
      </c>
      <c r="CH215" s="475" t="str">
        <f t="shared" si="209"/>
        <v>NO</v>
      </c>
      <c r="CI215" s="475" t="str">
        <f t="shared" si="209"/>
        <v>NO</v>
      </c>
      <c r="CJ215" s="475" t="str">
        <f t="shared" si="209"/>
        <v>NO</v>
      </c>
      <c r="CK215" s="475" t="str">
        <f t="shared" si="209"/>
        <v>NO</v>
      </c>
      <c r="CL215" s="475" t="str">
        <f t="shared" si="209"/>
        <v>NO</v>
      </c>
      <c r="CM215" s="475" t="str">
        <f t="shared" si="209"/>
        <v>NO</v>
      </c>
      <c r="CN215" s="475" t="str">
        <f t="shared" si="210"/>
        <v>NO</v>
      </c>
      <c r="CO215" s="475" t="str">
        <f t="shared" si="210"/>
        <v>NO</v>
      </c>
      <c r="CP215" s="475" t="str">
        <f t="shared" si="210"/>
        <v>NO</v>
      </c>
      <c r="CQ215" s="475" t="str">
        <f t="shared" si="210"/>
        <v>NO</v>
      </c>
      <c r="CR215" s="475" t="str">
        <f t="shared" si="210"/>
        <v>NO</v>
      </c>
      <c r="CS215" s="475" t="str">
        <f t="shared" si="210"/>
        <v>NO</v>
      </c>
      <c r="CT215" s="475" t="str">
        <f t="shared" si="210"/>
        <v>NO</v>
      </c>
      <c r="CU215" s="475" t="str">
        <f t="shared" si="210"/>
        <v>NO</v>
      </c>
      <c r="CV215" s="475" t="str">
        <f t="shared" si="210"/>
        <v>NO</v>
      </c>
      <c r="CW215" s="475" t="str">
        <f t="shared" si="210"/>
        <v>NO</v>
      </c>
      <c r="CX215" s="475" t="str">
        <f t="shared" si="210"/>
        <v>NO</v>
      </c>
      <c r="CY215" s="475" t="str">
        <f t="shared" si="210"/>
        <v>NO</v>
      </c>
      <c r="CZ215" s="495" t="str">
        <f t="shared" si="210"/>
        <v>NO</v>
      </c>
      <c r="DA215" s="502"/>
      <c r="DB215" s="460">
        <v>2</v>
      </c>
      <c r="DC215" s="465">
        <v>3.1</v>
      </c>
      <c r="DD215" s="463"/>
      <c r="DE215" s="512"/>
      <c r="DF215" s="516"/>
      <c r="DG215" s="508"/>
      <c r="DH215" s="463"/>
      <c r="DI215" s="461"/>
      <c r="DJ215" s="461"/>
      <c r="DK215" s="461"/>
      <c r="DL215" s="464"/>
      <c r="DM215" s="466"/>
      <c r="DN215" s="502"/>
      <c r="DO215" s="460"/>
      <c r="DP215" s="464"/>
      <c r="DQ215" s="464"/>
      <c r="DR215" s="464"/>
      <c r="DS215" s="508"/>
      <c r="DT215" s="525" t="s">
        <v>339</v>
      </c>
      <c r="DU215" s="525"/>
      <c r="DV215" s="463"/>
      <c r="DW215" s="464"/>
      <c r="DX215" s="465"/>
      <c r="DY215" s="463"/>
      <c r="DZ215" s="464"/>
      <c r="EA215" s="465"/>
      <c r="EB215" s="463"/>
      <c r="EC215" s="465"/>
      <c r="ED215" s="462"/>
      <c r="EE215" s="502"/>
      <c r="EF215" s="463"/>
      <c r="EG215" s="461"/>
      <c r="EH215" s="464"/>
      <c r="EI215" s="464"/>
      <c r="EJ215" s="464"/>
      <c r="EK215" s="464"/>
      <c r="EL215" s="464"/>
      <c r="EM215" s="464"/>
      <c r="EN215" s="464"/>
      <c r="EO215" s="464"/>
      <c r="EP215" s="464"/>
      <c r="EQ215" s="464"/>
      <c r="ER215" s="464"/>
      <c r="ES215" s="464"/>
      <c r="ET215" s="464"/>
      <c r="EU215" s="464"/>
      <c r="EV215" s="464"/>
      <c r="EW215" s="465"/>
      <c r="EX215" s="465"/>
      <c r="EY215" s="502"/>
      <c r="EZ215" s="460"/>
      <c r="FA215" s="464"/>
      <c r="FB215" s="464"/>
      <c r="FC215" s="464"/>
      <c r="FD215" s="464"/>
      <c r="FE215" s="464"/>
      <c r="FF215" s="464"/>
      <c r="FG215" s="466"/>
    </row>
    <row r="216" spans="1:163">
      <c r="A216" s="467" t="s">
        <v>411</v>
      </c>
      <c r="B216" s="471" t="s">
        <v>402</v>
      </c>
      <c r="C216" s="504">
        <v>45630</v>
      </c>
      <c r="D216" s="502"/>
      <c r="E216" s="443" t="str">
        <f t="shared" si="211"/>
        <v>NO</v>
      </c>
      <c r="F216" s="444" t="str">
        <f t="shared" si="211"/>
        <v>NO</v>
      </c>
      <c r="G216" s="444" t="str">
        <f t="shared" si="211"/>
        <v>YES</v>
      </c>
      <c r="H216" s="444" t="str">
        <f t="shared" si="211"/>
        <v>YES</v>
      </c>
      <c r="I216" s="444" t="str">
        <f t="shared" si="211"/>
        <v>YES</v>
      </c>
      <c r="J216" s="444" t="str">
        <f t="shared" si="211"/>
        <v>YES</v>
      </c>
      <c r="K216" s="444" t="str">
        <f t="shared" si="211"/>
        <v>CAN</v>
      </c>
      <c r="L216" s="444" t="str">
        <f t="shared" si="211"/>
        <v>YES</v>
      </c>
      <c r="M216" s="444" t="str">
        <f t="shared" si="211"/>
        <v>YES</v>
      </c>
      <c r="N216" s="444" t="str">
        <f t="shared" si="211"/>
        <v>YES</v>
      </c>
      <c r="O216" s="444" t="str">
        <f t="shared" si="212"/>
        <v>YES</v>
      </c>
      <c r="P216" s="444" t="str">
        <f t="shared" si="212"/>
        <v>NO</v>
      </c>
      <c r="Q216" s="444" t="str">
        <f t="shared" si="212"/>
        <v>NO</v>
      </c>
      <c r="R216" s="444" t="str">
        <f t="shared" si="212"/>
        <v>NO</v>
      </c>
      <c r="S216" s="444" t="str">
        <f t="shared" si="212"/>
        <v>NO</v>
      </c>
      <c r="T216" s="444" t="str">
        <f t="shared" si="212"/>
        <v>YES</v>
      </c>
      <c r="U216" s="444" t="str">
        <f t="shared" si="212"/>
        <v>YES</v>
      </c>
      <c r="V216" s="444" t="str">
        <f t="shared" si="212"/>
        <v>YES</v>
      </c>
      <c r="W216" s="444" t="str">
        <f t="shared" si="212"/>
        <v>YES</v>
      </c>
      <c r="X216" s="444" t="str">
        <f t="shared" si="212"/>
        <v>NO</v>
      </c>
      <c r="Y216" s="444" t="str">
        <f t="shared" si="213"/>
        <v>YES</v>
      </c>
      <c r="Z216" s="444" t="str">
        <f t="shared" si="213"/>
        <v>NO</v>
      </c>
      <c r="AA216" s="444" t="str">
        <f t="shared" si="213"/>
        <v>YES</v>
      </c>
      <c r="AB216" s="444" t="str">
        <f t="shared" si="213"/>
        <v>YES</v>
      </c>
      <c r="AC216" s="444" t="str">
        <f t="shared" si="213"/>
        <v>YES</v>
      </c>
      <c r="AD216" s="444" t="str">
        <f t="shared" si="213"/>
        <v>YES</v>
      </c>
      <c r="AE216" s="444" t="str">
        <f t="shared" si="213"/>
        <v>YES</v>
      </c>
      <c r="AF216" s="444" t="str">
        <f t="shared" si="213"/>
        <v>YES</v>
      </c>
      <c r="AG216" s="444" t="str">
        <f t="shared" si="213"/>
        <v>YES</v>
      </c>
      <c r="AH216" s="444" t="str">
        <f t="shared" si="213"/>
        <v>YES</v>
      </c>
      <c r="AI216" s="444" t="str">
        <f t="shared" si="214"/>
        <v>NO</v>
      </c>
      <c r="AJ216" s="444" t="str">
        <f t="shared" si="214"/>
        <v>YES</v>
      </c>
      <c r="AK216" s="444" t="str">
        <f t="shared" si="214"/>
        <v>YES</v>
      </c>
      <c r="AL216" s="444" t="str">
        <f t="shared" si="214"/>
        <v>NO</v>
      </c>
      <c r="AM216" s="444" t="str">
        <f t="shared" si="214"/>
        <v>NO</v>
      </c>
      <c r="AN216" s="444" t="str">
        <f t="shared" si="214"/>
        <v>YES</v>
      </c>
      <c r="AO216" s="444" t="str">
        <f t="shared" si="214"/>
        <v>YES</v>
      </c>
      <c r="AP216" s="444" t="str">
        <f t="shared" si="214"/>
        <v>NO</v>
      </c>
      <c r="AQ216" s="444" t="str">
        <f t="shared" si="214"/>
        <v>YES</v>
      </c>
      <c r="AR216" s="444" t="str">
        <f t="shared" si="214"/>
        <v>NO</v>
      </c>
      <c r="AS216" s="444" t="str">
        <f t="shared" si="215"/>
        <v>NO</v>
      </c>
      <c r="AT216" s="444" t="str">
        <f t="shared" si="215"/>
        <v>YES</v>
      </c>
      <c r="AU216" s="444" t="str">
        <f t="shared" si="215"/>
        <v>YES</v>
      </c>
      <c r="AV216" s="444" t="str">
        <f t="shared" si="215"/>
        <v>YES</v>
      </c>
      <c r="AW216" s="444" t="str">
        <f t="shared" si="215"/>
        <v>DEP</v>
      </c>
      <c r="AX216" s="444" t="str">
        <f t="shared" si="215"/>
        <v>DEP</v>
      </c>
      <c r="AY216" s="444" t="str">
        <f t="shared" si="215"/>
        <v>YES</v>
      </c>
      <c r="AZ216" s="444" t="str">
        <f t="shared" si="215"/>
        <v>YES</v>
      </c>
      <c r="BA216" s="444" t="str">
        <f t="shared" si="215"/>
        <v>DEP</v>
      </c>
      <c r="BB216" s="444" t="str">
        <f t="shared" si="215"/>
        <v>YES</v>
      </c>
      <c r="BC216" s="444" t="str">
        <f t="shared" si="216"/>
        <v>NO</v>
      </c>
      <c r="BD216" s="444" t="str">
        <f t="shared" si="216"/>
        <v>NO</v>
      </c>
      <c r="BE216" s="444" t="str">
        <f t="shared" si="216"/>
        <v>NO</v>
      </c>
      <c r="BF216" s="444" t="str">
        <f t="shared" si="216"/>
        <v>YES</v>
      </c>
      <c r="BG216" s="444" t="str">
        <f t="shared" si="216"/>
        <v>YES</v>
      </c>
      <c r="BH216" s="445" t="str">
        <f t="shared" si="216"/>
        <v>NO</v>
      </c>
      <c r="BI216" s="502"/>
      <c r="BJ216" s="474" t="str">
        <f t="shared" si="207"/>
        <v>NO</v>
      </c>
      <c r="BK216" s="475" t="str">
        <f t="shared" si="207"/>
        <v>NO</v>
      </c>
      <c r="BL216" s="475" t="str">
        <f t="shared" si="207"/>
        <v>NO</v>
      </c>
      <c r="BM216" s="475" t="str">
        <f t="shared" si="207"/>
        <v>NO</v>
      </c>
      <c r="BN216" s="475" t="str">
        <f t="shared" si="207"/>
        <v>NO</v>
      </c>
      <c r="BO216" s="475" t="str">
        <f t="shared" si="207"/>
        <v>NO</v>
      </c>
      <c r="BP216" s="475" t="str">
        <f t="shared" si="207"/>
        <v>NO</v>
      </c>
      <c r="BQ216" s="475" t="str">
        <f t="shared" si="207"/>
        <v>NO</v>
      </c>
      <c r="BR216" s="475" t="str">
        <f t="shared" si="207"/>
        <v>NO</v>
      </c>
      <c r="BS216" s="475" t="str">
        <f t="shared" si="207"/>
        <v>NO</v>
      </c>
      <c r="BT216" s="475" t="str">
        <f t="shared" si="208"/>
        <v>NO</v>
      </c>
      <c r="BU216" s="475" t="str">
        <f t="shared" si="208"/>
        <v>NO</v>
      </c>
      <c r="BV216" s="475" t="str">
        <f t="shared" si="208"/>
        <v>NO</v>
      </c>
      <c r="BW216" s="475" t="str">
        <f t="shared" si="208"/>
        <v>CR</v>
      </c>
      <c r="BX216" s="475" t="str">
        <f t="shared" si="208"/>
        <v>NO</v>
      </c>
      <c r="BY216" s="475" t="str">
        <f t="shared" si="208"/>
        <v>NO</v>
      </c>
      <c r="BZ216" s="475" t="str">
        <f t="shared" si="208"/>
        <v>NO</v>
      </c>
      <c r="CA216" s="475" t="str">
        <f t="shared" si="208"/>
        <v>NO</v>
      </c>
      <c r="CB216" s="475" t="str">
        <f t="shared" si="208"/>
        <v>NO</v>
      </c>
      <c r="CC216" s="475" t="str">
        <f t="shared" si="208"/>
        <v>NO</v>
      </c>
      <c r="CD216" s="475" t="str">
        <f t="shared" si="209"/>
        <v>NO</v>
      </c>
      <c r="CE216" s="475" t="str">
        <f t="shared" si="209"/>
        <v>NO</v>
      </c>
      <c r="CF216" s="475" t="str">
        <f t="shared" si="209"/>
        <v>NO</v>
      </c>
      <c r="CG216" s="475" t="str">
        <f t="shared" si="209"/>
        <v>NO</v>
      </c>
      <c r="CH216" s="475" t="str">
        <f t="shared" si="209"/>
        <v>CR</v>
      </c>
      <c r="CI216" s="475" t="str">
        <f t="shared" si="209"/>
        <v>CR</v>
      </c>
      <c r="CJ216" s="475" t="str">
        <f t="shared" si="209"/>
        <v>CR</v>
      </c>
      <c r="CK216" s="475" t="str">
        <f t="shared" si="209"/>
        <v>NO</v>
      </c>
      <c r="CL216" s="475" t="str">
        <f t="shared" si="209"/>
        <v>CR</v>
      </c>
      <c r="CM216" s="475" t="str">
        <f t="shared" si="209"/>
        <v>NO</v>
      </c>
      <c r="CN216" s="475" t="str">
        <f t="shared" si="210"/>
        <v>NO</v>
      </c>
      <c r="CO216" s="475" t="str">
        <f t="shared" si="210"/>
        <v>NO</v>
      </c>
      <c r="CP216" s="475" t="str">
        <f t="shared" si="210"/>
        <v>NO</v>
      </c>
      <c r="CQ216" s="475" t="str">
        <f t="shared" si="210"/>
        <v>NO</v>
      </c>
      <c r="CR216" s="475" t="str">
        <f t="shared" si="210"/>
        <v>NO</v>
      </c>
      <c r="CS216" s="475" t="str">
        <f t="shared" si="210"/>
        <v>NO</v>
      </c>
      <c r="CT216" s="475" t="str">
        <f t="shared" si="210"/>
        <v>NO</v>
      </c>
      <c r="CU216" s="475" t="str">
        <f t="shared" si="210"/>
        <v>NO</v>
      </c>
      <c r="CV216" s="475" t="str">
        <f t="shared" si="210"/>
        <v>NO</v>
      </c>
      <c r="CW216" s="475" t="str">
        <f t="shared" si="210"/>
        <v>NO</v>
      </c>
      <c r="CX216" s="475" t="str">
        <f t="shared" si="210"/>
        <v>NO</v>
      </c>
      <c r="CY216" s="475" t="str">
        <f t="shared" si="210"/>
        <v>NO</v>
      </c>
      <c r="CZ216" s="495" t="str">
        <f t="shared" si="210"/>
        <v>NO</v>
      </c>
      <c r="DA216" s="502"/>
      <c r="DB216" s="460">
        <v>1</v>
      </c>
      <c r="DC216" s="465">
        <v>3.1</v>
      </c>
      <c r="DD216" s="463"/>
      <c r="DE216" s="512"/>
      <c r="DF216" s="516"/>
      <c r="DG216" s="508"/>
      <c r="DH216" s="463" t="s">
        <v>339</v>
      </c>
      <c r="DI216" s="461"/>
      <c r="DJ216" s="461"/>
      <c r="DK216" s="461"/>
      <c r="DL216" s="464" t="s">
        <v>339</v>
      </c>
      <c r="DM216" s="466" t="s">
        <v>339</v>
      </c>
      <c r="DN216" s="502"/>
      <c r="DO216" s="460" t="s">
        <v>339</v>
      </c>
      <c r="DP216" s="464" t="s">
        <v>339</v>
      </c>
      <c r="DQ216" s="464" t="s">
        <v>339</v>
      </c>
      <c r="DR216" s="464"/>
      <c r="DS216" s="508" t="s">
        <v>339</v>
      </c>
      <c r="DT216" s="525" t="s">
        <v>339</v>
      </c>
      <c r="DU216" s="525"/>
      <c r="DV216" s="463"/>
      <c r="DW216" s="464" t="s">
        <v>339</v>
      </c>
      <c r="DX216" s="465"/>
      <c r="DY216" s="463"/>
      <c r="DZ216" s="464" t="s">
        <v>339</v>
      </c>
      <c r="EA216" s="465"/>
      <c r="EB216" s="463"/>
      <c r="EC216" s="465"/>
      <c r="ED216" s="462">
        <v>5</v>
      </c>
      <c r="EE216" s="502"/>
      <c r="EF216" s="463" t="s">
        <v>339</v>
      </c>
      <c r="EG216" s="461"/>
      <c r="EH216" s="464"/>
      <c r="EI216" s="464"/>
      <c r="EJ216" s="464"/>
      <c r="EK216" s="464"/>
      <c r="EL216" s="464"/>
      <c r="EM216" s="464" t="s">
        <v>339</v>
      </c>
      <c r="EN216" s="464"/>
      <c r="EO216" s="464"/>
      <c r="EP216" s="464"/>
      <c r="EQ216" s="464"/>
      <c r="ER216" s="464"/>
      <c r="ES216" s="464"/>
      <c r="ET216" s="464"/>
      <c r="EU216" s="464"/>
      <c r="EV216" s="464"/>
      <c r="EW216" s="465"/>
      <c r="EX216" s="465"/>
      <c r="EY216" s="502"/>
      <c r="EZ216" s="460" t="s">
        <v>339</v>
      </c>
      <c r="FA216" s="464"/>
      <c r="FB216" s="464"/>
      <c r="FC216" s="464"/>
      <c r="FD216" s="464"/>
      <c r="FE216" s="464"/>
      <c r="FF216" s="464"/>
      <c r="FG216" s="466"/>
    </row>
    <row r="217" spans="1:163">
      <c r="A217" s="467" t="s">
        <v>412</v>
      </c>
      <c r="B217" s="471" t="s">
        <v>413</v>
      </c>
      <c r="C217" s="504">
        <v>45670</v>
      </c>
      <c r="D217" s="527"/>
      <c r="E217" s="443">
        <f t="shared" si="211"/>
        <v>0</v>
      </c>
      <c r="F217" s="444">
        <f t="shared" si="211"/>
        <v>0</v>
      </c>
      <c r="G217" s="444">
        <f t="shared" si="211"/>
        <v>0</v>
      </c>
      <c r="H217" s="444">
        <f t="shared" si="211"/>
        <v>0</v>
      </c>
      <c r="I217" s="444">
        <f t="shared" si="211"/>
        <v>0</v>
      </c>
      <c r="J217" s="444">
        <f t="shared" si="211"/>
        <v>0</v>
      </c>
      <c r="K217" s="444">
        <f t="shared" si="211"/>
        <v>0</v>
      </c>
      <c r="L217" s="444">
        <f t="shared" si="211"/>
        <v>0</v>
      </c>
      <c r="M217" s="444">
        <f t="shared" si="211"/>
        <v>0</v>
      </c>
      <c r="N217" s="444">
        <f t="shared" si="211"/>
        <v>0</v>
      </c>
      <c r="O217" s="444">
        <f t="shared" si="212"/>
        <v>0</v>
      </c>
      <c r="P217" s="444">
        <f t="shared" si="212"/>
        <v>0</v>
      </c>
      <c r="Q217" s="444">
        <f t="shared" si="212"/>
        <v>0</v>
      </c>
      <c r="R217" s="444">
        <f t="shared" si="212"/>
        <v>0</v>
      </c>
      <c r="S217" s="444">
        <f t="shared" si="212"/>
        <v>0</v>
      </c>
      <c r="T217" s="444">
        <f t="shared" si="212"/>
        <v>0</v>
      </c>
      <c r="U217" s="444">
        <f t="shared" si="212"/>
        <v>0</v>
      </c>
      <c r="V217" s="444">
        <f t="shared" si="212"/>
        <v>0</v>
      </c>
      <c r="W217" s="444">
        <f t="shared" si="212"/>
        <v>0</v>
      </c>
      <c r="X217" s="444">
        <f t="shared" si="212"/>
        <v>0</v>
      </c>
      <c r="Y217" s="444">
        <f t="shared" si="213"/>
        <v>0</v>
      </c>
      <c r="Z217" s="444">
        <f t="shared" si="213"/>
        <v>0</v>
      </c>
      <c r="AA217" s="444">
        <f t="shared" si="213"/>
        <v>0</v>
      </c>
      <c r="AB217" s="444">
        <f t="shared" si="213"/>
        <v>0</v>
      </c>
      <c r="AC217" s="444">
        <f t="shared" si="213"/>
        <v>0</v>
      </c>
      <c r="AD217" s="444">
        <f t="shared" si="213"/>
        <v>0</v>
      </c>
      <c r="AE217" s="444">
        <f t="shared" si="213"/>
        <v>0</v>
      </c>
      <c r="AF217" s="444">
        <f t="shared" si="213"/>
        <v>0</v>
      </c>
      <c r="AG217" s="444">
        <f t="shared" si="213"/>
        <v>0</v>
      </c>
      <c r="AH217" s="444">
        <f t="shared" si="213"/>
        <v>0</v>
      </c>
      <c r="AI217" s="444">
        <f t="shared" si="214"/>
        <v>0</v>
      </c>
      <c r="AJ217" s="444">
        <f t="shared" si="214"/>
        <v>0</v>
      </c>
      <c r="AK217" s="444">
        <f t="shared" si="214"/>
        <v>0</v>
      </c>
      <c r="AL217" s="444">
        <f t="shared" si="214"/>
        <v>0</v>
      </c>
      <c r="AM217" s="444">
        <f t="shared" si="214"/>
        <v>0</v>
      </c>
      <c r="AN217" s="444">
        <f t="shared" si="214"/>
        <v>0</v>
      </c>
      <c r="AO217" s="444">
        <f t="shared" si="214"/>
        <v>0</v>
      </c>
      <c r="AP217" s="444">
        <f t="shared" si="214"/>
        <v>0</v>
      </c>
      <c r="AQ217" s="444">
        <f t="shared" si="214"/>
        <v>0</v>
      </c>
      <c r="AR217" s="444">
        <f t="shared" si="214"/>
        <v>0</v>
      </c>
      <c r="AS217" s="444">
        <f t="shared" si="215"/>
        <v>0</v>
      </c>
      <c r="AT217" s="444">
        <f t="shared" si="215"/>
        <v>0</v>
      </c>
      <c r="AU217" s="444">
        <f t="shared" si="215"/>
        <v>0</v>
      </c>
      <c r="AV217" s="444">
        <f t="shared" si="215"/>
        <v>0</v>
      </c>
      <c r="AW217" s="444">
        <f t="shared" si="215"/>
        <v>0</v>
      </c>
      <c r="AX217" s="444">
        <f t="shared" si="215"/>
        <v>0</v>
      </c>
      <c r="AY217" s="444">
        <f t="shared" si="215"/>
        <v>0</v>
      </c>
      <c r="AZ217" s="444">
        <f t="shared" si="215"/>
        <v>0</v>
      </c>
      <c r="BA217" s="444">
        <f t="shared" si="215"/>
        <v>0</v>
      </c>
      <c r="BB217" s="444">
        <f t="shared" si="215"/>
        <v>0</v>
      </c>
      <c r="BC217" s="444">
        <f t="shared" si="216"/>
        <v>0</v>
      </c>
      <c r="BD217" s="444">
        <f t="shared" si="216"/>
        <v>0</v>
      </c>
      <c r="BE217" s="444">
        <f t="shared" si="216"/>
        <v>0</v>
      </c>
      <c r="BF217" s="444">
        <f t="shared" si="216"/>
        <v>0</v>
      </c>
      <c r="BG217" s="444">
        <f t="shared" si="216"/>
        <v>0</v>
      </c>
      <c r="BH217" s="445">
        <f t="shared" si="216"/>
        <v>0</v>
      </c>
      <c r="BI217" s="502"/>
      <c r="BJ217" s="443">
        <f t="shared" ref="BJ217:BS218" si="217">_xlfn.IFNA(IF(INDEX(RoadmapData, MATCH(TRIM(BJ$1), RoadmapDataFeatures, 0), MATCH($A217, RoadmapDataProjects, 0)) = "-", "-", INDEX(RoadmapData, MATCH(TRIM(BJ$1), RoadmapDataFeatures, 0), MATCH($A217, RoadmapDataProjects, 0))), "")</f>
        <v>0</v>
      </c>
      <c r="BK217" s="444">
        <f t="shared" si="217"/>
        <v>0</v>
      </c>
      <c r="BL217" s="444">
        <f t="shared" si="217"/>
        <v>0</v>
      </c>
      <c r="BM217" s="444">
        <f t="shared" si="217"/>
        <v>0</v>
      </c>
      <c r="BN217" s="444">
        <f t="shared" si="217"/>
        <v>0</v>
      </c>
      <c r="BO217" s="444">
        <f t="shared" si="217"/>
        <v>0</v>
      </c>
      <c r="BP217" s="444">
        <f t="shared" si="217"/>
        <v>0</v>
      </c>
      <c r="BQ217" s="444">
        <f t="shared" si="217"/>
        <v>0</v>
      </c>
      <c r="BR217" s="444">
        <f t="shared" si="217"/>
        <v>0</v>
      </c>
      <c r="BS217" s="444">
        <f t="shared" si="217"/>
        <v>0</v>
      </c>
      <c r="BT217" s="444">
        <f t="shared" si="208"/>
        <v>0</v>
      </c>
      <c r="BU217" s="444">
        <f t="shared" si="208"/>
        <v>0</v>
      </c>
      <c r="BV217" s="444">
        <f t="shared" si="208"/>
        <v>0</v>
      </c>
      <c r="BW217" s="444">
        <f t="shared" si="208"/>
        <v>0</v>
      </c>
      <c r="BX217" s="444">
        <f t="shared" si="208"/>
        <v>0</v>
      </c>
      <c r="BY217" s="444">
        <f t="shared" si="208"/>
        <v>0</v>
      </c>
      <c r="BZ217" s="444">
        <f t="shared" si="208"/>
        <v>0</v>
      </c>
      <c r="CA217" s="444">
        <f t="shared" si="208"/>
        <v>0</v>
      </c>
      <c r="CB217" s="444">
        <f t="shared" si="208"/>
        <v>0</v>
      </c>
      <c r="CC217" s="444">
        <f t="shared" si="208"/>
        <v>0</v>
      </c>
      <c r="CD217" s="444">
        <f t="shared" si="209"/>
        <v>0</v>
      </c>
      <c r="CE217" s="444">
        <f t="shared" si="209"/>
        <v>0</v>
      </c>
      <c r="CF217" s="444">
        <f t="shared" si="209"/>
        <v>0</v>
      </c>
      <c r="CG217" s="444">
        <f t="shared" si="209"/>
        <v>0</v>
      </c>
      <c r="CH217" s="444">
        <f t="shared" si="209"/>
        <v>0</v>
      </c>
      <c r="CI217" s="444">
        <f t="shared" si="209"/>
        <v>0</v>
      </c>
      <c r="CJ217" s="444">
        <f t="shared" si="209"/>
        <v>0</v>
      </c>
      <c r="CK217" s="444">
        <f t="shared" si="209"/>
        <v>0</v>
      </c>
      <c r="CL217" s="444">
        <f t="shared" si="209"/>
        <v>0</v>
      </c>
      <c r="CM217" s="444">
        <f t="shared" si="209"/>
        <v>0</v>
      </c>
      <c r="CN217" s="444">
        <f t="shared" si="210"/>
        <v>0</v>
      </c>
      <c r="CO217" s="444">
        <f t="shared" si="210"/>
        <v>0</v>
      </c>
      <c r="CP217" s="444">
        <f t="shared" si="210"/>
        <v>0</v>
      </c>
      <c r="CQ217" s="444">
        <f t="shared" si="210"/>
        <v>0</v>
      </c>
      <c r="CR217" s="444">
        <f t="shared" si="210"/>
        <v>0</v>
      </c>
      <c r="CS217" s="444">
        <f t="shared" si="210"/>
        <v>0</v>
      </c>
      <c r="CT217" s="444">
        <f t="shared" si="210"/>
        <v>0</v>
      </c>
      <c r="CU217" s="444">
        <f t="shared" si="210"/>
        <v>0</v>
      </c>
      <c r="CV217" s="444">
        <f t="shared" si="210"/>
        <v>0</v>
      </c>
      <c r="CW217" s="444">
        <f t="shared" si="210"/>
        <v>0</v>
      </c>
      <c r="CX217" s="444">
        <f t="shared" si="210"/>
        <v>0</v>
      </c>
      <c r="CY217" s="444">
        <f t="shared" si="210"/>
        <v>0</v>
      </c>
      <c r="CZ217" s="445">
        <f t="shared" si="210"/>
        <v>0</v>
      </c>
      <c r="DA217" s="528"/>
      <c r="DB217" s="460"/>
      <c r="DC217" s="464"/>
      <c r="DD217" s="463"/>
      <c r="DE217" s="529"/>
      <c r="DF217" s="516"/>
      <c r="DG217" s="508"/>
      <c r="DH217" s="463"/>
      <c r="DI217" s="461"/>
      <c r="DJ217" s="461"/>
      <c r="DK217" s="461"/>
      <c r="DL217" s="464"/>
      <c r="DM217" s="466"/>
      <c r="DN217" s="530"/>
      <c r="DO217" s="460"/>
      <c r="DP217" s="464"/>
      <c r="DQ217" s="464"/>
      <c r="DR217" s="464"/>
      <c r="DS217" s="508"/>
      <c r="DT217" s="525"/>
      <c r="DU217" s="525"/>
      <c r="DV217" s="463"/>
      <c r="DW217" s="464"/>
      <c r="DX217" s="465"/>
      <c r="DY217" s="463"/>
      <c r="DZ217" s="464"/>
      <c r="EA217" s="465"/>
      <c r="EB217" s="463"/>
      <c r="EC217" s="465"/>
      <c r="ED217" s="462"/>
      <c r="EE217" s="530"/>
      <c r="EF217" s="463"/>
      <c r="EG217" s="461"/>
      <c r="EH217" s="464"/>
      <c r="EI217" s="464"/>
      <c r="EJ217" s="464"/>
      <c r="EK217" s="464"/>
      <c r="EL217" s="464"/>
      <c r="EM217" s="464"/>
      <c r="EN217" s="464"/>
      <c r="EO217" s="464"/>
      <c r="EP217" s="464"/>
      <c r="EQ217" s="464"/>
      <c r="ER217" s="464"/>
      <c r="ES217" s="464"/>
      <c r="ET217" s="464"/>
      <c r="EU217" s="464"/>
      <c r="EV217" s="464"/>
      <c r="EW217" s="465"/>
      <c r="EX217" s="465"/>
      <c r="EY217" s="530"/>
      <c r="EZ217" s="460"/>
      <c r="FA217" s="464"/>
      <c r="FB217" s="464"/>
      <c r="FC217" s="464"/>
      <c r="FD217" s="464"/>
      <c r="FE217" s="464"/>
      <c r="FF217" s="464"/>
      <c r="FG217" s="466"/>
    </row>
    <row r="218" spans="1:163">
      <c r="A218" s="467" t="s">
        <v>414</v>
      </c>
      <c r="B218" s="471" t="s">
        <v>413</v>
      </c>
      <c r="C218" s="504">
        <v>45670</v>
      </c>
      <c r="D218" s="527"/>
      <c r="E218" s="443" t="str">
        <f t="shared" si="211"/>
        <v/>
      </c>
      <c r="F218" s="444" t="str">
        <f t="shared" si="211"/>
        <v/>
      </c>
      <c r="G218" s="444" t="str">
        <f t="shared" si="211"/>
        <v/>
      </c>
      <c r="H218" s="444" t="str">
        <f t="shared" si="211"/>
        <v/>
      </c>
      <c r="I218" s="444" t="str">
        <f t="shared" si="211"/>
        <v/>
      </c>
      <c r="J218" s="444" t="str">
        <f t="shared" si="211"/>
        <v/>
      </c>
      <c r="K218" s="444" t="str">
        <f t="shared" si="211"/>
        <v/>
      </c>
      <c r="L218" s="444" t="str">
        <f t="shared" si="211"/>
        <v/>
      </c>
      <c r="M218" s="444" t="str">
        <f t="shared" si="211"/>
        <v/>
      </c>
      <c r="N218" s="444" t="str">
        <f t="shared" si="211"/>
        <v/>
      </c>
      <c r="O218" s="444" t="str">
        <f t="shared" si="212"/>
        <v/>
      </c>
      <c r="P218" s="444" t="str">
        <f t="shared" si="212"/>
        <v/>
      </c>
      <c r="Q218" s="444" t="str">
        <f t="shared" si="212"/>
        <v/>
      </c>
      <c r="R218" s="444" t="str">
        <f t="shared" si="212"/>
        <v/>
      </c>
      <c r="S218" s="444" t="str">
        <f t="shared" si="212"/>
        <v/>
      </c>
      <c r="T218" s="444" t="str">
        <f t="shared" si="212"/>
        <v/>
      </c>
      <c r="U218" s="444" t="str">
        <f t="shared" si="212"/>
        <v/>
      </c>
      <c r="V218" s="444" t="str">
        <f t="shared" si="212"/>
        <v/>
      </c>
      <c r="W218" s="444" t="str">
        <f t="shared" si="212"/>
        <v/>
      </c>
      <c r="X218" s="444" t="str">
        <f t="shared" si="212"/>
        <v/>
      </c>
      <c r="Y218" s="444" t="str">
        <f t="shared" si="213"/>
        <v/>
      </c>
      <c r="Z218" s="444" t="str">
        <f t="shared" si="213"/>
        <v/>
      </c>
      <c r="AA218" s="444" t="str">
        <f t="shared" si="213"/>
        <v/>
      </c>
      <c r="AB218" s="444" t="str">
        <f t="shared" si="213"/>
        <v/>
      </c>
      <c r="AC218" s="444" t="str">
        <f t="shared" si="213"/>
        <v/>
      </c>
      <c r="AD218" s="444" t="str">
        <f t="shared" si="213"/>
        <v/>
      </c>
      <c r="AE218" s="444" t="str">
        <f t="shared" si="213"/>
        <v/>
      </c>
      <c r="AF218" s="444" t="str">
        <f t="shared" si="213"/>
        <v/>
      </c>
      <c r="AG218" s="444" t="str">
        <f t="shared" si="213"/>
        <v/>
      </c>
      <c r="AH218" s="444" t="str">
        <f t="shared" si="213"/>
        <v/>
      </c>
      <c r="AI218" s="444" t="str">
        <f t="shared" si="214"/>
        <v/>
      </c>
      <c r="AJ218" s="444" t="str">
        <f t="shared" si="214"/>
        <v/>
      </c>
      <c r="AK218" s="444" t="str">
        <f t="shared" si="214"/>
        <v/>
      </c>
      <c r="AL218" s="444" t="str">
        <f t="shared" si="214"/>
        <v/>
      </c>
      <c r="AM218" s="444" t="str">
        <f t="shared" si="214"/>
        <v/>
      </c>
      <c r="AN218" s="444" t="str">
        <f t="shared" si="214"/>
        <v/>
      </c>
      <c r="AO218" s="444" t="str">
        <f t="shared" si="214"/>
        <v/>
      </c>
      <c r="AP218" s="444" t="str">
        <f t="shared" si="214"/>
        <v/>
      </c>
      <c r="AQ218" s="444" t="str">
        <f t="shared" si="214"/>
        <v/>
      </c>
      <c r="AR218" s="444" t="str">
        <f t="shared" si="214"/>
        <v/>
      </c>
      <c r="AS218" s="444" t="str">
        <f t="shared" si="215"/>
        <v/>
      </c>
      <c r="AT218" s="444" t="str">
        <f t="shared" si="215"/>
        <v/>
      </c>
      <c r="AU218" s="444" t="str">
        <f t="shared" si="215"/>
        <v/>
      </c>
      <c r="AV218" s="444" t="str">
        <f t="shared" si="215"/>
        <v/>
      </c>
      <c r="AW218" s="444" t="str">
        <f t="shared" si="215"/>
        <v/>
      </c>
      <c r="AX218" s="444" t="str">
        <f t="shared" si="215"/>
        <v/>
      </c>
      <c r="AY218" s="444" t="str">
        <f t="shared" si="215"/>
        <v/>
      </c>
      <c r="AZ218" s="444" t="str">
        <f t="shared" si="215"/>
        <v/>
      </c>
      <c r="BA218" s="444" t="str">
        <f t="shared" si="215"/>
        <v/>
      </c>
      <c r="BB218" s="444" t="str">
        <f t="shared" si="215"/>
        <v/>
      </c>
      <c r="BC218" s="444" t="str">
        <f t="shared" si="216"/>
        <v/>
      </c>
      <c r="BD218" s="444" t="str">
        <f t="shared" si="216"/>
        <v/>
      </c>
      <c r="BE218" s="444" t="str">
        <f t="shared" si="216"/>
        <v/>
      </c>
      <c r="BF218" s="444" t="str">
        <f t="shared" si="216"/>
        <v/>
      </c>
      <c r="BG218" s="444" t="str">
        <f t="shared" si="216"/>
        <v/>
      </c>
      <c r="BH218" s="445" t="str">
        <f t="shared" si="216"/>
        <v/>
      </c>
      <c r="BI218" s="502"/>
      <c r="BJ218" s="443" t="e">
        <f t="shared" si="217"/>
        <v>#REF!</v>
      </c>
      <c r="BK218" s="444" t="e">
        <f t="shared" si="217"/>
        <v>#REF!</v>
      </c>
      <c r="BL218" s="444" t="e">
        <f t="shared" si="217"/>
        <v>#REF!</v>
      </c>
      <c r="BM218" s="444" t="e">
        <f t="shared" si="217"/>
        <v>#REF!</v>
      </c>
      <c r="BN218" s="444" t="e">
        <f t="shared" si="217"/>
        <v>#REF!</v>
      </c>
      <c r="BO218" s="444" t="e">
        <f t="shared" si="217"/>
        <v>#REF!</v>
      </c>
      <c r="BP218" s="444" t="e">
        <f t="shared" si="217"/>
        <v>#REF!</v>
      </c>
      <c r="BQ218" s="444" t="e">
        <f t="shared" si="217"/>
        <v>#REF!</v>
      </c>
      <c r="BR218" s="444" t="e">
        <f t="shared" si="217"/>
        <v>#REF!</v>
      </c>
      <c r="BS218" s="444" t="e">
        <f t="shared" si="217"/>
        <v>#REF!</v>
      </c>
      <c r="BT218" s="444" t="e">
        <f t="shared" si="208"/>
        <v>#REF!</v>
      </c>
      <c r="BU218" s="444" t="e">
        <f t="shared" si="208"/>
        <v>#REF!</v>
      </c>
      <c r="BV218" s="444" t="e">
        <f t="shared" si="208"/>
        <v>#REF!</v>
      </c>
      <c r="BW218" s="444" t="e">
        <f t="shared" si="208"/>
        <v>#REF!</v>
      </c>
      <c r="BX218" s="444" t="e">
        <f t="shared" si="208"/>
        <v>#REF!</v>
      </c>
      <c r="BY218" s="444" t="e">
        <f t="shared" si="208"/>
        <v>#REF!</v>
      </c>
      <c r="BZ218" s="444" t="e">
        <f t="shared" si="208"/>
        <v>#REF!</v>
      </c>
      <c r="CA218" s="444" t="e">
        <f t="shared" si="208"/>
        <v>#REF!</v>
      </c>
      <c r="CB218" s="444" t="e">
        <f t="shared" si="208"/>
        <v>#REF!</v>
      </c>
      <c r="CC218" s="444" t="e">
        <f t="shared" si="208"/>
        <v>#REF!</v>
      </c>
      <c r="CD218" s="444" t="e">
        <f t="shared" si="209"/>
        <v>#REF!</v>
      </c>
      <c r="CE218" s="444" t="e">
        <f t="shared" si="209"/>
        <v>#REF!</v>
      </c>
      <c r="CF218" s="444" t="e">
        <f t="shared" si="209"/>
        <v>#REF!</v>
      </c>
      <c r="CG218" s="444" t="e">
        <f t="shared" si="209"/>
        <v>#REF!</v>
      </c>
      <c r="CH218" s="444" t="e">
        <f t="shared" si="209"/>
        <v>#REF!</v>
      </c>
      <c r="CI218" s="444" t="e">
        <f t="shared" si="209"/>
        <v>#REF!</v>
      </c>
      <c r="CJ218" s="444" t="e">
        <f t="shared" si="209"/>
        <v>#REF!</v>
      </c>
      <c r="CK218" s="444" t="e">
        <f t="shared" si="209"/>
        <v>#REF!</v>
      </c>
      <c r="CL218" s="444" t="e">
        <f t="shared" si="209"/>
        <v>#REF!</v>
      </c>
      <c r="CM218" s="444" t="e">
        <f t="shared" si="209"/>
        <v>#REF!</v>
      </c>
      <c r="CN218" s="444" t="e">
        <f t="shared" si="210"/>
        <v>#REF!</v>
      </c>
      <c r="CO218" s="444" t="e">
        <f t="shared" si="210"/>
        <v>#REF!</v>
      </c>
      <c r="CP218" s="444" t="e">
        <f t="shared" si="210"/>
        <v>#REF!</v>
      </c>
      <c r="CQ218" s="444" t="e">
        <f t="shared" si="210"/>
        <v>#REF!</v>
      </c>
      <c r="CR218" s="444" t="e">
        <f t="shared" si="210"/>
        <v>#REF!</v>
      </c>
      <c r="CS218" s="444" t="e">
        <f t="shared" si="210"/>
        <v>#REF!</v>
      </c>
      <c r="CT218" s="444" t="e">
        <f t="shared" si="210"/>
        <v>#REF!</v>
      </c>
      <c r="CU218" s="444" t="e">
        <f t="shared" si="210"/>
        <v>#REF!</v>
      </c>
      <c r="CV218" s="444" t="e">
        <f t="shared" si="210"/>
        <v>#REF!</v>
      </c>
      <c r="CW218" s="444" t="e">
        <f t="shared" si="210"/>
        <v>#REF!</v>
      </c>
      <c r="CX218" s="444" t="e">
        <f t="shared" si="210"/>
        <v>#REF!</v>
      </c>
      <c r="CY218" s="444" t="e">
        <f t="shared" si="210"/>
        <v>#REF!</v>
      </c>
      <c r="CZ218" s="445" t="e">
        <f t="shared" si="210"/>
        <v>#REF!</v>
      </c>
      <c r="DA218" s="528"/>
      <c r="DB218" s="460"/>
      <c r="DC218" s="464"/>
      <c r="DD218" s="463"/>
      <c r="DE218" s="529"/>
      <c r="DF218" s="516"/>
      <c r="DG218" s="508"/>
      <c r="DH218" s="463"/>
      <c r="DI218" s="461"/>
      <c r="DJ218" s="461"/>
      <c r="DK218" s="461"/>
      <c r="DL218" s="464"/>
      <c r="DM218" s="466"/>
      <c r="DN218" s="530"/>
      <c r="DO218" s="460"/>
      <c r="DP218" s="464"/>
      <c r="DQ218" s="464"/>
      <c r="DR218" s="464"/>
      <c r="DS218" s="508"/>
      <c r="DT218" s="525"/>
      <c r="DU218" s="525"/>
      <c r="DV218" s="463"/>
      <c r="DW218" s="464"/>
      <c r="DX218" s="465"/>
      <c r="DY218" s="463"/>
      <c r="DZ218" s="464"/>
      <c r="EA218" s="465"/>
      <c r="EB218" s="463"/>
      <c r="EC218" s="465"/>
      <c r="ED218" s="462"/>
      <c r="EE218" s="530"/>
      <c r="EF218" s="463"/>
      <c r="EG218" s="461"/>
      <c r="EH218" s="464"/>
      <c r="EI218" s="464"/>
      <c r="EJ218" s="464"/>
      <c r="EK218" s="464"/>
      <c r="EL218" s="464"/>
      <c r="EM218" s="464"/>
      <c r="EN218" s="464"/>
      <c r="EO218" s="464"/>
      <c r="EP218" s="464"/>
      <c r="EQ218" s="464"/>
      <c r="ER218" s="464"/>
      <c r="ES218" s="464"/>
      <c r="ET218" s="464"/>
      <c r="EU218" s="464"/>
      <c r="EV218" s="464"/>
      <c r="EW218" s="465"/>
      <c r="EX218" s="465"/>
      <c r="EY218" s="530"/>
      <c r="EZ218" s="460"/>
      <c r="FA218" s="464"/>
      <c r="FB218" s="464"/>
      <c r="FC218" s="464"/>
      <c r="FD218" s="464"/>
      <c r="FE218" s="464"/>
      <c r="FF218" s="464"/>
      <c r="FG218" s="466"/>
    </row>
    <row r="219" spans="1:163">
      <c r="A219" s="467" t="s">
        <v>415</v>
      </c>
      <c r="B219" s="471" t="s">
        <v>402</v>
      </c>
      <c r="C219" s="504">
        <v>45630</v>
      </c>
      <c r="D219" s="502"/>
      <c r="E219" s="443" t="str">
        <f t="shared" si="211"/>
        <v/>
      </c>
      <c r="F219" s="444" t="str">
        <f t="shared" si="211"/>
        <v/>
      </c>
      <c r="G219" s="444" t="str">
        <f t="shared" si="211"/>
        <v/>
      </c>
      <c r="H219" s="444" t="str">
        <f t="shared" si="211"/>
        <v/>
      </c>
      <c r="I219" s="444" t="str">
        <f t="shared" si="211"/>
        <v/>
      </c>
      <c r="J219" s="444" t="str">
        <f t="shared" si="211"/>
        <v/>
      </c>
      <c r="K219" s="444" t="str">
        <f t="shared" si="211"/>
        <v/>
      </c>
      <c r="L219" s="444" t="str">
        <f t="shared" si="211"/>
        <v/>
      </c>
      <c r="M219" s="444" t="str">
        <f t="shared" si="211"/>
        <v/>
      </c>
      <c r="N219" s="444" t="str">
        <f t="shared" si="211"/>
        <v/>
      </c>
      <c r="O219" s="444" t="str">
        <f t="shared" si="212"/>
        <v/>
      </c>
      <c r="P219" s="444" t="str">
        <f t="shared" si="212"/>
        <v/>
      </c>
      <c r="Q219" s="444" t="str">
        <f t="shared" si="212"/>
        <v/>
      </c>
      <c r="R219" s="444" t="str">
        <f t="shared" si="212"/>
        <v/>
      </c>
      <c r="S219" s="444" t="str">
        <f t="shared" si="212"/>
        <v/>
      </c>
      <c r="T219" s="444" t="str">
        <f t="shared" si="212"/>
        <v/>
      </c>
      <c r="U219" s="444" t="str">
        <f t="shared" si="212"/>
        <v/>
      </c>
      <c r="V219" s="444" t="str">
        <f t="shared" si="212"/>
        <v/>
      </c>
      <c r="W219" s="444" t="str">
        <f t="shared" si="212"/>
        <v/>
      </c>
      <c r="X219" s="444" t="str">
        <f t="shared" si="212"/>
        <v/>
      </c>
      <c r="Y219" s="444" t="str">
        <f t="shared" si="213"/>
        <v/>
      </c>
      <c r="Z219" s="444" t="str">
        <f t="shared" si="213"/>
        <v/>
      </c>
      <c r="AA219" s="444" t="str">
        <f t="shared" si="213"/>
        <v/>
      </c>
      <c r="AB219" s="444" t="str">
        <f t="shared" si="213"/>
        <v/>
      </c>
      <c r="AC219" s="444" t="str">
        <f t="shared" si="213"/>
        <v/>
      </c>
      <c r="AD219" s="444" t="str">
        <f t="shared" si="213"/>
        <v/>
      </c>
      <c r="AE219" s="444" t="str">
        <f t="shared" si="213"/>
        <v/>
      </c>
      <c r="AF219" s="444" t="str">
        <f t="shared" si="213"/>
        <v/>
      </c>
      <c r="AG219" s="444" t="str">
        <f t="shared" si="213"/>
        <v/>
      </c>
      <c r="AH219" s="444" t="str">
        <f t="shared" si="213"/>
        <v/>
      </c>
      <c r="AI219" s="444" t="str">
        <f t="shared" si="214"/>
        <v/>
      </c>
      <c r="AJ219" s="444" t="str">
        <f t="shared" si="214"/>
        <v/>
      </c>
      <c r="AK219" s="444" t="str">
        <f t="shared" si="214"/>
        <v/>
      </c>
      <c r="AL219" s="444" t="str">
        <f t="shared" si="214"/>
        <v/>
      </c>
      <c r="AM219" s="444" t="str">
        <f t="shared" si="214"/>
        <v/>
      </c>
      <c r="AN219" s="444" t="str">
        <f t="shared" si="214"/>
        <v/>
      </c>
      <c r="AO219" s="444" t="str">
        <f t="shared" si="214"/>
        <v/>
      </c>
      <c r="AP219" s="444" t="str">
        <f t="shared" si="214"/>
        <v/>
      </c>
      <c r="AQ219" s="444" t="str">
        <f t="shared" si="214"/>
        <v/>
      </c>
      <c r="AR219" s="444" t="str">
        <f t="shared" si="214"/>
        <v/>
      </c>
      <c r="AS219" s="444" t="str">
        <f t="shared" si="215"/>
        <v/>
      </c>
      <c r="AT219" s="444" t="str">
        <f t="shared" si="215"/>
        <v/>
      </c>
      <c r="AU219" s="444" t="str">
        <f t="shared" si="215"/>
        <v/>
      </c>
      <c r="AV219" s="444" t="str">
        <f t="shared" si="215"/>
        <v/>
      </c>
      <c r="AW219" s="444" t="str">
        <f t="shared" si="215"/>
        <v/>
      </c>
      <c r="AX219" s="444" t="str">
        <f t="shared" si="215"/>
        <v/>
      </c>
      <c r="AY219" s="444" t="str">
        <f t="shared" si="215"/>
        <v/>
      </c>
      <c r="AZ219" s="444" t="str">
        <f t="shared" si="215"/>
        <v/>
      </c>
      <c r="BA219" s="444" t="str">
        <f t="shared" si="215"/>
        <v/>
      </c>
      <c r="BB219" s="444" t="str">
        <f t="shared" si="215"/>
        <v/>
      </c>
      <c r="BC219" s="444" t="str">
        <f t="shared" si="216"/>
        <v/>
      </c>
      <c r="BD219" s="444" t="str">
        <f t="shared" si="216"/>
        <v/>
      </c>
      <c r="BE219" s="444" t="str">
        <f t="shared" si="216"/>
        <v/>
      </c>
      <c r="BF219" s="444" t="str">
        <f t="shared" si="216"/>
        <v/>
      </c>
      <c r="BG219" s="444" t="str">
        <f t="shared" si="216"/>
        <v/>
      </c>
      <c r="BH219" s="445" t="str">
        <f t="shared" si="216"/>
        <v/>
      </c>
      <c r="BI219" s="502"/>
      <c r="BJ219" s="474" t="e">
        <f t="shared" si="207"/>
        <v>#REF!</v>
      </c>
      <c r="BK219" s="475" t="e">
        <f t="shared" si="207"/>
        <v>#REF!</v>
      </c>
      <c r="BL219" s="475" t="e">
        <f t="shared" si="207"/>
        <v>#REF!</v>
      </c>
      <c r="BM219" s="475" t="e">
        <f t="shared" si="207"/>
        <v>#REF!</v>
      </c>
      <c r="BN219" s="475" t="e">
        <f t="shared" si="207"/>
        <v>#REF!</v>
      </c>
      <c r="BO219" s="475" t="e">
        <f t="shared" si="207"/>
        <v>#REF!</v>
      </c>
      <c r="BP219" s="475" t="e">
        <f t="shared" si="207"/>
        <v>#REF!</v>
      </c>
      <c r="BQ219" s="475" t="e">
        <f t="shared" si="207"/>
        <v>#REF!</v>
      </c>
      <c r="BR219" s="475" t="e">
        <f t="shared" si="207"/>
        <v>#REF!</v>
      </c>
      <c r="BS219" s="475" t="e">
        <f t="shared" si="207"/>
        <v>#REF!</v>
      </c>
      <c r="BT219" s="475" t="e">
        <f t="shared" si="208"/>
        <v>#REF!</v>
      </c>
      <c r="BU219" s="475" t="e">
        <f t="shared" si="208"/>
        <v>#REF!</v>
      </c>
      <c r="BV219" s="475" t="e">
        <f t="shared" si="208"/>
        <v>#REF!</v>
      </c>
      <c r="BW219" s="475" t="e">
        <f t="shared" si="208"/>
        <v>#REF!</v>
      </c>
      <c r="BX219" s="475" t="e">
        <f t="shared" si="208"/>
        <v>#REF!</v>
      </c>
      <c r="BY219" s="475" t="e">
        <f t="shared" si="208"/>
        <v>#REF!</v>
      </c>
      <c r="BZ219" s="475" t="e">
        <f t="shared" si="208"/>
        <v>#REF!</v>
      </c>
      <c r="CA219" s="475" t="e">
        <f t="shared" si="208"/>
        <v>#REF!</v>
      </c>
      <c r="CB219" s="475" t="e">
        <f t="shared" si="208"/>
        <v>#REF!</v>
      </c>
      <c r="CC219" s="475" t="e">
        <f t="shared" si="208"/>
        <v>#REF!</v>
      </c>
      <c r="CD219" s="475" t="e">
        <f t="shared" si="209"/>
        <v>#REF!</v>
      </c>
      <c r="CE219" s="475" t="e">
        <f t="shared" si="209"/>
        <v>#REF!</v>
      </c>
      <c r="CF219" s="475" t="e">
        <f t="shared" si="209"/>
        <v>#REF!</v>
      </c>
      <c r="CG219" s="475" t="e">
        <f t="shared" si="209"/>
        <v>#REF!</v>
      </c>
      <c r="CH219" s="475" t="e">
        <f t="shared" si="209"/>
        <v>#REF!</v>
      </c>
      <c r="CI219" s="475" t="e">
        <f t="shared" si="209"/>
        <v>#REF!</v>
      </c>
      <c r="CJ219" s="475" t="e">
        <f t="shared" si="209"/>
        <v>#REF!</v>
      </c>
      <c r="CK219" s="475" t="e">
        <f t="shared" si="209"/>
        <v>#REF!</v>
      </c>
      <c r="CL219" s="475" t="e">
        <f t="shared" si="209"/>
        <v>#REF!</v>
      </c>
      <c r="CM219" s="475" t="e">
        <f t="shared" si="209"/>
        <v>#REF!</v>
      </c>
      <c r="CN219" s="475" t="e">
        <f t="shared" si="210"/>
        <v>#REF!</v>
      </c>
      <c r="CO219" s="475" t="e">
        <f t="shared" si="210"/>
        <v>#REF!</v>
      </c>
      <c r="CP219" s="475" t="e">
        <f t="shared" si="210"/>
        <v>#REF!</v>
      </c>
      <c r="CQ219" s="475" t="e">
        <f t="shared" si="210"/>
        <v>#REF!</v>
      </c>
      <c r="CR219" s="475" t="e">
        <f t="shared" si="210"/>
        <v>#REF!</v>
      </c>
      <c r="CS219" s="475" t="e">
        <f t="shared" si="210"/>
        <v>#REF!</v>
      </c>
      <c r="CT219" s="475" t="e">
        <f t="shared" si="210"/>
        <v>#REF!</v>
      </c>
      <c r="CU219" s="475" t="e">
        <f t="shared" si="210"/>
        <v>#REF!</v>
      </c>
      <c r="CV219" s="475" t="e">
        <f t="shared" si="210"/>
        <v>#REF!</v>
      </c>
      <c r="CW219" s="475" t="e">
        <f t="shared" si="210"/>
        <v>#REF!</v>
      </c>
      <c r="CX219" s="475" t="e">
        <f t="shared" si="210"/>
        <v>#REF!</v>
      </c>
      <c r="CY219" s="475" t="e">
        <f t="shared" si="210"/>
        <v>#REF!</v>
      </c>
      <c r="CZ219" s="495" t="e">
        <f t="shared" si="210"/>
        <v>#REF!</v>
      </c>
      <c r="DA219" s="502"/>
      <c r="DB219" s="460">
        <v>2</v>
      </c>
      <c r="DC219" s="465">
        <v>3.1</v>
      </c>
      <c r="DD219" s="463"/>
      <c r="DE219" s="512" t="s">
        <v>394</v>
      </c>
      <c r="DF219" s="516"/>
      <c r="DG219" s="508"/>
      <c r="DH219" s="463"/>
      <c r="DI219" s="461"/>
      <c r="DJ219" s="461"/>
      <c r="DK219" s="461"/>
      <c r="DL219" s="464"/>
      <c r="DM219" s="466"/>
      <c r="DN219" s="502"/>
      <c r="DO219" s="460"/>
      <c r="DP219" s="464"/>
      <c r="DQ219" s="464"/>
      <c r="DR219" s="464"/>
      <c r="DS219" s="508"/>
      <c r="DT219" s="525"/>
      <c r="DU219" s="525"/>
      <c r="DV219" s="463"/>
      <c r="DW219" s="464"/>
      <c r="DX219" s="465"/>
      <c r="DY219" s="463"/>
      <c r="DZ219" s="464"/>
      <c r="EA219" s="465"/>
      <c r="EB219" s="463"/>
      <c r="EC219" s="465"/>
      <c r="ED219" s="462"/>
      <c r="EE219" s="502"/>
      <c r="EF219" s="463" t="s">
        <v>339</v>
      </c>
      <c r="EG219" s="461"/>
      <c r="EH219" s="464"/>
      <c r="EI219" s="464"/>
      <c r="EJ219" s="464"/>
      <c r="EK219" s="464"/>
      <c r="EL219" s="464"/>
      <c r="EM219" s="464"/>
      <c r="EN219" s="464"/>
      <c r="EO219" s="464"/>
      <c r="EP219" s="464"/>
      <c r="EQ219" s="464"/>
      <c r="ER219" s="464"/>
      <c r="ES219" s="464"/>
      <c r="ET219" s="464"/>
      <c r="EU219" s="464"/>
      <c r="EV219" s="464"/>
      <c r="EW219" s="465"/>
      <c r="EX219" s="465"/>
      <c r="EY219" s="502"/>
      <c r="EZ219" s="460"/>
      <c r="FA219" s="464"/>
      <c r="FB219" s="464"/>
      <c r="FC219" s="464"/>
      <c r="FD219" s="464"/>
      <c r="FE219" s="464"/>
      <c r="FF219" s="464"/>
      <c r="FG219" s="466"/>
    </row>
    <row r="220" spans="1:163">
      <c r="A220" s="479" t="s">
        <v>416</v>
      </c>
      <c r="B220" s="480" t="s">
        <v>402</v>
      </c>
      <c r="C220" s="506">
        <v>45630</v>
      </c>
      <c r="D220" s="503"/>
      <c r="E220" s="481" t="str">
        <f t="shared" si="211"/>
        <v>NO</v>
      </c>
      <c r="F220" s="482" t="str">
        <f t="shared" si="211"/>
        <v>NO</v>
      </c>
      <c r="G220" s="482" t="str">
        <f t="shared" si="211"/>
        <v>YES</v>
      </c>
      <c r="H220" s="482" t="str">
        <f t="shared" si="211"/>
        <v>YES</v>
      </c>
      <c r="I220" s="482" t="str">
        <f t="shared" si="211"/>
        <v>YES</v>
      </c>
      <c r="J220" s="482" t="str">
        <f t="shared" si="211"/>
        <v>DEP</v>
      </c>
      <c r="K220" s="482" t="str">
        <f t="shared" si="211"/>
        <v>NO</v>
      </c>
      <c r="L220" s="482" t="str">
        <f t="shared" si="211"/>
        <v>YES</v>
      </c>
      <c r="M220" s="482" t="str">
        <f t="shared" si="211"/>
        <v>YES</v>
      </c>
      <c r="N220" s="482" t="str">
        <f t="shared" si="211"/>
        <v>NO</v>
      </c>
      <c r="O220" s="482" t="str">
        <f t="shared" si="212"/>
        <v>NO</v>
      </c>
      <c r="P220" s="482" t="str">
        <f t="shared" si="212"/>
        <v>YES</v>
      </c>
      <c r="Q220" s="482" t="str">
        <f t="shared" si="212"/>
        <v>YES</v>
      </c>
      <c r="R220" s="482" t="str">
        <f t="shared" si="212"/>
        <v>YES</v>
      </c>
      <c r="S220" s="482" t="str">
        <f t="shared" si="212"/>
        <v>YES</v>
      </c>
      <c r="T220" s="482" t="str">
        <f t="shared" si="212"/>
        <v>YES</v>
      </c>
      <c r="U220" s="482" t="str">
        <f t="shared" si="212"/>
        <v>YES</v>
      </c>
      <c r="V220" s="482" t="str">
        <f t="shared" si="212"/>
        <v>YES</v>
      </c>
      <c r="W220" s="482" t="str">
        <f t="shared" si="212"/>
        <v>NO</v>
      </c>
      <c r="X220" s="482" t="str">
        <f t="shared" si="212"/>
        <v>YES</v>
      </c>
      <c r="Y220" s="482" t="str">
        <f t="shared" si="213"/>
        <v>DEP</v>
      </c>
      <c r="Z220" s="482" t="str">
        <f t="shared" si="213"/>
        <v>YES</v>
      </c>
      <c r="AA220" s="482" t="str">
        <f t="shared" si="213"/>
        <v>NO</v>
      </c>
      <c r="AB220" s="482" t="str">
        <f t="shared" si="213"/>
        <v>NO</v>
      </c>
      <c r="AC220" s="482" t="str">
        <f t="shared" si="213"/>
        <v>NO</v>
      </c>
      <c r="AD220" s="482" t="str">
        <f t="shared" si="213"/>
        <v>YES</v>
      </c>
      <c r="AE220" s="482" t="str">
        <f t="shared" si="213"/>
        <v>YES</v>
      </c>
      <c r="AF220" s="482" t="str">
        <f t="shared" si="213"/>
        <v>N/A</v>
      </c>
      <c r="AG220" s="482" t="str">
        <f t="shared" si="213"/>
        <v>N/A</v>
      </c>
      <c r="AH220" s="482" t="str">
        <f t="shared" si="213"/>
        <v>YES</v>
      </c>
      <c r="AI220" s="482" t="str">
        <f t="shared" si="214"/>
        <v>NO</v>
      </c>
      <c r="AJ220" s="482" t="str">
        <f t="shared" si="214"/>
        <v>YES</v>
      </c>
      <c r="AK220" s="482" t="str">
        <f t="shared" si="214"/>
        <v>NO</v>
      </c>
      <c r="AL220" s="482" t="str">
        <f t="shared" si="214"/>
        <v>NO</v>
      </c>
      <c r="AM220" s="482" t="str">
        <f t="shared" si="214"/>
        <v>YES</v>
      </c>
      <c r="AN220" s="482" t="str">
        <f t="shared" si="214"/>
        <v>YES</v>
      </c>
      <c r="AO220" s="482" t="str">
        <f t="shared" si="214"/>
        <v>YES</v>
      </c>
      <c r="AP220" s="482" t="str">
        <f t="shared" si="214"/>
        <v>NO</v>
      </c>
      <c r="AQ220" s="482" t="str">
        <f t="shared" si="214"/>
        <v>YES</v>
      </c>
      <c r="AR220" s="482" t="str">
        <f t="shared" si="214"/>
        <v>NO</v>
      </c>
      <c r="AS220" s="482" t="str">
        <f t="shared" si="215"/>
        <v>NO</v>
      </c>
      <c r="AT220" s="482" t="str">
        <f t="shared" si="215"/>
        <v>YES</v>
      </c>
      <c r="AU220" s="482" t="str">
        <f t="shared" si="215"/>
        <v>DEP</v>
      </c>
      <c r="AV220" s="482" t="str">
        <f t="shared" si="215"/>
        <v>YES</v>
      </c>
      <c r="AW220" s="482" t="str">
        <f t="shared" si="215"/>
        <v>NO</v>
      </c>
      <c r="AX220" s="482" t="str">
        <f t="shared" si="215"/>
        <v>YES</v>
      </c>
      <c r="AY220" s="482" t="str">
        <f t="shared" si="215"/>
        <v>YES</v>
      </c>
      <c r="AZ220" s="482" t="str">
        <f t="shared" si="215"/>
        <v>YES</v>
      </c>
      <c r="BA220" s="482" t="str">
        <f t="shared" si="215"/>
        <v>DEP</v>
      </c>
      <c r="BB220" s="482" t="str">
        <f t="shared" si="215"/>
        <v>YES</v>
      </c>
      <c r="BC220" s="482" t="str">
        <f t="shared" si="216"/>
        <v>NO</v>
      </c>
      <c r="BD220" s="482" t="str">
        <f t="shared" si="216"/>
        <v>NO</v>
      </c>
      <c r="BE220" s="482" t="str">
        <f t="shared" si="216"/>
        <v>NO</v>
      </c>
      <c r="BF220" s="482" t="str">
        <f t="shared" si="216"/>
        <v>YES</v>
      </c>
      <c r="BG220" s="482" t="str">
        <f t="shared" si="216"/>
        <v>YES</v>
      </c>
      <c r="BH220" s="483" t="str">
        <f t="shared" si="216"/>
        <v>NO</v>
      </c>
      <c r="BI220" s="503"/>
      <c r="BJ220" s="481" t="str">
        <f t="shared" si="207"/>
        <v>NO</v>
      </c>
      <c r="BK220" s="482" t="str">
        <f t="shared" si="207"/>
        <v>NO</v>
      </c>
      <c r="BL220" s="482" t="str">
        <f t="shared" si="207"/>
        <v>NO</v>
      </c>
      <c r="BM220" s="482" t="str">
        <f t="shared" si="207"/>
        <v>NO</v>
      </c>
      <c r="BN220" s="482" t="str">
        <f t="shared" si="207"/>
        <v>NO</v>
      </c>
      <c r="BO220" s="482" t="str">
        <f t="shared" si="207"/>
        <v>NO</v>
      </c>
      <c r="BP220" s="482" t="str">
        <f t="shared" si="207"/>
        <v>NO</v>
      </c>
      <c r="BQ220" s="482" t="str">
        <f t="shared" si="207"/>
        <v>NO</v>
      </c>
      <c r="BR220" s="482" t="str">
        <f t="shared" si="207"/>
        <v>NO</v>
      </c>
      <c r="BS220" s="482" t="str">
        <f t="shared" si="207"/>
        <v>NO</v>
      </c>
      <c r="BT220" s="482" t="str">
        <f t="shared" si="208"/>
        <v>NO</v>
      </c>
      <c r="BU220" s="482" t="str">
        <f t="shared" si="208"/>
        <v>NO</v>
      </c>
      <c r="BV220" s="482" t="str">
        <f t="shared" si="208"/>
        <v>NO</v>
      </c>
      <c r="BW220" s="482" t="str">
        <f t="shared" si="208"/>
        <v>YES</v>
      </c>
      <c r="BX220" s="482" t="str">
        <f t="shared" si="208"/>
        <v>NO</v>
      </c>
      <c r="BY220" s="482" t="str">
        <f t="shared" si="208"/>
        <v>NO</v>
      </c>
      <c r="BZ220" s="482" t="str">
        <f t="shared" si="208"/>
        <v>NO</v>
      </c>
      <c r="CA220" s="482" t="str">
        <f t="shared" si="208"/>
        <v>NO</v>
      </c>
      <c r="CB220" s="482" t="str">
        <f t="shared" si="208"/>
        <v>NO</v>
      </c>
      <c r="CC220" s="482" t="str">
        <f t="shared" si="208"/>
        <v>NO</v>
      </c>
      <c r="CD220" s="482" t="str">
        <f t="shared" si="209"/>
        <v>NO</v>
      </c>
      <c r="CE220" s="482" t="str">
        <f t="shared" si="209"/>
        <v>NO</v>
      </c>
      <c r="CF220" s="482" t="str">
        <f t="shared" si="209"/>
        <v>NO</v>
      </c>
      <c r="CG220" s="482" t="str">
        <f t="shared" si="209"/>
        <v>NO</v>
      </c>
      <c r="CH220" s="482" t="str">
        <f t="shared" si="209"/>
        <v>NO</v>
      </c>
      <c r="CI220" s="482" t="str">
        <f t="shared" si="209"/>
        <v>NO</v>
      </c>
      <c r="CJ220" s="482" t="str">
        <f t="shared" si="209"/>
        <v>NO</v>
      </c>
      <c r="CK220" s="482" t="str">
        <f t="shared" si="209"/>
        <v>NO</v>
      </c>
      <c r="CL220" s="482" t="str">
        <f t="shared" si="209"/>
        <v>NO</v>
      </c>
      <c r="CM220" s="482" t="str">
        <f t="shared" si="209"/>
        <v>NO</v>
      </c>
      <c r="CN220" s="482" t="str">
        <f t="shared" si="210"/>
        <v>YES</v>
      </c>
      <c r="CO220" s="482" t="str">
        <f t="shared" si="210"/>
        <v>YES</v>
      </c>
      <c r="CP220" s="482" t="str">
        <f t="shared" si="210"/>
        <v>NO</v>
      </c>
      <c r="CQ220" s="482" t="str">
        <f t="shared" si="210"/>
        <v>NO</v>
      </c>
      <c r="CR220" s="482" t="str">
        <f t="shared" si="210"/>
        <v>NO</v>
      </c>
      <c r="CS220" s="482" t="str">
        <f t="shared" si="210"/>
        <v>NO</v>
      </c>
      <c r="CT220" s="482" t="str">
        <f t="shared" si="210"/>
        <v>NO</v>
      </c>
      <c r="CU220" s="482" t="str">
        <f t="shared" si="210"/>
        <v>NO</v>
      </c>
      <c r="CV220" s="482" t="str">
        <f t="shared" si="210"/>
        <v>NO</v>
      </c>
      <c r="CW220" s="482" t="str">
        <f t="shared" si="210"/>
        <v>NO</v>
      </c>
      <c r="CX220" s="482" t="str">
        <f t="shared" si="210"/>
        <v>NO</v>
      </c>
      <c r="CY220" s="482" t="str">
        <f t="shared" si="210"/>
        <v>NO</v>
      </c>
      <c r="CZ220" s="483" t="str">
        <f t="shared" si="210"/>
        <v>NO</v>
      </c>
      <c r="DA220" s="503"/>
      <c r="DB220" s="484">
        <v>2</v>
      </c>
      <c r="DC220" s="489">
        <v>3.1</v>
      </c>
      <c r="DD220" s="487"/>
      <c r="DE220" s="514"/>
      <c r="DF220" s="518"/>
      <c r="DG220" s="509"/>
      <c r="DH220" s="487"/>
      <c r="DI220" s="485"/>
      <c r="DJ220" s="485"/>
      <c r="DK220" s="485"/>
      <c r="DL220" s="488"/>
      <c r="DM220" s="490"/>
      <c r="DN220" s="503"/>
      <c r="DO220" s="484"/>
      <c r="DP220" s="488"/>
      <c r="DQ220" s="488"/>
      <c r="DR220" s="488"/>
      <c r="DS220" s="509"/>
      <c r="DT220" s="526"/>
      <c r="DU220" s="526"/>
      <c r="DV220" s="487"/>
      <c r="DW220" s="488"/>
      <c r="DX220" s="489"/>
      <c r="DY220" s="487"/>
      <c r="DZ220" s="488"/>
      <c r="EA220" s="489"/>
      <c r="EB220" s="487"/>
      <c r="EC220" s="489"/>
      <c r="ED220" s="486"/>
      <c r="EE220" s="503"/>
      <c r="EF220" s="487" t="s">
        <v>339</v>
      </c>
      <c r="EG220" s="485"/>
      <c r="EH220" s="488"/>
      <c r="EI220" s="488"/>
      <c r="EJ220" s="488"/>
      <c r="EK220" s="488"/>
      <c r="EL220" s="488"/>
      <c r="EM220" s="488"/>
      <c r="EN220" s="488"/>
      <c r="EO220" s="488"/>
      <c r="EP220" s="488"/>
      <c r="EQ220" s="488"/>
      <c r="ER220" s="488"/>
      <c r="ES220" s="488"/>
      <c r="ET220" s="488"/>
      <c r="EU220" s="488"/>
      <c r="EV220" s="488"/>
      <c r="EW220" s="489"/>
      <c r="EX220" s="489"/>
      <c r="EY220" s="503"/>
      <c r="EZ220" s="484"/>
      <c r="FA220" s="488"/>
      <c r="FB220" s="488"/>
      <c r="FC220" s="488"/>
      <c r="FD220" s="488"/>
      <c r="FE220" s="488"/>
      <c r="FF220" s="488"/>
      <c r="FG220" s="490"/>
    </row>
    <row r="227" spans="2:2">
      <c r="B227" s="1"/>
    </row>
    <row r="228" spans="2:2">
      <c r="B228" s="1"/>
    </row>
    <row r="229" spans="2:2">
      <c r="B229" s="1"/>
    </row>
    <row r="230" spans="2:2">
      <c r="B230" s="1"/>
    </row>
    <row r="231" spans="2:2">
      <c r="B231" s="1"/>
    </row>
    <row r="232" spans="2:2">
      <c r="B232" s="1"/>
    </row>
    <row r="233" spans="2:2">
      <c r="B233" s="1"/>
    </row>
    <row r="234" spans="2:2">
      <c r="B234" s="1"/>
    </row>
    <row r="235" spans="2:2">
      <c r="B235" s="1"/>
    </row>
    <row r="236" spans="2:2">
      <c r="B236" s="1"/>
    </row>
    <row r="237" spans="2:2">
      <c r="B237" s="1"/>
    </row>
    <row r="238" spans="2:2">
      <c r="B238" s="1"/>
    </row>
  </sheetData>
  <sheetProtection selectLockedCells="1"/>
  <phoneticPr fontId="22" type="noConversion"/>
  <conditionalFormatting sqref="E221:CZ221 BJ2:CZ220 E2:BH220">
    <cfRule type="cellIs" dxfId="386" priority="121" operator="equal">
      <formula>"YES"</formula>
    </cfRule>
    <cfRule type="cellIs" dxfId="385" priority="122" operator="equal">
      <formula>"CAN"</formula>
    </cfRule>
    <cfRule type="cellIs" dxfId="384" priority="123" operator="equal">
      <formula>"DEP"</formula>
    </cfRule>
    <cfRule type="cellIs" dxfId="383" priority="124" operator="equal">
      <formula>"CR"</formula>
    </cfRule>
  </conditionalFormatting>
  <conditionalFormatting sqref="A2:FG220">
    <cfRule type="cellIs" dxfId="382" priority="14" operator="equal">
      <formula>"x"</formula>
    </cfRule>
    <cfRule type="cellIs" dxfId="381" priority="15" operator="equal">
      <formula>"YES"</formula>
    </cfRule>
    <cfRule type="cellIs" dxfId="380" priority="16" operator="equal">
      <formula>"CAN"</formula>
    </cfRule>
    <cfRule type="cellIs" dxfId="379" priority="17" operator="equal">
      <formula>"DEP"</formula>
    </cfRule>
    <cfRule type="cellIs" dxfId="378" priority="110" operator="equal">
      <formula>"YES"</formula>
    </cfRule>
  </conditionalFormatting>
  <conditionalFormatting sqref="DB2:DB221">
    <cfRule type="colorScale" priority="117">
      <colorScale>
        <cfvo type="num" val="0"/>
        <cfvo type="percentile" val="1"/>
        <cfvo type="num" val="3"/>
        <color rgb="FFFCFCFF"/>
        <color rgb="FFFFEB84"/>
        <color rgb="FF63BE7B"/>
      </colorScale>
    </cfRule>
  </conditionalFormatting>
  <conditionalFormatting sqref="B1:B1048576">
    <cfRule type="cellIs" dxfId="377" priority="1" operator="equal">
      <formula>"EXP"</formula>
    </cfRule>
    <cfRule type="cellIs" dxfId="376" priority="2" operator="equal">
      <formula>"RFQ"</formula>
    </cfRule>
    <cfRule type="cellIs" dxfId="375" priority="3" operator="equal">
      <formula>"RFI"</formula>
    </cfRule>
    <cfRule type="cellIs" dxfId="374" priority="109" operator="equal">
      <formula>"ACT"</formula>
    </cfRule>
    <cfRule type="cellIs" dxfId="373" priority="119" operator="equal">
      <formula>"TLS"</formula>
    </cfRule>
  </conditionalFormatting>
  <conditionalFormatting sqref="DA32:DA221">
    <cfRule type="cellIs" dxfId="372" priority="105" operator="equal">
      <formula>"YES"</formula>
    </cfRule>
    <cfRule type="cellIs" dxfId="371" priority="106" operator="equal">
      <formula>"CAN"</formula>
    </cfRule>
    <cfRule type="cellIs" dxfId="370" priority="107" operator="equal">
      <formula>"DEP"</formula>
    </cfRule>
    <cfRule type="cellIs" dxfId="369" priority="108" operator="equal">
      <formula>"CR"</formula>
    </cfRule>
  </conditionalFormatting>
  <conditionalFormatting sqref="DA32:DA221">
    <cfRule type="cellIs" dxfId="368" priority="104" operator="equal">
      <formula>"x"</formula>
    </cfRule>
  </conditionalFormatting>
  <conditionalFormatting sqref="EY221">
    <cfRule type="cellIs" dxfId="367" priority="75" operator="equal">
      <formula>"YES"</formula>
    </cfRule>
    <cfRule type="cellIs" dxfId="366" priority="76" operator="equal">
      <formula>"CAN"</formula>
    </cfRule>
    <cfRule type="cellIs" dxfId="365" priority="77" operator="equal">
      <formula>"DEP"</formula>
    </cfRule>
    <cfRule type="cellIs" dxfId="364" priority="78" operator="equal">
      <formula>"CR"</formula>
    </cfRule>
  </conditionalFormatting>
  <conditionalFormatting sqref="EY221">
    <cfRule type="cellIs" dxfId="363" priority="74" operator="equal">
      <formula>"x"</formula>
    </cfRule>
  </conditionalFormatting>
  <conditionalFormatting sqref="DA2:DA31">
    <cfRule type="cellIs" dxfId="362" priority="60" operator="equal">
      <formula>"YES"</formula>
    </cfRule>
    <cfRule type="cellIs" dxfId="361" priority="61" operator="equal">
      <formula>"CAN"</formula>
    </cfRule>
    <cfRule type="cellIs" dxfId="360" priority="62" operator="equal">
      <formula>"DEP"</formula>
    </cfRule>
    <cfRule type="cellIs" dxfId="359" priority="63" operator="equal">
      <formula>"CR"</formula>
    </cfRule>
  </conditionalFormatting>
  <conditionalFormatting sqref="DA2:DA31">
    <cfRule type="cellIs" dxfId="358" priority="59" operator="equal">
      <formula>"x"</formula>
    </cfRule>
  </conditionalFormatting>
  <conditionalFormatting sqref="BI32:BI220">
    <cfRule type="cellIs" dxfId="357" priority="50" operator="equal">
      <formula>"YES"</formula>
    </cfRule>
    <cfRule type="cellIs" dxfId="356" priority="51" operator="equal">
      <formula>"CAN"</formula>
    </cfRule>
    <cfRule type="cellIs" dxfId="355" priority="52" operator="equal">
      <formula>"DEP"</formula>
    </cfRule>
    <cfRule type="cellIs" dxfId="354" priority="53" operator="equal">
      <formula>"CR"</formula>
    </cfRule>
  </conditionalFormatting>
  <conditionalFormatting sqref="BI32:BI220">
    <cfRule type="cellIs" dxfId="353" priority="49" operator="equal">
      <formula>"x"</formula>
    </cfRule>
  </conditionalFormatting>
  <conditionalFormatting sqref="BI2:BI31">
    <cfRule type="cellIs" dxfId="352" priority="45" operator="equal">
      <formula>"YES"</formula>
    </cfRule>
    <cfRule type="cellIs" dxfId="351" priority="46" operator="equal">
      <formula>"CAN"</formula>
    </cfRule>
    <cfRule type="cellIs" dxfId="350" priority="47" operator="equal">
      <formula>"DEP"</formula>
    </cfRule>
    <cfRule type="cellIs" dxfId="349" priority="48" operator="equal">
      <formula>"CR"</formula>
    </cfRule>
  </conditionalFormatting>
  <conditionalFormatting sqref="BI2:BI31">
    <cfRule type="cellIs" dxfId="348" priority="44" operator="equal">
      <formula>"x"</formula>
    </cfRule>
  </conditionalFormatting>
  <conditionalFormatting sqref="D32:D220">
    <cfRule type="cellIs" dxfId="347" priority="40" operator="equal">
      <formula>"YES"</formula>
    </cfRule>
    <cfRule type="cellIs" dxfId="346" priority="41" operator="equal">
      <formula>"CAN"</formula>
    </cfRule>
    <cfRule type="cellIs" dxfId="345" priority="42" operator="equal">
      <formula>"DEP"</formula>
    </cfRule>
    <cfRule type="cellIs" dxfId="344" priority="43" operator="equal">
      <formula>"CR"</formula>
    </cfRule>
  </conditionalFormatting>
  <conditionalFormatting sqref="D32:D220">
    <cfRule type="cellIs" dxfId="343" priority="39" operator="equal">
      <formula>"x"</formula>
    </cfRule>
  </conditionalFormatting>
  <conditionalFormatting sqref="D2:D31">
    <cfRule type="cellIs" dxfId="342" priority="35" operator="equal">
      <formula>"YES"</formula>
    </cfRule>
    <cfRule type="cellIs" dxfId="341" priority="36" operator="equal">
      <formula>"CAN"</formula>
    </cfRule>
    <cfRule type="cellIs" dxfId="340" priority="37" operator="equal">
      <formula>"DEP"</formula>
    </cfRule>
    <cfRule type="cellIs" dxfId="339" priority="38" operator="equal">
      <formula>"CR"</formula>
    </cfRule>
  </conditionalFormatting>
  <conditionalFormatting sqref="D2:D31">
    <cfRule type="cellIs" dxfId="338" priority="34" operator="equal">
      <formula>"x"</formula>
    </cfRule>
  </conditionalFormatting>
  <conditionalFormatting sqref="EY32:EY220">
    <cfRule type="cellIs" dxfId="337" priority="10" operator="equal">
      <formula>"YES"</formula>
    </cfRule>
    <cfRule type="cellIs" dxfId="336" priority="11" operator="equal">
      <formula>"CAN"</formula>
    </cfRule>
    <cfRule type="cellIs" dxfId="335" priority="12" operator="equal">
      <formula>"DEP"</formula>
    </cfRule>
    <cfRule type="cellIs" dxfId="334" priority="13" operator="equal">
      <formula>"CR"</formula>
    </cfRule>
  </conditionalFormatting>
  <conditionalFormatting sqref="EY32:EY220">
    <cfRule type="cellIs" dxfId="333" priority="9" operator="equal">
      <formula>"x"</formula>
    </cfRule>
  </conditionalFormatting>
  <conditionalFormatting sqref="EY2:EY31">
    <cfRule type="cellIs" dxfId="332" priority="5" operator="equal">
      <formula>"YES"</formula>
    </cfRule>
    <cfRule type="cellIs" dxfId="331" priority="6" operator="equal">
      <formula>"CAN"</formula>
    </cfRule>
    <cfRule type="cellIs" dxfId="330" priority="7" operator="equal">
      <formula>"DEP"</formula>
    </cfRule>
    <cfRule type="cellIs" dxfId="329" priority="8" operator="equal">
      <formula>"CR"</formula>
    </cfRule>
  </conditionalFormatting>
  <conditionalFormatting sqref="EY2:EY31">
    <cfRule type="cellIs" dxfId="328" priority="4" operator="equal">
      <formula>"x"</formula>
    </cfRule>
  </conditionalFormatting>
  <dataValidations count="6">
    <dataValidation type="list" allowBlank="1" showInputMessage="1" showErrorMessage="1" sqref="DG2:DG220 DN2:DN31 D2:D31 EE2:EE31 BI2:BI31 DA2:DA31 DL2:DM220 EY2:EY31 EF2:EX220 EZ2:FG220 DO2:DT220 DV2:EC220 DU2:DU30" xr:uid="{379F4D28-84E1-4886-9031-65F43AFE7393}">
      <formula1>"x, "</formula1>
    </dataValidation>
    <dataValidation type="list" allowBlank="1" showInputMessage="1" showErrorMessage="1" sqref="DC2:DC220" xr:uid="{63DBF9FF-14D7-4633-9830-5AE8F19FCD44}">
      <formula1>"3.1, 4.0"</formula1>
    </dataValidation>
    <dataValidation type="list" allowBlank="1" showInputMessage="1" showErrorMessage="1" sqref="DE2:DF220" xr:uid="{3C8A539D-D1CF-4937-A802-493CD59FEF92}">
      <formula1>"''11, ''18"</formula1>
    </dataValidation>
    <dataValidation type="list" allowBlank="1" showInputMessage="1" showErrorMessage="1" sqref="DH2:DK220" xr:uid="{ABAA3777-D701-4044-9BE1-4429CCEC31D3}">
      <formula1>"x"</formula1>
    </dataValidation>
    <dataValidation allowBlank="1" showInputMessage="1" sqref="BJ2:CZ221 EY32:EY220 DA32:DA221 BI32:BI220 D32:D220 DN32:DN220 EE32:EE220 E2:BH221" xr:uid="{FF5F9179-5A69-4136-A8C5-649BA6DAF95C}"/>
    <dataValidation type="list" allowBlank="1" showInputMessage="1" showErrorMessage="1" sqref="DU31:DU220" xr:uid="{7B19E1CD-F51C-41FB-AB27-E195BBB5393F}">
      <formula1>"OMS, DMS, BOTH"</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5" r:id="rId4" name="EnableEvents">
              <controlPr defaultSize="0" autoFill="0" autoLine="0" autoPict="0" macro="[0]!EnableEvents_Click" altText="When enabled, updating the table data will cause the Last Updated field to be changed.">
                <anchor moveWithCells="1">
                  <from>
                    <xdr:col>0</xdr:col>
                    <xdr:colOff>19050</xdr:colOff>
                    <xdr:row>0</xdr:row>
                    <xdr:rowOff>38100</xdr:rowOff>
                  </from>
                  <to>
                    <xdr:col>0</xdr:col>
                    <xdr:colOff>685800</xdr:colOff>
                    <xdr:row>0</xdr:row>
                    <xdr:rowOff>638175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E6E703CD-847F-412B-9E38-D50B20943F27}">
          <x14:formula1>
            <xm:f>'Pulldown Data'!$L$2:$L$7</xm:f>
          </x14:formula1>
          <xm:sqref>B2:B220</xm:sqref>
        </x14:dataValidation>
        <x14:dataValidation type="list" allowBlank="1" showInputMessage="1" showErrorMessage="1" xr:uid="{DE6CA119-1215-4466-994C-E0376995675B}">
          <x14:formula1>
            <xm:f>'Pulldown Data'!$D$2:$D$5</xm:f>
          </x14:formula1>
          <xm:sqref>DB2:DB220</xm:sqref>
        </x14:dataValidation>
        <x14:dataValidation type="list" allowBlank="1" showInputMessage="1" showErrorMessage="1" xr:uid="{AE1019D3-06E5-4E32-8371-30539DA34959}">
          <x14:formula1>
            <xm:f>'Pulldown Data'!$B$2:$B$6</xm:f>
          </x14:formula1>
          <xm:sqref>DD2:DD220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10B10-414F-4819-BF12-165FB2E3CC7F}">
  <dimension ref="A1:BR46"/>
  <sheetViews>
    <sheetView topLeftCell="G4" workbookViewId="0">
      <selection activeCell="H7" sqref="H7"/>
    </sheetView>
  </sheetViews>
  <sheetFormatPr defaultRowHeight="15"/>
  <cols>
    <col min="1" max="1" width="12.5703125" bestFit="1" customWidth="1"/>
    <col min="2" max="2" width="38.85546875" customWidth="1"/>
    <col min="3" max="70" width="4.7109375" style="14" customWidth="1"/>
  </cols>
  <sheetData>
    <row r="1" spans="1:69" s="447" customFormat="1" ht="95.25">
      <c r="A1" s="559" t="s">
        <v>417</v>
      </c>
      <c r="B1" s="534" t="s">
        <v>418</v>
      </c>
      <c r="C1" s="447" t="s">
        <v>419</v>
      </c>
      <c r="D1" s="447" t="s">
        <v>420</v>
      </c>
      <c r="E1" s="447" t="s">
        <v>421</v>
      </c>
      <c r="F1" s="447" t="s">
        <v>422</v>
      </c>
      <c r="G1" s="447" t="s">
        <v>423</v>
      </c>
      <c r="H1" s="447" t="s">
        <v>424</v>
      </c>
      <c r="I1" s="447" t="s">
        <v>425</v>
      </c>
      <c r="J1" s="447" t="s">
        <v>426</v>
      </c>
      <c r="K1" s="447" t="s">
        <v>427</v>
      </c>
      <c r="L1" s="447" t="s">
        <v>428</v>
      </c>
      <c r="M1" s="447" t="s">
        <v>429</v>
      </c>
      <c r="N1" s="447" t="s">
        <v>430</v>
      </c>
      <c r="O1" s="447" t="s">
        <v>431</v>
      </c>
      <c r="P1" s="447" t="s">
        <v>432</v>
      </c>
      <c r="Q1" s="447" t="s">
        <v>433</v>
      </c>
      <c r="R1" s="447" t="s">
        <v>434</v>
      </c>
      <c r="S1" s="447" t="s">
        <v>435</v>
      </c>
      <c r="T1" s="447" t="s">
        <v>436</v>
      </c>
      <c r="U1" s="447" t="s">
        <v>437</v>
      </c>
      <c r="V1" s="447" t="s">
        <v>438</v>
      </c>
      <c r="W1" s="447" t="s">
        <v>439</v>
      </c>
      <c r="X1" s="447" t="s">
        <v>440</v>
      </c>
      <c r="Y1" s="447" t="s">
        <v>441</v>
      </c>
      <c r="Z1" s="447" t="s">
        <v>442</v>
      </c>
      <c r="AA1" s="447" t="s">
        <v>443</v>
      </c>
      <c r="AB1" s="447" t="s">
        <v>444</v>
      </c>
      <c r="AC1" s="447" t="s">
        <v>445</v>
      </c>
      <c r="AD1" s="447" t="s">
        <v>402</v>
      </c>
      <c r="AE1" s="447" t="s">
        <v>446</v>
      </c>
      <c r="AF1" s="447" t="s">
        <v>447</v>
      </c>
      <c r="AG1" s="447" t="s">
        <v>448</v>
      </c>
      <c r="AH1" s="447" t="s">
        <v>449</v>
      </c>
      <c r="AI1" s="447" t="s">
        <v>450</v>
      </c>
      <c r="AJ1" s="447" t="s">
        <v>451</v>
      </c>
      <c r="AK1" s="447" t="s">
        <v>452</v>
      </c>
      <c r="AL1" s="447" t="s">
        <v>453</v>
      </c>
      <c r="AM1" s="447" t="s">
        <v>454</v>
      </c>
      <c r="AN1" s="447" t="s">
        <v>455</v>
      </c>
      <c r="AO1" s="447" t="s">
        <v>456</v>
      </c>
      <c r="AP1" s="447" t="s">
        <v>457</v>
      </c>
      <c r="AQ1" s="447" t="s">
        <v>458</v>
      </c>
      <c r="AR1" s="447" t="s">
        <v>459</v>
      </c>
      <c r="AS1" s="447" t="s">
        <v>460</v>
      </c>
      <c r="AT1" s="447" t="s">
        <v>461</v>
      </c>
      <c r="AU1" s="447" t="s">
        <v>462</v>
      </c>
      <c r="AV1" s="447" t="s">
        <v>463</v>
      </c>
      <c r="AW1" s="447" t="s">
        <v>464</v>
      </c>
      <c r="AX1" s="447" t="s">
        <v>465</v>
      </c>
      <c r="AY1" s="447" t="s">
        <v>466</v>
      </c>
      <c r="AZ1" s="447" t="s">
        <v>467</v>
      </c>
      <c r="BA1" s="447" t="s">
        <v>468</v>
      </c>
      <c r="BB1" s="447" t="s">
        <v>469</v>
      </c>
      <c r="BC1" s="447" t="s">
        <v>470</v>
      </c>
      <c r="BD1" s="447" t="s">
        <v>471</v>
      </c>
      <c r="BE1" s="447" t="s">
        <v>472</v>
      </c>
      <c r="BF1" s="447" t="s">
        <v>473</v>
      </c>
      <c r="BG1" s="447" t="s">
        <v>474</v>
      </c>
      <c r="BH1" s="447" t="s">
        <v>475</v>
      </c>
      <c r="BI1" s="447" t="s">
        <v>476</v>
      </c>
      <c r="BJ1" s="447" t="s">
        <v>477</v>
      </c>
      <c r="BK1" s="447" t="s">
        <v>478</v>
      </c>
      <c r="BL1" s="447" t="s">
        <v>479</v>
      </c>
      <c r="BM1" s="447" t="s">
        <v>480</v>
      </c>
      <c r="BN1" s="447" t="s">
        <v>481</v>
      </c>
      <c r="BO1" s="447" t="s">
        <v>482</v>
      </c>
      <c r="BP1" s="447" t="s">
        <v>483</v>
      </c>
      <c r="BQ1" s="447" t="s">
        <v>484</v>
      </c>
    </row>
    <row r="2" spans="1:69" s="447" customFormat="1" ht="111" customHeight="1">
      <c r="A2" s="559"/>
      <c r="B2" s="533" t="s">
        <v>485</v>
      </c>
      <c r="C2" s="447" t="str" cm="1">
        <f t="array" ref="C2">_xlfn.IFNA(INDEX('Pulldown Data'!$V:$V, MATCH(TRUE, ISNUMBER(SEARCH(C$1, 'Pulldown Data'!$V:$V)), 0)), "")</f>
        <v/>
      </c>
      <c r="D2" s="447" t="str" cm="1">
        <f t="array" ref="D2">_xlfn.IFNA(INDEX('Pulldown Data'!$V:$V, MATCH(TRUE, ISNUMBER(SEARCH(D$1, 'Pulldown Data'!$V:$V)), 0)), "")</f>
        <v>CORE-FD</v>
      </c>
      <c r="E2" s="447" t="str" cm="1">
        <f t="array" ref="E2">_xlfn.IFNA(INDEX('Pulldown Data'!$V:$V, MATCH(TRUE, ISNUMBER(SEARCH(E$1, 'Pulldown Data'!$V:$V)), 0)), "")</f>
        <v/>
      </c>
      <c r="F2" s="447" t="str" cm="1">
        <f t="array" ref="F2">_xlfn.IFNA(INDEX('Pulldown Data'!$V:$V, MATCH(TRUE, ISNUMBER(SEARCH(F$1, 'Pulldown Data'!$V:$V)), 0)), "")</f>
        <v/>
      </c>
      <c r="G2" s="447" t="str" cm="1">
        <f t="array" ref="G2">_xlfn.IFNA(INDEX('Pulldown Data'!$V:$V, MATCH(TRUE, ISNUMBER(SEARCH(G$1, 'Pulldown Data'!$V:$V)), 0)), "")</f>
        <v/>
      </c>
      <c r="H2" s="447" t="str" cm="1">
        <f t="array" ref="H2">_xlfn.IFNA(INDEX('Pulldown Data'!$V:$V, MATCH(TRUE, ISNUMBER(SEARCH(H$1, 'Pulldown Data'!$V:$V)), 0)), "")</f>
        <v/>
      </c>
      <c r="I2" s="447" t="str" cm="1">
        <f t="array" ref="I2">_xlfn.IFNA(INDEX('Pulldown Data'!$V:$V, MATCH(TRUE, ISNUMBER(SEARCH(I$1, 'Pulldown Data'!$V:$V)), 0)), "")</f>
        <v/>
      </c>
      <c r="J2" s="447" t="str" cm="1">
        <f t="array" ref="J2">_xlfn.IFNA(INDEX('Pulldown Data'!$V:$V, MATCH(TRUE, ISNUMBER(SEARCH(J$1, 'Pulldown Data'!$V:$V)), 0)), "")</f>
        <v/>
      </c>
      <c r="K2" s="447" t="str" cm="1">
        <f t="array" ref="K2">_xlfn.IFNA(INDEX('Pulldown Data'!$V:$V, MATCH(TRUE, ISNUMBER(SEARCH(K$1, 'Pulldown Data'!$V:$V)), 0)), "")</f>
        <v/>
      </c>
      <c r="L2" s="447" t="str" cm="1">
        <f t="array" ref="L2">_xlfn.IFNA(INDEX('Pulldown Data'!$V:$V, MATCH(TRUE, ISNUMBER(SEARCH(L$1, 'Pulldown Data'!$V:$V)), 0)), "")</f>
        <v>CORE-AEC</v>
      </c>
      <c r="M2" s="447" t="str" cm="1">
        <f t="array" ref="M2">_xlfn.IFNA(INDEX('Pulldown Data'!$V:$V, MATCH(TRUE, ISNUMBER(SEARCH(M$1, 'Pulldown Data'!$V:$V)), 0)), "")</f>
        <v/>
      </c>
      <c r="N2" s="447" t="str" cm="1">
        <f t="array" ref="N2">_xlfn.IFNA(INDEX('Pulldown Data'!$V:$V, MATCH(TRUE, ISNUMBER(SEARCH(N$1, 'Pulldown Data'!$V:$V)), 0)), "")</f>
        <v/>
      </c>
      <c r="O2" s="447" t="str" cm="1">
        <f t="array" ref="O2">_xlfn.IFNA(INDEX('Pulldown Data'!$V:$V, MATCH(TRUE, ISNUMBER(SEARCH(O$1, 'Pulldown Data'!$V:$V)), 0)), "")</f>
        <v>VIS-FOD-FACE</v>
      </c>
      <c r="P2" s="447" t="str" cm="1">
        <f t="array" ref="P2">_xlfn.IFNA(INDEX('Pulldown Data'!$V:$V, MATCH(TRUE, ISNUMBER(SEARCH(P$1, 'Pulldown Data'!$V:$V)), 0)), "")</f>
        <v>VIS-ID-RECOGNIZE-LOW</v>
      </c>
      <c r="Q2" s="447" t="str" cm="1">
        <f t="array" ref="Q2">_xlfn.IFNA(INDEX('Pulldown Data'!$V:$V, MATCH(TRUE, ISNUMBER(SEARCH(Q$1, 'Pulldown Data'!$V:$V)), 0)), "")</f>
        <v>UTIL-DIAG-LBD</v>
      </c>
      <c r="R2" s="447" t="str" cm="1">
        <f t="array" ref="R2">_xlfn.IFNA(INDEX('Pulldown Data'!$V:$V, MATCH(TRUE, ISNUMBER(SEARCH(R$1, 'Pulldown Data'!$V:$V)), 0)), "")</f>
        <v/>
      </c>
      <c r="S2" s="447" t="str" cm="1">
        <f t="array" ref="S2">_xlfn.IFNA(INDEX('Pulldown Data'!$V:$V, MATCH(TRUE, ISNUMBER(SEARCH(S$1, 'Pulldown Data'!$V:$V)), 0)), "")</f>
        <v>CORE-MS</v>
      </c>
      <c r="T2" s="447" t="str" cm="1">
        <f t="array" ref="T2">_xlfn.IFNA(INDEX('Pulldown Data'!$V:$V, MATCH(TRUE, ISNUMBER(SEARCH(T$1, 'Pulldown Data'!$V:$V)), 0)), "")</f>
        <v>COG-DIL-DROWSY</v>
      </c>
      <c r="U2" s="447" t="str" cm="1">
        <f t="array" ref="U2">_xlfn.IFNA(INDEX('Pulldown Data'!$V:$V, MATCH(TRUE, ISNUMBER(SEARCH(U$1, 'Pulldown Data'!$V:$V)), 0)), "")</f>
        <v/>
      </c>
      <c r="V2" s="447" t="str" cm="1">
        <f t="array" ref="V2">_xlfn.IFNA(INDEX('Pulldown Data'!$V:$V, MATCH(TRUE, ISNUMBER(SEARCH(V$1, 'Pulldown Data'!$V:$V)), 0)), "")</f>
        <v>UTIL-DIAG-LIQ</v>
      </c>
      <c r="W2" s="447" t="str" cm="1">
        <f t="array" ref="W2">_xlfn.IFNA(INDEX('Pulldown Data'!$V:$V, MATCH(TRUE, ISNUMBER(SEARCH(W$1, 'Pulldown Data'!$V:$V)), 0)), "")</f>
        <v>UTIL-DIAG-LBD</v>
      </c>
      <c r="X2" s="447" t="str" cm="1">
        <f t="array" ref="X2">_xlfn.IFNA(INDEX('Pulldown Data'!$V:$V, MATCH(TRUE, ISNUMBER(SEARCH(X$1, 'Pulldown Data'!$V:$V)), 0)), "")</f>
        <v>UTIL-DIAG-STK</v>
      </c>
      <c r="Y2" s="447" t="str" cm="1">
        <f t="array" ref="Y2">_xlfn.IFNA(INDEX('Pulldown Data'!$V:$V, MATCH(TRUE, ISNUMBER(SEARCH(Y$1, 'Pulldown Data'!$V:$V)), 0)), "")</f>
        <v>VIS-SOD-CHILDSEAT</v>
      </c>
      <c r="Z2" s="447" t="str" cm="1">
        <f t="array" ref="Z2">_xlfn.IFNA(INDEX('Pulldown Data'!$V:$V, MATCH(TRUE, ISNUMBER(SEARCH(Z$1, 'Pulldown Data'!$V:$V)), 0)), "")</f>
        <v>UTIL-CPOSE-CF</v>
      </c>
      <c r="AA2" s="447" t="str" cm="1">
        <f t="array" ref="AA2">_xlfn.IFNA(INDEX('Pulldown Data'!$V:$V, MATCH(TRUE, ISNUMBER(SEARCH(AA$1, 'Pulldown Data'!$V:$V)), 0)), "")</f>
        <v/>
      </c>
      <c r="AB2" s="447" t="str" cm="1">
        <f t="array" ref="AB2">_xlfn.IFNA(INDEX('Pulldown Data'!$V:$V, MATCH(TRUE, ISNUMBER(SEARCH(AB$1, 'Pulldown Data'!$V:$V)), 0)), "")</f>
        <v>UTIL-DIAG-COOA</v>
      </c>
      <c r="AC2" s="447" t="str" cm="1">
        <f t="array" ref="AC2">_xlfn.IFNA(INDEX('Pulldown Data'!$V:$V, MATCH(TRUE, ISNUMBER(SEARCH(AC$1, 'Pulldown Data'!$V:$V)), 0)), "")</f>
        <v>COG-DEL-DISTRACTED</v>
      </c>
      <c r="AD2" s="447" t="str" cm="1">
        <f t="array" ref="AD2">_xlfn.IFNA(INDEX('Pulldown Data'!$V:$V, MATCH(TRUE, ISNUMBER(SEARCH(AD$1, 'Pulldown Data'!$V:$V)), 0)), "")</f>
        <v>COG-DEL-DISTRACTED</v>
      </c>
      <c r="AE2" s="447" t="str" cm="1">
        <f t="array" ref="AE2">_xlfn.IFNA(INDEX('Pulldown Data'!$V:$V, MATCH(TRUE, ISNUMBER(SEARCH(AE$1, 'Pulldown Data'!$V:$V)), 0)), "")</f>
        <v/>
      </c>
      <c r="AF2" s="447" t="str" cm="1">
        <f t="array" ref="AF2">_xlfn.IFNA(INDEX('Pulldown Data'!$V:$V, MATCH(TRUE, ISNUMBER(SEARCH(AF$1, 'Pulldown Data'!$V:$V)), 0)), "")</f>
        <v/>
      </c>
      <c r="AG2" s="447" t="str" cm="1">
        <f t="array" ref="AG2">_xlfn.IFNA(INDEX('Pulldown Data'!$V:$V, MATCH(TRUE, ISNUMBER(SEARCH(AG$1, 'Pulldown Data'!$V:$V)), 0)), "")</f>
        <v/>
      </c>
      <c r="AH2" s="447" t="str" cm="1">
        <f t="array" ref="AH2">_xlfn.IFNA(INDEX('Pulldown Data'!$V:$V, MATCH(TRUE, ISNUMBER(SEARCH(AH$1, 'Pulldown Data'!$V:$V)), 0)), "")</f>
        <v>CORE-ED</v>
      </c>
      <c r="AI2" s="447" t="str" cm="1">
        <f t="array" ref="AI2">_xlfn.IFNA(INDEX('Pulldown Data'!$V:$V, MATCH(TRUE, ISNUMBER(SEARCH(AI$1, 'Pulldown Data'!$V:$V)), 0)), "")</f>
        <v/>
      </c>
      <c r="AJ2" s="447" t="str" cm="1">
        <f t="array" ref="AJ2">_xlfn.IFNA(INDEX('Pulldown Data'!$V:$V, MATCH(TRUE, ISNUMBER(SEARCH(AJ$1, 'Pulldown Data'!$V:$V)), 0)), "")</f>
        <v>COG-DEL-INATTENTIVE</v>
      </c>
      <c r="AK2" s="447" t="str" cm="1">
        <f t="array" ref="AK2">_xlfn.IFNA(INDEX('Pulldown Data'!$V:$V, MATCH(TRUE, ISNUMBER(SEARCH(AK$1, 'Pulldown Data'!$V:$V)), 0)), "")</f>
        <v/>
      </c>
      <c r="AL2" s="447" t="str" cm="1">
        <f t="array" ref="AL2">_xlfn.IFNA(INDEX('Pulldown Data'!$V:$V, MATCH(TRUE, ISNUMBER(SEARCH(AL$1, 'Pulldown Data'!$V:$V)), 0)), "")</f>
        <v/>
      </c>
      <c r="AM2" s="447" t="str" cm="1">
        <f t="array" ref="AM2">_xlfn.IFNA(INDEX('Pulldown Data'!$V:$V, MATCH(TRUE, ISNUMBER(SEARCH(AM$1, 'Pulldown Data'!$V:$V)), 0)), "")</f>
        <v>VIS-MOUTH-SPEAK</v>
      </c>
      <c r="AN2" s="447" t="str" cm="1">
        <f t="array" ref="AN2">_xlfn.IFNA(INDEX('Pulldown Data'!$V:$V, MATCH(TRUE, ISNUMBER(SEARCH(AN$1, 'Pulldown Data'!$V:$V)), 0)), "")</f>
        <v>VIS-FOD-FACE</v>
      </c>
      <c r="AO2" s="447" t="str" cm="1">
        <f t="array" ref="AO2">_xlfn.IFNA(INDEX('Pulldown Data'!$V:$V, MATCH(TRUE, ISNUMBER(SEARCH(AO$1, 'Pulldown Data'!$V:$V)), 0)), "")</f>
        <v>VIS-SMOKE</v>
      </c>
      <c r="AP2" s="447" t="str" cm="1">
        <f t="array" ref="AP2">_xlfn.IFNA(INDEX('Pulldown Data'!$V:$V, MATCH(TRUE, ISNUMBER(SEARCH(AP$1, 'Pulldown Data'!$V:$V)), 0)), "")</f>
        <v>VIS-PHONE</v>
      </c>
      <c r="AQ2" s="447" t="str" cm="1">
        <f t="array" ref="AQ2">_xlfn.IFNA(INDEX('Pulldown Data'!$V:$V, MATCH(TRUE, ISNUMBER(SEARCH(AQ$1, 'Pulldown Data'!$V:$V)), 0)), "")</f>
        <v>CORE-BPT-COARSE</v>
      </c>
      <c r="AR2" s="447" t="str" cm="1">
        <f t="array" ref="AR2">_xlfn.IFNA(INDEX('Pulldown Data'!$V:$V, MATCH(TRUE, ISNUMBER(SEARCH(AR$1, 'Pulldown Data'!$V:$V)), 0)), "")</f>
        <v/>
      </c>
      <c r="AS2" s="447" t="str" cm="1">
        <f t="array" ref="AS2">_xlfn.IFNA(INDEX('Pulldown Data'!$V:$V, MATCH(TRUE, ISNUMBER(SEARCH(AS$1, 'Pulldown Data'!$V:$V)), 0)), "")</f>
        <v>VIS-SPOOF</v>
      </c>
      <c r="AT2" s="447" t="str" cm="1">
        <f t="array" ref="AT2">_xlfn.IFNA(INDEX('Pulldown Data'!$V:$V, MATCH(TRUE, ISNUMBER(SEARCH(AT$1, 'Pulldown Data'!$V:$V)), 0)), "")</f>
        <v>VIS-ID-RECOGNIZE-HIGH</v>
      </c>
      <c r="AU2" s="447" t="str" cm="1">
        <f t="array" ref="AU2">_xlfn.IFNA(INDEX('Pulldown Data'!$V:$V, MATCH(TRUE, ISNUMBER(SEARCH(AU$1, 'Pulldown Data'!$V:$V)), 0)), "")</f>
        <v/>
      </c>
      <c r="AV2" s="447" t="str" cm="1">
        <f t="array" ref="AV2">_xlfn.IFNA(INDEX('Pulldown Data'!$V:$V, MATCH(TRUE, ISNUMBER(SEARCH(AV$1, 'Pulldown Data'!$V:$V)), 0)), "")</f>
        <v/>
      </c>
      <c r="AW2" s="447" t="str" cm="1">
        <f t="array" ref="AW2">_xlfn.IFNA(INDEX('Pulldown Data'!$V:$V, MATCH(TRUE, ISNUMBER(SEARCH(AW$1, 'Pulldown Data'!$V:$V)), 0)), "")</f>
        <v>UTIL-DIAG-LIQ</v>
      </c>
      <c r="AX2" s="447" t="str" cm="1">
        <f t="array" ref="AX2">_xlfn.IFNA(INDEX('Pulldown Data'!$V:$V, MATCH(TRUE, ISNUMBER(SEARCH(AX$1, 'Pulldown Data'!$V:$V)), 0)), "")</f>
        <v>VIS-ACTIVITY-OOP</v>
      </c>
      <c r="AY2" s="447" t="str" cm="1">
        <f t="array" ref="AY2">_xlfn.IFNA(INDEX('Pulldown Data'!$V:$V, MATCH(TRUE, ISNUMBER(SEARCH(AY$1, 'Pulldown Data'!$V:$V)), 0)), "")</f>
        <v/>
      </c>
      <c r="AZ2" s="447" t="str" cm="1">
        <f t="array" ref="AZ2">_xlfn.IFNA(INDEX('Pulldown Data'!$V:$V, MATCH(TRUE, ISNUMBER(SEARCH(AZ$1, 'Pulldown Data'!$V:$V)), 0)), "")</f>
        <v/>
      </c>
      <c r="BA2" s="447" t="str" cm="1">
        <f t="array" ref="BA2">_xlfn.IFNA(INDEX('Pulldown Data'!$V:$V, MATCH(TRUE, ISNUMBER(SEARCH(BA$1, 'Pulldown Data'!$V:$V)), 0)), "")</f>
        <v>VIS-DAS-COARSE</v>
      </c>
      <c r="BB2" s="447" t="str" cm="1">
        <f t="array" ref="BB2">_xlfn.IFNA(INDEX('Pulldown Data'!$V:$V, MATCH(TRUE, ISNUMBER(SEARCH(BB$1, 'Pulldown Data'!$V:$V)), 0)), "")</f>
        <v/>
      </c>
      <c r="BC2" s="447" t="str" cm="1">
        <f t="array" ref="BC2">_xlfn.IFNA(INDEX('Pulldown Data'!$V:$V, MATCH(TRUE, ISNUMBER(SEARCH(BC$1, 'Pulldown Data'!$V:$V)), 0)), "")</f>
        <v/>
      </c>
      <c r="BD2" s="447" t="str" cm="1">
        <f t="array" ref="BD2">_xlfn.IFNA(INDEX('Pulldown Data'!$V:$V, MATCH(TRUE, ISNUMBER(SEARCH(BD$1, 'Pulldown Data'!$V:$V)), 0)), "")</f>
        <v/>
      </c>
      <c r="BE2" s="447" t="str" cm="1">
        <f t="array" ref="BE2">_xlfn.IFNA(INDEX('Pulldown Data'!$V:$V, MATCH(TRUE, ISNUMBER(SEARCH(BE$1, 'Pulldown Data'!$V:$V)), 0)), "")</f>
        <v/>
      </c>
      <c r="BF2" s="447" t="str" cm="1">
        <f t="array" ref="BF2">_xlfn.IFNA(INDEX('Pulldown Data'!$V:$V, MATCH(TRUE, ISNUMBER(SEARCH(BF$1, 'Pulldown Data'!$V:$V)), 0)), "")</f>
        <v/>
      </c>
      <c r="BG2" s="447" t="str" cm="1">
        <f t="array" ref="BG2">_xlfn.IFNA(INDEX('Pulldown Data'!$V:$V, MATCH(TRUE, ISNUMBER(SEARCH(BG$1, 'Pulldown Data'!$V:$V)), 0)), "")</f>
        <v>VIS-SOD-CHILDSEAT</v>
      </c>
      <c r="BH2" s="447" t="str" cm="1">
        <f t="array" ref="BH2">_xlfn.IFNA(INDEX('Pulldown Data'!$V:$V, MATCH(TRUE, ISNUMBER(SEARCH(BH$1, 'Pulldown Data'!$V:$V)), 0)), "")</f>
        <v/>
      </c>
      <c r="BI2" s="447" t="str" cm="1">
        <f t="array" ref="BI2">_xlfn.IFNA(INDEX('Pulldown Data'!$V:$V, MATCH(TRUE, ISNUMBER(SEARCH(BI$1, 'Pulldown Data'!$V:$V)), 0)), "")</f>
        <v/>
      </c>
      <c r="BJ2" s="447" t="str" cm="1">
        <f t="array" ref="BJ2">_xlfn.IFNA(INDEX('Pulldown Data'!$V:$V, MATCH(TRUE, ISNUMBER(SEARCH(BJ$1, 'Pulldown Data'!$V:$V)), 0)), "")</f>
        <v/>
      </c>
      <c r="BK2" s="447" t="str" cm="1">
        <f t="array" ref="BK2">_xlfn.IFNA(INDEX('Pulldown Data'!$V:$V, MATCH(TRUE, ISNUMBER(SEARCH(BK$1, 'Pulldown Data'!$V:$V)), 0)), "")</f>
        <v/>
      </c>
      <c r="BL2" s="447" t="str" cm="1">
        <f t="array" ref="BL2">_xlfn.IFNA(INDEX('Pulldown Data'!$V:$V, MATCH(TRUE, ISNUMBER(SEARCH(BL$1, 'Pulldown Data'!$V:$V)), 0)), "")</f>
        <v/>
      </c>
      <c r="BM2" s="447" t="str" cm="1">
        <f t="array" ref="BM2">_xlfn.IFNA(INDEX('Pulldown Data'!$V:$V, MATCH(TRUE, ISNUMBER(SEARCH(BM$1, 'Pulldown Data'!$V:$V)), 0)), "")</f>
        <v/>
      </c>
      <c r="BN2" s="447" t="str" cm="1">
        <f t="array" ref="BN2">_xlfn.IFNA(INDEX('Pulldown Data'!$V:$V, MATCH(TRUE, ISNUMBER(SEARCH(BN$1, 'Pulldown Data'!$V:$V)), 0)), "")</f>
        <v>VIS-GESTURE-HEAD</v>
      </c>
      <c r="BO2" s="447" t="str" cm="1">
        <f t="array" ref="BO2">_xlfn.IFNA(INDEX('Pulldown Data'!$V:$V, MATCH(TRUE, ISNUMBER(SEARCH(BO$1, 'Pulldown Data'!$V:$V)), 0)), "")</f>
        <v/>
      </c>
      <c r="BP2" s="447" t="str" cm="1">
        <f t="array" ref="BP2">_xlfn.IFNA(INDEX('Pulldown Data'!$V:$V, MATCH(TRUE, ISNUMBER(SEARCH(BP$1, 'Pulldown Data'!$V:$V)), 0)), "")</f>
        <v/>
      </c>
      <c r="BQ2" s="447" t="str" cm="1">
        <f t="array" ref="BQ2">_xlfn.IFNA(INDEX('Pulldown Data'!$V:$V, MATCH(TRUE, ISNUMBER(SEARCH(BQ$1, 'Pulldown Data'!$V:$V)), 0)), "")</f>
        <v/>
      </c>
    </row>
    <row r="3" spans="1:69">
      <c r="A3" t="s">
        <v>486</v>
      </c>
      <c r="B3" t="s">
        <v>487</v>
      </c>
      <c r="C3" s="14">
        <v>1</v>
      </c>
      <c r="D3" s="14">
        <v>8</v>
      </c>
      <c r="E3" s="14">
        <v>1</v>
      </c>
      <c r="F3" s="14">
        <v>0</v>
      </c>
      <c r="G3" s="14">
        <v>1</v>
      </c>
      <c r="H3" s="14" t="s">
        <v>488</v>
      </c>
      <c r="I3" s="14">
        <v>1</v>
      </c>
      <c r="J3" s="14" t="s">
        <v>488</v>
      </c>
      <c r="K3" s="14">
        <v>1</v>
      </c>
      <c r="L3" s="14">
        <v>3</v>
      </c>
      <c r="M3" s="14">
        <v>1</v>
      </c>
      <c r="N3" s="14">
        <v>1</v>
      </c>
      <c r="O3" s="14">
        <v>3</v>
      </c>
      <c r="P3" s="14">
        <v>1</v>
      </c>
      <c r="Q3" s="14">
        <v>4</v>
      </c>
      <c r="R3" s="14">
        <v>1</v>
      </c>
      <c r="S3" s="14">
        <v>1</v>
      </c>
      <c r="T3" s="14">
        <v>4</v>
      </c>
      <c r="U3" s="14">
        <v>2</v>
      </c>
      <c r="V3" s="14">
        <v>2</v>
      </c>
      <c r="W3" s="14">
        <v>3</v>
      </c>
      <c r="X3" s="14">
        <v>1</v>
      </c>
      <c r="Y3" s="14">
        <v>2</v>
      </c>
    </row>
    <row r="4" spans="1:69">
      <c r="A4" t="s">
        <v>489</v>
      </c>
      <c r="B4" t="s">
        <v>490</v>
      </c>
      <c r="C4" s="14">
        <v>1</v>
      </c>
      <c r="F4" s="14">
        <v>0</v>
      </c>
      <c r="G4" s="14">
        <v>1</v>
      </c>
      <c r="H4" s="14" t="s">
        <v>488</v>
      </c>
      <c r="I4" s="14">
        <v>1</v>
      </c>
      <c r="J4" s="14" t="s">
        <v>488</v>
      </c>
      <c r="K4" s="14">
        <v>1</v>
      </c>
      <c r="L4" s="14">
        <v>3</v>
      </c>
      <c r="M4" s="14">
        <v>1</v>
      </c>
      <c r="N4" s="14">
        <v>1</v>
      </c>
      <c r="O4" s="14">
        <v>2</v>
      </c>
      <c r="Q4" s="14">
        <v>4</v>
      </c>
      <c r="R4" s="14">
        <v>1</v>
      </c>
      <c r="S4" s="14">
        <v>1</v>
      </c>
      <c r="T4" s="14">
        <v>4</v>
      </c>
      <c r="U4" s="14">
        <v>2</v>
      </c>
      <c r="V4" s="14">
        <v>2</v>
      </c>
      <c r="W4" s="14">
        <v>3</v>
      </c>
      <c r="X4" s="14">
        <v>1</v>
      </c>
      <c r="Y4" s="14">
        <v>2</v>
      </c>
      <c r="Z4" s="14">
        <v>4</v>
      </c>
      <c r="AA4" s="14" t="s">
        <v>488</v>
      </c>
      <c r="AB4" s="14">
        <v>1</v>
      </c>
      <c r="AC4" s="14" t="s">
        <v>491</v>
      </c>
      <c r="AD4" s="14">
        <v>2</v>
      </c>
      <c r="AE4" s="14">
        <v>1</v>
      </c>
      <c r="AF4" s="14" t="s">
        <v>492</v>
      </c>
      <c r="AG4" s="14" t="s">
        <v>493</v>
      </c>
      <c r="AH4" s="14">
        <v>1</v>
      </c>
      <c r="AI4" s="14">
        <v>1</v>
      </c>
      <c r="AJ4" s="14">
        <v>3</v>
      </c>
      <c r="AK4" s="14">
        <v>0</v>
      </c>
      <c r="AL4" s="14" t="s">
        <v>494</v>
      </c>
      <c r="AM4" s="14">
        <v>2</v>
      </c>
      <c r="AN4" s="14">
        <v>2</v>
      </c>
      <c r="AO4" s="14">
        <v>2</v>
      </c>
      <c r="AP4" s="14">
        <v>4</v>
      </c>
      <c r="AQ4" s="14">
        <v>1</v>
      </c>
      <c r="AR4" s="14">
        <v>1</v>
      </c>
      <c r="AS4" s="14">
        <v>2</v>
      </c>
      <c r="AT4" s="14">
        <v>1</v>
      </c>
      <c r="AU4" s="14">
        <v>1</v>
      </c>
    </row>
    <row r="5" spans="1:69">
      <c r="A5" t="s">
        <v>495</v>
      </c>
      <c r="B5" t="s">
        <v>496</v>
      </c>
      <c r="C5" s="14">
        <v>1</v>
      </c>
      <c r="D5" s="14">
        <v>8</v>
      </c>
      <c r="E5" s="14">
        <v>1</v>
      </c>
      <c r="F5" s="14">
        <v>0</v>
      </c>
      <c r="G5" s="14">
        <v>1</v>
      </c>
      <c r="H5" s="14" t="s">
        <v>488</v>
      </c>
      <c r="I5" s="14">
        <v>1</v>
      </c>
      <c r="J5" s="14" t="s">
        <v>488</v>
      </c>
      <c r="K5" s="14">
        <v>1</v>
      </c>
      <c r="L5" s="14">
        <v>3</v>
      </c>
      <c r="M5" s="14">
        <v>1</v>
      </c>
      <c r="N5" s="14">
        <v>1</v>
      </c>
      <c r="O5" s="14">
        <v>3</v>
      </c>
      <c r="Q5" s="14">
        <v>4</v>
      </c>
      <c r="R5" s="14">
        <v>1</v>
      </c>
      <c r="S5" s="14">
        <v>1</v>
      </c>
      <c r="T5" s="14">
        <v>4</v>
      </c>
      <c r="U5" s="14">
        <v>2</v>
      </c>
      <c r="W5" s="14">
        <v>3</v>
      </c>
      <c r="Y5" s="14">
        <v>2</v>
      </c>
      <c r="Z5" s="14">
        <v>4</v>
      </c>
      <c r="AA5" s="14" t="s">
        <v>488</v>
      </c>
      <c r="AD5" s="14">
        <v>2</v>
      </c>
      <c r="AH5" s="14">
        <v>1</v>
      </c>
      <c r="AI5" s="14">
        <v>1</v>
      </c>
      <c r="AJ5" s="14">
        <v>3</v>
      </c>
      <c r="AM5" s="14">
        <v>2</v>
      </c>
      <c r="AN5" s="14">
        <v>2</v>
      </c>
      <c r="AO5" s="14">
        <v>2</v>
      </c>
      <c r="AP5" s="14">
        <v>4</v>
      </c>
      <c r="AQ5" s="14">
        <v>1</v>
      </c>
      <c r="AR5" s="14">
        <v>1</v>
      </c>
      <c r="AS5" s="14">
        <v>2</v>
      </c>
      <c r="AT5" s="14">
        <v>1</v>
      </c>
      <c r="AV5" s="14">
        <v>1</v>
      </c>
      <c r="AW5" s="14">
        <v>1</v>
      </c>
      <c r="AX5" s="14">
        <v>1</v>
      </c>
      <c r="AY5" s="14">
        <v>1</v>
      </c>
      <c r="AZ5" s="14">
        <v>1</v>
      </c>
    </row>
    <row r="6" spans="1:69">
      <c r="A6" t="s">
        <v>497</v>
      </c>
      <c r="B6" t="s">
        <v>498</v>
      </c>
      <c r="C6" s="14">
        <v>1</v>
      </c>
      <c r="D6" s="14">
        <v>8</v>
      </c>
      <c r="E6" s="14">
        <v>1</v>
      </c>
      <c r="F6" s="14">
        <v>0</v>
      </c>
      <c r="G6" s="14">
        <v>1</v>
      </c>
      <c r="H6" s="14" t="s">
        <v>488</v>
      </c>
      <c r="I6" s="14">
        <v>1</v>
      </c>
      <c r="J6" s="14" t="s">
        <v>488</v>
      </c>
      <c r="K6" s="14">
        <v>1</v>
      </c>
      <c r="L6" s="14">
        <v>3</v>
      </c>
      <c r="M6" s="14">
        <v>1</v>
      </c>
      <c r="N6" s="14">
        <v>1</v>
      </c>
      <c r="O6" s="14">
        <v>3</v>
      </c>
      <c r="Q6" s="14">
        <v>4</v>
      </c>
      <c r="R6" s="14">
        <v>1</v>
      </c>
      <c r="S6" s="14">
        <v>1</v>
      </c>
      <c r="T6" s="14">
        <v>4</v>
      </c>
      <c r="U6" s="14">
        <v>1</v>
      </c>
      <c r="W6" s="14">
        <v>3</v>
      </c>
      <c r="AD6" s="14">
        <v>2</v>
      </c>
      <c r="AF6" s="14" t="s">
        <v>492</v>
      </c>
      <c r="AJ6" s="14">
        <v>3</v>
      </c>
      <c r="AN6" s="14">
        <v>2</v>
      </c>
      <c r="AO6" s="14">
        <v>2</v>
      </c>
      <c r="AP6" s="14">
        <v>4</v>
      </c>
      <c r="AV6" s="14">
        <v>1</v>
      </c>
      <c r="BA6" s="14">
        <v>6</v>
      </c>
    </row>
    <row r="7" spans="1:69">
      <c r="A7" t="s">
        <v>499</v>
      </c>
      <c r="B7" t="s">
        <v>500</v>
      </c>
      <c r="C7" s="14">
        <v>1</v>
      </c>
      <c r="D7" s="14">
        <v>8</v>
      </c>
      <c r="E7" s="14">
        <v>1</v>
      </c>
      <c r="F7" s="14">
        <v>0</v>
      </c>
      <c r="G7" s="14">
        <v>1</v>
      </c>
      <c r="H7" s="14" t="s">
        <v>488</v>
      </c>
      <c r="I7" s="14">
        <v>1</v>
      </c>
      <c r="J7" s="14" t="s">
        <v>488</v>
      </c>
      <c r="K7" s="14">
        <v>1</v>
      </c>
      <c r="L7" s="14">
        <v>3</v>
      </c>
      <c r="M7" s="14">
        <v>1</v>
      </c>
      <c r="N7" s="14">
        <v>1</v>
      </c>
      <c r="O7" s="14">
        <v>3</v>
      </c>
      <c r="Q7" s="14">
        <v>4</v>
      </c>
      <c r="R7" s="14">
        <v>1</v>
      </c>
      <c r="S7" s="14">
        <v>1</v>
      </c>
      <c r="T7" s="14">
        <v>4</v>
      </c>
      <c r="U7" s="14">
        <v>1</v>
      </c>
      <c r="W7" s="14">
        <v>3</v>
      </c>
      <c r="AD7" s="14">
        <v>2</v>
      </c>
      <c r="AF7" s="14" t="s">
        <v>492</v>
      </c>
      <c r="AJ7" s="14">
        <v>3</v>
      </c>
      <c r="AN7" s="14">
        <v>2</v>
      </c>
      <c r="AO7" s="14">
        <v>2</v>
      </c>
      <c r="AP7" s="14">
        <v>4</v>
      </c>
      <c r="AV7" s="14">
        <v>1</v>
      </c>
      <c r="BA7" s="14">
        <v>6</v>
      </c>
    </row>
    <row r="8" spans="1:69">
      <c r="A8" t="s">
        <v>501</v>
      </c>
      <c r="B8" t="s">
        <v>502</v>
      </c>
      <c r="C8" s="14">
        <v>1</v>
      </c>
      <c r="D8" s="14">
        <v>8</v>
      </c>
      <c r="E8" s="14">
        <v>1</v>
      </c>
      <c r="F8" s="14">
        <v>0</v>
      </c>
      <c r="G8" s="14">
        <v>1</v>
      </c>
      <c r="H8" s="14" t="s">
        <v>488</v>
      </c>
      <c r="I8" s="14">
        <v>1</v>
      </c>
      <c r="J8" s="14" t="s">
        <v>488</v>
      </c>
      <c r="K8" s="14">
        <v>1</v>
      </c>
      <c r="L8" s="14">
        <v>3</v>
      </c>
      <c r="M8" s="14">
        <v>1</v>
      </c>
      <c r="N8" s="14">
        <v>1</v>
      </c>
      <c r="O8" s="14">
        <v>3</v>
      </c>
      <c r="Q8" s="14">
        <v>4</v>
      </c>
      <c r="R8" s="14">
        <v>1</v>
      </c>
      <c r="S8" s="14">
        <v>1</v>
      </c>
      <c r="T8" s="14">
        <v>4</v>
      </c>
      <c r="U8" s="14">
        <v>1</v>
      </c>
      <c r="V8" s="14">
        <v>2</v>
      </c>
      <c r="W8" s="14">
        <v>3</v>
      </c>
      <c r="X8" s="14">
        <v>1</v>
      </c>
      <c r="AD8" s="14">
        <v>2</v>
      </c>
      <c r="AF8" s="14" t="s">
        <v>492</v>
      </c>
      <c r="AH8" s="14">
        <v>1</v>
      </c>
      <c r="AJ8" s="14">
        <v>3</v>
      </c>
      <c r="AM8" s="14">
        <v>2</v>
      </c>
      <c r="AN8" s="14">
        <v>2</v>
      </c>
      <c r="AO8" s="14">
        <v>2</v>
      </c>
      <c r="AP8" s="14">
        <v>4</v>
      </c>
      <c r="AR8" s="14">
        <v>1</v>
      </c>
      <c r="AS8" s="14">
        <v>2</v>
      </c>
      <c r="AV8" s="14">
        <v>1</v>
      </c>
      <c r="BA8" s="14">
        <v>6</v>
      </c>
    </row>
    <row r="9" spans="1:69">
      <c r="A9" t="s">
        <v>503</v>
      </c>
      <c r="B9" t="s">
        <v>487</v>
      </c>
      <c r="C9" s="14">
        <v>1</v>
      </c>
      <c r="F9" s="14">
        <v>0</v>
      </c>
      <c r="G9" s="14">
        <v>1</v>
      </c>
      <c r="H9" s="14" t="s">
        <v>488</v>
      </c>
      <c r="I9" s="14">
        <v>1</v>
      </c>
      <c r="J9" s="14" t="s">
        <v>488</v>
      </c>
      <c r="K9" s="14">
        <v>1</v>
      </c>
      <c r="L9" s="14">
        <v>3</v>
      </c>
      <c r="M9" s="14">
        <v>1</v>
      </c>
      <c r="N9" s="14">
        <v>1</v>
      </c>
      <c r="Q9" s="14">
        <v>4</v>
      </c>
      <c r="R9" s="14">
        <v>1</v>
      </c>
      <c r="S9" s="14">
        <v>1</v>
      </c>
      <c r="T9" s="14">
        <v>4</v>
      </c>
      <c r="U9" s="14">
        <v>2</v>
      </c>
      <c r="X9" s="14">
        <v>1</v>
      </c>
      <c r="AC9" s="14" t="s">
        <v>488</v>
      </c>
      <c r="AE9" s="14">
        <v>1</v>
      </c>
      <c r="AF9" s="14" t="s">
        <v>492</v>
      </c>
      <c r="AG9" s="14" t="s">
        <v>493</v>
      </c>
      <c r="AI9" s="14">
        <v>1</v>
      </c>
      <c r="AJ9" s="14">
        <v>3</v>
      </c>
      <c r="AK9" s="14">
        <v>0</v>
      </c>
      <c r="AL9" s="14" t="s">
        <v>494</v>
      </c>
      <c r="AW9" s="14">
        <v>1</v>
      </c>
      <c r="BB9" s="14">
        <v>1</v>
      </c>
    </row>
    <row r="10" spans="1:69">
      <c r="A10" t="s">
        <v>504</v>
      </c>
      <c r="B10" t="s">
        <v>505</v>
      </c>
      <c r="C10" s="14">
        <v>1</v>
      </c>
      <c r="D10" s="14">
        <v>8</v>
      </c>
      <c r="E10" s="14">
        <v>1</v>
      </c>
      <c r="F10" s="14">
        <v>0</v>
      </c>
      <c r="G10" s="14">
        <v>1</v>
      </c>
      <c r="H10" s="14" t="s">
        <v>488</v>
      </c>
      <c r="I10" s="14">
        <v>1</v>
      </c>
      <c r="J10" s="14" t="s">
        <v>488</v>
      </c>
      <c r="K10" s="14">
        <v>1</v>
      </c>
      <c r="L10" s="14">
        <v>3</v>
      </c>
      <c r="M10" s="14">
        <v>1</v>
      </c>
      <c r="N10" s="14">
        <v>1</v>
      </c>
      <c r="O10" s="14">
        <v>3</v>
      </c>
      <c r="Q10" s="14">
        <v>4</v>
      </c>
      <c r="R10" s="14">
        <v>1</v>
      </c>
      <c r="S10" s="14">
        <v>1</v>
      </c>
      <c r="T10" s="14">
        <v>4</v>
      </c>
      <c r="U10" s="14">
        <v>2</v>
      </c>
      <c r="Y10" s="14">
        <v>2</v>
      </c>
      <c r="Z10" s="14">
        <v>4</v>
      </c>
      <c r="AA10" s="14" t="s">
        <v>488</v>
      </c>
      <c r="AD10" s="14">
        <v>2</v>
      </c>
      <c r="AI10" s="14">
        <v>1</v>
      </c>
      <c r="AJ10" s="14">
        <v>3</v>
      </c>
      <c r="AM10" s="14">
        <v>2</v>
      </c>
      <c r="AN10" s="14">
        <v>2</v>
      </c>
      <c r="AO10" s="14">
        <v>2</v>
      </c>
      <c r="AP10" s="14">
        <v>4</v>
      </c>
      <c r="AQ10" s="14">
        <v>1</v>
      </c>
      <c r="AT10" s="14">
        <v>1</v>
      </c>
      <c r="AU10" s="14">
        <v>1</v>
      </c>
      <c r="AX10" s="14">
        <v>1</v>
      </c>
      <c r="AY10" s="14">
        <v>1</v>
      </c>
      <c r="AZ10" s="14">
        <v>1</v>
      </c>
      <c r="BC10" s="14">
        <v>0</v>
      </c>
      <c r="BD10" s="14">
        <v>1</v>
      </c>
      <c r="BE10" s="14">
        <v>1</v>
      </c>
    </row>
    <row r="11" spans="1:69">
      <c r="A11" t="s">
        <v>504</v>
      </c>
      <c r="B11" t="s">
        <v>506</v>
      </c>
      <c r="C11" s="14">
        <v>1</v>
      </c>
      <c r="D11" s="14">
        <v>8</v>
      </c>
      <c r="E11" s="14">
        <v>1</v>
      </c>
      <c r="F11" s="14">
        <v>0</v>
      </c>
      <c r="G11" s="14">
        <v>1</v>
      </c>
      <c r="H11" s="14" t="s">
        <v>488</v>
      </c>
      <c r="I11" s="14">
        <v>1</v>
      </c>
      <c r="J11" s="14" t="s">
        <v>488</v>
      </c>
      <c r="K11" s="14">
        <v>1</v>
      </c>
      <c r="L11" s="14">
        <v>3</v>
      </c>
      <c r="M11" s="14">
        <v>1</v>
      </c>
      <c r="N11" s="14">
        <v>1</v>
      </c>
      <c r="U11" s="14">
        <v>1</v>
      </c>
      <c r="V11" s="14">
        <v>2</v>
      </c>
    </row>
    <row r="12" spans="1:69">
      <c r="A12" t="s">
        <v>504</v>
      </c>
      <c r="B12" t="s">
        <v>507</v>
      </c>
      <c r="C12" s="14">
        <v>1</v>
      </c>
      <c r="D12" s="14">
        <v>8</v>
      </c>
      <c r="E12" s="14">
        <v>1</v>
      </c>
      <c r="F12" s="14">
        <v>0</v>
      </c>
      <c r="G12" s="14">
        <v>1</v>
      </c>
      <c r="H12" s="14" t="s">
        <v>488</v>
      </c>
      <c r="I12" s="14">
        <v>1</v>
      </c>
      <c r="J12" s="14" t="s">
        <v>488</v>
      </c>
      <c r="K12" s="14">
        <v>1</v>
      </c>
      <c r="M12" s="14">
        <v>1</v>
      </c>
      <c r="N12" s="14">
        <v>1</v>
      </c>
      <c r="O12" s="14">
        <v>3</v>
      </c>
      <c r="Q12" s="14">
        <v>4</v>
      </c>
      <c r="R12" s="14">
        <v>1</v>
      </c>
      <c r="S12" s="14">
        <v>1</v>
      </c>
      <c r="T12" s="14">
        <v>4</v>
      </c>
      <c r="U12" s="14" t="s">
        <v>508</v>
      </c>
      <c r="V12" s="14">
        <v>2</v>
      </c>
      <c r="W12" s="14">
        <v>3</v>
      </c>
      <c r="Y12" s="14">
        <v>2</v>
      </c>
      <c r="AD12" s="14">
        <v>2</v>
      </c>
      <c r="AI12" s="14">
        <v>1</v>
      </c>
      <c r="AJ12" s="14">
        <v>3</v>
      </c>
      <c r="AN12" s="14">
        <v>2</v>
      </c>
      <c r="AO12" s="14">
        <v>2</v>
      </c>
      <c r="AP12" s="14">
        <v>4</v>
      </c>
      <c r="AQ12" s="14">
        <v>1</v>
      </c>
      <c r="AR12" s="14">
        <v>1</v>
      </c>
      <c r="AS12" s="14">
        <v>2</v>
      </c>
      <c r="AT12" s="14">
        <v>1</v>
      </c>
      <c r="AV12" s="14">
        <v>1</v>
      </c>
      <c r="BC12" s="14">
        <v>0</v>
      </c>
      <c r="BE12" s="14">
        <v>1</v>
      </c>
      <c r="BF12" s="14">
        <v>1</v>
      </c>
      <c r="BG12" s="14">
        <v>1</v>
      </c>
    </row>
    <row r="13" spans="1:69">
      <c r="A13" t="s">
        <v>504</v>
      </c>
      <c r="B13" t="s">
        <v>509</v>
      </c>
      <c r="C13" s="14">
        <v>1</v>
      </c>
      <c r="D13" s="14">
        <v>8</v>
      </c>
      <c r="E13" s="14">
        <v>1</v>
      </c>
      <c r="F13" s="14">
        <v>0</v>
      </c>
      <c r="G13" s="14">
        <v>1</v>
      </c>
      <c r="H13" s="14" t="s">
        <v>488</v>
      </c>
      <c r="I13" s="14">
        <v>1</v>
      </c>
      <c r="J13" s="14" t="s">
        <v>488</v>
      </c>
      <c r="K13" s="14">
        <v>1</v>
      </c>
      <c r="M13" s="14">
        <v>1</v>
      </c>
      <c r="N13" s="14">
        <v>1</v>
      </c>
      <c r="O13" s="14">
        <v>3</v>
      </c>
      <c r="Q13" s="14">
        <v>4</v>
      </c>
      <c r="R13" s="14">
        <v>1</v>
      </c>
      <c r="S13" s="14">
        <v>1</v>
      </c>
      <c r="T13" s="14">
        <v>4</v>
      </c>
      <c r="U13" s="14" t="s">
        <v>508</v>
      </c>
      <c r="V13" s="14">
        <v>2</v>
      </c>
      <c r="W13" s="14">
        <v>3</v>
      </c>
      <c r="Y13" s="14">
        <v>2</v>
      </c>
      <c r="Z13" s="14">
        <v>4</v>
      </c>
      <c r="AA13" s="14" t="s">
        <v>488</v>
      </c>
      <c r="AD13" s="14">
        <v>2</v>
      </c>
      <c r="AI13" s="14">
        <v>1</v>
      </c>
      <c r="AJ13" s="14">
        <v>3</v>
      </c>
      <c r="AN13" s="14">
        <v>2</v>
      </c>
      <c r="AO13" s="14">
        <v>2</v>
      </c>
      <c r="AP13" s="14">
        <v>4</v>
      </c>
      <c r="AQ13" s="14">
        <v>1</v>
      </c>
      <c r="AR13" s="14">
        <v>1</v>
      </c>
      <c r="AS13" s="14">
        <v>2</v>
      </c>
      <c r="AT13" s="14">
        <v>1</v>
      </c>
      <c r="AV13" s="14">
        <v>1</v>
      </c>
      <c r="BC13" s="14">
        <v>0</v>
      </c>
      <c r="BE13" s="14">
        <v>1</v>
      </c>
      <c r="BF13" s="14">
        <v>1</v>
      </c>
      <c r="BG13" s="14">
        <v>1</v>
      </c>
    </row>
    <row r="14" spans="1:69">
      <c r="A14" t="s">
        <v>504</v>
      </c>
      <c r="B14" t="s">
        <v>510</v>
      </c>
      <c r="C14" s="14">
        <v>1</v>
      </c>
      <c r="D14" s="14">
        <v>8</v>
      </c>
      <c r="E14" s="14">
        <v>1</v>
      </c>
      <c r="F14" s="14">
        <v>0</v>
      </c>
      <c r="G14" s="14">
        <v>1</v>
      </c>
      <c r="H14" s="14" t="s">
        <v>488</v>
      </c>
      <c r="I14" s="14">
        <v>1</v>
      </c>
      <c r="J14" s="14" t="s">
        <v>488</v>
      </c>
      <c r="K14" s="14">
        <v>1</v>
      </c>
      <c r="L14" s="14">
        <v>3</v>
      </c>
      <c r="M14" s="14">
        <v>1</v>
      </c>
      <c r="N14" s="14">
        <v>1</v>
      </c>
      <c r="O14" s="14">
        <v>3</v>
      </c>
      <c r="Q14" s="14">
        <v>4</v>
      </c>
      <c r="R14" s="14">
        <v>1</v>
      </c>
      <c r="S14" s="14">
        <v>1</v>
      </c>
      <c r="T14" s="14">
        <v>4</v>
      </c>
      <c r="U14" s="14">
        <v>2</v>
      </c>
      <c r="V14" s="14">
        <v>2</v>
      </c>
      <c r="W14" s="14">
        <v>3</v>
      </c>
      <c r="Y14" s="14">
        <v>2</v>
      </c>
      <c r="AD14" s="14">
        <v>2</v>
      </c>
      <c r="AI14" s="14">
        <v>1</v>
      </c>
      <c r="AJ14" s="14">
        <v>3</v>
      </c>
      <c r="AN14" s="14">
        <v>2</v>
      </c>
      <c r="AO14" s="14">
        <v>2</v>
      </c>
      <c r="AP14" s="14">
        <v>4</v>
      </c>
      <c r="AQ14" s="14">
        <v>1</v>
      </c>
      <c r="AR14" s="14">
        <v>1</v>
      </c>
      <c r="AS14" s="14">
        <v>2</v>
      </c>
      <c r="AT14" s="14">
        <v>1</v>
      </c>
      <c r="AU14" s="14">
        <v>1</v>
      </c>
      <c r="BC14" s="14">
        <v>0</v>
      </c>
      <c r="BE14" s="14">
        <v>1</v>
      </c>
      <c r="BF14" s="14">
        <v>1</v>
      </c>
    </row>
    <row r="15" spans="1:69">
      <c r="A15" t="s">
        <v>504</v>
      </c>
      <c r="B15" t="s">
        <v>511</v>
      </c>
      <c r="C15" s="14">
        <v>1</v>
      </c>
      <c r="D15" s="14">
        <v>8</v>
      </c>
      <c r="E15" s="14">
        <v>1</v>
      </c>
      <c r="F15" s="14">
        <v>0</v>
      </c>
      <c r="G15" s="14">
        <v>1</v>
      </c>
      <c r="H15" s="14" t="s">
        <v>488</v>
      </c>
      <c r="I15" s="14">
        <v>1</v>
      </c>
      <c r="J15" s="14" t="s">
        <v>488</v>
      </c>
      <c r="K15" s="14">
        <v>1</v>
      </c>
      <c r="L15" s="14">
        <v>3</v>
      </c>
      <c r="M15" s="14">
        <v>1</v>
      </c>
      <c r="N15" s="14">
        <v>1</v>
      </c>
      <c r="Q15" s="14">
        <v>4</v>
      </c>
      <c r="R15" s="14">
        <v>1</v>
      </c>
      <c r="S15" s="14">
        <v>1</v>
      </c>
      <c r="T15" s="14">
        <v>4</v>
      </c>
      <c r="U15" s="14">
        <v>2</v>
      </c>
      <c r="AI15" s="14">
        <v>1</v>
      </c>
    </row>
    <row r="16" spans="1:69">
      <c r="A16" t="s">
        <v>504</v>
      </c>
      <c r="B16" t="s">
        <v>512</v>
      </c>
      <c r="C16" s="14">
        <v>1</v>
      </c>
      <c r="D16" s="14">
        <v>8</v>
      </c>
      <c r="E16" s="14">
        <v>1</v>
      </c>
      <c r="F16" s="14">
        <v>0</v>
      </c>
      <c r="G16" s="14">
        <v>1</v>
      </c>
      <c r="H16" s="14" t="s">
        <v>488</v>
      </c>
      <c r="I16" s="14">
        <v>1</v>
      </c>
      <c r="J16" s="14" t="s">
        <v>488</v>
      </c>
      <c r="K16" s="14">
        <v>1</v>
      </c>
      <c r="L16" s="14">
        <v>3</v>
      </c>
      <c r="M16" s="14">
        <v>1</v>
      </c>
      <c r="N16" s="14">
        <v>1</v>
      </c>
      <c r="U16" s="14">
        <v>1</v>
      </c>
      <c r="BH16" s="14">
        <v>1</v>
      </c>
      <c r="BI16" s="14">
        <v>1</v>
      </c>
    </row>
    <row r="17" spans="1:65">
      <c r="A17" t="s">
        <v>504</v>
      </c>
      <c r="B17" t="s">
        <v>513</v>
      </c>
      <c r="C17" s="14">
        <v>1</v>
      </c>
      <c r="D17" s="14">
        <v>8</v>
      </c>
      <c r="E17" s="14">
        <v>1</v>
      </c>
      <c r="F17" s="14">
        <v>0</v>
      </c>
      <c r="G17" s="14">
        <v>1</v>
      </c>
      <c r="H17" s="14" t="s">
        <v>488</v>
      </c>
      <c r="I17" s="14">
        <v>1</v>
      </c>
      <c r="J17" s="14" t="s">
        <v>488</v>
      </c>
      <c r="K17" s="14">
        <v>1</v>
      </c>
      <c r="L17" s="14">
        <v>3</v>
      </c>
      <c r="M17" s="14">
        <v>1</v>
      </c>
      <c r="N17" s="14">
        <v>1</v>
      </c>
      <c r="O17" s="14">
        <v>3</v>
      </c>
      <c r="Q17" s="14">
        <v>4</v>
      </c>
      <c r="R17" s="14">
        <v>1</v>
      </c>
      <c r="S17" s="14">
        <v>1</v>
      </c>
      <c r="T17" s="14">
        <v>4</v>
      </c>
      <c r="U17" s="14">
        <v>2</v>
      </c>
      <c r="Y17" s="14">
        <v>2</v>
      </c>
      <c r="Z17" s="14">
        <v>4</v>
      </c>
      <c r="AA17" s="14" t="s">
        <v>488</v>
      </c>
      <c r="AD17" s="14">
        <v>2</v>
      </c>
      <c r="AI17" s="14">
        <v>1</v>
      </c>
      <c r="AJ17" s="14">
        <v>3</v>
      </c>
      <c r="AM17" s="14">
        <v>2</v>
      </c>
      <c r="AN17" s="14">
        <v>2</v>
      </c>
      <c r="AO17" s="14">
        <v>2</v>
      </c>
      <c r="AP17" s="14">
        <v>4</v>
      </c>
      <c r="AQ17" s="14">
        <v>1</v>
      </c>
      <c r="AT17" s="14">
        <v>1</v>
      </c>
      <c r="AU17" s="14">
        <v>1</v>
      </c>
      <c r="AX17" s="14">
        <v>1</v>
      </c>
      <c r="AY17" s="14">
        <v>1</v>
      </c>
      <c r="AZ17" s="14">
        <v>1</v>
      </c>
      <c r="BC17" s="14">
        <v>0</v>
      </c>
      <c r="BD17" s="14">
        <v>1</v>
      </c>
      <c r="BE17" s="14">
        <v>1</v>
      </c>
      <c r="BH17" s="14">
        <v>1</v>
      </c>
      <c r="BI17" s="14">
        <v>1</v>
      </c>
      <c r="BJ17" s="14" t="s">
        <v>508</v>
      </c>
      <c r="BK17" s="14">
        <v>1</v>
      </c>
      <c r="BL17" s="14">
        <v>4</v>
      </c>
      <c r="BM17" s="14">
        <v>2</v>
      </c>
    </row>
    <row r="18" spans="1:65">
      <c r="A18" t="s">
        <v>504</v>
      </c>
      <c r="B18" t="s">
        <v>514</v>
      </c>
      <c r="C18" s="14">
        <v>1</v>
      </c>
      <c r="D18" s="14">
        <v>8</v>
      </c>
      <c r="E18" s="14">
        <v>1</v>
      </c>
      <c r="F18" s="14">
        <v>0</v>
      </c>
      <c r="G18" s="14">
        <v>1</v>
      </c>
      <c r="H18" s="14" t="s">
        <v>488</v>
      </c>
      <c r="I18" s="14">
        <v>1</v>
      </c>
      <c r="J18" s="14" t="s">
        <v>488</v>
      </c>
      <c r="K18" s="14">
        <v>1</v>
      </c>
      <c r="L18" s="14">
        <v>3</v>
      </c>
      <c r="M18" s="14">
        <v>1</v>
      </c>
      <c r="N18" s="14">
        <v>1</v>
      </c>
      <c r="U18" s="14">
        <v>1</v>
      </c>
    </row>
    <row r="19" spans="1:65">
      <c r="A19" t="s">
        <v>504</v>
      </c>
      <c r="B19" t="s">
        <v>515</v>
      </c>
      <c r="C19" s="14">
        <v>1</v>
      </c>
      <c r="K19" s="14">
        <v>1</v>
      </c>
      <c r="L19" s="14">
        <v>3</v>
      </c>
    </row>
    <row r="20" spans="1:65">
      <c r="A20" t="s">
        <v>504</v>
      </c>
      <c r="B20" t="s">
        <v>516</v>
      </c>
      <c r="C20" s="14">
        <v>1</v>
      </c>
      <c r="D20" s="14">
        <v>8</v>
      </c>
      <c r="E20" s="14">
        <v>1</v>
      </c>
      <c r="F20" s="14">
        <v>0</v>
      </c>
      <c r="G20" s="14">
        <v>1</v>
      </c>
      <c r="H20" s="14" t="s">
        <v>488</v>
      </c>
      <c r="I20" s="14">
        <v>1</v>
      </c>
      <c r="J20" s="14" t="s">
        <v>488</v>
      </c>
      <c r="K20" s="14">
        <v>1</v>
      </c>
      <c r="L20" s="14">
        <v>3</v>
      </c>
      <c r="M20" s="14">
        <v>1</v>
      </c>
      <c r="N20" s="14">
        <v>1</v>
      </c>
      <c r="O20" s="14">
        <v>3</v>
      </c>
      <c r="Q20" s="14">
        <v>4</v>
      </c>
      <c r="R20" s="14">
        <v>1</v>
      </c>
      <c r="S20" s="14">
        <v>1</v>
      </c>
      <c r="T20" s="14">
        <v>4</v>
      </c>
      <c r="U20" s="14">
        <v>2</v>
      </c>
      <c r="Y20" s="14">
        <v>2</v>
      </c>
      <c r="Z20" s="14">
        <v>4</v>
      </c>
      <c r="AA20" s="14" t="s">
        <v>488</v>
      </c>
      <c r="AD20" s="14">
        <v>2</v>
      </c>
      <c r="AI20" s="14">
        <v>1</v>
      </c>
      <c r="AJ20" s="14">
        <v>3</v>
      </c>
      <c r="AM20" s="14">
        <v>2</v>
      </c>
      <c r="AN20" s="14">
        <v>2</v>
      </c>
      <c r="AO20" s="14">
        <v>2</v>
      </c>
      <c r="AP20" s="14">
        <v>4</v>
      </c>
      <c r="AQ20" s="14">
        <v>1</v>
      </c>
      <c r="AR20" s="14">
        <v>1</v>
      </c>
      <c r="AS20" s="14">
        <v>2</v>
      </c>
      <c r="AT20" s="14">
        <v>1</v>
      </c>
      <c r="AU20" s="14">
        <v>1</v>
      </c>
      <c r="AX20" s="14">
        <v>1</v>
      </c>
      <c r="AY20" s="14">
        <v>1</v>
      </c>
      <c r="AZ20" s="14">
        <v>1</v>
      </c>
      <c r="BD20" s="14">
        <v>1</v>
      </c>
      <c r="BE20" s="14">
        <v>1</v>
      </c>
      <c r="BH20" s="14">
        <v>1</v>
      </c>
      <c r="BI20" s="14">
        <v>1</v>
      </c>
      <c r="BK20" s="14">
        <v>1</v>
      </c>
      <c r="BL20" s="14">
        <v>4</v>
      </c>
      <c r="BM20" s="14">
        <v>2</v>
      </c>
    </row>
    <row r="21" spans="1:65">
      <c r="A21" t="s">
        <v>504</v>
      </c>
      <c r="B21" t="s">
        <v>517</v>
      </c>
      <c r="C21" s="14">
        <v>1</v>
      </c>
      <c r="D21" s="14">
        <v>8</v>
      </c>
      <c r="E21" s="14">
        <v>1</v>
      </c>
      <c r="F21" s="14">
        <v>0</v>
      </c>
      <c r="G21" s="14">
        <v>1</v>
      </c>
      <c r="H21" s="14" t="s">
        <v>488</v>
      </c>
      <c r="I21" s="14">
        <v>1</v>
      </c>
      <c r="J21" s="14" t="s">
        <v>488</v>
      </c>
      <c r="K21" s="14">
        <v>1</v>
      </c>
      <c r="L21" s="14">
        <v>3</v>
      </c>
      <c r="M21" s="14">
        <v>1</v>
      </c>
      <c r="N21" s="14">
        <v>1</v>
      </c>
      <c r="O21" s="14">
        <v>3</v>
      </c>
      <c r="Q21" s="14">
        <v>4</v>
      </c>
      <c r="R21" s="14">
        <v>1</v>
      </c>
      <c r="S21" s="14">
        <v>1</v>
      </c>
      <c r="T21" s="14">
        <v>4</v>
      </c>
      <c r="U21" s="14">
        <v>2</v>
      </c>
      <c r="Y21" s="14">
        <v>2</v>
      </c>
      <c r="Z21" s="14">
        <v>4</v>
      </c>
      <c r="AA21" s="14" t="s">
        <v>488</v>
      </c>
      <c r="AD21" s="14">
        <v>2</v>
      </c>
      <c r="AI21" s="14">
        <v>1</v>
      </c>
      <c r="AJ21" s="14">
        <v>3</v>
      </c>
      <c r="AM21" s="14">
        <v>2</v>
      </c>
      <c r="AN21" s="14">
        <v>2</v>
      </c>
      <c r="AO21" s="14">
        <v>2</v>
      </c>
      <c r="AP21" s="14">
        <v>4</v>
      </c>
      <c r="AQ21" s="14">
        <v>1</v>
      </c>
      <c r="AR21" s="14">
        <v>1</v>
      </c>
      <c r="AS21" s="14">
        <v>2</v>
      </c>
      <c r="AT21" s="14">
        <v>1</v>
      </c>
      <c r="AU21" s="14">
        <v>1</v>
      </c>
      <c r="AX21" s="14">
        <v>1</v>
      </c>
      <c r="AY21" s="14">
        <v>1</v>
      </c>
      <c r="AZ21" s="14">
        <v>1</v>
      </c>
      <c r="BD21" s="14">
        <v>1</v>
      </c>
      <c r="BE21" s="14">
        <v>1</v>
      </c>
      <c r="BH21" s="14">
        <v>1</v>
      </c>
      <c r="BI21" s="14">
        <v>1</v>
      </c>
      <c r="BK21" s="14">
        <v>1</v>
      </c>
      <c r="BL21" s="14">
        <v>4</v>
      </c>
      <c r="BM21" s="14">
        <v>2</v>
      </c>
    </row>
    <row r="22" spans="1:65">
      <c r="A22" t="s">
        <v>504</v>
      </c>
      <c r="B22" t="s">
        <v>518</v>
      </c>
      <c r="C22" s="14">
        <v>1</v>
      </c>
      <c r="D22" s="14">
        <v>8</v>
      </c>
      <c r="E22" s="14">
        <v>1</v>
      </c>
      <c r="F22" s="14">
        <v>0</v>
      </c>
      <c r="G22" s="14">
        <v>1</v>
      </c>
      <c r="H22" s="14" t="s">
        <v>488</v>
      </c>
      <c r="I22" s="14">
        <v>1</v>
      </c>
      <c r="J22" s="14" t="s">
        <v>488</v>
      </c>
      <c r="K22" s="14">
        <v>1</v>
      </c>
      <c r="L22" s="14">
        <v>3</v>
      </c>
      <c r="M22" s="14">
        <v>1</v>
      </c>
      <c r="N22" s="14">
        <v>1</v>
      </c>
      <c r="O22" s="14">
        <v>3</v>
      </c>
      <c r="Q22" s="14">
        <v>4</v>
      </c>
      <c r="R22" s="14">
        <v>1</v>
      </c>
      <c r="S22" s="14">
        <v>1</v>
      </c>
      <c r="T22" s="14">
        <v>4</v>
      </c>
      <c r="U22" s="14">
        <v>2</v>
      </c>
      <c r="Y22" s="14">
        <v>2</v>
      </c>
      <c r="AD22" s="14">
        <v>2</v>
      </c>
      <c r="AH22" s="14">
        <v>1</v>
      </c>
      <c r="AI22" s="14">
        <v>1</v>
      </c>
      <c r="AJ22" s="14">
        <v>3</v>
      </c>
      <c r="AM22" s="14">
        <v>2</v>
      </c>
      <c r="AN22" s="14">
        <v>2</v>
      </c>
      <c r="AO22" s="14">
        <v>2</v>
      </c>
      <c r="AP22" s="14">
        <v>4</v>
      </c>
      <c r="AR22" s="14">
        <v>1</v>
      </c>
      <c r="AS22" s="14">
        <v>2</v>
      </c>
      <c r="AT22" s="14">
        <v>1</v>
      </c>
      <c r="AU22" s="14">
        <v>1</v>
      </c>
      <c r="BD22" s="14">
        <v>1</v>
      </c>
      <c r="BE22" s="14">
        <v>1</v>
      </c>
    </row>
    <row r="23" spans="1:65">
      <c r="A23" t="s">
        <v>504</v>
      </c>
      <c r="B23" t="s">
        <v>519</v>
      </c>
      <c r="C23" s="14">
        <v>1</v>
      </c>
      <c r="D23" s="14">
        <v>8</v>
      </c>
      <c r="E23" s="14">
        <v>1</v>
      </c>
      <c r="F23" s="14">
        <v>0</v>
      </c>
      <c r="G23" s="14">
        <v>1</v>
      </c>
      <c r="H23" s="14" t="s">
        <v>488</v>
      </c>
      <c r="I23" s="14">
        <v>1</v>
      </c>
      <c r="J23" s="14" t="s">
        <v>488</v>
      </c>
      <c r="K23" s="14">
        <v>1</v>
      </c>
      <c r="L23" s="14">
        <v>3</v>
      </c>
      <c r="M23" s="14">
        <v>1</v>
      </c>
      <c r="N23" s="14">
        <v>1</v>
      </c>
      <c r="O23" s="14">
        <v>3</v>
      </c>
      <c r="Q23" s="14">
        <v>4</v>
      </c>
      <c r="R23" s="14">
        <v>1</v>
      </c>
      <c r="S23" s="14">
        <v>1</v>
      </c>
      <c r="T23" s="14">
        <v>4</v>
      </c>
      <c r="U23" s="14">
        <v>2</v>
      </c>
      <c r="Y23" s="14">
        <v>2</v>
      </c>
      <c r="AD23" s="14">
        <v>2</v>
      </c>
      <c r="AH23" s="14">
        <v>1</v>
      </c>
      <c r="AI23" s="14">
        <v>1</v>
      </c>
      <c r="AJ23" s="14">
        <v>3</v>
      </c>
      <c r="AM23" s="14">
        <v>2</v>
      </c>
      <c r="AN23" s="14">
        <v>2</v>
      </c>
      <c r="AO23" s="14">
        <v>2</v>
      </c>
      <c r="AP23" s="14">
        <v>4</v>
      </c>
      <c r="AR23" s="14">
        <v>1</v>
      </c>
      <c r="AS23" s="14">
        <v>2</v>
      </c>
      <c r="AT23" s="14">
        <v>1</v>
      </c>
      <c r="AU23" s="14">
        <v>1</v>
      </c>
      <c r="BD23" s="14">
        <v>1</v>
      </c>
      <c r="BE23" s="14">
        <v>1</v>
      </c>
    </row>
    <row r="24" spans="1:65">
      <c r="A24" t="s">
        <v>504</v>
      </c>
      <c r="B24" t="s">
        <v>520</v>
      </c>
      <c r="C24" s="14">
        <v>1</v>
      </c>
      <c r="D24" s="14">
        <v>8</v>
      </c>
      <c r="E24" s="14">
        <v>1</v>
      </c>
      <c r="F24" s="14">
        <v>0</v>
      </c>
      <c r="G24" s="14">
        <v>1</v>
      </c>
      <c r="H24" s="14" t="s">
        <v>488</v>
      </c>
      <c r="I24" s="14">
        <v>1</v>
      </c>
      <c r="J24" s="14" t="s">
        <v>488</v>
      </c>
      <c r="K24" s="14">
        <v>1</v>
      </c>
      <c r="L24" s="14">
        <v>3</v>
      </c>
      <c r="M24" s="14">
        <v>1</v>
      </c>
      <c r="N24" s="14">
        <v>1</v>
      </c>
      <c r="O24" s="14">
        <v>3</v>
      </c>
      <c r="Q24" s="14">
        <v>4</v>
      </c>
      <c r="R24" s="14">
        <v>1</v>
      </c>
      <c r="S24" s="14">
        <v>1</v>
      </c>
      <c r="T24" s="14">
        <v>4</v>
      </c>
      <c r="U24" s="14">
        <v>2</v>
      </c>
      <c r="Y24" s="14">
        <v>2</v>
      </c>
      <c r="AD24" s="14">
        <v>2</v>
      </c>
      <c r="AH24" s="14">
        <v>1</v>
      </c>
      <c r="AI24" s="14">
        <v>1</v>
      </c>
      <c r="AJ24" s="14">
        <v>3</v>
      </c>
      <c r="AM24" s="14">
        <v>2</v>
      </c>
      <c r="AN24" s="14">
        <v>2</v>
      </c>
      <c r="AO24" s="14">
        <v>2</v>
      </c>
      <c r="AP24" s="14">
        <v>4</v>
      </c>
      <c r="AR24" s="14">
        <v>1</v>
      </c>
      <c r="AS24" s="14">
        <v>2</v>
      </c>
      <c r="AT24" s="14">
        <v>1</v>
      </c>
      <c r="AU24" s="14">
        <v>1</v>
      </c>
      <c r="BD24" s="14">
        <v>1</v>
      </c>
      <c r="BE24" s="14">
        <v>1</v>
      </c>
    </row>
    <row r="25" spans="1:65">
      <c r="A25" t="s">
        <v>504</v>
      </c>
      <c r="B25" t="s">
        <v>515</v>
      </c>
      <c r="C25" s="14">
        <v>1</v>
      </c>
      <c r="K25" s="14">
        <v>1</v>
      </c>
      <c r="L25" s="14">
        <v>3</v>
      </c>
      <c r="Z25" s="14">
        <v>4</v>
      </c>
      <c r="AA25" s="14" t="s">
        <v>488</v>
      </c>
    </row>
    <row r="26" spans="1:65">
      <c r="A26" t="s">
        <v>504</v>
      </c>
      <c r="B26" t="s">
        <v>521</v>
      </c>
      <c r="C26" s="14">
        <v>1</v>
      </c>
      <c r="K26" s="14">
        <v>1</v>
      </c>
      <c r="L26" s="14">
        <v>3</v>
      </c>
      <c r="Z26" s="14">
        <v>4</v>
      </c>
      <c r="AA26" s="14" t="s">
        <v>488</v>
      </c>
    </row>
    <row r="27" spans="1:65">
      <c r="A27" t="s">
        <v>504</v>
      </c>
      <c r="B27" t="s">
        <v>522</v>
      </c>
      <c r="C27" s="14">
        <v>1</v>
      </c>
      <c r="K27" s="14">
        <v>1</v>
      </c>
      <c r="L27" s="14">
        <v>3</v>
      </c>
      <c r="Z27" s="14">
        <v>4</v>
      </c>
      <c r="AA27" s="14" t="s">
        <v>488</v>
      </c>
    </row>
    <row r="28" spans="1:65">
      <c r="A28" t="s">
        <v>504</v>
      </c>
      <c r="B28" t="s">
        <v>523</v>
      </c>
      <c r="C28" s="14">
        <v>1</v>
      </c>
      <c r="K28" s="14">
        <v>1</v>
      </c>
      <c r="L28" s="14">
        <v>3</v>
      </c>
      <c r="Z28" s="14">
        <v>4</v>
      </c>
      <c r="AA28" s="14" t="s">
        <v>488</v>
      </c>
    </row>
    <row r="29" spans="1:65">
      <c r="A29" t="s">
        <v>504</v>
      </c>
      <c r="B29" t="s">
        <v>524</v>
      </c>
      <c r="C29" s="14">
        <v>1</v>
      </c>
      <c r="D29" s="14">
        <v>8</v>
      </c>
      <c r="E29" s="14">
        <v>1</v>
      </c>
      <c r="F29" s="14">
        <v>0</v>
      </c>
      <c r="G29" s="14">
        <v>1</v>
      </c>
      <c r="H29" s="14" t="s">
        <v>488</v>
      </c>
      <c r="I29" s="14">
        <v>1</v>
      </c>
      <c r="J29" s="14" t="s">
        <v>488</v>
      </c>
      <c r="K29" s="14">
        <v>1</v>
      </c>
      <c r="L29" s="14">
        <v>3</v>
      </c>
      <c r="M29" s="14">
        <v>1</v>
      </c>
      <c r="N29" s="14">
        <v>1</v>
      </c>
      <c r="U29" s="14">
        <v>1</v>
      </c>
      <c r="Z29" s="14">
        <v>4</v>
      </c>
      <c r="AA29" s="14" t="s">
        <v>488</v>
      </c>
    </row>
    <row r="30" spans="1:65">
      <c r="A30" t="s">
        <v>504</v>
      </c>
      <c r="B30" t="s">
        <v>525</v>
      </c>
      <c r="C30" s="14">
        <v>1</v>
      </c>
      <c r="D30" s="14">
        <v>8</v>
      </c>
      <c r="E30" s="14">
        <v>1</v>
      </c>
      <c r="F30" s="14">
        <v>0</v>
      </c>
      <c r="G30" s="14">
        <v>1</v>
      </c>
      <c r="H30" s="14" t="s">
        <v>488</v>
      </c>
      <c r="I30" s="14">
        <v>1</v>
      </c>
      <c r="J30" s="14" t="s">
        <v>488</v>
      </c>
      <c r="K30" s="14">
        <v>1</v>
      </c>
      <c r="L30" s="14">
        <v>3</v>
      </c>
      <c r="M30" s="14">
        <v>1</v>
      </c>
      <c r="N30" s="14">
        <v>1</v>
      </c>
      <c r="Q30" s="14">
        <v>4</v>
      </c>
      <c r="R30" s="14">
        <v>1</v>
      </c>
      <c r="S30" s="14">
        <v>1</v>
      </c>
      <c r="T30" s="14">
        <v>4</v>
      </c>
      <c r="U30" s="14">
        <v>2</v>
      </c>
      <c r="Y30" s="14">
        <v>2</v>
      </c>
      <c r="AH30" s="14">
        <v>1</v>
      </c>
      <c r="AI30" s="14">
        <v>1</v>
      </c>
      <c r="AJ30" s="14">
        <v>3</v>
      </c>
    </row>
    <row r="31" spans="1:65">
      <c r="A31" t="s">
        <v>504</v>
      </c>
      <c r="B31" t="s">
        <v>526</v>
      </c>
      <c r="C31" s="14">
        <v>1</v>
      </c>
      <c r="D31" s="14">
        <v>8</v>
      </c>
      <c r="E31" s="14">
        <v>1</v>
      </c>
      <c r="F31" s="14">
        <v>0</v>
      </c>
      <c r="G31" s="14">
        <v>1</v>
      </c>
      <c r="H31" s="14" t="s">
        <v>488</v>
      </c>
      <c r="I31" s="14">
        <v>1</v>
      </c>
      <c r="J31" s="14" t="s">
        <v>488</v>
      </c>
      <c r="K31" s="14">
        <v>1</v>
      </c>
      <c r="L31" s="14">
        <v>3</v>
      </c>
      <c r="M31" s="14">
        <v>1</v>
      </c>
      <c r="N31" s="14">
        <v>1</v>
      </c>
      <c r="U31" s="14">
        <v>1</v>
      </c>
      <c r="Z31" s="14">
        <v>4</v>
      </c>
      <c r="AA31" s="14" t="s">
        <v>488</v>
      </c>
    </row>
    <row r="32" spans="1:65">
      <c r="A32" t="s">
        <v>504</v>
      </c>
      <c r="B32" t="s">
        <v>527</v>
      </c>
      <c r="C32" s="14">
        <v>1</v>
      </c>
      <c r="D32" s="14">
        <v>8</v>
      </c>
      <c r="E32" s="14">
        <v>1</v>
      </c>
      <c r="F32" s="14">
        <v>0</v>
      </c>
      <c r="G32" s="14">
        <v>1</v>
      </c>
      <c r="H32" s="14" t="s">
        <v>488</v>
      </c>
      <c r="I32" s="14">
        <v>1</v>
      </c>
      <c r="J32" s="14" t="s">
        <v>488</v>
      </c>
      <c r="K32" s="14">
        <v>1</v>
      </c>
      <c r="L32" s="14">
        <v>3</v>
      </c>
      <c r="Z32" s="14">
        <v>4</v>
      </c>
      <c r="AA32" s="14" t="s">
        <v>488</v>
      </c>
    </row>
    <row r="33" spans="1:69">
      <c r="A33" t="s">
        <v>504</v>
      </c>
      <c r="B33" t="s">
        <v>528</v>
      </c>
      <c r="C33" s="14">
        <v>1</v>
      </c>
      <c r="D33" s="14">
        <v>8</v>
      </c>
      <c r="E33" s="14">
        <v>1</v>
      </c>
      <c r="F33" s="14">
        <v>0</v>
      </c>
      <c r="G33" s="14">
        <v>1</v>
      </c>
      <c r="H33" s="14" t="s">
        <v>488</v>
      </c>
      <c r="I33" s="14">
        <v>1</v>
      </c>
      <c r="J33" s="14" t="s">
        <v>488</v>
      </c>
      <c r="K33" s="14">
        <v>1</v>
      </c>
      <c r="L33" s="14">
        <v>3</v>
      </c>
      <c r="Z33" s="14">
        <v>4</v>
      </c>
      <c r="AA33" s="14" t="s">
        <v>488</v>
      </c>
    </row>
    <row r="34" spans="1:69">
      <c r="A34" t="s">
        <v>504</v>
      </c>
      <c r="B34" t="s">
        <v>529</v>
      </c>
      <c r="C34" s="14">
        <v>1</v>
      </c>
      <c r="D34" s="14">
        <v>8</v>
      </c>
      <c r="E34" s="14">
        <v>1</v>
      </c>
      <c r="F34" s="14">
        <v>0</v>
      </c>
      <c r="G34" s="14">
        <v>1</v>
      </c>
      <c r="H34" s="14" t="s">
        <v>488</v>
      </c>
      <c r="I34" s="14">
        <v>1</v>
      </c>
      <c r="J34" s="14" t="s">
        <v>488</v>
      </c>
      <c r="K34" s="14">
        <v>1</v>
      </c>
      <c r="L34" s="14">
        <v>3</v>
      </c>
      <c r="Z34" s="14">
        <v>4</v>
      </c>
      <c r="AA34" s="14" t="s">
        <v>488</v>
      </c>
      <c r="BH34" s="14">
        <v>1</v>
      </c>
      <c r="BL34" s="14">
        <v>4</v>
      </c>
    </row>
    <row r="35" spans="1:69">
      <c r="A35" t="s">
        <v>504</v>
      </c>
      <c r="B35" t="s">
        <v>530</v>
      </c>
      <c r="C35" s="14">
        <v>1</v>
      </c>
      <c r="D35" s="14">
        <v>8</v>
      </c>
      <c r="E35" s="14">
        <v>1</v>
      </c>
      <c r="F35" s="14">
        <v>0</v>
      </c>
      <c r="G35" s="14">
        <v>1</v>
      </c>
      <c r="H35" s="14" t="s">
        <v>488</v>
      </c>
      <c r="I35" s="14">
        <v>1</v>
      </c>
      <c r="J35" s="14" t="s">
        <v>488</v>
      </c>
      <c r="K35" s="14">
        <v>1</v>
      </c>
      <c r="L35" s="14">
        <v>3</v>
      </c>
      <c r="Z35" s="14">
        <v>4</v>
      </c>
      <c r="AA35" s="14" t="s">
        <v>488</v>
      </c>
      <c r="BH35" s="14">
        <v>1</v>
      </c>
      <c r="BL35" s="14">
        <v>4</v>
      </c>
    </row>
    <row r="36" spans="1:69">
      <c r="A36" t="s">
        <v>531</v>
      </c>
      <c r="B36" t="s">
        <v>487</v>
      </c>
      <c r="C36" s="14">
        <v>1</v>
      </c>
      <c r="D36" s="14">
        <v>8</v>
      </c>
      <c r="E36" s="14">
        <v>1</v>
      </c>
      <c r="F36" s="14">
        <v>0</v>
      </c>
      <c r="G36" s="14">
        <v>1</v>
      </c>
      <c r="H36" s="14" t="s">
        <v>488</v>
      </c>
      <c r="I36" s="14">
        <v>1</v>
      </c>
      <c r="J36" s="14" t="s">
        <v>488</v>
      </c>
      <c r="K36" s="14">
        <v>1</v>
      </c>
      <c r="L36" s="14">
        <v>3</v>
      </c>
      <c r="M36" s="14">
        <v>1</v>
      </c>
      <c r="N36" s="14">
        <v>1</v>
      </c>
      <c r="O36" s="14">
        <v>3</v>
      </c>
      <c r="Q36" s="14">
        <v>4</v>
      </c>
      <c r="R36" s="14">
        <v>1</v>
      </c>
      <c r="S36" s="14">
        <v>1</v>
      </c>
      <c r="T36" s="14">
        <v>4</v>
      </c>
      <c r="U36" s="14">
        <v>1</v>
      </c>
      <c r="W36" s="14">
        <v>3</v>
      </c>
      <c r="AF36" s="14" t="s">
        <v>492</v>
      </c>
      <c r="AJ36" s="14">
        <v>3</v>
      </c>
      <c r="BA36" s="14">
        <v>6</v>
      </c>
      <c r="BN36" s="14">
        <v>0</v>
      </c>
    </row>
    <row r="37" spans="1:69">
      <c r="A37" t="s">
        <v>532</v>
      </c>
      <c r="B37" t="s">
        <v>487</v>
      </c>
      <c r="C37" s="14">
        <v>1</v>
      </c>
      <c r="F37" s="14">
        <v>0</v>
      </c>
      <c r="G37" s="14">
        <v>1</v>
      </c>
      <c r="H37" s="14" t="s">
        <v>488</v>
      </c>
      <c r="I37" s="14">
        <v>1</v>
      </c>
      <c r="J37" s="14" t="s">
        <v>488</v>
      </c>
      <c r="K37" s="14">
        <v>1</v>
      </c>
      <c r="L37" s="14">
        <v>3</v>
      </c>
      <c r="M37" s="14">
        <v>1</v>
      </c>
      <c r="N37" s="14">
        <v>1</v>
      </c>
      <c r="O37" s="14">
        <v>2</v>
      </c>
      <c r="Q37" s="14">
        <v>4</v>
      </c>
      <c r="R37" s="14">
        <v>1</v>
      </c>
      <c r="S37" s="14">
        <v>1</v>
      </c>
      <c r="T37" s="14">
        <v>4</v>
      </c>
      <c r="U37" s="14">
        <v>1</v>
      </c>
      <c r="W37" s="14">
        <v>3</v>
      </c>
      <c r="AC37" s="14" t="s">
        <v>491</v>
      </c>
      <c r="AF37" s="14" t="s">
        <v>492</v>
      </c>
      <c r="AG37" s="14" t="s">
        <v>493</v>
      </c>
      <c r="AJ37" s="14">
        <v>3</v>
      </c>
      <c r="BA37" s="14">
        <v>6</v>
      </c>
      <c r="BN37" s="14">
        <v>0</v>
      </c>
    </row>
    <row r="38" spans="1:69">
      <c r="A38" t="s">
        <v>533</v>
      </c>
      <c r="B38" t="s">
        <v>487</v>
      </c>
      <c r="C38" s="14">
        <v>1</v>
      </c>
      <c r="D38" s="14">
        <v>8</v>
      </c>
      <c r="E38" s="14">
        <v>1</v>
      </c>
      <c r="F38" s="14">
        <v>0</v>
      </c>
      <c r="G38" s="14">
        <v>1</v>
      </c>
      <c r="H38" s="14" t="s">
        <v>488</v>
      </c>
      <c r="I38" s="14">
        <v>1</v>
      </c>
      <c r="J38" s="14" t="s">
        <v>488</v>
      </c>
      <c r="K38" s="14">
        <v>1</v>
      </c>
      <c r="L38" s="14">
        <v>3</v>
      </c>
      <c r="M38" s="14">
        <v>1</v>
      </c>
      <c r="N38" s="14">
        <v>1</v>
      </c>
      <c r="O38" s="14">
        <v>3</v>
      </c>
      <c r="Q38" s="14">
        <v>4</v>
      </c>
      <c r="R38" s="14">
        <v>1</v>
      </c>
      <c r="S38" s="14">
        <v>1</v>
      </c>
      <c r="T38" s="14">
        <v>4</v>
      </c>
      <c r="U38" s="14">
        <v>1</v>
      </c>
      <c r="W38" s="14">
        <v>3</v>
      </c>
      <c r="AF38" s="14" t="s">
        <v>492</v>
      </c>
      <c r="AJ38" s="14">
        <v>3</v>
      </c>
      <c r="AV38" s="14">
        <v>1</v>
      </c>
      <c r="BA38" s="14">
        <v>6</v>
      </c>
      <c r="BN38" s="14">
        <v>0</v>
      </c>
    </row>
    <row r="39" spans="1:69">
      <c r="A39" t="s">
        <v>533</v>
      </c>
      <c r="B39" t="s">
        <v>534</v>
      </c>
      <c r="C39" s="14">
        <v>1</v>
      </c>
      <c r="D39" s="14">
        <v>8</v>
      </c>
      <c r="E39" s="14">
        <v>1</v>
      </c>
      <c r="F39" s="14">
        <v>0</v>
      </c>
      <c r="G39" s="14">
        <v>1</v>
      </c>
      <c r="H39" s="14" t="s">
        <v>488</v>
      </c>
      <c r="I39" s="14">
        <v>1</v>
      </c>
      <c r="J39" s="14" t="s">
        <v>488</v>
      </c>
      <c r="K39" s="14">
        <v>1</v>
      </c>
      <c r="L39" s="14">
        <v>3</v>
      </c>
      <c r="M39" s="14">
        <v>1</v>
      </c>
      <c r="N39" s="14">
        <v>1</v>
      </c>
      <c r="O39" s="14">
        <v>3</v>
      </c>
      <c r="Q39" s="14">
        <v>4</v>
      </c>
      <c r="R39" s="14">
        <v>1</v>
      </c>
      <c r="S39" s="14">
        <v>1</v>
      </c>
      <c r="T39" s="14">
        <v>4</v>
      </c>
      <c r="U39" s="14">
        <v>1</v>
      </c>
      <c r="W39" s="14">
        <v>3</v>
      </c>
      <c r="AF39" s="14" t="s">
        <v>492</v>
      </c>
      <c r="AJ39" s="14">
        <v>3</v>
      </c>
      <c r="AV39" s="14">
        <v>1</v>
      </c>
      <c r="BA39" s="14">
        <v>6</v>
      </c>
      <c r="BN39" s="14">
        <v>0</v>
      </c>
    </row>
    <row r="40" spans="1:69">
      <c r="A40" t="s">
        <v>535</v>
      </c>
      <c r="B40" t="s">
        <v>536</v>
      </c>
      <c r="C40" s="14">
        <v>1</v>
      </c>
      <c r="D40" s="14">
        <v>8</v>
      </c>
      <c r="E40" s="14">
        <v>1</v>
      </c>
      <c r="F40" s="14">
        <v>0</v>
      </c>
      <c r="G40" s="14">
        <v>1</v>
      </c>
      <c r="H40" s="14" t="s">
        <v>488</v>
      </c>
      <c r="I40" s="14">
        <v>1</v>
      </c>
      <c r="J40" s="14" t="s">
        <v>488</v>
      </c>
      <c r="K40" s="14">
        <v>1</v>
      </c>
      <c r="L40" s="14">
        <v>3</v>
      </c>
      <c r="M40" s="14">
        <v>1</v>
      </c>
      <c r="N40" s="14">
        <v>1</v>
      </c>
      <c r="O40" s="14">
        <v>3</v>
      </c>
      <c r="Q40" s="14">
        <v>4</v>
      </c>
      <c r="R40" s="14">
        <v>1</v>
      </c>
      <c r="S40" s="14">
        <v>1</v>
      </c>
      <c r="T40" s="14">
        <v>4</v>
      </c>
      <c r="U40" s="14">
        <v>1</v>
      </c>
      <c r="W40" s="14">
        <v>3</v>
      </c>
      <c r="AF40" s="14" t="s">
        <v>492</v>
      </c>
      <c r="AJ40" s="14">
        <v>3</v>
      </c>
      <c r="AV40" s="14">
        <v>1</v>
      </c>
      <c r="BA40" s="14">
        <v>6</v>
      </c>
      <c r="BN40" s="14">
        <v>0</v>
      </c>
    </row>
    <row r="41" spans="1:69">
      <c r="A41" t="s">
        <v>535</v>
      </c>
      <c r="B41" t="s">
        <v>537</v>
      </c>
      <c r="C41" s="14">
        <v>1</v>
      </c>
      <c r="D41" s="14">
        <v>8</v>
      </c>
      <c r="E41" s="14">
        <v>1</v>
      </c>
      <c r="F41" s="14">
        <v>0</v>
      </c>
      <c r="G41" s="14">
        <v>1</v>
      </c>
      <c r="H41" s="14" t="s">
        <v>488</v>
      </c>
      <c r="I41" s="14">
        <v>1</v>
      </c>
      <c r="J41" s="14" t="s">
        <v>488</v>
      </c>
      <c r="K41" s="14">
        <v>1</v>
      </c>
      <c r="L41" s="14">
        <v>3</v>
      </c>
      <c r="M41" s="14">
        <v>1</v>
      </c>
      <c r="N41" s="14">
        <v>1</v>
      </c>
      <c r="O41" s="14">
        <v>3</v>
      </c>
      <c r="Q41" s="14">
        <v>4</v>
      </c>
      <c r="R41" s="14">
        <v>1</v>
      </c>
      <c r="S41" s="14">
        <v>1</v>
      </c>
      <c r="T41" s="14">
        <v>4</v>
      </c>
      <c r="U41" s="14">
        <v>1</v>
      </c>
      <c r="W41" s="14">
        <v>3</v>
      </c>
      <c r="AF41" s="14" t="s">
        <v>492</v>
      </c>
      <c r="AJ41" s="14">
        <v>3</v>
      </c>
      <c r="AV41" s="14">
        <v>1</v>
      </c>
      <c r="BA41" s="14">
        <v>6</v>
      </c>
      <c r="BN41" s="14">
        <v>0</v>
      </c>
    </row>
    <row r="42" spans="1:69">
      <c r="A42" t="s">
        <v>535</v>
      </c>
      <c r="B42" t="s">
        <v>538</v>
      </c>
      <c r="C42" s="14">
        <v>1</v>
      </c>
      <c r="D42" s="14">
        <v>8</v>
      </c>
      <c r="E42" s="14">
        <v>1</v>
      </c>
      <c r="F42" s="14">
        <v>0</v>
      </c>
      <c r="G42" s="14">
        <v>1</v>
      </c>
      <c r="H42" s="14" t="s">
        <v>488</v>
      </c>
      <c r="I42" s="14">
        <v>1</v>
      </c>
      <c r="J42" s="14" t="s">
        <v>488</v>
      </c>
      <c r="K42" s="14">
        <v>1</v>
      </c>
      <c r="L42" s="14">
        <v>3</v>
      </c>
      <c r="M42" s="14">
        <v>1</v>
      </c>
      <c r="N42" s="14">
        <v>1</v>
      </c>
      <c r="O42" s="14">
        <v>3</v>
      </c>
      <c r="Q42" s="14">
        <v>4</v>
      </c>
      <c r="R42" s="14">
        <v>1</v>
      </c>
      <c r="S42" s="14">
        <v>1</v>
      </c>
      <c r="T42" s="14">
        <v>4</v>
      </c>
      <c r="U42" s="14">
        <v>1</v>
      </c>
      <c r="W42" s="14">
        <v>3</v>
      </c>
      <c r="Y42" s="14">
        <v>2</v>
      </c>
      <c r="Z42" s="14">
        <v>4</v>
      </c>
      <c r="AA42" s="14" t="s">
        <v>488</v>
      </c>
      <c r="AD42" s="14">
        <v>2</v>
      </c>
      <c r="AF42" s="14" t="s">
        <v>492</v>
      </c>
      <c r="AJ42" s="14">
        <v>3</v>
      </c>
      <c r="AN42" s="14">
        <v>2</v>
      </c>
      <c r="AQ42" s="14">
        <v>1</v>
      </c>
      <c r="AV42" s="14">
        <v>1</v>
      </c>
      <c r="AX42" s="14">
        <v>1</v>
      </c>
      <c r="AY42" s="14">
        <v>1</v>
      </c>
      <c r="BA42" s="14">
        <v>6</v>
      </c>
      <c r="BN42" s="14">
        <v>0</v>
      </c>
    </row>
    <row r="43" spans="1:69">
      <c r="A43" t="s">
        <v>539</v>
      </c>
      <c r="B43" t="s">
        <v>540</v>
      </c>
      <c r="C43" s="14">
        <v>1</v>
      </c>
      <c r="D43" s="14">
        <v>8</v>
      </c>
      <c r="E43" s="14">
        <v>1</v>
      </c>
      <c r="F43" s="14">
        <v>0</v>
      </c>
      <c r="G43" s="14">
        <v>1</v>
      </c>
      <c r="H43" s="14" t="s">
        <v>488</v>
      </c>
      <c r="I43" s="14">
        <v>1</v>
      </c>
      <c r="J43" s="14" t="s">
        <v>488</v>
      </c>
      <c r="K43" s="14">
        <v>1</v>
      </c>
      <c r="L43" s="14">
        <v>3</v>
      </c>
      <c r="M43" s="14">
        <v>1</v>
      </c>
      <c r="N43" s="14">
        <v>1</v>
      </c>
      <c r="O43" s="14">
        <v>3</v>
      </c>
      <c r="Q43" s="14">
        <v>4</v>
      </c>
      <c r="R43" s="14">
        <v>1</v>
      </c>
      <c r="S43" s="14">
        <v>1</v>
      </c>
      <c r="T43" s="14">
        <v>4</v>
      </c>
      <c r="U43" s="14">
        <v>2</v>
      </c>
      <c r="W43" s="14">
        <v>3</v>
      </c>
      <c r="Y43" s="14">
        <v>2</v>
      </c>
      <c r="Z43" s="14">
        <v>4</v>
      </c>
      <c r="AA43" s="14" t="s">
        <v>488</v>
      </c>
      <c r="AD43" s="14">
        <v>2</v>
      </c>
      <c r="AH43" s="14">
        <v>1</v>
      </c>
      <c r="AI43" s="14">
        <v>1</v>
      </c>
      <c r="AJ43" s="14">
        <v>3</v>
      </c>
      <c r="AM43" s="14">
        <v>2</v>
      </c>
      <c r="AN43" s="14">
        <v>2</v>
      </c>
      <c r="AO43" s="14">
        <v>2</v>
      </c>
      <c r="AP43" s="14">
        <v>4</v>
      </c>
      <c r="AQ43" s="14">
        <v>1</v>
      </c>
      <c r="AR43" s="14">
        <v>1</v>
      </c>
      <c r="AS43" s="14">
        <v>2</v>
      </c>
      <c r="AT43" s="14">
        <v>1</v>
      </c>
      <c r="AV43" s="14">
        <v>1</v>
      </c>
      <c r="AW43" s="14">
        <v>1</v>
      </c>
      <c r="BH43" s="14">
        <v>1</v>
      </c>
      <c r="BI43" s="14">
        <v>1</v>
      </c>
      <c r="BK43" s="14">
        <v>1</v>
      </c>
      <c r="BL43" s="14">
        <v>4</v>
      </c>
      <c r="BM43" s="14">
        <v>2</v>
      </c>
      <c r="BO43" s="14">
        <v>2</v>
      </c>
      <c r="BP43" s="14">
        <v>2</v>
      </c>
      <c r="BQ43" s="14">
        <v>1</v>
      </c>
    </row>
    <row r="46" spans="1:69">
      <c r="A46" s="532" t="s">
        <v>541</v>
      </c>
      <c r="B46" s="531" t="s">
        <v>542</v>
      </c>
    </row>
  </sheetData>
  <mergeCells count="1">
    <mergeCell ref="A1:A2"/>
  </mergeCells>
  <hyperlinks>
    <hyperlink ref="B46" r:id="rId1" xr:uid="{707D1186-F108-40CE-9004-753EFE7AFE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85B6B-4752-467D-BE81-4171186180E4}">
  <sheetPr codeName="Sheet18">
    <tabColor theme="1" tint="4.9989318521683403E-2"/>
  </sheetPr>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E9082-0B7E-4098-8B03-B3CEBDC07260}">
  <sheetPr codeName="Sheet19">
    <tabColor theme="1" tint="4.9989318521683403E-2"/>
  </sheetPr>
  <dimension ref="A1"/>
  <sheetViews>
    <sheetView workbookViewId="0"/>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B7EE7-CE0E-4195-9942-7BD6981C63E4}">
  <sheetPr codeName="Sheet16"/>
  <dimension ref="A1:CV7"/>
  <sheetViews>
    <sheetView topLeftCell="A72" workbookViewId="0">
      <selection activeCell="BJ4" sqref="BI4:BJ4"/>
    </sheetView>
  </sheetViews>
  <sheetFormatPr defaultRowHeight="15"/>
  <cols>
    <col min="1" max="1" width="10.42578125" customWidth="1"/>
    <col min="2" max="100" width="3.7109375" customWidth="1"/>
  </cols>
  <sheetData>
    <row r="1" spans="1:100" ht="144.75">
      <c r="A1" s="520" t="s">
        <v>543</v>
      </c>
      <c r="B1" s="433" t="s">
        <v>30</v>
      </c>
      <c r="C1" s="433" t="s">
        <v>31</v>
      </c>
      <c r="D1" s="433" t="s">
        <v>32</v>
      </c>
      <c r="E1" s="433" t="s">
        <v>33</v>
      </c>
      <c r="F1" s="433" t="s">
        <v>34</v>
      </c>
      <c r="G1" s="433" t="s">
        <v>35</v>
      </c>
      <c r="H1" s="433" t="s">
        <v>36</v>
      </c>
      <c r="I1" s="433" t="s">
        <v>37</v>
      </c>
      <c r="J1" s="433" t="s">
        <v>38</v>
      </c>
      <c r="K1" s="433" t="s">
        <v>39</v>
      </c>
      <c r="L1" s="433" t="s">
        <v>40</v>
      </c>
      <c r="M1" s="433" t="s">
        <v>41</v>
      </c>
      <c r="N1" s="433" t="s">
        <v>42</v>
      </c>
      <c r="O1" s="433" t="s">
        <v>43</v>
      </c>
      <c r="P1" s="433" t="s">
        <v>44</v>
      </c>
      <c r="Q1" s="433" t="s">
        <v>45</v>
      </c>
      <c r="R1" s="433" t="s">
        <v>46</v>
      </c>
      <c r="S1" s="433" t="s">
        <v>47</v>
      </c>
      <c r="T1" s="433" t="s">
        <v>48</v>
      </c>
      <c r="U1" s="433" t="s">
        <v>49</v>
      </c>
      <c r="V1" s="433" t="s">
        <v>50</v>
      </c>
      <c r="W1" s="433" t="s">
        <v>51</v>
      </c>
      <c r="X1" s="433" t="s">
        <v>52</v>
      </c>
      <c r="Y1" s="433" t="s">
        <v>53</v>
      </c>
      <c r="Z1" s="433" t="s">
        <v>54</v>
      </c>
      <c r="AA1" s="433" t="s">
        <v>55</v>
      </c>
      <c r="AB1" s="433" t="s">
        <v>56</v>
      </c>
      <c r="AC1" s="433" t="s">
        <v>57</v>
      </c>
      <c r="AD1" s="433" t="s">
        <v>58</v>
      </c>
      <c r="AE1" s="433" t="s">
        <v>59</v>
      </c>
      <c r="AF1" s="433" t="s">
        <v>60</v>
      </c>
      <c r="AG1" s="433" t="s">
        <v>61</v>
      </c>
      <c r="AH1" s="433" t="s">
        <v>62</v>
      </c>
      <c r="AI1" s="433" t="s">
        <v>63</v>
      </c>
      <c r="AJ1" s="433" t="s">
        <v>64</v>
      </c>
      <c r="AK1" s="433" t="s">
        <v>65</v>
      </c>
      <c r="AL1" s="433" t="s">
        <v>66</v>
      </c>
      <c r="AM1" s="433" t="s">
        <v>67</v>
      </c>
      <c r="AN1" s="433" t="s">
        <v>68</v>
      </c>
      <c r="AO1" s="433" t="s">
        <v>69</v>
      </c>
      <c r="AP1" s="433" t="s">
        <v>70</v>
      </c>
      <c r="AQ1" s="433" t="s">
        <v>71</v>
      </c>
      <c r="AR1" s="433" t="s">
        <v>72</v>
      </c>
      <c r="AS1" s="433" t="s">
        <v>73</v>
      </c>
      <c r="AT1" s="433" t="s">
        <v>74</v>
      </c>
      <c r="AU1" s="433" t="s">
        <v>75</v>
      </c>
      <c r="AV1" s="433" t="s">
        <v>76</v>
      </c>
      <c r="AW1" s="433" t="s">
        <v>77</v>
      </c>
      <c r="AX1" s="433" t="s">
        <v>78</v>
      </c>
      <c r="AY1" s="433" t="s">
        <v>79</v>
      </c>
      <c r="AZ1" s="433" t="s">
        <v>80</v>
      </c>
      <c r="BA1" s="433" t="s">
        <v>81</v>
      </c>
      <c r="BB1" s="433" t="s">
        <v>82</v>
      </c>
      <c r="BC1" s="433" t="s">
        <v>83</v>
      </c>
      <c r="BD1" s="433" t="s">
        <v>84</v>
      </c>
      <c r="BE1" s="433" t="s">
        <v>85</v>
      </c>
      <c r="BF1" s="433" t="s">
        <v>87</v>
      </c>
      <c r="BG1" s="433" t="s">
        <v>88</v>
      </c>
      <c r="BH1" s="433" t="s">
        <v>89</v>
      </c>
      <c r="BI1" s="433" t="s">
        <v>90</v>
      </c>
      <c r="BJ1" s="433" t="s">
        <v>91</v>
      </c>
      <c r="BK1" s="433" t="s">
        <v>92</v>
      </c>
      <c r="BL1" s="433" t="s">
        <v>93</v>
      </c>
      <c r="BM1" s="433" t="s">
        <v>94</v>
      </c>
      <c r="BN1" s="433" t="s">
        <v>95</v>
      </c>
      <c r="BO1" s="433" t="s">
        <v>96</v>
      </c>
      <c r="BP1" s="433" t="s">
        <v>97</v>
      </c>
      <c r="BQ1" s="433" t="s">
        <v>98</v>
      </c>
      <c r="BR1" s="433" t="s">
        <v>99</v>
      </c>
      <c r="BS1" s="433" t="s">
        <v>100</v>
      </c>
      <c r="BT1" s="433" t="s">
        <v>101</v>
      </c>
      <c r="BU1" s="433" t="s">
        <v>102</v>
      </c>
      <c r="BV1" s="433" t="s">
        <v>103</v>
      </c>
      <c r="BW1" s="433" t="s">
        <v>104</v>
      </c>
      <c r="BX1" s="433" t="s">
        <v>105</v>
      </c>
      <c r="BY1" s="433" t="s">
        <v>106</v>
      </c>
      <c r="BZ1" s="433" t="s">
        <v>107</v>
      </c>
      <c r="CA1" s="433" t="s">
        <v>108</v>
      </c>
      <c r="CB1" s="433" t="s">
        <v>109</v>
      </c>
      <c r="CC1" s="433" t="s">
        <v>110</v>
      </c>
      <c r="CD1" s="433" t="s">
        <v>111</v>
      </c>
      <c r="CE1" s="433" t="s">
        <v>112</v>
      </c>
      <c r="CF1" s="433" t="s">
        <v>113</v>
      </c>
      <c r="CG1" s="433" t="s">
        <v>114</v>
      </c>
      <c r="CH1" s="433" t="s">
        <v>115</v>
      </c>
      <c r="CI1" s="433" t="s">
        <v>116</v>
      </c>
      <c r="CJ1" s="433" t="s">
        <v>117</v>
      </c>
      <c r="CK1" s="433" t="s">
        <v>118</v>
      </c>
      <c r="CL1" s="433" t="s">
        <v>119</v>
      </c>
      <c r="CM1" s="433" t="s">
        <v>120</v>
      </c>
      <c r="CN1" s="433" t="s">
        <v>121</v>
      </c>
      <c r="CO1" s="433" t="s">
        <v>122</v>
      </c>
      <c r="CP1" s="433" t="s">
        <v>123</v>
      </c>
      <c r="CQ1" s="433" t="s">
        <v>124</v>
      </c>
      <c r="CR1" s="433" t="s">
        <v>125</v>
      </c>
      <c r="CS1" s="433" t="s">
        <v>126</v>
      </c>
      <c r="CT1" s="433" t="s">
        <v>127</v>
      </c>
      <c r="CU1" s="433" t="s">
        <v>128</v>
      </c>
      <c r="CV1" s="433" t="s">
        <v>129</v>
      </c>
    </row>
    <row r="2" spans="1:100">
      <c r="A2" s="435" t="s">
        <v>544</v>
      </c>
      <c r="B2" s="434">
        <f>COUNTIF(INDEX('Project Configurations'!$E$1:$CZ$220, 0, MATCH(B$1, 'Project Configurations'!$E$1:$CZ$1, 0)), $A2)</f>
        <v>49</v>
      </c>
      <c r="C2" s="434">
        <f>COUNTIF(INDEX('Project Configurations'!$E$1:$CZ$220, 0, MATCH(C$1, 'Project Configurations'!$E$1:$CZ$1, 0)), $A2)</f>
        <v>57</v>
      </c>
      <c r="D2" s="434">
        <f>COUNTIF(INDEX('Project Configurations'!$E$1:$CZ$220, 0, MATCH(D$1, 'Project Configurations'!$E$1:$CZ$1, 0)), $A2)</f>
        <v>17</v>
      </c>
      <c r="E2" s="434">
        <f>COUNTIF(INDEX('Project Configurations'!$E$1:$CZ$220, 0, MATCH(E$1, 'Project Configurations'!$E$1:$CZ$1, 0)), $A2)</f>
        <v>9</v>
      </c>
      <c r="F2" s="434">
        <f>COUNTIF(INDEX('Project Configurations'!$E$1:$CZ$220, 0, MATCH(F$1, 'Project Configurations'!$E$1:$CZ$1, 0)), $A2)</f>
        <v>14</v>
      </c>
      <c r="G2" s="434">
        <f>COUNTIF(INDEX('Project Configurations'!$E$1:$CZ$220, 0, MATCH(G$1, 'Project Configurations'!$E$1:$CZ$1, 0)), $A2)</f>
        <v>20</v>
      </c>
      <c r="H2" s="434">
        <f>COUNTIF(INDEX('Project Configurations'!$E$1:$CZ$220, 0, MATCH(H$1, 'Project Configurations'!$E$1:$CZ$1, 0)), $A2)</f>
        <v>56</v>
      </c>
      <c r="I2" s="434">
        <f>COUNTIF(INDEX('Project Configurations'!$E$1:$CZ$220, 0, MATCH(I$1, 'Project Configurations'!$E$1:$CZ$1, 0)), $A2)</f>
        <v>37</v>
      </c>
      <c r="J2" s="434">
        <f>COUNTIF(INDEX('Project Configurations'!$E$1:$CZ$220, 0, MATCH(J$1, 'Project Configurations'!$E$1:$CZ$1, 0)), $A2)</f>
        <v>40</v>
      </c>
      <c r="K2" s="434">
        <f>COUNTIF(INDEX('Project Configurations'!$E$1:$CZ$220, 0, MATCH(K$1, 'Project Configurations'!$E$1:$CZ$1, 0)), $A2)</f>
        <v>48</v>
      </c>
      <c r="L2" s="434">
        <f>COUNTIF(INDEX('Project Configurations'!$E$1:$CZ$220, 0, MATCH(L$1, 'Project Configurations'!$E$1:$CZ$1, 0)), $A2)</f>
        <v>45</v>
      </c>
      <c r="M2" s="434">
        <f>COUNTIF(INDEX('Project Configurations'!$E$1:$CZ$220, 0, MATCH(M$1, 'Project Configurations'!$E$1:$CZ$1, 0)), $A2)</f>
        <v>30</v>
      </c>
      <c r="N2" s="434">
        <f>COUNTIF(INDEX('Project Configurations'!$E$1:$CZ$220, 0, MATCH(N$1, 'Project Configurations'!$E$1:$CZ$1, 0)), $A2)</f>
        <v>32</v>
      </c>
      <c r="O2" s="434">
        <f>COUNTIF(INDEX('Project Configurations'!$E$1:$CZ$220, 0, MATCH(O$1, 'Project Configurations'!$E$1:$CZ$1, 0)), $A2)</f>
        <v>40</v>
      </c>
      <c r="P2" s="434">
        <f>COUNTIF(INDEX('Project Configurations'!$E$1:$CZ$220, 0, MATCH(P$1, 'Project Configurations'!$E$1:$CZ$1, 0)), $A2)</f>
        <v>40</v>
      </c>
      <c r="Q2" s="434">
        <f>COUNTIF(INDEX('Project Configurations'!$E$1:$CZ$220, 0, MATCH(Q$1, 'Project Configurations'!$E$1:$CZ$1, 0)), $A2)</f>
        <v>25</v>
      </c>
      <c r="R2" s="434">
        <f>COUNTIF(INDEX('Project Configurations'!$E$1:$CZ$220, 0, MATCH(R$1, 'Project Configurations'!$E$1:$CZ$1, 0)), $A2)</f>
        <v>30</v>
      </c>
      <c r="S2" s="434">
        <f>COUNTIF(INDEX('Project Configurations'!$E$1:$CZ$220, 0, MATCH(S$1, 'Project Configurations'!$E$1:$CZ$1, 0)), $A2)</f>
        <v>29</v>
      </c>
      <c r="T2" s="434">
        <f>COUNTIF(INDEX('Project Configurations'!$E$1:$CZ$220, 0, MATCH(T$1, 'Project Configurations'!$E$1:$CZ$1, 0)), $A2)</f>
        <v>24</v>
      </c>
      <c r="U2" s="434">
        <f>COUNTIF(INDEX('Project Configurations'!$E$1:$CZ$220, 0, MATCH(U$1, 'Project Configurations'!$E$1:$CZ$1, 0)), $A2)</f>
        <v>52</v>
      </c>
      <c r="V2" s="434">
        <f>COUNTIF(INDEX('Project Configurations'!$E$1:$CZ$220, 0, MATCH(V$1, 'Project Configurations'!$E$1:$CZ$1, 0)), $A2)</f>
        <v>26</v>
      </c>
      <c r="W2" s="434">
        <f>COUNTIF(INDEX('Project Configurations'!$E$1:$CZ$220, 0, MATCH(W$1, 'Project Configurations'!$E$1:$CZ$1, 0)), $A2)</f>
        <v>54</v>
      </c>
      <c r="X2" s="434">
        <f>COUNTIF(INDEX('Project Configurations'!$E$1:$CZ$220, 0, MATCH(X$1, 'Project Configurations'!$E$1:$CZ$1, 0)), $A2)</f>
        <v>48</v>
      </c>
      <c r="Y2" s="434">
        <f>COUNTIF(INDEX('Project Configurations'!$E$1:$CZ$220, 0, MATCH(Y$1, 'Project Configurations'!$E$1:$CZ$1, 0)), $A2)</f>
        <v>41</v>
      </c>
      <c r="Z2" s="434">
        <f>COUNTIF(INDEX('Project Configurations'!$E$1:$CZ$220, 0, MATCH(Z$1, 'Project Configurations'!$E$1:$CZ$1, 0)), $A2)</f>
        <v>39</v>
      </c>
      <c r="AA2" s="434">
        <f>COUNTIF(INDEX('Project Configurations'!$E$1:$CZ$220, 0, MATCH(AA$1, 'Project Configurations'!$E$1:$CZ$1, 0)), $A2)</f>
        <v>44</v>
      </c>
      <c r="AB2" s="434">
        <f>COUNTIF(INDEX('Project Configurations'!$E$1:$CZ$220, 0, MATCH(AB$1, 'Project Configurations'!$E$1:$CZ$1, 0)), $A2)</f>
        <v>41</v>
      </c>
      <c r="AC2" s="434">
        <f>COUNTIF(INDEX('Project Configurations'!$E$1:$CZ$220, 0, MATCH(AC$1, 'Project Configurations'!$E$1:$CZ$1, 0)), $A2)</f>
        <v>40</v>
      </c>
      <c r="AD2" s="434">
        <f>COUNTIF(INDEX('Project Configurations'!$E$1:$CZ$220, 0, MATCH(AD$1, 'Project Configurations'!$E$1:$CZ$1, 0)), $A2)</f>
        <v>40</v>
      </c>
      <c r="AE2" s="434">
        <f>COUNTIF(INDEX('Project Configurations'!$E$1:$CZ$220, 0, MATCH(AE$1, 'Project Configurations'!$E$1:$CZ$1, 0)), $A2)</f>
        <v>45</v>
      </c>
      <c r="AF2" s="434">
        <f>COUNTIF(INDEX('Project Configurations'!$E$1:$CZ$220, 0, MATCH(AF$1, 'Project Configurations'!$E$1:$CZ$1, 0)), $A2)</f>
        <v>50</v>
      </c>
      <c r="AG2" s="434">
        <f>COUNTIF(INDEX('Project Configurations'!$E$1:$CZ$220, 0, MATCH(AG$1, 'Project Configurations'!$E$1:$CZ$1, 0)), $A2)</f>
        <v>37</v>
      </c>
      <c r="AH2" s="434">
        <f>COUNTIF(INDEX('Project Configurations'!$E$1:$CZ$220, 0, MATCH(AH$1, 'Project Configurations'!$E$1:$CZ$1, 0)), $A2)</f>
        <v>56</v>
      </c>
      <c r="AI2" s="434">
        <f>COUNTIF(INDEX('Project Configurations'!$E$1:$CZ$220, 0, MATCH(AI$1, 'Project Configurations'!$E$1:$CZ$1, 0)), $A2)</f>
        <v>47</v>
      </c>
      <c r="AJ2" s="434">
        <f>COUNTIF(INDEX('Project Configurations'!$E$1:$CZ$220, 0, MATCH(AJ$1, 'Project Configurations'!$E$1:$CZ$1, 0)), $A2)</f>
        <v>49</v>
      </c>
      <c r="AK2" s="434">
        <f>COUNTIF(INDEX('Project Configurations'!$E$1:$CZ$220, 0, MATCH(AK$1, 'Project Configurations'!$E$1:$CZ$1, 0)), $A2)</f>
        <v>45</v>
      </c>
      <c r="AL2" s="434">
        <f>COUNTIF(INDEX('Project Configurations'!$E$1:$CZ$220, 0, MATCH(AL$1, 'Project Configurations'!$E$1:$CZ$1, 0)), $A2)</f>
        <v>32</v>
      </c>
      <c r="AM2" s="434">
        <f>COUNTIF(INDEX('Project Configurations'!$E$1:$CZ$220, 0, MATCH(AM$1, 'Project Configurations'!$E$1:$CZ$1, 0)), $A2)</f>
        <v>50</v>
      </c>
      <c r="AN2" s="434">
        <f>COUNTIF(INDEX('Project Configurations'!$E$1:$CZ$220, 0, MATCH(AN$1, 'Project Configurations'!$E$1:$CZ$1, 0)), $A2)</f>
        <v>37</v>
      </c>
      <c r="AO2" s="434">
        <f>COUNTIF(INDEX('Project Configurations'!$E$1:$CZ$220, 0, MATCH(AO$1, 'Project Configurations'!$E$1:$CZ$1, 0)), $A2)</f>
        <v>59</v>
      </c>
      <c r="AP2" s="434">
        <f>COUNTIF(INDEX('Project Configurations'!$E$1:$CZ$220, 0, MATCH(AP$1, 'Project Configurations'!$E$1:$CZ$1, 0)), $A2)</f>
        <v>57</v>
      </c>
      <c r="AQ2" s="434">
        <f>COUNTIF(INDEX('Project Configurations'!$E$1:$CZ$220, 0, MATCH(AQ$1, 'Project Configurations'!$E$1:$CZ$1, 0)), $A2)</f>
        <v>8</v>
      </c>
      <c r="AR2" s="434">
        <f>COUNTIF(INDEX('Project Configurations'!$E$1:$CZ$220, 0, MATCH(AR$1, 'Project Configurations'!$E$1:$CZ$1, 0)), $A2)</f>
        <v>14</v>
      </c>
      <c r="AS2" s="434">
        <f>COUNTIF(INDEX('Project Configurations'!$E$1:$CZ$220, 0, MATCH(AS$1, 'Project Configurations'!$E$1:$CZ$1, 0)), $A2)</f>
        <v>7</v>
      </c>
      <c r="AT2" s="434">
        <f>COUNTIF(INDEX('Project Configurations'!$E$1:$CZ$220, 0, MATCH(AT$1, 'Project Configurations'!$E$1:$CZ$1, 0)), $A2)</f>
        <v>33</v>
      </c>
      <c r="AU2" s="434">
        <f>COUNTIF(INDEX('Project Configurations'!$E$1:$CZ$220, 0, MATCH(AU$1, 'Project Configurations'!$E$1:$CZ$1, 0)), $A2)</f>
        <v>15</v>
      </c>
      <c r="AV2" s="434">
        <f>COUNTIF(INDEX('Project Configurations'!$E$1:$CZ$220, 0, MATCH(AV$1, 'Project Configurations'!$E$1:$CZ$1, 0)), $A2)</f>
        <v>9</v>
      </c>
      <c r="AW2" s="434">
        <f>COUNTIF(INDEX('Project Configurations'!$E$1:$CZ$220, 0, MATCH(AW$1, 'Project Configurations'!$E$1:$CZ$1, 0)), $A2)</f>
        <v>8</v>
      </c>
      <c r="AX2" s="434">
        <f>COUNTIF(INDEX('Project Configurations'!$E$1:$CZ$220, 0, MATCH(AX$1, 'Project Configurations'!$E$1:$CZ$1, 0)), $A2)</f>
        <v>30</v>
      </c>
      <c r="AY2" s="434">
        <f>COUNTIF(INDEX('Project Configurations'!$E$1:$CZ$220, 0, MATCH(AY$1, 'Project Configurations'!$E$1:$CZ$1, 0)), $A2)</f>
        <v>35</v>
      </c>
      <c r="AZ2" s="434">
        <f>COUNTIF(INDEX('Project Configurations'!$E$1:$CZ$220, 0, MATCH(AZ$1, 'Project Configurations'!$E$1:$CZ$1, 0)), $A2)</f>
        <v>62</v>
      </c>
      <c r="BA2" s="434">
        <f>COUNTIF(INDEX('Project Configurations'!$E$1:$CZ$220, 0, MATCH(BA$1, 'Project Configurations'!$E$1:$CZ$1, 0)), $A2)</f>
        <v>61</v>
      </c>
      <c r="BB2" s="434">
        <f>COUNTIF(INDEX('Project Configurations'!$E$1:$CZ$220, 0, MATCH(BB$1, 'Project Configurations'!$E$1:$CZ$1, 0)), $A2)</f>
        <v>41</v>
      </c>
      <c r="BC2" s="434">
        <f>COUNTIF(INDEX('Project Configurations'!$E$1:$CZ$220, 0, MATCH(BC$1, 'Project Configurations'!$E$1:$CZ$1, 0)), $A2)</f>
        <v>21</v>
      </c>
      <c r="BD2" s="434">
        <f>COUNTIF(INDEX('Project Configurations'!$E$1:$CZ$220, 0, MATCH(BD$1, 'Project Configurations'!$E$1:$CZ$1, 0)), $A2)</f>
        <v>35</v>
      </c>
      <c r="BE2" s="434">
        <f>COUNTIF(INDEX('Project Configurations'!$E$1:$CZ$220, 0, MATCH(BE$1, 'Project Configurations'!$E$1:$CZ$1, 0)), $A2)</f>
        <v>57</v>
      </c>
      <c r="BF2" s="434">
        <f>COUNTIF(INDEX('Project Configurations'!$E$1:$CZ$220, 0, MATCH(BF$1, 'Project Configurations'!$E$1:$CZ$1, 0)), $A2)</f>
        <v>53</v>
      </c>
      <c r="BG2" s="434">
        <f>COUNTIF(INDEX('Project Configurations'!$E$1:$CZ$220, 0, MATCH(BG$1, 'Project Configurations'!$E$1:$CZ$1, 0)), $A2)</f>
        <v>54</v>
      </c>
      <c r="BH2" s="434">
        <f>COUNTIF(INDEX('Project Configurations'!$E$1:$CZ$220, 0, MATCH(BH$1, 'Project Configurations'!$E$1:$CZ$1, 0)), $A2)</f>
        <v>57</v>
      </c>
      <c r="BI2" s="434">
        <f>COUNTIF(INDEX('Project Configurations'!$E$1:$CZ$220, 0, MATCH(BI$1, 'Project Configurations'!$E$1:$CZ$1, 0)), $A2)</f>
        <v>57</v>
      </c>
      <c r="BJ2" s="434">
        <f>COUNTIF(INDEX('Project Configurations'!$E$1:$CZ$220, 0, MATCH(BJ$1, 'Project Configurations'!$E$1:$CZ$1, 0)), $A2)</f>
        <v>56</v>
      </c>
      <c r="BK2" s="434">
        <f>COUNTIF(INDEX('Project Configurations'!$E$1:$CZ$220, 0, MATCH(BK$1, 'Project Configurations'!$E$1:$CZ$1, 0)), $A2)</f>
        <v>54</v>
      </c>
      <c r="BL2" s="434">
        <f>COUNTIF(INDEX('Project Configurations'!$E$1:$CZ$220, 0, MATCH(BL$1, 'Project Configurations'!$E$1:$CZ$1, 0)), $A2)</f>
        <v>53</v>
      </c>
      <c r="BM2" s="434">
        <f>COUNTIF(INDEX('Project Configurations'!$E$1:$CZ$220, 0, MATCH(BM$1, 'Project Configurations'!$E$1:$CZ$1, 0)), $A2)</f>
        <v>58</v>
      </c>
      <c r="BN2" s="434">
        <f>COUNTIF(INDEX('Project Configurations'!$E$1:$CZ$220, 0, MATCH(BN$1, 'Project Configurations'!$E$1:$CZ$1, 0)), $A2)</f>
        <v>55</v>
      </c>
      <c r="BO2" s="434">
        <f>COUNTIF(INDEX('Project Configurations'!$E$1:$CZ$220, 0, MATCH(BO$1, 'Project Configurations'!$E$1:$CZ$1, 0)), $A2)</f>
        <v>56</v>
      </c>
      <c r="BP2" s="434">
        <f>COUNTIF(INDEX('Project Configurations'!$E$1:$CZ$220, 0, MATCH(BP$1, 'Project Configurations'!$E$1:$CZ$1, 0)), $A2)</f>
        <v>57</v>
      </c>
      <c r="BQ2" s="434">
        <f>COUNTIF(INDEX('Project Configurations'!$E$1:$CZ$220, 0, MATCH(BQ$1, 'Project Configurations'!$E$1:$CZ$1, 0)), $A2)</f>
        <v>54</v>
      </c>
      <c r="BR2" s="434">
        <f>COUNTIF(INDEX('Project Configurations'!$E$1:$CZ$220, 0, MATCH(BR$1, 'Project Configurations'!$E$1:$CZ$1, 0)), $A2)</f>
        <v>56</v>
      </c>
      <c r="BS2" s="434">
        <f>COUNTIF(INDEX('Project Configurations'!$E$1:$CZ$220, 0, MATCH(BS$1, 'Project Configurations'!$E$1:$CZ$1, 0)), $A2)</f>
        <v>51</v>
      </c>
      <c r="BT2" s="434">
        <f>COUNTIF(INDEX('Project Configurations'!$E$1:$CZ$220, 0, MATCH(BT$1, 'Project Configurations'!$E$1:$CZ$1, 0)), $A2)</f>
        <v>57</v>
      </c>
      <c r="BU2" s="434">
        <f>COUNTIF(INDEX('Project Configurations'!$E$1:$CZ$220, 0, MATCH(BU$1, 'Project Configurations'!$E$1:$CZ$1, 0)), $A2)</f>
        <v>58</v>
      </c>
      <c r="BV2" s="434">
        <f>COUNTIF(INDEX('Project Configurations'!$E$1:$CZ$220, 0, MATCH(BV$1, 'Project Configurations'!$E$1:$CZ$1, 0)), $A2)</f>
        <v>55</v>
      </c>
      <c r="BW2" s="434">
        <f>COUNTIF(INDEX('Project Configurations'!$E$1:$CZ$220, 0, MATCH(BW$1, 'Project Configurations'!$E$1:$CZ$1, 0)), $A2)</f>
        <v>57</v>
      </c>
      <c r="BX2" s="434">
        <f>COUNTIF(INDEX('Project Configurations'!$E$1:$CZ$220, 0, MATCH(BX$1, 'Project Configurations'!$E$1:$CZ$1, 0)), $A2)</f>
        <v>57</v>
      </c>
      <c r="BY2" s="434">
        <f>COUNTIF(INDEX('Project Configurations'!$E$1:$CZ$220, 0, MATCH(BY$1, 'Project Configurations'!$E$1:$CZ$1, 0)), $A2)</f>
        <v>57</v>
      </c>
      <c r="BZ2" s="434">
        <f>COUNTIF(INDEX('Project Configurations'!$E$1:$CZ$220, 0, MATCH(BZ$1, 'Project Configurations'!$E$1:$CZ$1, 0)), $A2)</f>
        <v>57</v>
      </c>
      <c r="CA2" s="434">
        <f>COUNTIF(INDEX('Project Configurations'!$E$1:$CZ$220, 0, MATCH(CA$1, 'Project Configurations'!$E$1:$CZ$1, 0)), $A2)</f>
        <v>58</v>
      </c>
      <c r="CB2" s="434">
        <f>COUNTIF(INDEX('Project Configurations'!$E$1:$CZ$220, 0, MATCH(CB$1, 'Project Configurations'!$E$1:$CZ$1, 0)), $A2)</f>
        <v>56</v>
      </c>
      <c r="CC2" s="434">
        <f>COUNTIF(INDEX('Project Configurations'!$E$1:$CZ$220, 0, MATCH(CC$1, 'Project Configurations'!$E$1:$CZ$1, 0)), $A2)</f>
        <v>58</v>
      </c>
      <c r="CD2" s="434">
        <f>COUNTIF(INDEX('Project Configurations'!$E$1:$CZ$220, 0, MATCH(CD$1, 'Project Configurations'!$E$1:$CZ$1, 0)), $A2)</f>
        <v>55</v>
      </c>
      <c r="CE2" s="434">
        <f>COUNTIF(INDEX('Project Configurations'!$E$1:$CZ$220, 0, MATCH(CE$1, 'Project Configurations'!$E$1:$CZ$1, 0)), $A2)</f>
        <v>55</v>
      </c>
      <c r="CF2" s="434">
        <f>COUNTIF(INDEX('Project Configurations'!$E$1:$CZ$220, 0, MATCH(CF$1, 'Project Configurations'!$E$1:$CZ$1, 0)), $A2)</f>
        <v>56</v>
      </c>
      <c r="CG2" s="434">
        <f>COUNTIF(INDEX('Project Configurations'!$E$1:$CZ$220, 0, MATCH(CG$1, 'Project Configurations'!$E$1:$CZ$1, 0)), $A2)</f>
        <v>56</v>
      </c>
      <c r="CH2" s="434">
        <f>COUNTIF(INDEX('Project Configurations'!$E$1:$CZ$220, 0, MATCH(CH$1, 'Project Configurations'!$E$1:$CZ$1, 0)), $A2)</f>
        <v>52</v>
      </c>
      <c r="CI2" s="434">
        <f>COUNTIF(INDEX('Project Configurations'!$E$1:$CZ$220, 0, MATCH(CI$1, 'Project Configurations'!$E$1:$CZ$1, 0)), $A2)</f>
        <v>58</v>
      </c>
      <c r="CJ2" s="434">
        <f>COUNTIF(INDEX('Project Configurations'!$E$1:$CZ$220, 0, MATCH(CJ$1, 'Project Configurations'!$E$1:$CZ$1, 0)), $A2)</f>
        <v>54</v>
      </c>
      <c r="CK2" s="434">
        <f>COUNTIF(INDEX('Project Configurations'!$E$1:$CZ$220, 0, MATCH(CK$1, 'Project Configurations'!$E$1:$CZ$1, 0)), $A2)</f>
        <v>52</v>
      </c>
      <c r="CL2" s="434">
        <f>COUNTIF(INDEX('Project Configurations'!$E$1:$CZ$220, 0, MATCH(CL$1, 'Project Configurations'!$E$1:$CZ$1, 0)), $A2)</f>
        <v>58</v>
      </c>
      <c r="CM2" s="434">
        <f>COUNTIF(INDEX('Project Configurations'!$E$1:$CZ$220, 0, MATCH(CM$1, 'Project Configurations'!$E$1:$CZ$1, 0)), $A2)</f>
        <v>58</v>
      </c>
      <c r="CN2" s="434">
        <f>COUNTIF(INDEX('Project Configurations'!$E$1:$CZ$220, 0, MATCH(CN$1, 'Project Configurations'!$E$1:$CZ$1, 0)), $A2)</f>
        <v>58</v>
      </c>
      <c r="CO2" s="434">
        <f>COUNTIF(INDEX('Project Configurations'!$E$1:$CZ$220, 0, MATCH(CO$1, 'Project Configurations'!$E$1:$CZ$1, 0)), $A2)</f>
        <v>57</v>
      </c>
      <c r="CP2" s="434">
        <f>COUNTIF(INDEX('Project Configurations'!$E$1:$CZ$220, 0, MATCH(CP$1, 'Project Configurations'!$E$1:$CZ$1, 0)), $A2)</f>
        <v>58</v>
      </c>
      <c r="CQ2" s="434">
        <f>COUNTIF(INDEX('Project Configurations'!$E$1:$CZ$220, 0, MATCH(CQ$1, 'Project Configurations'!$E$1:$CZ$1, 0)), $A2)</f>
        <v>58</v>
      </c>
      <c r="CR2" s="434">
        <f>COUNTIF(INDEX('Project Configurations'!$E$1:$CZ$220, 0, MATCH(CR$1, 'Project Configurations'!$E$1:$CZ$1, 0)), $A2)</f>
        <v>58</v>
      </c>
      <c r="CS2" s="434">
        <f>COUNTIF(INDEX('Project Configurations'!$E$1:$CZ$220, 0, MATCH(CS$1, 'Project Configurations'!$E$1:$CZ$1, 0)), $A2)</f>
        <v>58</v>
      </c>
      <c r="CT2" s="434">
        <f>COUNTIF(INDEX('Project Configurations'!$E$1:$CZ$220, 0, MATCH(CT$1, 'Project Configurations'!$E$1:$CZ$1, 0)), $A2)</f>
        <v>58</v>
      </c>
      <c r="CU2" s="434">
        <f>COUNTIF(INDEX('Project Configurations'!$E$1:$CZ$220, 0, MATCH(CU$1, 'Project Configurations'!$E$1:$CZ$1, 0)), $A2)</f>
        <v>58</v>
      </c>
      <c r="CV2" s="434">
        <f>COUNTIF(INDEX('Project Configurations'!$E$1:$CZ$220, 0, MATCH(CV$1, 'Project Configurations'!$E$1:$CZ$1, 0)), $A2)</f>
        <v>58</v>
      </c>
    </row>
    <row r="3" spans="1:100">
      <c r="A3" s="435" t="s">
        <v>545</v>
      </c>
      <c r="B3" s="434">
        <f>COUNTIF(INDEX('Project Configurations'!$E$1:$CZ$220, 0, MATCH(B$1, 'Project Configurations'!$E$1:$CZ$1, 0)), $A3)</f>
        <v>17</v>
      </c>
      <c r="C3" s="434">
        <f>COUNTIF(INDEX('Project Configurations'!$E$1:$CZ$220, 0, MATCH(C$1, 'Project Configurations'!$E$1:$CZ$1, 0)), $A3)</f>
        <v>5</v>
      </c>
      <c r="D3" s="434">
        <f>COUNTIF(INDEX('Project Configurations'!$E$1:$CZ$220, 0, MATCH(D$1, 'Project Configurations'!$E$1:$CZ$1, 0)), $A3)</f>
        <v>50</v>
      </c>
      <c r="E3" s="434">
        <f>COUNTIF(INDEX('Project Configurations'!$E$1:$CZ$220, 0, MATCH(E$1, 'Project Configurations'!$E$1:$CZ$1, 0)), $A3)</f>
        <v>58</v>
      </c>
      <c r="F3" s="434">
        <f>COUNTIF(INDEX('Project Configurations'!$E$1:$CZ$220, 0, MATCH(F$1, 'Project Configurations'!$E$1:$CZ$1, 0)), $A3)</f>
        <v>50</v>
      </c>
      <c r="G3" s="434">
        <f>COUNTIF(INDEX('Project Configurations'!$E$1:$CZ$220, 0, MATCH(G$1, 'Project Configurations'!$E$1:$CZ$1, 0)), $A3)</f>
        <v>43</v>
      </c>
      <c r="H3" s="434">
        <f>COUNTIF(INDEX('Project Configurations'!$E$1:$CZ$220, 0, MATCH(H$1, 'Project Configurations'!$E$1:$CZ$1, 0)), $A3)</f>
        <v>6</v>
      </c>
      <c r="I3" s="434">
        <f>COUNTIF(INDEX('Project Configurations'!$E$1:$CZ$220, 0, MATCH(I$1, 'Project Configurations'!$E$1:$CZ$1, 0)), $A3)</f>
        <v>25</v>
      </c>
      <c r="J3" s="434">
        <f>COUNTIF(INDEX('Project Configurations'!$E$1:$CZ$220, 0, MATCH(J$1, 'Project Configurations'!$E$1:$CZ$1, 0)), $A3)</f>
        <v>22</v>
      </c>
      <c r="K3" s="434">
        <f>COUNTIF(INDEX('Project Configurations'!$E$1:$CZ$220, 0, MATCH(K$1, 'Project Configurations'!$E$1:$CZ$1, 0)), $A3)</f>
        <v>14</v>
      </c>
      <c r="L3" s="434">
        <f>COUNTIF(INDEX('Project Configurations'!$E$1:$CZ$220, 0, MATCH(L$1, 'Project Configurations'!$E$1:$CZ$1, 0)), $A3)</f>
        <v>17</v>
      </c>
      <c r="M3" s="434">
        <f>COUNTIF(INDEX('Project Configurations'!$E$1:$CZ$220, 0, MATCH(M$1, 'Project Configurations'!$E$1:$CZ$1, 0)), $A3)</f>
        <v>20</v>
      </c>
      <c r="N3" s="434">
        <f>COUNTIF(INDEX('Project Configurations'!$E$1:$CZ$220, 0, MATCH(N$1, 'Project Configurations'!$E$1:$CZ$1, 0)), $A3)</f>
        <v>14</v>
      </c>
      <c r="O3" s="434">
        <f>COUNTIF(INDEX('Project Configurations'!$E$1:$CZ$220, 0, MATCH(O$1, 'Project Configurations'!$E$1:$CZ$1, 0)), $A3)</f>
        <v>4</v>
      </c>
      <c r="P3" s="434">
        <f>COUNTIF(INDEX('Project Configurations'!$E$1:$CZ$220, 0, MATCH(P$1, 'Project Configurations'!$E$1:$CZ$1, 0)), $A3)</f>
        <v>4</v>
      </c>
      <c r="Q3" s="434">
        <f>COUNTIF(INDEX('Project Configurations'!$E$1:$CZ$220, 0, MATCH(Q$1, 'Project Configurations'!$E$1:$CZ$1, 0)), $A3)</f>
        <v>23</v>
      </c>
      <c r="R3" s="434">
        <f>COUNTIF(INDEX('Project Configurations'!$E$1:$CZ$220, 0, MATCH(R$1, 'Project Configurations'!$E$1:$CZ$1, 0)), $A3)</f>
        <v>36</v>
      </c>
      <c r="S3" s="434">
        <f>COUNTIF(INDEX('Project Configurations'!$E$1:$CZ$220, 0, MATCH(S$1, 'Project Configurations'!$E$1:$CZ$1, 0)), $A3)</f>
        <v>36</v>
      </c>
      <c r="T3" s="434">
        <f>COUNTIF(INDEX('Project Configurations'!$E$1:$CZ$220, 0, MATCH(T$1, 'Project Configurations'!$E$1:$CZ$1, 0)), $A3)</f>
        <v>34</v>
      </c>
      <c r="U3" s="434">
        <f>COUNTIF(INDEX('Project Configurations'!$E$1:$CZ$220, 0, MATCH(U$1, 'Project Configurations'!$E$1:$CZ$1, 0)), $A3)</f>
        <v>9</v>
      </c>
      <c r="V3" s="434">
        <f>COUNTIF(INDEX('Project Configurations'!$E$1:$CZ$220, 0, MATCH(V$1, 'Project Configurations'!$E$1:$CZ$1, 0)), $A3)</f>
        <v>21</v>
      </c>
      <c r="W3" s="434">
        <f>COUNTIF(INDEX('Project Configurations'!$E$1:$CZ$220, 0, MATCH(W$1, 'Project Configurations'!$E$1:$CZ$1, 0)), $A3)</f>
        <v>4</v>
      </c>
      <c r="X3" s="434">
        <f>COUNTIF(INDEX('Project Configurations'!$E$1:$CZ$220, 0, MATCH(X$1, 'Project Configurations'!$E$1:$CZ$1, 0)), $A3)</f>
        <v>17</v>
      </c>
      <c r="Y3" s="434">
        <f>COUNTIF(INDEX('Project Configurations'!$E$1:$CZ$220, 0, MATCH(Y$1, 'Project Configurations'!$E$1:$CZ$1, 0)), $A3)</f>
        <v>22</v>
      </c>
      <c r="Z3" s="434">
        <f>COUNTIF(INDEX('Project Configurations'!$E$1:$CZ$220, 0, MATCH(Z$1, 'Project Configurations'!$E$1:$CZ$1, 0)), $A3)</f>
        <v>25</v>
      </c>
      <c r="AA3" s="434">
        <f>COUNTIF(INDEX('Project Configurations'!$E$1:$CZ$220, 0, MATCH(AA$1, 'Project Configurations'!$E$1:$CZ$1, 0)), $A3)</f>
        <v>20</v>
      </c>
      <c r="AB3" s="434">
        <f>COUNTIF(INDEX('Project Configurations'!$E$1:$CZ$220, 0, MATCH(AB$1, 'Project Configurations'!$E$1:$CZ$1, 0)), $A3)</f>
        <v>23</v>
      </c>
      <c r="AC3" s="434">
        <f>COUNTIF(INDEX('Project Configurations'!$E$1:$CZ$220, 0, MATCH(AC$1, 'Project Configurations'!$E$1:$CZ$1, 0)), $A3)</f>
        <v>22</v>
      </c>
      <c r="AD3" s="434">
        <f>COUNTIF(INDEX('Project Configurations'!$E$1:$CZ$220, 0, MATCH(AD$1, 'Project Configurations'!$E$1:$CZ$1, 0)), $A3)</f>
        <v>22</v>
      </c>
      <c r="AE3" s="434">
        <f>COUNTIF(INDEX('Project Configurations'!$E$1:$CZ$220, 0, MATCH(AE$1, 'Project Configurations'!$E$1:$CZ$1, 0)), $A3)</f>
        <v>18</v>
      </c>
      <c r="AF3" s="434">
        <f>COUNTIF(INDEX('Project Configurations'!$E$1:$CZ$220, 0, MATCH(AF$1, 'Project Configurations'!$E$1:$CZ$1, 0)), $A3)</f>
        <v>13</v>
      </c>
      <c r="AG3" s="434">
        <f>COUNTIF(INDEX('Project Configurations'!$E$1:$CZ$220, 0, MATCH(AG$1, 'Project Configurations'!$E$1:$CZ$1, 0)), $A3)</f>
        <v>25</v>
      </c>
      <c r="AH3" s="434">
        <f>COUNTIF(INDEX('Project Configurations'!$E$1:$CZ$220, 0, MATCH(AH$1, 'Project Configurations'!$E$1:$CZ$1, 0)), $A3)</f>
        <v>8</v>
      </c>
      <c r="AI3" s="434">
        <f>COUNTIF(INDEX('Project Configurations'!$E$1:$CZ$220, 0, MATCH(AI$1, 'Project Configurations'!$E$1:$CZ$1, 0)), $A3)</f>
        <v>18</v>
      </c>
      <c r="AJ3" s="434">
        <f>COUNTIF(INDEX('Project Configurations'!$E$1:$CZ$220, 0, MATCH(AJ$1, 'Project Configurations'!$E$1:$CZ$1, 0)), $A3)</f>
        <v>15</v>
      </c>
      <c r="AK3" s="434">
        <f>COUNTIF(INDEX('Project Configurations'!$E$1:$CZ$220, 0, MATCH(AK$1, 'Project Configurations'!$E$1:$CZ$1, 0)), $A3)</f>
        <v>17</v>
      </c>
      <c r="AL3" s="434">
        <f>COUNTIF(INDEX('Project Configurations'!$E$1:$CZ$220, 0, MATCH(AL$1, 'Project Configurations'!$E$1:$CZ$1, 0)), $A3)</f>
        <v>30</v>
      </c>
      <c r="AM3" s="434">
        <f>COUNTIF(INDEX('Project Configurations'!$E$1:$CZ$220, 0, MATCH(AM$1, 'Project Configurations'!$E$1:$CZ$1, 0)), $A3)</f>
        <v>12</v>
      </c>
      <c r="AN3" s="434">
        <f>COUNTIF(INDEX('Project Configurations'!$E$1:$CZ$220, 0, MATCH(AN$1, 'Project Configurations'!$E$1:$CZ$1, 0)), $A3)</f>
        <v>24</v>
      </c>
      <c r="AO3" s="434">
        <f>COUNTIF(INDEX('Project Configurations'!$E$1:$CZ$220, 0, MATCH(AO$1, 'Project Configurations'!$E$1:$CZ$1, 0)), $A3)</f>
        <v>3</v>
      </c>
      <c r="AP3" s="434">
        <f>COUNTIF(INDEX('Project Configurations'!$E$1:$CZ$220, 0, MATCH(AP$1, 'Project Configurations'!$E$1:$CZ$1, 0)), $A3)</f>
        <v>1</v>
      </c>
      <c r="AQ3" s="434">
        <f>COUNTIF(INDEX('Project Configurations'!$E$1:$CZ$220, 0, MATCH(AQ$1, 'Project Configurations'!$E$1:$CZ$1, 0)), $A3)</f>
        <v>32</v>
      </c>
      <c r="AR3" s="434">
        <f>COUNTIF(INDEX('Project Configurations'!$E$1:$CZ$220, 0, MATCH(AR$1, 'Project Configurations'!$E$1:$CZ$1, 0)), $A3)</f>
        <v>22</v>
      </c>
      <c r="AS3" s="434">
        <f>COUNTIF(INDEX('Project Configurations'!$E$1:$CZ$220, 0, MATCH(AS$1, 'Project Configurations'!$E$1:$CZ$1, 0)), $A3)</f>
        <v>32</v>
      </c>
      <c r="AT3" s="434">
        <f>COUNTIF(INDEX('Project Configurations'!$E$1:$CZ$220, 0, MATCH(AT$1, 'Project Configurations'!$E$1:$CZ$1, 0)), $A3)</f>
        <v>7</v>
      </c>
      <c r="AU3" s="434">
        <f>COUNTIF(INDEX('Project Configurations'!$E$1:$CZ$220, 0, MATCH(AU$1, 'Project Configurations'!$E$1:$CZ$1, 0)), $A3)</f>
        <v>18</v>
      </c>
      <c r="AV3" s="434">
        <f>COUNTIF(INDEX('Project Configurations'!$E$1:$CZ$220, 0, MATCH(AV$1, 'Project Configurations'!$E$1:$CZ$1, 0)), $A3)</f>
        <v>45</v>
      </c>
      <c r="AW3" s="434">
        <f>COUNTIF(INDEX('Project Configurations'!$E$1:$CZ$220, 0, MATCH(AW$1, 'Project Configurations'!$E$1:$CZ$1, 0)), $A3)</f>
        <v>18</v>
      </c>
      <c r="AX3" s="434">
        <f>COUNTIF(INDEX('Project Configurations'!$E$1:$CZ$220, 0, MATCH(AX$1, 'Project Configurations'!$E$1:$CZ$1, 0)), $A3)</f>
        <v>7</v>
      </c>
      <c r="AY3" s="434">
        <f>COUNTIF(INDEX('Project Configurations'!$E$1:$CZ$220, 0, MATCH(AY$1, 'Project Configurations'!$E$1:$CZ$1, 0)), $A3)</f>
        <v>18</v>
      </c>
      <c r="AZ3" s="434">
        <f>COUNTIF(INDEX('Project Configurations'!$E$1:$CZ$220, 0, MATCH(AZ$1, 'Project Configurations'!$E$1:$CZ$1, 0)), $A3)</f>
        <v>0</v>
      </c>
      <c r="BA3" s="434">
        <f>COUNTIF(INDEX('Project Configurations'!$E$1:$CZ$220, 0, MATCH(BA$1, 'Project Configurations'!$E$1:$CZ$1, 0)), $A3)</f>
        <v>2</v>
      </c>
      <c r="BB3" s="434">
        <f>COUNTIF(INDEX('Project Configurations'!$E$1:$CZ$220, 0, MATCH(BB$1, 'Project Configurations'!$E$1:$CZ$1, 0)), $A3)</f>
        <v>23</v>
      </c>
      <c r="BC3" s="434">
        <f>COUNTIF(INDEX('Project Configurations'!$E$1:$CZ$220, 0, MATCH(BC$1, 'Project Configurations'!$E$1:$CZ$1, 0)), $A3)</f>
        <v>43</v>
      </c>
      <c r="BD3" s="434">
        <f>COUNTIF(INDEX('Project Configurations'!$E$1:$CZ$220, 0, MATCH(BD$1, 'Project Configurations'!$E$1:$CZ$1, 0)), $A3)</f>
        <v>29</v>
      </c>
      <c r="BE3" s="434">
        <f>COUNTIF(INDEX('Project Configurations'!$E$1:$CZ$220, 0, MATCH(BE$1, 'Project Configurations'!$E$1:$CZ$1, 0)), $A3)</f>
        <v>6</v>
      </c>
      <c r="BF3" s="434">
        <f>COUNTIF(INDEX('Project Configurations'!$E$1:$CZ$220, 0, MATCH(BF$1, 'Project Configurations'!$E$1:$CZ$1, 0)), $A3)</f>
        <v>5</v>
      </c>
      <c r="BG3" s="434">
        <f>COUNTIF(INDEX('Project Configurations'!$E$1:$CZ$220, 0, MATCH(BG$1, 'Project Configurations'!$E$1:$CZ$1, 0)), $A3)</f>
        <v>4</v>
      </c>
      <c r="BH3" s="434">
        <f>COUNTIF(INDEX('Project Configurations'!$E$1:$CZ$220, 0, MATCH(BH$1, 'Project Configurations'!$E$1:$CZ$1, 0)), $A3)</f>
        <v>1</v>
      </c>
      <c r="BI3" s="434">
        <f>COUNTIF(INDEX('Project Configurations'!$E$1:$CZ$220, 0, MATCH(BI$1, 'Project Configurations'!$E$1:$CZ$1, 0)), $A3)</f>
        <v>1</v>
      </c>
      <c r="BJ3" s="434">
        <f>COUNTIF(INDEX('Project Configurations'!$E$1:$CZ$220, 0, MATCH(BJ$1, 'Project Configurations'!$E$1:$CZ$1, 0)), $A3)</f>
        <v>2</v>
      </c>
      <c r="BK3" s="434">
        <f>COUNTIF(INDEX('Project Configurations'!$E$1:$CZ$220, 0, MATCH(BK$1, 'Project Configurations'!$E$1:$CZ$1, 0)), $A3)</f>
        <v>4</v>
      </c>
      <c r="BL3" s="434">
        <f>COUNTIF(INDEX('Project Configurations'!$E$1:$CZ$220, 0, MATCH(BL$1, 'Project Configurations'!$E$1:$CZ$1, 0)), $A3)</f>
        <v>5</v>
      </c>
      <c r="BM3" s="434">
        <f>COUNTIF(INDEX('Project Configurations'!$E$1:$CZ$220, 0, MATCH(BM$1, 'Project Configurations'!$E$1:$CZ$1, 0)), $A3)</f>
        <v>0</v>
      </c>
      <c r="BN3" s="434">
        <f>COUNTIF(INDEX('Project Configurations'!$E$1:$CZ$220, 0, MATCH(BN$1, 'Project Configurations'!$E$1:$CZ$1, 0)), $A3)</f>
        <v>3</v>
      </c>
      <c r="BO3" s="434">
        <f>COUNTIF(INDEX('Project Configurations'!$E$1:$CZ$220, 0, MATCH(BO$1, 'Project Configurations'!$E$1:$CZ$1, 0)), $A3)</f>
        <v>2</v>
      </c>
      <c r="BP3" s="434">
        <f>COUNTIF(INDEX('Project Configurations'!$E$1:$CZ$220, 0, MATCH(BP$1, 'Project Configurations'!$E$1:$CZ$1, 0)), $A3)</f>
        <v>1</v>
      </c>
      <c r="BQ3" s="434">
        <f>COUNTIF(INDEX('Project Configurations'!$E$1:$CZ$220, 0, MATCH(BQ$1, 'Project Configurations'!$E$1:$CZ$1, 0)), $A3)</f>
        <v>4</v>
      </c>
      <c r="BR3" s="434">
        <f>COUNTIF(INDEX('Project Configurations'!$E$1:$CZ$220, 0, MATCH(BR$1, 'Project Configurations'!$E$1:$CZ$1, 0)), $A3)</f>
        <v>2</v>
      </c>
      <c r="BS3" s="434">
        <f>COUNTIF(INDEX('Project Configurations'!$E$1:$CZ$220, 0, MATCH(BS$1, 'Project Configurations'!$E$1:$CZ$1, 0)), $A3)</f>
        <v>6</v>
      </c>
      <c r="BT3" s="434">
        <f>COUNTIF(INDEX('Project Configurations'!$E$1:$CZ$220, 0, MATCH(BT$1, 'Project Configurations'!$E$1:$CZ$1, 0)), $A3)</f>
        <v>1</v>
      </c>
      <c r="BU3" s="434">
        <f>COUNTIF(INDEX('Project Configurations'!$E$1:$CZ$220, 0, MATCH(BU$1, 'Project Configurations'!$E$1:$CZ$1, 0)), $A3)</f>
        <v>0</v>
      </c>
      <c r="BV3" s="434">
        <f>COUNTIF(INDEX('Project Configurations'!$E$1:$CZ$220, 0, MATCH(BV$1, 'Project Configurations'!$E$1:$CZ$1, 0)), $A3)</f>
        <v>3</v>
      </c>
      <c r="BW3" s="434">
        <f>COUNTIF(INDEX('Project Configurations'!$E$1:$CZ$220, 0, MATCH(BW$1, 'Project Configurations'!$E$1:$CZ$1, 0)), $A3)</f>
        <v>1</v>
      </c>
      <c r="BX3" s="434">
        <f>COUNTIF(INDEX('Project Configurations'!$E$1:$CZ$220, 0, MATCH(BX$1, 'Project Configurations'!$E$1:$CZ$1, 0)), $A3)</f>
        <v>1</v>
      </c>
      <c r="BY3" s="434">
        <f>COUNTIF(INDEX('Project Configurations'!$E$1:$CZ$220, 0, MATCH(BY$1, 'Project Configurations'!$E$1:$CZ$1, 0)), $A3)</f>
        <v>1</v>
      </c>
      <c r="BZ3" s="434">
        <f>COUNTIF(INDEX('Project Configurations'!$E$1:$CZ$220, 0, MATCH(BZ$1, 'Project Configurations'!$E$1:$CZ$1, 0)), $A3)</f>
        <v>1</v>
      </c>
      <c r="CA3" s="434">
        <f>COUNTIF(INDEX('Project Configurations'!$E$1:$CZ$220, 0, MATCH(CA$1, 'Project Configurations'!$E$1:$CZ$1, 0)), $A3)</f>
        <v>0</v>
      </c>
      <c r="CB3" s="434">
        <f>COUNTIF(INDEX('Project Configurations'!$E$1:$CZ$220, 0, MATCH(CB$1, 'Project Configurations'!$E$1:$CZ$1, 0)), $A3)</f>
        <v>2</v>
      </c>
      <c r="CC3" s="434">
        <f>COUNTIF(INDEX('Project Configurations'!$E$1:$CZ$220, 0, MATCH(CC$1, 'Project Configurations'!$E$1:$CZ$1, 0)), $A3)</f>
        <v>0</v>
      </c>
      <c r="CD3" s="434">
        <f>COUNTIF(INDEX('Project Configurations'!$E$1:$CZ$220, 0, MATCH(CD$1, 'Project Configurations'!$E$1:$CZ$1, 0)), $A3)</f>
        <v>2</v>
      </c>
      <c r="CE3" s="434">
        <f>COUNTIF(INDEX('Project Configurations'!$E$1:$CZ$220, 0, MATCH(CE$1, 'Project Configurations'!$E$1:$CZ$1, 0)), $A3)</f>
        <v>2</v>
      </c>
      <c r="CF3" s="434">
        <f>COUNTIF(INDEX('Project Configurations'!$E$1:$CZ$220, 0, MATCH(CF$1, 'Project Configurations'!$E$1:$CZ$1, 0)), $A3)</f>
        <v>1</v>
      </c>
      <c r="CG3" s="434">
        <f>COUNTIF(INDEX('Project Configurations'!$E$1:$CZ$220, 0, MATCH(CG$1, 'Project Configurations'!$E$1:$CZ$1, 0)), $A3)</f>
        <v>2</v>
      </c>
      <c r="CH3" s="434">
        <f>COUNTIF(INDEX('Project Configurations'!$E$1:$CZ$220, 0, MATCH(CH$1, 'Project Configurations'!$E$1:$CZ$1, 0)), $A3)</f>
        <v>3</v>
      </c>
      <c r="CI3" s="434">
        <f>COUNTIF(INDEX('Project Configurations'!$E$1:$CZ$220, 0, MATCH(CI$1, 'Project Configurations'!$E$1:$CZ$1, 0)), $A3)</f>
        <v>0</v>
      </c>
      <c r="CJ3" s="434">
        <f>COUNTIF(INDEX('Project Configurations'!$E$1:$CZ$220, 0, MATCH(CJ$1, 'Project Configurations'!$E$1:$CZ$1, 0)), $A3)</f>
        <v>4</v>
      </c>
      <c r="CK3" s="434">
        <f>COUNTIF(INDEX('Project Configurations'!$E$1:$CZ$220, 0, MATCH(CK$1, 'Project Configurations'!$E$1:$CZ$1, 0)), $A3)</f>
        <v>6</v>
      </c>
      <c r="CL3" s="434">
        <f>COUNTIF(INDEX('Project Configurations'!$E$1:$CZ$220, 0, MATCH(CL$1, 'Project Configurations'!$E$1:$CZ$1, 0)), $A3)</f>
        <v>0</v>
      </c>
      <c r="CM3" s="434">
        <f>COUNTIF(INDEX('Project Configurations'!$E$1:$CZ$220, 0, MATCH(CM$1, 'Project Configurations'!$E$1:$CZ$1, 0)), $A3)</f>
        <v>0</v>
      </c>
      <c r="CN3" s="434">
        <f>COUNTIF(INDEX('Project Configurations'!$E$1:$CZ$220, 0, MATCH(CN$1, 'Project Configurations'!$E$1:$CZ$1, 0)), $A3)</f>
        <v>0</v>
      </c>
      <c r="CO3" s="434">
        <f>COUNTIF(INDEX('Project Configurations'!$E$1:$CZ$220, 0, MATCH(CO$1, 'Project Configurations'!$E$1:$CZ$1, 0)), $A3)</f>
        <v>1</v>
      </c>
      <c r="CP3" s="434">
        <f>COUNTIF(INDEX('Project Configurations'!$E$1:$CZ$220, 0, MATCH(CP$1, 'Project Configurations'!$E$1:$CZ$1, 0)), $A3)</f>
        <v>0</v>
      </c>
      <c r="CQ3" s="434">
        <f>COUNTIF(INDEX('Project Configurations'!$E$1:$CZ$220, 0, MATCH(CQ$1, 'Project Configurations'!$E$1:$CZ$1, 0)), $A3)</f>
        <v>0</v>
      </c>
      <c r="CR3" s="434">
        <f>COUNTIF(INDEX('Project Configurations'!$E$1:$CZ$220, 0, MATCH(CR$1, 'Project Configurations'!$E$1:$CZ$1, 0)), $A3)</f>
        <v>0</v>
      </c>
      <c r="CS3" s="434">
        <f>COUNTIF(INDEX('Project Configurations'!$E$1:$CZ$220, 0, MATCH(CS$1, 'Project Configurations'!$E$1:$CZ$1, 0)), $A3)</f>
        <v>0</v>
      </c>
      <c r="CT3" s="434">
        <f>COUNTIF(INDEX('Project Configurations'!$E$1:$CZ$220, 0, MATCH(CT$1, 'Project Configurations'!$E$1:$CZ$1, 0)), $A3)</f>
        <v>0</v>
      </c>
      <c r="CU3" s="434">
        <f>COUNTIF(INDEX('Project Configurations'!$E$1:$CZ$220, 0, MATCH(CU$1, 'Project Configurations'!$E$1:$CZ$1, 0)), $A3)</f>
        <v>0</v>
      </c>
      <c r="CV3" s="434">
        <f>COUNTIF(INDEX('Project Configurations'!$E$1:$CZ$220, 0, MATCH(CV$1, 'Project Configurations'!$E$1:$CZ$1, 0)), $A3)</f>
        <v>0</v>
      </c>
    </row>
    <row r="4" spans="1:100">
      <c r="A4" s="435" t="s">
        <v>546</v>
      </c>
      <c r="B4" s="434">
        <f>COUNTIF(INDEX('Project Configurations'!$E$1:$CZ$220, 0, MATCH(B$1, 'Project Configurations'!$E$1:$CZ$1, 0)), $A4)</f>
        <v>0</v>
      </c>
      <c r="C4" s="434">
        <f>COUNTIF(INDEX('Project Configurations'!$E$1:$CZ$220, 0, MATCH(C$1, 'Project Configurations'!$E$1:$CZ$1, 0)), $A4)</f>
        <v>0</v>
      </c>
      <c r="D4" s="434">
        <f>COUNTIF(INDEX('Project Configurations'!$E$1:$CZ$220, 0, MATCH(D$1, 'Project Configurations'!$E$1:$CZ$1, 0)), $A4)</f>
        <v>0</v>
      </c>
      <c r="E4" s="434">
        <f>COUNTIF(INDEX('Project Configurations'!$E$1:$CZ$220, 0, MATCH(E$1, 'Project Configurations'!$E$1:$CZ$1, 0)), $A4)</f>
        <v>0</v>
      </c>
      <c r="F4" s="434">
        <f>COUNTIF(INDEX('Project Configurations'!$E$1:$CZ$220, 0, MATCH(F$1, 'Project Configurations'!$E$1:$CZ$1, 0)), $A4)</f>
        <v>0</v>
      </c>
      <c r="G4" s="434">
        <f>COUNTIF(INDEX('Project Configurations'!$E$1:$CZ$220, 0, MATCH(G$1, 'Project Configurations'!$E$1:$CZ$1, 0)), $A4)</f>
        <v>1</v>
      </c>
      <c r="H4" s="434">
        <f>COUNTIF(INDEX('Project Configurations'!$E$1:$CZ$220, 0, MATCH(H$1, 'Project Configurations'!$E$1:$CZ$1, 0)), $A4)</f>
        <v>0</v>
      </c>
      <c r="I4" s="434">
        <f>COUNTIF(INDEX('Project Configurations'!$E$1:$CZ$220, 0, MATCH(I$1, 'Project Configurations'!$E$1:$CZ$1, 0)), $A4)</f>
        <v>0</v>
      </c>
      <c r="J4" s="434">
        <f>COUNTIF(INDEX('Project Configurations'!$E$1:$CZ$220, 0, MATCH(J$1, 'Project Configurations'!$E$1:$CZ$1, 0)), $A4)</f>
        <v>1</v>
      </c>
      <c r="K4" s="434">
        <f>COUNTIF(INDEX('Project Configurations'!$E$1:$CZ$220, 0, MATCH(K$1, 'Project Configurations'!$E$1:$CZ$1, 0)), $A4)</f>
        <v>1</v>
      </c>
      <c r="L4" s="434">
        <f>COUNTIF(INDEX('Project Configurations'!$E$1:$CZ$220, 0, MATCH(L$1, 'Project Configurations'!$E$1:$CZ$1, 0)), $A4)</f>
        <v>1</v>
      </c>
      <c r="M4" s="434">
        <f>COUNTIF(INDEX('Project Configurations'!$E$1:$CZ$220, 0, MATCH(M$1, 'Project Configurations'!$E$1:$CZ$1, 0)), $A4)</f>
        <v>15</v>
      </c>
      <c r="N4" s="434">
        <f>COUNTIF(INDEX('Project Configurations'!$E$1:$CZ$220, 0, MATCH(N$1, 'Project Configurations'!$E$1:$CZ$1, 0)), $A4)</f>
        <v>16</v>
      </c>
      <c r="O4" s="434">
        <f>COUNTIF(INDEX('Project Configurations'!$E$1:$CZ$220, 0, MATCH(O$1, 'Project Configurations'!$E$1:$CZ$1, 0)), $A4)</f>
        <v>17</v>
      </c>
      <c r="P4" s="434">
        <f>COUNTIF(INDEX('Project Configurations'!$E$1:$CZ$220, 0, MATCH(P$1, 'Project Configurations'!$E$1:$CZ$1, 0)), $A4)</f>
        <v>17</v>
      </c>
      <c r="Q4" s="434">
        <f>COUNTIF(INDEX('Project Configurations'!$E$1:$CZ$220, 0, MATCH(Q$1, 'Project Configurations'!$E$1:$CZ$1, 0)), $A4)</f>
        <v>15</v>
      </c>
      <c r="R4" s="434">
        <f>COUNTIF(INDEX('Project Configurations'!$E$1:$CZ$220, 0, MATCH(R$1, 'Project Configurations'!$E$1:$CZ$1, 0)), $A4)</f>
        <v>1</v>
      </c>
      <c r="S4" s="434">
        <f>COUNTIF(INDEX('Project Configurations'!$E$1:$CZ$220, 0, MATCH(S$1, 'Project Configurations'!$E$1:$CZ$1, 0)), $A4)</f>
        <v>2</v>
      </c>
      <c r="T4" s="434">
        <f>COUNTIF(INDEX('Project Configurations'!$E$1:$CZ$220, 0, MATCH(T$1, 'Project Configurations'!$E$1:$CZ$1, 0)), $A4)</f>
        <v>5</v>
      </c>
      <c r="U4" s="434">
        <f>COUNTIF(INDEX('Project Configurations'!$E$1:$CZ$220, 0, MATCH(U$1, 'Project Configurations'!$E$1:$CZ$1, 0)), $A4)</f>
        <v>2</v>
      </c>
      <c r="V4" s="434">
        <f>COUNTIF(INDEX('Project Configurations'!$E$1:$CZ$220, 0, MATCH(V$1, 'Project Configurations'!$E$1:$CZ$1, 0)), $A4)</f>
        <v>14</v>
      </c>
      <c r="W4" s="434">
        <f>COUNTIF(INDEX('Project Configurations'!$E$1:$CZ$220, 0, MATCH(W$1, 'Project Configurations'!$E$1:$CZ$1, 0)), $A4)</f>
        <v>4</v>
      </c>
      <c r="X4" s="434">
        <f>COUNTIF(INDEX('Project Configurations'!$E$1:$CZ$220, 0, MATCH(X$1, 'Project Configurations'!$E$1:$CZ$1, 0)), $A4)</f>
        <v>1</v>
      </c>
      <c r="Y4" s="434">
        <f>COUNTIF(INDEX('Project Configurations'!$E$1:$CZ$220, 0, MATCH(Y$1, 'Project Configurations'!$E$1:$CZ$1, 0)), $A4)</f>
        <v>1</v>
      </c>
      <c r="Z4" s="434">
        <f>COUNTIF(INDEX('Project Configurations'!$E$1:$CZ$220, 0, MATCH(Z$1, 'Project Configurations'!$E$1:$CZ$1, 0)), $A4)</f>
        <v>0</v>
      </c>
      <c r="AA4" s="434">
        <f>COUNTIF(INDEX('Project Configurations'!$E$1:$CZ$220, 0, MATCH(AA$1, 'Project Configurations'!$E$1:$CZ$1, 0)), $A4)</f>
        <v>0</v>
      </c>
      <c r="AB4" s="434">
        <f>COUNTIF(INDEX('Project Configurations'!$E$1:$CZ$220, 0, MATCH(AB$1, 'Project Configurations'!$E$1:$CZ$1, 0)), $A4)</f>
        <v>0</v>
      </c>
      <c r="AC4" s="434">
        <f>COUNTIF(INDEX('Project Configurations'!$E$1:$CZ$220, 0, MATCH(AC$1, 'Project Configurations'!$E$1:$CZ$1, 0)), $A4)</f>
        <v>0</v>
      </c>
      <c r="AD4" s="434">
        <f>COUNTIF(INDEX('Project Configurations'!$E$1:$CZ$220, 0, MATCH(AD$1, 'Project Configurations'!$E$1:$CZ$1, 0)), $A4)</f>
        <v>0</v>
      </c>
      <c r="AE4" s="434">
        <f>COUNTIF(INDEX('Project Configurations'!$E$1:$CZ$220, 0, MATCH(AE$1, 'Project Configurations'!$E$1:$CZ$1, 0)), $A4)</f>
        <v>0</v>
      </c>
      <c r="AF4" s="434">
        <f>COUNTIF(INDEX('Project Configurations'!$E$1:$CZ$220, 0, MATCH(AF$1, 'Project Configurations'!$E$1:$CZ$1, 0)), $A4)</f>
        <v>0</v>
      </c>
      <c r="AG4" s="434">
        <f>COUNTIF(INDEX('Project Configurations'!$E$1:$CZ$220, 0, MATCH(AG$1, 'Project Configurations'!$E$1:$CZ$1, 0)), $A4)</f>
        <v>0</v>
      </c>
      <c r="AH4" s="434">
        <f>COUNTIF(INDEX('Project Configurations'!$E$1:$CZ$220, 0, MATCH(AH$1, 'Project Configurations'!$E$1:$CZ$1, 0)), $A4)</f>
        <v>0</v>
      </c>
      <c r="AI4" s="434">
        <f>COUNTIF(INDEX('Project Configurations'!$E$1:$CZ$220, 0, MATCH(AI$1, 'Project Configurations'!$E$1:$CZ$1, 0)), $A4)</f>
        <v>1</v>
      </c>
      <c r="AJ4" s="434">
        <f>COUNTIF(INDEX('Project Configurations'!$E$1:$CZ$220, 0, MATCH(AJ$1, 'Project Configurations'!$E$1:$CZ$1, 0)), $A4)</f>
        <v>0</v>
      </c>
      <c r="AK4" s="434">
        <f>COUNTIF(INDEX('Project Configurations'!$E$1:$CZ$220, 0, MATCH(AK$1, 'Project Configurations'!$E$1:$CZ$1, 0)), $A4)</f>
        <v>1</v>
      </c>
      <c r="AL4" s="434">
        <f>COUNTIF(INDEX('Project Configurations'!$E$1:$CZ$220, 0, MATCH(AL$1, 'Project Configurations'!$E$1:$CZ$1, 0)), $A4)</f>
        <v>3</v>
      </c>
      <c r="AM4" s="434">
        <f>COUNTIF(INDEX('Project Configurations'!$E$1:$CZ$220, 0, MATCH(AM$1, 'Project Configurations'!$E$1:$CZ$1, 0)), $A4)</f>
        <v>1</v>
      </c>
      <c r="AN4" s="434">
        <f>COUNTIF(INDEX('Project Configurations'!$E$1:$CZ$220, 0, MATCH(AN$1, 'Project Configurations'!$E$1:$CZ$1, 0)), $A4)</f>
        <v>5</v>
      </c>
      <c r="AO4" s="434">
        <f>COUNTIF(INDEX('Project Configurations'!$E$1:$CZ$220, 0, MATCH(AO$1, 'Project Configurations'!$E$1:$CZ$1, 0)), $A4)</f>
        <v>1</v>
      </c>
      <c r="AP4" s="434">
        <f>COUNTIF(INDEX('Project Configurations'!$E$1:$CZ$220, 0, MATCH(AP$1, 'Project Configurations'!$E$1:$CZ$1, 0)), $A4)</f>
        <v>0</v>
      </c>
      <c r="AQ4" s="434">
        <f>COUNTIF(INDEX('Project Configurations'!$E$1:$CZ$220, 0, MATCH(AQ$1, 'Project Configurations'!$E$1:$CZ$1, 0)), $A4)</f>
        <v>24</v>
      </c>
      <c r="AR4" s="434">
        <f>COUNTIF(INDEX('Project Configurations'!$E$1:$CZ$220, 0, MATCH(AR$1, 'Project Configurations'!$E$1:$CZ$1, 0)), $A4)</f>
        <v>28</v>
      </c>
      <c r="AS4" s="434">
        <f>COUNTIF(INDEX('Project Configurations'!$E$1:$CZ$220, 0, MATCH(AS$1, 'Project Configurations'!$E$1:$CZ$1, 0)), $A4)</f>
        <v>25</v>
      </c>
      <c r="AT4" s="434">
        <f>COUNTIF(INDEX('Project Configurations'!$E$1:$CZ$220, 0, MATCH(AT$1, 'Project Configurations'!$E$1:$CZ$1, 0)), $A4)</f>
        <v>22</v>
      </c>
      <c r="AU4" s="434">
        <f>COUNTIF(INDEX('Project Configurations'!$E$1:$CZ$220, 0, MATCH(AU$1, 'Project Configurations'!$E$1:$CZ$1, 0)), $A4)</f>
        <v>34</v>
      </c>
      <c r="AV4" s="434">
        <f>COUNTIF(INDEX('Project Configurations'!$E$1:$CZ$220, 0, MATCH(AV$1, 'Project Configurations'!$E$1:$CZ$1, 0)), $A4)</f>
        <v>13</v>
      </c>
      <c r="AW4" s="434">
        <f>COUNTIF(INDEX('Project Configurations'!$E$1:$CZ$220, 0, MATCH(AW$1, 'Project Configurations'!$E$1:$CZ$1, 0)), $A4)</f>
        <v>39</v>
      </c>
      <c r="AX4" s="434">
        <f>COUNTIF(INDEX('Project Configurations'!$E$1:$CZ$220, 0, MATCH(AX$1, 'Project Configurations'!$E$1:$CZ$1, 0)), $A4)</f>
        <v>27</v>
      </c>
      <c r="AY4" s="434">
        <f>COUNTIF(INDEX('Project Configurations'!$E$1:$CZ$220, 0, MATCH(AY$1, 'Project Configurations'!$E$1:$CZ$1, 0)), $A4)</f>
        <v>10</v>
      </c>
      <c r="AZ4" s="434">
        <f>COUNTIF(INDEX('Project Configurations'!$E$1:$CZ$220, 0, MATCH(AZ$1, 'Project Configurations'!$E$1:$CZ$1, 0)), $A4)</f>
        <v>1</v>
      </c>
      <c r="BA4" s="434">
        <f>COUNTIF(INDEX('Project Configurations'!$E$1:$CZ$220, 0, MATCH(BA$1, 'Project Configurations'!$E$1:$CZ$1, 0)), $A4)</f>
        <v>0</v>
      </c>
      <c r="BB4" s="434">
        <f>COUNTIF(INDEX('Project Configurations'!$E$1:$CZ$220, 0, MATCH(BB$1, 'Project Configurations'!$E$1:$CZ$1, 0)), $A4)</f>
        <v>2</v>
      </c>
      <c r="BC4" s="434">
        <f>COUNTIF(INDEX('Project Configurations'!$E$1:$CZ$220, 0, MATCH(BC$1, 'Project Configurations'!$E$1:$CZ$1, 0)), $A4)</f>
        <v>3</v>
      </c>
      <c r="BD4" s="434">
        <f>COUNTIF(INDEX('Project Configurations'!$E$1:$CZ$220, 0, MATCH(BD$1, 'Project Configurations'!$E$1:$CZ$1, 0)), $A4)</f>
        <v>3</v>
      </c>
      <c r="BE4" s="434">
        <f>COUNTIF(INDEX('Project Configurations'!$E$1:$CZ$220, 0, MATCH(BE$1, 'Project Configurations'!$E$1:$CZ$1, 0)), $A4)</f>
        <v>0</v>
      </c>
      <c r="BF4" s="434">
        <f>COUNTIF(INDEX('Project Configurations'!$E$1:$CZ$220, 0, MATCH(BF$1, 'Project Configurations'!$E$1:$CZ$1, 0)), $A4)</f>
        <v>0</v>
      </c>
      <c r="BG4" s="434">
        <f>COUNTIF(INDEX('Project Configurations'!$E$1:$CZ$220, 0, MATCH(BG$1, 'Project Configurations'!$E$1:$CZ$1, 0)), $A4)</f>
        <v>0</v>
      </c>
      <c r="BH4" s="434">
        <f>COUNTIF(INDEX('Project Configurations'!$E$1:$CZ$220, 0, MATCH(BH$1, 'Project Configurations'!$E$1:$CZ$1, 0)), $A4)</f>
        <v>0</v>
      </c>
      <c r="BI4" s="434">
        <f>COUNTIF(INDEX('Project Configurations'!$E$1:$CZ$220, 0, MATCH(BI$1, 'Project Configurations'!$E$1:$CZ$1, 0)), $A4)</f>
        <v>0</v>
      </c>
      <c r="BJ4" s="434">
        <f>COUNTIF(INDEX('Project Configurations'!$E$1:$CZ$220, 0, MATCH(BJ$1, 'Project Configurations'!$E$1:$CZ$1, 0)), $A4)</f>
        <v>0</v>
      </c>
      <c r="BK4" s="434">
        <f>COUNTIF(INDEX('Project Configurations'!$E$1:$CZ$220, 0, MATCH(BK$1, 'Project Configurations'!$E$1:$CZ$1, 0)), $A4)</f>
        <v>0</v>
      </c>
      <c r="BL4" s="434">
        <f>COUNTIF(INDEX('Project Configurations'!$E$1:$CZ$220, 0, MATCH(BL$1, 'Project Configurations'!$E$1:$CZ$1, 0)), $A4)</f>
        <v>0</v>
      </c>
      <c r="BM4" s="434">
        <f>COUNTIF(INDEX('Project Configurations'!$E$1:$CZ$220, 0, MATCH(BM$1, 'Project Configurations'!$E$1:$CZ$1, 0)), $A4)</f>
        <v>0</v>
      </c>
      <c r="BN4" s="434">
        <f>COUNTIF(INDEX('Project Configurations'!$E$1:$CZ$220, 0, MATCH(BN$1, 'Project Configurations'!$E$1:$CZ$1, 0)), $A4)</f>
        <v>0</v>
      </c>
      <c r="BO4" s="434">
        <f>COUNTIF(INDEX('Project Configurations'!$E$1:$CZ$220, 0, MATCH(BO$1, 'Project Configurations'!$E$1:$CZ$1, 0)), $A4)</f>
        <v>0</v>
      </c>
      <c r="BP4" s="434">
        <f>COUNTIF(INDEX('Project Configurations'!$E$1:$CZ$220, 0, MATCH(BP$1, 'Project Configurations'!$E$1:$CZ$1, 0)), $A4)</f>
        <v>0</v>
      </c>
      <c r="BQ4" s="434">
        <f>COUNTIF(INDEX('Project Configurations'!$E$1:$CZ$220, 0, MATCH(BQ$1, 'Project Configurations'!$E$1:$CZ$1, 0)), $A4)</f>
        <v>0</v>
      </c>
      <c r="BR4" s="434">
        <f>COUNTIF(INDEX('Project Configurations'!$E$1:$CZ$220, 0, MATCH(BR$1, 'Project Configurations'!$E$1:$CZ$1, 0)), $A4)</f>
        <v>0</v>
      </c>
      <c r="BS4" s="434">
        <f>COUNTIF(INDEX('Project Configurations'!$E$1:$CZ$220, 0, MATCH(BS$1, 'Project Configurations'!$E$1:$CZ$1, 0)), $A4)</f>
        <v>0</v>
      </c>
      <c r="BT4" s="434">
        <f>COUNTIF(INDEX('Project Configurations'!$E$1:$CZ$220, 0, MATCH(BT$1, 'Project Configurations'!$E$1:$CZ$1, 0)), $A4)</f>
        <v>0</v>
      </c>
      <c r="BU4" s="434">
        <f>COUNTIF(INDEX('Project Configurations'!$E$1:$CZ$220, 0, MATCH(BU$1, 'Project Configurations'!$E$1:$CZ$1, 0)), $A4)</f>
        <v>0</v>
      </c>
      <c r="BV4" s="434">
        <f>COUNTIF(INDEX('Project Configurations'!$E$1:$CZ$220, 0, MATCH(BV$1, 'Project Configurations'!$E$1:$CZ$1, 0)), $A4)</f>
        <v>0</v>
      </c>
      <c r="BW4" s="434">
        <f>COUNTIF(INDEX('Project Configurations'!$E$1:$CZ$220, 0, MATCH(BW$1, 'Project Configurations'!$E$1:$CZ$1, 0)), $A4)</f>
        <v>0</v>
      </c>
      <c r="BX4" s="434">
        <f>COUNTIF(INDEX('Project Configurations'!$E$1:$CZ$220, 0, MATCH(BX$1, 'Project Configurations'!$E$1:$CZ$1, 0)), $A4)</f>
        <v>0</v>
      </c>
      <c r="BY4" s="434">
        <f>COUNTIF(INDEX('Project Configurations'!$E$1:$CZ$220, 0, MATCH(BY$1, 'Project Configurations'!$E$1:$CZ$1, 0)), $A4)</f>
        <v>0</v>
      </c>
      <c r="BZ4" s="434">
        <f>COUNTIF(INDEX('Project Configurations'!$E$1:$CZ$220, 0, MATCH(BZ$1, 'Project Configurations'!$E$1:$CZ$1, 0)), $A4)</f>
        <v>0</v>
      </c>
      <c r="CA4" s="434">
        <f>COUNTIF(INDEX('Project Configurations'!$E$1:$CZ$220, 0, MATCH(CA$1, 'Project Configurations'!$E$1:$CZ$1, 0)), $A4)</f>
        <v>0</v>
      </c>
      <c r="CB4" s="434">
        <f>COUNTIF(INDEX('Project Configurations'!$E$1:$CZ$220, 0, MATCH(CB$1, 'Project Configurations'!$E$1:$CZ$1, 0)), $A4)</f>
        <v>0</v>
      </c>
      <c r="CC4" s="434">
        <f>COUNTIF(INDEX('Project Configurations'!$E$1:$CZ$220, 0, MATCH(CC$1, 'Project Configurations'!$E$1:$CZ$1, 0)), $A4)</f>
        <v>0</v>
      </c>
      <c r="CD4" s="434">
        <f>COUNTIF(INDEX('Project Configurations'!$E$1:$CZ$220, 0, MATCH(CD$1, 'Project Configurations'!$E$1:$CZ$1, 0)), $A4)</f>
        <v>0</v>
      </c>
      <c r="CE4" s="434">
        <f>COUNTIF(INDEX('Project Configurations'!$E$1:$CZ$220, 0, MATCH(CE$1, 'Project Configurations'!$E$1:$CZ$1, 0)), $A4)</f>
        <v>0</v>
      </c>
      <c r="CF4" s="434">
        <f>COUNTIF(INDEX('Project Configurations'!$E$1:$CZ$220, 0, MATCH(CF$1, 'Project Configurations'!$E$1:$CZ$1, 0)), $A4)</f>
        <v>0</v>
      </c>
      <c r="CG4" s="434">
        <f>COUNTIF(INDEX('Project Configurations'!$E$1:$CZ$220, 0, MATCH(CG$1, 'Project Configurations'!$E$1:$CZ$1, 0)), $A4)</f>
        <v>0</v>
      </c>
      <c r="CH4" s="434">
        <f>COUNTIF(INDEX('Project Configurations'!$E$1:$CZ$220, 0, MATCH(CH$1, 'Project Configurations'!$E$1:$CZ$1, 0)), $A4)</f>
        <v>0</v>
      </c>
      <c r="CI4" s="434">
        <f>COUNTIF(INDEX('Project Configurations'!$E$1:$CZ$220, 0, MATCH(CI$1, 'Project Configurations'!$E$1:$CZ$1, 0)), $A4)</f>
        <v>0</v>
      </c>
      <c r="CJ4" s="434">
        <f>COUNTIF(INDEX('Project Configurations'!$E$1:$CZ$220, 0, MATCH(CJ$1, 'Project Configurations'!$E$1:$CZ$1, 0)), $A4)</f>
        <v>0</v>
      </c>
      <c r="CK4" s="434">
        <f>COUNTIF(INDEX('Project Configurations'!$E$1:$CZ$220, 0, MATCH(CK$1, 'Project Configurations'!$E$1:$CZ$1, 0)), $A4)</f>
        <v>0</v>
      </c>
      <c r="CL4" s="434">
        <f>COUNTIF(INDEX('Project Configurations'!$E$1:$CZ$220, 0, MATCH(CL$1, 'Project Configurations'!$E$1:$CZ$1, 0)), $A4)</f>
        <v>0</v>
      </c>
      <c r="CM4" s="434">
        <f>COUNTIF(INDEX('Project Configurations'!$E$1:$CZ$220, 0, MATCH(CM$1, 'Project Configurations'!$E$1:$CZ$1, 0)), $A4)</f>
        <v>0</v>
      </c>
      <c r="CN4" s="434">
        <f>COUNTIF(INDEX('Project Configurations'!$E$1:$CZ$220, 0, MATCH(CN$1, 'Project Configurations'!$E$1:$CZ$1, 0)), $A4)</f>
        <v>0</v>
      </c>
      <c r="CO4" s="434">
        <f>COUNTIF(INDEX('Project Configurations'!$E$1:$CZ$220, 0, MATCH(CO$1, 'Project Configurations'!$E$1:$CZ$1, 0)), $A4)</f>
        <v>0</v>
      </c>
      <c r="CP4" s="434">
        <f>COUNTIF(INDEX('Project Configurations'!$E$1:$CZ$220, 0, MATCH(CP$1, 'Project Configurations'!$E$1:$CZ$1, 0)), $A4)</f>
        <v>0</v>
      </c>
      <c r="CQ4" s="434">
        <f>COUNTIF(INDEX('Project Configurations'!$E$1:$CZ$220, 0, MATCH(CQ$1, 'Project Configurations'!$E$1:$CZ$1, 0)), $A4)</f>
        <v>0</v>
      </c>
      <c r="CR4" s="434">
        <f>COUNTIF(INDEX('Project Configurations'!$E$1:$CZ$220, 0, MATCH(CR$1, 'Project Configurations'!$E$1:$CZ$1, 0)), $A4)</f>
        <v>0</v>
      </c>
      <c r="CS4" s="434">
        <f>COUNTIF(INDEX('Project Configurations'!$E$1:$CZ$220, 0, MATCH(CS$1, 'Project Configurations'!$E$1:$CZ$1, 0)), $A4)</f>
        <v>0</v>
      </c>
      <c r="CT4" s="434">
        <f>COUNTIF(INDEX('Project Configurations'!$E$1:$CZ$220, 0, MATCH(CT$1, 'Project Configurations'!$E$1:$CZ$1, 0)), $A4)</f>
        <v>0</v>
      </c>
      <c r="CU4" s="434">
        <f>COUNTIF(INDEX('Project Configurations'!$E$1:$CZ$220, 0, MATCH(CU$1, 'Project Configurations'!$E$1:$CZ$1, 0)), $A4)</f>
        <v>0</v>
      </c>
      <c r="CV4" s="434">
        <f>COUNTIF(INDEX('Project Configurations'!$E$1:$CZ$220, 0, MATCH(CV$1, 'Project Configurations'!$E$1:$CZ$1, 0)), $A4)</f>
        <v>0</v>
      </c>
    </row>
    <row r="5" spans="1:100">
      <c r="A5" s="435" t="s">
        <v>547</v>
      </c>
      <c r="B5" s="434">
        <f>COUNTIF(INDEX('Project Configurations'!$E$1:$CZ$220, 0, MATCH(B$1, 'Project Configurations'!$E$1:$CZ$1, 0)), $A5)</f>
        <v>0</v>
      </c>
      <c r="C5" s="434">
        <f>COUNTIF(INDEX('Project Configurations'!$E$1:$CZ$220, 0, MATCH(C$1, 'Project Configurations'!$E$1:$CZ$1, 0)), $A5)</f>
        <v>1</v>
      </c>
      <c r="D5" s="434">
        <f>COUNTIF(INDEX('Project Configurations'!$E$1:$CZ$220, 0, MATCH(D$1, 'Project Configurations'!$E$1:$CZ$1, 0)), $A5)</f>
        <v>1</v>
      </c>
      <c r="E5" s="434">
        <f>COUNTIF(INDEX('Project Configurations'!$E$1:$CZ$220, 0, MATCH(E$1, 'Project Configurations'!$E$1:$CZ$1, 0)), $A5)</f>
        <v>1</v>
      </c>
      <c r="F5" s="434">
        <f>COUNTIF(INDEX('Project Configurations'!$E$1:$CZ$220, 0, MATCH(F$1, 'Project Configurations'!$E$1:$CZ$1, 0)), $A5)</f>
        <v>1</v>
      </c>
      <c r="G5" s="434">
        <f>COUNTIF(INDEX('Project Configurations'!$E$1:$CZ$220, 0, MATCH(G$1, 'Project Configurations'!$E$1:$CZ$1, 0)), $A5)</f>
        <v>1</v>
      </c>
      <c r="H5" s="434">
        <f>COUNTIF(INDEX('Project Configurations'!$E$1:$CZ$220, 0, MATCH(H$1, 'Project Configurations'!$E$1:$CZ$1, 0)), $A5)</f>
        <v>1</v>
      </c>
      <c r="I5" s="434">
        <f>COUNTIF(INDEX('Project Configurations'!$E$1:$CZ$220, 0, MATCH(I$1, 'Project Configurations'!$E$1:$CZ$1, 0)), $A5)</f>
        <v>1</v>
      </c>
      <c r="J5" s="434">
        <f>COUNTIF(INDEX('Project Configurations'!$E$1:$CZ$220, 0, MATCH(J$1, 'Project Configurations'!$E$1:$CZ$1, 0)), $A5)</f>
        <v>0</v>
      </c>
      <c r="K5" s="434">
        <f>COUNTIF(INDEX('Project Configurations'!$E$1:$CZ$220, 0, MATCH(K$1, 'Project Configurations'!$E$1:$CZ$1, 0)), $A5)</f>
        <v>0</v>
      </c>
      <c r="L5" s="434">
        <f>COUNTIF(INDEX('Project Configurations'!$E$1:$CZ$220, 0, MATCH(L$1, 'Project Configurations'!$E$1:$CZ$1, 0)), $A5)</f>
        <v>0</v>
      </c>
      <c r="M5" s="434">
        <f>COUNTIF(INDEX('Project Configurations'!$E$1:$CZ$220, 0, MATCH(M$1, 'Project Configurations'!$E$1:$CZ$1, 0)), $A5)</f>
        <v>1</v>
      </c>
      <c r="N5" s="434">
        <f>COUNTIF(INDEX('Project Configurations'!$E$1:$CZ$220, 0, MATCH(N$1, 'Project Configurations'!$E$1:$CZ$1, 0)), $A5)</f>
        <v>1</v>
      </c>
      <c r="O5" s="434">
        <f>COUNTIF(INDEX('Project Configurations'!$E$1:$CZ$220, 0, MATCH(O$1, 'Project Configurations'!$E$1:$CZ$1, 0)), $A5)</f>
        <v>1</v>
      </c>
      <c r="P5" s="434">
        <f>COUNTIF(INDEX('Project Configurations'!$E$1:$CZ$220, 0, MATCH(P$1, 'Project Configurations'!$E$1:$CZ$1, 0)), $A5)</f>
        <v>1</v>
      </c>
      <c r="Q5" s="434">
        <f>COUNTIF(INDEX('Project Configurations'!$E$1:$CZ$220, 0, MATCH(Q$1, 'Project Configurations'!$E$1:$CZ$1, 0)), $A5)</f>
        <v>1</v>
      </c>
      <c r="R5" s="434">
        <f>COUNTIF(INDEX('Project Configurations'!$E$1:$CZ$220, 0, MATCH(R$1, 'Project Configurations'!$E$1:$CZ$1, 0)), $A5)</f>
        <v>0</v>
      </c>
      <c r="S5" s="434">
        <f>COUNTIF(INDEX('Project Configurations'!$E$1:$CZ$220, 0, MATCH(S$1, 'Project Configurations'!$E$1:$CZ$1, 0)), $A5)</f>
        <v>0</v>
      </c>
      <c r="T5" s="434">
        <f>COUNTIF(INDEX('Project Configurations'!$E$1:$CZ$220, 0, MATCH(T$1, 'Project Configurations'!$E$1:$CZ$1, 0)), $A5)</f>
        <v>1</v>
      </c>
      <c r="U5" s="434">
        <f>COUNTIF(INDEX('Project Configurations'!$E$1:$CZ$220, 0, MATCH(U$1, 'Project Configurations'!$E$1:$CZ$1, 0)), $A5)</f>
        <v>0</v>
      </c>
      <c r="V5" s="434">
        <f>COUNTIF(INDEX('Project Configurations'!$E$1:$CZ$220, 0, MATCH(V$1, 'Project Configurations'!$E$1:$CZ$1, 0)), $A5)</f>
        <v>1</v>
      </c>
      <c r="W5" s="434">
        <f>COUNTIF(INDEX('Project Configurations'!$E$1:$CZ$220, 0, MATCH(W$1, 'Project Configurations'!$E$1:$CZ$1, 0)), $A5)</f>
        <v>0</v>
      </c>
      <c r="X5" s="434">
        <f>COUNTIF(INDEX('Project Configurations'!$E$1:$CZ$220, 0, MATCH(X$1, 'Project Configurations'!$E$1:$CZ$1, 0)), $A5)</f>
        <v>0</v>
      </c>
      <c r="Y5" s="434">
        <f>COUNTIF(INDEX('Project Configurations'!$E$1:$CZ$220, 0, MATCH(Y$1, 'Project Configurations'!$E$1:$CZ$1, 0)), $A5)</f>
        <v>0</v>
      </c>
      <c r="Z5" s="434">
        <f>COUNTIF(INDEX('Project Configurations'!$E$1:$CZ$220, 0, MATCH(Z$1, 'Project Configurations'!$E$1:$CZ$1, 0)), $A5)</f>
        <v>0</v>
      </c>
      <c r="AA5" s="434">
        <f>COUNTIF(INDEX('Project Configurations'!$E$1:$CZ$220, 0, MATCH(AA$1, 'Project Configurations'!$E$1:$CZ$1, 0)), $A5)</f>
        <v>0</v>
      </c>
      <c r="AB5" s="434">
        <f>COUNTIF(INDEX('Project Configurations'!$E$1:$CZ$220, 0, MATCH(AB$1, 'Project Configurations'!$E$1:$CZ$1, 0)), $A5)</f>
        <v>0</v>
      </c>
      <c r="AC5" s="434">
        <f>COUNTIF(INDEX('Project Configurations'!$E$1:$CZ$220, 0, MATCH(AC$1, 'Project Configurations'!$E$1:$CZ$1, 0)), $A5)</f>
        <v>0</v>
      </c>
      <c r="AD5" s="434">
        <f>COUNTIF(INDEX('Project Configurations'!$E$1:$CZ$220, 0, MATCH(AD$1, 'Project Configurations'!$E$1:$CZ$1, 0)), $A5)</f>
        <v>0</v>
      </c>
      <c r="AE5" s="434">
        <f>COUNTIF(INDEX('Project Configurations'!$E$1:$CZ$220, 0, MATCH(AE$1, 'Project Configurations'!$E$1:$CZ$1, 0)), $A5)</f>
        <v>0</v>
      </c>
      <c r="AF5" s="434">
        <f>COUNTIF(INDEX('Project Configurations'!$E$1:$CZ$220, 0, MATCH(AF$1, 'Project Configurations'!$E$1:$CZ$1, 0)), $A5)</f>
        <v>0</v>
      </c>
      <c r="AG5" s="434">
        <f>COUNTIF(INDEX('Project Configurations'!$E$1:$CZ$220, 0, MATCH(AG$1, 'Project Configurations'!$E$1:$CZ$1, 0)), $A5)</f>
        <v>1</v>
      </c>
      <c r="AH5" s="434">
        <f>COUNTIF(INDEX('Project Configurations'!$E$1:$CZ$220, 0, MATCH(AH$1, 'Project Configurations'!$E$1:$CZ$1, 0)), $A5)</f>
        <v>0</v>
      </c>
      <c r="AI5" s="434">
        <f>COUNTIF(INDEX('Project Configurations'!$E$1:$CZ$220, 0, MATCH(AI$1, 'Project Configurations'!$E$1:$CZ$1, 0)), $A5)</f>
        <v>0</v>
      </c>
      <c r="AJ5" s="434">
        <f>COUNTIF(INDEX('Project Configurations'!$E$1:$CZ$220, 0, MATCH(AJ$1, 'Project Configurations'!$E$1:$CZ$1, 0)), $A5)</f>
        <v>0</v>
      </c>
      <c r="AK5" s="434">
        <f>COUNTIF(INDEX('Project Configurations'!$E$1:$CZ$220, 0, MATCH(AK$1, 'Project Configurations'!$E$1:$CZ$1, 0)), $A5)</f>
        <v>0</v>
      </c>
      <c r="AL5" s="434">
        <f>COUNTIF(INDEX('Project Configurations'!$E$1:$CZ$220, 0, MATCH(AL$1, 'Project Configurations'!$E$1:$CZ$1, 0)), $A5)</f>
        <v>0</v>
      </c>
      <c r="AM5" s="434">
        <f>COUNTIF(INDEX('Project Configurations'!$E$1:$CZ$220, 0, MATCH(AM$1, 'Project Configurations'!$E$1:$CZ$1, 0)), $A5)</f>
        <v>0</v>
      </c>
      <c r="AN5" s="434">
        <f>COUNTIF(INDEX('Project Configurations'!$E$1:$CZ$220, 0, MATCH(AN$1, 'Project Configurations'!$E$1:$CZ$1, 0)), $A5)</f>
        <v>1</v>
      </c>
      <c r="AO5" s="434">
        <f>COUNTIF(INDEX('Project Configurations'!$E$1:$CZ$220, 0, MATCH(AO$1, 'Project Configurations'!$E$1:$CZ$1, 0)), $A5)</f>
        <v>0</v>
      </c>
      <c r="AP5" s="434">
        <f>COUNTIF(INDEX('Project Configurations'!$E$1:$CZ$220, 0, MATCH(AP$1, 'Project Configurations'!$E$1:$CZ$1, 0)), $A5)</f>
        <v>0</v>
      </c>
      <c r="AQ5" s="434">
        <f>COUNTIF(INDEX('Project Configurations'!$E$1:$CZ$220, 0, MATCH(AQ$1, 'Project Configurations'!$E$1:$CZ$1, 0)), $A5)</f>
        <v>1</v>
      </c>
      <c r="AR5" s="434">
        <f>COUNTIF(INDEX('Project Configurations'!$E$1:$CZ$220, 0, MATCH(AR$1, 'Project Configurations'!$E$1:$CZ$1, 0)), $A5)</f>
        <v>1</v>
      </c>
      <c r="AS5" s="434">
        <f>COUNTIF(INDEX('Project Configurations'!$E$1:$CZ$220, 0, MATCH(AS$1, 'Project Configurations'!$E$1:$CZ$1, 0)), $A5)</f>
        <v>1</v>
      </c>
      <c r="AT5" s="434">
        <f>COUNTIF(INDEX('Project Configurations'!$E$1:$CZ$220, 0, MATCH(AT$1, 'Project Configurations'!$E$1:$CZ$1, 0)), $A5)</f>
        <v>1</v>
      </c>
      <c r="AU5" s="434">
        <f>COUNTIF(INDEX('Project Configurations'!$E$1:$CZ$220, 0, MATCH(AU$1, 'Project Configurations'!$E$1:$CZ$1, 0)), $A5)</f>
        <v>1</v>
      </c>
      <c r="AV5" s="434">
        <f>COUNTIF(INDEX('Project Configurations'!$E$1:$CZ$220, 0, MATCH(AV$1, 'Project Configurations'!$E$1:$CZ$1, 0)), $A5)</f>
        <v>1</v>
      </c>
      <c r="AW5" s="434">
        <f>COUNTIF(INDEX('Project Configurations'!$E$1:$CZ$220, 0, MATCH(AW$1, 'Project Configurations'!$E$1:$CZ$1, 0)), $A5)</f>
        <v>1</v>
      </c>
      <c r="AX5" s="434">
        <f>COUNTIF(INDEX('Project Configurations'!$E$1:$CZ$220, 0, MATCH(AX$1, 'Project Configurations'!$E$1:$CZ$1, 0)), $A5)</f>
        <v>1</v>
      </c>
      <c r="AY5" s="434">
        <f>COUNTIF(INDEX('Project Configurations'!$E$1:$CZ$220, 0, MATCH(AY$1, 'Project Configurations'!$E$1:$CZ$1, 0)), $A5)</f>
        <v>1</v>
      </c>
      <c r="AZ5" s="434">
        <f>COUNTIF(INDEX('Project Configurations'!$E$1:$CZ$220, 0, MATCH(AZ$1, 'Project Configurations'!$E$1:$CZ$1, 0)), $A5)</f>
        <v>0</v>
      </c>
      <c r="BA5" s="434">
        <f>COUNTIF(INDEX('Project Configurations'!$E$1:$CZ$220, 0, MATCH(BA$1, 'Project Configurations'!$E$1:$CZ$1, 0)), $A5)</f>
        <v>0</v>
      </c>
      <c r="BB5" s="434">
        <f>COUNTIF(INDEX('Project Configurations'!$E$1:$CZ$220, 0, MATCH(BB$1, 'Project Configurations'!$E$1:$CZ$1, 0)), $A5)</f>
        <v>0</v>
      </c>
      <c r="BC5" s="434">
        <f>COUNTIF(INDEX('Project Configurations'!$E$1:$CZ$220, 0, MATCH(BC$1, 'Project Configurations'!$E$1:$CZ$1, 0)), $A5)</f>
        <v>0</v>
      </c>
      <c r="BD5" s="434">
        <f>COUNTIF(INDEX('Project Configurations'!$E$1:$CZ$220, 0, MATCH(BD$1, 'Project Configurations'!$E$1:$CZ$1, 0)), $A5)</f>
        <v>0</v>
      </c>
      <c r="BE5" s="434">
        <f>COUNTIF(INDEX('Project Configurations'!$E$1:$CZ$220, 0, MATCH(BE$1, 'Project Configurations'!$E$1:$CZ$1, 0)), $A5)</f>
        <v>0</v>
      </c>
      <c r="BF5" s="434">
        <f>COUNTIF(INDEX('Project Configurations'!$E$1:$CZ$220, 0, MATCH(BF$1, 'Project Configurations'!$E$1:$CZ$1, 0)), $A5)</f>
        <v>0</v>
      </c>
      <c r="BG5" s="434">
        <f>COUNTIF(INDEX('Project Configurations'!$E$1:$CZ$220, 0, MATCH(BG$1, 'Project Configurations'!$E$1:$CZ$1, 0)), $A5)</f>
        <v>0</v>
      </c>
      <c r="BH5" s="434">
        <f>COUNTIF(INDEX('Project Configurations'!$E$1:$CZ$220, 0, MATCH(BH$1, 'Project Configurations'!$E$1:$CZ$1, 0)), $A5)</f>
        <v>0</v>
      </c>
      <c r="BI5" s="434">
        <f>COUNTIF(INDEX('Project Configurations'!$E$1:$CZ$220, 0, MATCH(BI$1, 'Project Configurations'!$E$1:$CZ$1, 0)), $A5)</f>
        <v>0</v>
      </c>
      <c r="BJ5" s="434">
        <f>COUNTIF(INDEX('Project Configurations'!$E$1:$CZ$220, 0, MATCH(BJ$1, 'Project Configurations'!$E$1:$CZ$1, 0)), $A5)</f>
        <v>0</v>
      </c>
      <c r="BK5" s="434">
        <f>COUNTIF(INDEX('Project Configurations'!$E$1:$CZ$220, 0, MATCH(BK$1, 'Project Configurations'!$E$1:$CZ$1, 0)), $A5)</f>
        <v>0</v>
      </c>
      <c r="BL5" s="434">
        <f>COUNTIF(INDEX('Project Configurations'!$E$1:$CZ$220, 0, MATCH(BL$1, 'Project Configurations'!$E$1:$CZ$1, 0)), $A5)</f>
        <v>0</v>
      </c>
      <c r="BM5" s="434">
        <f>COUNTIF(INDEX('Project Configurations'!$E$1:$CZ$220, 0, MATCH(BM$1, 'Project Configurations'!$E$1:$CZ$1, 0)), $A5)</f>
        <v>0</v>
      </c>
      <c r="BN5" s="434">
        <f>COUNTIF(INDEX('Project Configurations'!$E$1:$CZ$220, 0, MATCH(BN$1, 'Project Configurations'!$E$1:$CZ$1, 0)), $A5)</f>
        <v>0</v>
      </c>
      <c r="BO5" s="434">
        <f>COUNTIF(INDEX('Project Configurations'!$E$1:$CZ$220, 0, MATCH(BO$1, 'Project Configurations'!$E$1:$CZ$1, 0)), $A5)</f>
        <v>0</v>
      </c>
      <c r="BP5" s="434">
        <f>COUNTIF(INDEX('Project Configurations'!$E$1:$CZ$220, 0, MATCH(BP$1, 'Project Configurations'!$E$1:$CZ$1, 0)), $A5)</f>
        <v>0</v>
      </c>
      <c r="BQ5" s="434">
        <f>COUNTIF(INDEX('Project Configurations'!$E$1:$CZ$220, 0, MATCH(BQ$1, 'Project Configurations'!$E$1:$CZ$1, 0)), $A5)</f>
        <v>0</v>
      </c>
      <c r="BR5" s="434">
        <f>COUNTIF(INDEX('Project Configurations'!$E$1:$CZ$220, 0, MATCH(BR$1, 'Project Configurations'!$E$1:$CZ$1, 0)), $A5)</f>
        <v>0</v>
      </c>
      <c r="BS5" s="434">
        <f>COUNTIF(INDEX('Project Configurations'!$E$1:$CZ$220, 0, MATCH(BS$1, 'Project Configurations'!$E$1:$CZ$1, 0)), $A5)</f>
        <v>0</v>
      </c>
      <c r="BT5" s="434">
        <f>COUNTIF(INDEX('Project Configurations'!$E$1:$CZ$220, 0, MATCH(BT$1, 'Project Configurations'!$E$1:$CZ$1, 0)), $A5)</f>
        <v>0</v>
      </c>
      <c r="BU5" s="434">
        <f>COUNTIF(INDEX('Project Configurations'!$E$1:$CZ$220, 0, MATCH(BU$1, 'Project Configurations'!$E$1:$CZ$1, 0)), $A5)</f>
        <v>0</v>
      </c>
      <c r="BV5" s="434">
        <f>COUNTIF(INDEX('Project Configurations'!$E$1:$CZ$220, 0, MATCH(BV$1, 'Project Configurations'!$E$1:$CZ$1, 0)), $A5)</f>
        <v>0</v>
      </c>
      <c r="BW5" s="434">
        <f>COUNTIF(INDEX('Project Configurations'!$E$1:$CZ$220, 0, MATCH(BW$1, 'Project Configurations'!$E$1:$CZ$1, 0)), $A5)</f>
        <v>0</v>
      </c>
      <c r="BX5" s="434">
        <f>COUNTIF(INDEX('Project Configurations'!$E$1:$CZ$220, 0, MATCH(BX$1, 'Project Configurations'!$E$1:$CZ$1, 0)), $A5)</f>
        <v>0</v>
      </c>
      <c r="BY5" s="434">
        <f>COUNTIF(INDEX('Project Configurations'!$E$1:$CZ$220, 0, MATCH(BY$1, 'Project Configurations'!$E$1:$CZ$1, 0)), $A5)</f>
        <v>0</v>
      </c>
      <c r="BZ5" s="434">
        <f>COUNTIF(INDEX('Project Configurations'!$E$1:$CZ$220, 0, MATCH(BZ$1, 'Project Configurations'!$E$1:$CZ$1, 0)), $A5)</f>
        <v>0</v>
      </c>
      <c r="CA5" s="434">
        <f>COUNTIF(INDEX('Project Configurations'!$E$1:$CZ$220, 0, MATCH(CA$1, 'Project Configurations'!$E$1:$CZ$1, 0)), $A5)</f>
        <v>0</v>
      </c>
      <c r="CB5" s="434">
        <f>COUNTIF(INDEX('Project Configurations'!$E$1:$CZ$220, 0, MATCH(CB$1, 'Project Configurations'!$E$1:$CZ$1, 0)), $A5)</f>
        <v>0</v>
      </c>
      <c r="CC5" s="434">
        <f>COUNTIF(INDEX('Project Configurations'!$E$1:$CZ$220, 0, MATCH(CC$1, 'Project Configurations'!$E$1:$CZ$1, 0)), $A5)</f>
        <v>0</v>
      </c>
      <c r="CD5" s="434">
        <f>COUNTIF(INDEX('Project Configurations'!$E$1:$CZ$220, 0, MATCH(CD$1, 'Project Configurations'!$E$1:$CZ$1, 0)), $A5)</f>
        <v>0</v>
      </c>
      <c r="CE5" s="434">
        <f>COUNTIF(INDEX('Project Configurations'!$E$1:$CZ$220, 0, MATCH(CE$1, 'Project Configurations'!$E$1:$CZ$1, 0)), $A5)</f>
        <v>0</v>
      </c>
      <c r="CF5" s="434">
        <f>COUNTIF(INDEX('Project Configurations'!$E$1:$CZ$220, 0, MATCH(CF$1, 'Project Configurations'!$E$1:$CZ$1, 0)), $A5)</f>
        <v>0</v>
      </c>
      <c r="CG5" s="434">
        <f>COUNTIF(INDEX('Project Configurations'!$E$1:$CZ$220, 0, MATCH(CG$1, 'Project Configurations'!$E$1:$CZ$1, 0)), $A5)</f>
        <v>0</v>
      </c>
      <c r="CH5" s="434">
        <f>COUNTIF(INDEX('Project Configurations'!$E$1:$CZ$220, 0, MATCH(CH$1, 'Project Configurations'!$E$1:$CZ$1, 0)), $A5)</f>
        <v>0</v>
      </c>
      <c r="CI5" s="434">
        <f>COUNTIF(INDEX('Project Configurations'!$E$1:$CZ$220, 0, MATCH(CI$1, 'Project Configurations'!$E$1:$CZ$1, 0)), $A5)</f>
        <v>0</v>
      </c>
      <c r="CJ5" s="434">
        <f>COUNTIF(INDEX('Project Configurations'!$E$1:$CZ$220, 0, MATCH(CJ$1, 'Project Configurations'!$E$1:$CZ$1, 0)), $A5)</f>
        <v>0</v>
      </c>
      <c r="CK5" s="434">
        <f>COUNTIF(INDEX('Project Configurations'!$E$1:$CZ$220, 0, MATCH(CK$1, 'Project Configurations'!$E$1:$CZ$1, 0)), $A5)</f>
        <v>0</v>
      </c>
      <c r="CL5" s="434">
        <f>COUNTIF(INDEX('Project Configurations'!$E$1:$CZ$220, 0, MATCH(CL$1, 'Project Configurations'!$E$1:$CZ$1, 0)), $A5)</f>
        <v>0</v>
      </c>
      <c r="CM5" s="434">
        <f>COUNTIF(INDEX('Project Configurations'!$E$1:$CZ$220, 0, MATCH(CM$1, 'Project Configurations'!$E$1:$CZ$1, 0)), $A5)</f>
        <v>0</v>
      </c>
      <c r="CN5" s="434">
        <f>COUNTIF(INDEX('Project Configurations'!$E$1:$CZ$220, 0, MATCH(CN$1, 'Project Configurations'!$E$1:$CZ$1, 0)), $A5)</f>
        <v>0</v>
      </c>
      <c r="CO5" s="434">
        <f>COUNTIF(INDEX('Project Configurations'!$E$1:$CZ$220, 0, MATCH(CO$1, 'Project Configurations'!$E$1:$CZ$1, 0)), $A5)</f>
        <v>0</v>
      </c>
      <c r="CP5" s="434">
        <f>COUNTIF(INDEX('Project Configurations'!$E$1:$CZ$220, 0, MATCH(CP$1, 'Project Configurations'!$E$1:$CZ$1, 0)), $A5)</f>
        <v>0</v>
      </c>
      <c r="CQ5" s="434">
        <f>COUNTIF(INDEX('Project Configurations'!$E$1:$CZ$220, 0, MATCH(CQ$1, 'Project Configurations'!$E$1:$CZ$1, 0)), $A5)</f>
        <v>0</v>
      </c>
      <c r="CR5" s="434">
        <f>COUNTIF(INDEX('Project Configurations'!$E$1:$CZ$220, 0, MATCH(CR$1, 'Project Configurations'!$E$1:$CZ$1, 0)), $A5)</f>
        <v>0</v>
      </c>
      <c r="CS5" s="434">
        <f>COUNTIF(INDEX('Project Configurations'!$E$1:$CZ$220, 0, MATCH(CS$1, 'Project Configurations'!$E$1:$CZ$1, 0)), $A5)</f>
        <v>0</v>
      </c>
      <c r="CT5" s="434">
        <f>COUNTIF(INDEX('Project Configurations'!$E$1:$CZ$220, 0, MATCH(CT$1, 'Project Configurations'!$E$1:$CZ$1, 0)), $A5)</f>
        <v>0</v>
      </c>
      <c r="CU5" s="434">
        <f>COUNTIF(INDEX('Project Configurations'!$E$1:$CZ$220, 0, MATCH(CU$1, 'Project Configurations'!$E$1:$CZ$1, 0)), $A5)</f>
        <v>0</v>
      </c>
      <c r="CV5" s="434">
        <f>COUNTIF(INDEX('Project Configurations'!$E$1:$CZ$220, 0, MATCH(CV$1, 'Project Configurations'!$E$1:$CZ$1, 0)), $A5)</f>
        <v>0</v>
      </c>
    </row>
    <row r="6" spans="1:100">
      <c r="A6" s="435" t="s">
        <v>548</v>
      </c>
      <c r="B6" s="434">
        <f>COUNTIF(INDEX('Project Configurations'!$E$1:$CZ$220, 0, MATCH(B$1, 'Project Configurations'!$E$1:$CZ$1, 0)), $A6)</f>
        <v>0</v>
      </c>
      <c r="C6" s="434">
        <f>COUNTIF(INDEX('Project Configurations'!$E$1:$CZ$220, 0, MATCH(C$1, 'Project Configurations'!$E$1:$CZ$1, 0)), $A6)</f>
        <v>0</v>
      </c>
      <c r="D6" s="434">
        <f>COUNTIF(INDEX('Project Configurations'!$E$1:$CZ$220, 0, MATCH(D$1, 'Project Configurations'!$E$1:$CZ$1, 0)), $A6)</f>
        <v>0</v>
      </c>
      <c r="E6" s="434">
        <f>COUNTIF(INDEX('Project Configurations'!$E$1:$CZ$220, 0, MATCH(E$1, 'Project Configurations'!$E$1:$CZ$1, 0)), $A6)</f>
        <v>0</v>
      </c>
      <c r="F6" s="434">
        <f>COUNTIF(INDEX('Project Configurations'!$E$1:$CZ$220, 0, MATCH(F$1, 'Project Configurations'!$E$1:$CZ$1, 0)), $A6)</f>
        <v>0</v>
      </c>
      <c r="G6" s="434">
        <f>COUNTIF(INDEX('Project Configurations'!$E$1:$CZ$220, 0, MATCH(G$1, 'Project Configurations'!$E$1:$CZ$1, 0)), $A6)</f>
        <v>0</v>
      </c>
      <c r="H6" s="434">
        <f>COUNTIF(INDEX('Project Configurations'!$E$1:$CZ$220, 0, MATCH(H$1, 'Project Configurations'!$E$1:$CZ$1, 0)), $A6)</f>
        <v>0</v>
      </c>
      <c r="I6" s="434">
        <f>COUNTIF(INDEX('Project Configurations'!$E$1:$CZ$220, 0, MATCH(I$1, 'Project Configurations'!$E$1:$CZ$1, 0)), $A6)</f>
        <v>0</v>
      </c>
      <c r="J6" s="434">
        <f>COUNTIF(INDEX('Project Configurations'!$E$1:$CZ$220, 0, MATCH(J$1, 'Project Configurations'!$E$1:$CZ$1, 0)), $A6)</f>
        <v>0</v>
      </c>
      <c r="K6" s="434">
        <f>COUNTIF(INDEX('Project Configurations'!$E$1:$CZ$220, 0, MATCH(K$1, 'Project Configurations'!$E$1:$CZ$1, 0)), $A6)</f>
        <v>0</v>
      </c>
      <c r="L6" s="434">
        <f>COUNTIF(INDEX('Project Configurations'!$E$1:$CZ$220, 0, MATCH(L$1, 'Project Configurations'!$E$1:$CZ$1, 0)), $A6)</f>
        <v>0</v>
      </c>
      <c r="M6" s="434">
        <f>COUNTIF(INDEX('Project Configurations'!$E$1:$CZ$220, 0, MATCH(M$1, 'Project Configurations'!$E$1:$CZ$1, 0)), $A6)</f>
        <v>0</v>
      </c>
      <c r="N6" s="434">
        <f>COUNTIF(INDEX('Project Configurations'!$E$1:$CZ$220, 0, MATCH(N$1, 'Project Configurations'!$E$1:$CZ$1, 0)), $A6)</f>
        <v>0</v>
      </c>
      <c r="O6" s="434">
        <f>COUNTIF(INDEX('Project Configurations'!$E$1:$CZ$220, 0, MATCH(O$1, 'Project Configurations'!$E$1:$CZ$1, 0)), $A6)</f>
        <v>0</v>
      </c>
      <c r="P6" s="434">
        <f>COUNTIF(INDEX('Project Configurations'!$E$1:$CZ$220, 0, MATCH(P$1, 'Project Configurations'!$E$1:$CZ$1, 0)), $A6)</f>
        <v>0</v>
      </c>
      <c r="Q6" s="434">
        <f>COUNTIF(INDEX('Project Configurations'!$E$1:$CZ$220, 0, MATCH(Q$1, 'Project Configurations'!$E$1:$CZ$1, 0)), $A6)</f>
        <v>0</v>
      </c>
      <c r="R6" s="434">
        <f>COUNTIF(INDEX('Project Configurations'!$E$1:$CZ$220, 0, MATCH(R$1, 'Project Configurations'!$E$1:$CZ$1, 0)), $A6)</f>
        <v>0</v>
      </c>
      <c r="S6" s="434">
        <f>COUNTIF(INDEX('Project Configurations'!$E$1:$CZ$220, 0, MATCH(S$1, 'Project Configurations'!$E$1:$CZ$1, 0)), $A6)</f>
        <v>0</v>
      </c>
      <c r="T6" s="434">
        <f>COUNTIF(INDEX('Project Configurations'!$E$1:$CZ$220, 0, MATCH(T$1, 'Project Configurations'!$E$1:$CZ$1, 0)), $A6)</f>
        <v>0</v>
      </c>
      <c r="U6" s="434">
        <f>COUNTIF(INDEX('Project Configurations'!$E$1:$CZ$220, 0, MATCH(U$1, 'Project Configurations'!$E$1:$CZ$1, 0)), $A6)</f>
        <v>0</v>
      </c>
      <c r="V6" s="434">
        <f>COUNTIF(INDEX('Project Configurations'!$E$1:$CZ$220, 0, MATCH(V$1, 'Project Configurations'!$E$1:$CZ$1, 0)), $A6)</f>
        <v>0</v>
      </c>
      <c r="W6" s="434">
        <f>COUNTIF(INDEX('Project Configurations'!$E$1:$CZ$220, 0, MATCH(W$1, 'Project Configurations'!$E$1:$CZ$1, 0)), $A6)</f>
        <v>0</v>
      </c>
      <c r="X6" s="434">
        <f>COUNTIF(INDEX('Project Configurations'!$E$1:$CZ$220, 0, MATCH(X$1, 'Project Configurations'!$E$1:$CZ$1, 0)), $A6)</f>
        <v>0</v>
      </c>
      <c r="Y6" s="434">
        <f>COUNTIF(INDEX('Project Configurations'!$E$1:$CZ$220, 0, MATCH(Y$1, 'Project Configurations'!$E$1:$CZ$1, 0)), $A6)</f>
        <v>0</v>
      </c>
      <c r="Z6" s="434">
        <f>COUNTIF(INDEX('Project Configurations'!$E$1:$CZ$220, 0, MATCH(Z$1, 'Project Configurations'!$E$1:$CZ$1, 0)), $A6)</f>
        <v>0</v>
      </c>
      <c r="AA6" s="434">
        <f>COUNTIF(INDEX('Project Configurations'!$E$1:$CZ$220, 0, MATCH(AA$1, 'Project Configurations'!$E$1:$CZ$1, 0)), $A6)</f>
        <v>0</v>
      </c>
      <c r="AB6" s="434">
        <f>COUNTIF(INDEX('Project Configurations'!$E$1:$CZ$220, 0, MATCH(AB$1, 'Project Configurations'!$E$1:$CZ$1, 0)), $A6)</f>
        <v>0</v>
      </c>
      <c r="AC6" s="434">
        <f>COUNTIF(INDEX('Project Configurations'!$E$1:$CZ$220, 0, MATCH(AC$1, 'Project Configurations'!$E$1:$CZ$1, 0)), $A6)</f>
        <v>0</v>
      </c>
      <c r="AD6" s="434">
        <f>COUNTIF(INDEX('Project Configurations'!$E$1:$CZ$220, 0, MATCH(AD$1, 'Project Configurations'!$E$1:$CZ$1, 0)), $A6)</f>
        <v>0</v>
      </c>
      <c r="AE6" s="434">
        <f>COUNTIF(INDEX('Project Configurations'!$E$1:$CZ$220, 0, MATCH(AE$1, 'Project Configurations'!$E$1:$CZ$1, 0)), $A6)</f>
        <v>0</v>
      </c>
      <c r="AF6" s="434">
        <f>COUNTIF(INDEX('Project Configurations'!$E$1:$CZ$220, 0, MATCH(AF$1, 'Project Configurations'!$E$1:$CZ$1, 0)), $A6)</f>
        <v>0</v>
      </c>
      <c r="AG6" s="434">
        <f>COUNTIF(INDEX('Project Configurations'!$E$1:$CZ$220, 0, MATCH(AG$1, 'Project Configurations'!$E$1:$CZ$1, 0)), $A6)</f>
        <v>0</v>
      </c>
      <c r="AH6" s="434">
        <f>COUNTIF(INDEX('Project Configurations'!$E$1:$CZ$220, 0, MATCH(AH$1, 'Project Configurations'!$E$1:$CZ$1, 0)), $A6)</f>
        <v>0</v>
      </c>
      <c r="AI6" s="434">
        <f>COUNTIF(INDEX('Project Configurations'!$E$1:$CZ$220, 0, MATCH(AI$1, 'Project Configurations'!$E$1:$CZ$1, 0)), $A6)</f>
        <v>0</v>
      </c>
      <c r="AJ6" s="434">
        <f>COUNTIF(INDEX('Project Configurations'!$E$1:$CZ$220, 0, MATCH(AJ$1, 'Project Configurations'!$E$1:$CZ$1, 0)), $A6)</f>
        <v>0</v>
      </c>
      <c r="AK6" s="434">
        <f>COUNTIF(INDEX('Project Configurations'!$E$1:$CZ$220, 0, MATCH(AK$1, 'Project Configurations'!$E$1:$CZ$1, 0)), $A6)</f>
        <v>0</v>
      </c>
      <c r="AL6" s="434">
        <f>COUNTIF(INDEX('Project Configurations'!$E$1:$CZ$220, 0, MATCH(AL$1, 'Project Configurations'!$E$1:$CZ$1, 0)), $A6)</f>
        <v>0</v>
      </c>
      <c r="AM6" s="434">
        <f>COUNTIF(INDEX('Project Configurations'!$E$1:$CZ$220, 0, MATCH(AM$1, 'Project Configurations'!$E$1:$CZ$1, 0)), $A6)</f>
        <v>0</v>
      </c>
      <c r="AN6" s="434">
        <f>COUNTIF(INDEX('Project Configurations'!$E$1:$CZ$220, 0, MATCH(AN$1, 'Project Configurations'!$E$1:$CZ$1, 0)), $A6)</f>
        <v>0</v>
      </c>
      <c r="AO6" s="434">
        <f>COUNTIF(INDEX('Project Configurations'!$E$1:$CZ$220, 0, MATCH(AO$1, 'Project Configurations'!$E$1:$CZ$1, 0)), $A6)</f>
        <v>0</v>
      </c>
      <c r="AP6" s="434">
        <f>COUNTIF(INDEX('Project Configurations'!$E$1:$CZ$220, 0, MATCH(AP$1, 'Project Configurations'!$E$1:$CZ$1, 0)), $A6)</f>
        <v>0</v>
      </c>
      <c r="AQ6" s="434">
        <f>COUNTIF(INDEX('Project Configurations'!$E$1:$CZ$220, 0, MATCH(AQ$1, 'Project Configurations'!$E$1:$CZ$1, 0)), $A6)</f>
        <v>0</v>
      </c>
      <c r="AR6" s="434">
        <f>COUNTIF(INDEX('Project Configurations'!$E$1:$CZ$220, 0, MATCH(AR$1, 'Project Configurations'!$E$1:$CZ$1, 0)), $A6)</f>
        <v>0</v>
      </c>
      <c r="AS6" s="434">
        <f>COUNTIF(INDEX('Project Configurations'!$E$1:$CZ$220, 0, MATCH(AS$1, 'Project Configurations'!$E$1:$CZ$1, 0)), $A6)</f>
        <v>0</v>
      </c>
      <c r="AT6" s="434">
        <f>COUNTIF(INDEX('Project Configurations'!$E$1:$CZ$220, 0, MATCH(AT$1, 'Project Configurations'!$E$1:$CZ$1, 0)), $A6)</f>
        <v>0</v>
      </c>
      <c r="AU6" s="434">
        <f>COUNTIF(INDEX('Project Configurations'!$E$1:$CZ$220, 0, MATCH(AU$1, 'Project Configurations'!$E$1:$CZ$1, 0)), $A6)</f>
        <v>0</v>
      </c>
      <c r="AV6" s="434">
        <f>COUNTIF(INDEX('Project Configurations'!$E$1:$CZ$220, 0, MATCH(AV$1, 'Project Configurations'!$E$1:$CZ$1, 0)), $A6)</f>
        <v>0</v>
      </c>
      <c r="AW6" s="434">
        <f>COUNTIF(INDEX('Project Configurations'!$E$1:$CZ$220, 0, MATCH(AW$1, 'Project Configurations'!$E$1:$CZ$1, 0)), $A6)</f>
        <v>0</v>
      </c>
      <c r="AX6" s="434">
        <f>COUNTIF(INDEX('Project Configurations'!$E$1:$CZ$220, 0, MATCH(AX$1, 'Project Configurations'!$E$1:$CZ$1, 0)), $A6)</f>
        <v>0</v>
      </c>
      <c r="AY6" s="434">
        <f>COUNTIF(INDEX('Project Configurations'!$E$1:$CZ$220, 0, MATCH(AY$1, 'Project Configurations'!$E$1:$CZ$1, 0)), $A6)</f>
        <v>0</v>
      </c>
      <c r="AZ6" s="434">
        <f>COUNTIF(INDEX('Project Configurations'!$E$1:$CZ$220, 0, MATCH(AZ$1, 'Project Configurations'!$E$1:$CZ$1, 0)), $A6)</f>
        <v>0</v>
      </c>
      <c r="BA6" s="434">
        <f>COUNTIF(INDEX('Project Configurations'!$E$1:$CZ$220, 0, MATCH(BA$1, 'Project Configurations'!$E$1:$CZ$1, 0)), $A6)</f>
        <v>0</v>
      </c>
      <c r="BB6" s="434">
        <f>COUNTIF(INDEX('Project Configurations'!$E$1:$CZ$220, 0, MATCH(BB$1, 'Project Configurations'!$E$1:$CZ$1, 0)), $A6)</f>
        <v>0</v>
      </c>
      <c r="BC6" s="434">
        <f>COUNTIF(INDEX('Project Configurations'!$E$1:$CZ$220, 0, MATCH(BC$1, 'Project Configurations'!$E$1:$CZ$1, 0)), $A6)</f>
        <v>0</v>
      </c>
      <c r="BD6" s="434">
        <f>COUNTIF(INDEX('Project Configurations'!$E$1:$CZ$220, 0, MATCH(BD$1, 'Project Configurations'!$E$1:$CZ$1, 0)), $A6)</f>
        <v>0</v>
      </c>
      <c r="BE6" s="434">
        <f>COUNTIF(INDEX('Project Configurations'!$E$1:$CZ$220, 0, MATCH(BE$1, 'Project Configurations'!$E$1:$CZ$1, 0)), $A6)</f>
        <v>0</v>
      </c>
      <c r="BF6" s="434">
        <f>COUNTIF(INDEX('Project Configurations'!$E$1:$CZ$220, 0, MATCH(BF$1, 'Project Configurations'!$E$1:$CZ$1, 0)), $A6)</f>
        <v>0</v>
      </c>
      <c r="BG6" s="434">
        <f>COUNTIF(INDEX('Project Configurations'!$E$1:$CZ$220, 0, MATCH(BG$1, 'Project Configurations'!$E$1:$CZ$1, 0)), $A6)</f>
        <v>0</v>
      </c>
      <c r="BH6" s="434">
        <f>COUNTIF(INDEX('Project Configurations'!$E$1:$CZ$220, 0, MATCH(BH$1, 'Project Configurations'!$E$1:$CZ$1, 0)), $A6)</f>
        <v>0</v>
      </c>
      <c r="BI6" s="434">
        <f>COUNTIF(INDEX('Project Configurations'!$E$1:$CZ$220, 0, MATCH(BI$1, 'Project Configurations'!$E$1:$CZ$1, 0)), $A6)</f>
        <v>0</v>
      </c>
      <c r="BJ6" s="434">
        <f>COUNTIF(INDEX('Project Configurations'!$E$1:$CZ$220, 0, MATCH(BJ$1, 'Project Configurations'!$E$1:$CZ$1, 0)), $A6)</f>
        <v>0</v>
      </c>
      <c r="BK6" s="434">
        <f>COUNTIF(INDEX('Project Configurations'!$E$1:$CZ$220, 0, MATCH(BK$1, 'Project Configurations'!$E$1:$CZ$1, 0)), $A6)</f>
        <v>0</v>
      </c>
      <c r="BL6" s="434">
        <f>COUNTIF(INDEX('Project Configurations'!$E$1:$CZ$220, 0, MATCH(BL$1, 'Project Configurations'!$E$1:$CZ$1, 0)), $A6)</f>
        <v>0</v>
      </c>
      <c r="BM6" s="434">
        <f>COUNTIF(INDEX('Project Configurations'!$E$1:$CZ$220, 0, MATCH(BM$1, 'Project Configurations'!$E$1:$CZ$1, 0)), $A6)</f>
        <v>0</v>
      </c>
      <c r="BN6" s="434">
        <f>COUNTIF(INDEX('Project Configurations'!$E$1:$CZ$220, 0, MATCH(BN$1, 'Project Configurations'!$E$1:$CZ$1, 0)), $A6)</f>
        <v>0</v>
      </c>
      <c r="BO6" s="434">
        <f>COUNTIF(INDEX('Project Configurations'!$E$1:$CZ$220, 0, MATCH(BO$1, 'Project Configurations'!$E$1:$CZ$1, 0)), $A6)</f>
        <v>0</v>
      </c>
      <c r="BP6" s="434">
        <f>COUNTIF(INDEX('Project Configurations'!$E$1:$CZ$220, 0, MATCH(BP$1, 'Project Configurations'!$E$1:$CZ$1, 0)), $A6)</f>
        <v>0</v>
      </c>
      <c r="BQ6" s="434">
        <f>COUNTIF(INDEX('Project Configurations'!$E$1:$CZ$220, 0, MATCH(BQ$1, 'Project Configurations'!$E$1:$CZ$1, 0)), $A6)</f>
        <v>0</v>
      </c>
      <c r="BR6" s="434">
        <f>COUNTIF(INDEX('Project Configurations'!$E$1:$CZ$220, 0, MATCH(BR$1, 'Project Configurations'!$E$1:$CZ$1, 0)), $A6)</f>
        <v>0</v>
      </c>
      <c r="BS6" s="434">
        <f>COUNTIF(INDEX('Project Configurations'!$E$1:$CZ$220, 0, MATCH(BS$1, 'Project Configurations'!$E$1:$CZ$1, 0)), $A6)</f>
        <v>1</v>
      </c>
      <c r="BT6" s="434">
        <f>COUNTIF(INDEX('Project Configurations'!$E$1:$CZ$220, 0, MATCH(BT$1, 'Project Configurations'!$E$1:$CZ$1, 0)), $A6)</f>
        <v>0</v>
      </c>
      <c r="BU6" s="434">
        <f>COUNTIF(INDEX('Project Configurations'!$E$1:$CZ$220, 0, MATCH(BU$1, 'Project Configurations'!$E$1:$CZ$1, 0)), $A6)</f>
        <v>0</v>
      </c>
      <c r="BV6" s="434">
        <f>COUNTIF(INDEX('Project Configurations'!$E$1:$CZ$220, 0, MATCH(BV$1, 'Project Configurations'!$E$1:$CZ$1, 0)), $A6)</f>
        <v>0</v>
      </c>
      <c r="BW6" s="434">
        <f>COUNTIF(INDEX('Project Configurations'!$E$1:$CZ$220, 0, MATCH(BW$1, 'Project Configurations'!$E$1:$CZ$1, 0)), $A6)</f>
        <v>0</v>
      </c>
      <c r="BX6" s="434">
        <f>COUNTIF(INDEX('Project Configurations'!$E$1:$CZ$220, 0, MATCH(BX$1, 'Project Configurations'!$E$1:$CZ$1, 0)), $A6)</f>
        <v>0</v>
      </c>
      <c r="BY6" s="434">
        <f>COUNTIF(INDEX('Project Configurations'!$E$1:$CZ$220, 0, MATCH(BY$1, 'Project Configurations'!$E$1:$CZ$1, 0)), $A6)</f>
        <v>0</v>
      </c>
      <c r="BZ6" s="434">
        <f>COUNTIF(INDEX('Project Configurations'!$E$1:$CZ$220, 0, MATCH(BZ$1, 'Project Configurations'!$E$1:$CZ$1, 0)), $A6)</f>
        <v>0</v>
      </c>
      <c r="CA6" s="434">
        <f>COUNTIF(INDEX('Project Configurations'!$E$1:$CZ$220, 0, MATCH(CA$1, 'Project Configurations'!$E$1:$CZ$1, 0)), $A6)</f>
        <v>0</v>
      </c>
      <c r="CB6" s="434">
        <f>COUNTIF(INDEX('Project Configurations'!$E$1:$CZ$220, 0, MATCH(CB$1, 'Project Configurations'!$E$1:$CZ$1, 0)), $A6)</f>
        <v>0</v>
      </c>
      <c r="CC6" s="434">
        <f>COUNTIF(INDEX('Project Configurations'!$E$1:$CZ$220, 0, MATCH(CC$1, 'Project Configurations'!$E$1:$CZ$1, 0)), $A6)</f>
        <v>0</v>
      </c>
      <c r="CD6" s="434">
        <f>COUNTIF(INDEX('Project Configurations'!$E$1:$CZ$220, 0, MATCH(CD$1, 'Project Configurations'!$E$1:$CZ$1, 0)), $A6)</f>
        <v>1</v>
      </c>
      <c r="CE6" s="434">
        <f>COUNTIF(INDEX('Project Configurations'!$E$1:$CZ$220, 0, MATCH(CE$1, 'Project Configurations'!$E$1:$CZ$1, 0)), $A6)</f>
        <v>1</v>
      </c>
      <c r="CF6" s="434">
        <f>COUNTIF(INDEX('Project Configurations'!$E$1:$CZ$220, 0, MATCH(CF$1, 'Project Configurations'!$E$1:$CZ$1, 0)), $A6)</f>
        <v>1</v>
      </c>
      <c r="CG6" s="434">
        <f>COUNTIF(INDEX('Project Configurations'!$E$1:$CZ$220, 0, MATCH(CG$1, 'Project Configurations'!$E$1:$CZ$1, 0)), $A6)</f>
        <v>0</v>
      </c>
      <c r="CH6" s="434">
        <f>COUNTIF(INDEX('Project Configurations'!$E$1:$CZ$220, 0, MATCH(CH$1, 'Project Configurations'!$E$1:$CZ$1, 0)), $A6)</f>
        <v>3</v>
      </c>
      <c r="CI6" s="434">
        <f>COUNTIF(INDEX('Project Configurations'!$E$1:$CZ$220, 0, MATCH(CI$1, 'Project Configurations'!$E$1:$CZ$1, 0)), $A6)</f>
        <v>0</v>
      </c>
      <c r="CJ6" s="434">
        <f>COUNTIF(INDEX('Project Configurations'!$E$1:$CZ$220, 0, MATCH(CJ$1, 'Project Configurations'!$E$1:$CZ$1, 0)), $A6)</f>
        <v>0</v>
      </c>
      <c r="CK6" s="434">
        <f>COUNTIF(INDEX('Project Configurations'!$E$1:$CZ$220, 0, MATCH(CK$1, 'Project Configurations'!$E$1:$CZ$1, 0)), $A6)</f>
        <v>0</v>
      </c>
      <c r="CL6" s="434">
        <f>COUNTIF(INDEX('Project Configurations'!$E$1:$CZ$220, 0, MATCH(CL$1, 'Project Configurations'!$E$1:$CZ$1, 0)), $A6)</f>
        <v>0</v>
      </c>
      <c r="CM6" s="434">
        <f>COUNTIF(INDEX('Project Configurations'!$E$1:$CZ$220, 0, MATCH(CM$1, 'Project Configurations'!$E$1:$CZ$1, 0)), $A6)</f>
        <v>0</v>
      </c>
      <c r="CN6" s="434">
        <f>COUNTIF(INDEX('Project Configurations'!$E$1:$CZ$220, 0, MATCH(CN$1, 'Project Configurations'!$E$1:$CZ$1, 0)), $A6)</f>
        <v>0</v>
      </c>
      <c r="CO6" s="434">
        <f>COUNTIF(INDEX('Project Configurations'!$E$1:$CZ$220, 0, MATCH(CO$1, 'Project Configurations'!$E$1:$CZ$1, 0)), $A6)</f>
        <v>0</v>
      </c>
      <c r="CP6" s="434">
        <f>COUNTIF(INDEX('Project Configurations'!$E$1:$CZ$220, 0, MATCH(CP$1, 'Project Configurations'!$E$1:$CZ$1, 0)), $A6)</f>
        <v>0</v>
      </c>
      <c r="CQ6" s="434">
        <f>COUNTIF(INDEX('Project Configurations'!$E$1:$CZ$220, 0, MATCH(CQ$1, 'Project Configurations'!$E$1:$CZ$1, 0)), $A6)</f>
        <v>0</v>
      </c>
      <c r="CR6" s="434">
        <f>COUNTIF(INDEX('Project Configurations'!$E$1:$CZ$220, 0, MATCH(CR$1, 'Project Configurations'!$E$1:$CZ$1, 0)), $A6)</f>
        <v>0</v>
      </c>
      <c r="CS6" s="434">
        <f>COUNTIF(INDEX('Project Configurations'!$E$1:$CZ$220, 0, MATCH(CS$1, 'Project Configurations'!$E$1:$CZ$1, 0)), $A6)</f>
        <v>0</v>
      </c>
      <c r="CT6" s="434">
        <f>COUNTIF(INDEX('Project Configurations'!$E$1:$CZ$220, 0, MATCH(CT$1, 'Project Configurations'!$E$1:$CZ$1, 0)), $A6)</f>
        <v>0</v>
      </c>
      <c r="CU6" s="434">
        <f>COUNTIF(INDEX('Project Configurations'!$E$1:$CZ$220, 0, MATCH(CU$1, 'Project Configurations'!$E$1:$CZ$1, 0)), $A6)</f>
        <v>0</v>
      </c>
      <c r="CV6" s="434">
        <f>COUNTIF(INDEX('Project Configurations'!$E$1:$CZ$220, 0, MATCH(CV$1, 'Project Configurations'!$E$1:$CZ$1, 0)), $A6)</f>
        <v>0</v>
      </c>
    </row>
    <row r="7" spans="1:100">
      <c r="A7" s="435" t="s">
        <v>549</v>
      </c>
      <c r="B7" s="434">
        <f>COUNTIF(INDEX('Project Configurations'!$E$1:$CZ$220, 0, MATCH(B$1, 'Project Configurations'!$E$1:$CZ$1, 0)), $A7)</f>
        <v>4</v>
      </c>
      <c r="C7" s="434">
        <f>COUNTIF(INDEX('Project Configurations'!$E$1:$CZ$220, 0, MATCH(C$1, 'Project Configurations'!$E$1:$CZ$1, 0)), $A7)</f>
        <v>4</v>
      </c>
      <c r="D7" s="434">
        <f>COUNTIF(INDEX('Project Configurations'!$E$1:$CZ$220, 0, MATCH(D$1, 'Project Configurations'!$E$1:$CZ$1, 0)), $A7)</f>
        <v>2</v>
      </c>
      <c r="E7" s="434">
        <f>COUNTIF(INDEX('Project Configurations'!$E$1:$CZ$220, 0, MATCH(E$1, 'Project Configurations'!$E$1:$CZ$1, 0)), $A7)</f>
        <v>2</v>
      </c>
      <c r="F7" s="434">
        <f>COUNTIF(INDEX('Project Configurations'!$E$1:$CZ$220, 0, MATCH(F$1, 'Project Configurations'!$E$1:$CZ$1, 0)), $A7)</f>
        <v>2</v>
      </c>
      <c r="G7" s="434">
        <f>COUNTIF(INDEX('Project Configurations'!$E$1:$CZ$220, 0, MATCH(G$1, 'Project Configurations'!$E$1:$CZ$1, 0)), $A7)</f>
        <v>2</v>
      </c>
      <c r="H7" s="434">
        <f>COUNTIF(INDEX('Project Configurations'!$E$1:$CZ$220, 0, MATCH(H$1, 'Project Configurations'!$E$1:$CZ$1, 0)), $A7)</f>
        <v>4</v>
      </c>
      <c r="I7" s="434">
        <f>COUNTIF(INDEX('Project Configurations'!$E$1:$CZ$220, 0, MATCH(I$1, 'Project Configurations'!$E$1:$CZ$1, 0)), $A7)</f>
        <v>4</v>
      </c>
      <c r="J7" s="434">
        <f>COUNTIF(INDEX('Project Configurations'!$E$1:$CZ$220, 0, MATCH(J$1, 'Project Configurations'!$E$1:$CZ$1, 0)), $A7)</f>
        <v>4</v>
      </c>
      <c r="K7" s="434">
        <f>COUNTIF(INDEX('Project Configurations'!$E$1:$CZ$220, 0, MATCH(K$1, 'Project Configurations'!$E$1:$CZ$1, 0)), $A7)</f>
        <v>4</v>
      </c>
      <c r="L7" s="434">
        <f>COUNTIF(INDEX('Project Configurations'!$E$1:$CZ$220, 0, MATCH(L$1, 'Project Configurations'!$E$1:$CZ$1, 0)), $A7)</f>
        <v>4</v>
      </c>
      <c r="M7" s="434">
        <f>COUNTIF(INDEX('Project Configurations'!$E$1:$CZ$220, 0, MATCH(M$1, 'Project Configurations'!$E$1:$CZ$1, 0)), $A7)</f>
        <v>4</v>
      </c>
      <c r="N7" s="434">
        <f>COUNTIF(INDEX('Project Configurations'!$E$1:$CZ$220, 0, MATCH(N$1, 'Project Configurations'!$E$1:$CZ$1, 0)), $A7)</f>
        <v>4</v>
      </c>
      <c r="O7" s="434">
        <f>COUNTIF(INDEX('Project Configurations'!$E$1:$CZ$220, 0, MATCH(O$1, 'Project Configurations'!$E$1:$CZ$1, 0)), $A7)</f>
        <v>5</v>
      </c>
      <c r="P7" s="434">
        <f>COUNTIF(INDEX('Project Configurations'!$E$1:$CZ$220, 0, MATCH(P$1, 'Project Configurations'!$E$1:$CZ$1, 0)), $A7)</f>
        <v>5</v>
      </c>
      <c r="Q7" s="434">
        <f>COUNTIF(INDEX('Project Configurations'!$E$1:$CZ$220, 0, MATCH(Q$1, 'Project Configurations'!$E$1:$CZ$1, 0)), $A7)</f>
        <v>3</v>
      </c>
      <c r="R7" s="434">
        <f>COUNTIF(INDEX('Project Configurations'!$E$1:$CZ$220, 0, MATCH(R$1, 'Project Configurations'!$E$1:$CZ$1, 0)), $A7)</f>
        <v>3</v>
      </c>
      <c r="S7" s="434">
        <f>COUNTIF(INDEX('Project Configurations'!$E$1:$CZ$220, 0, MATCH(S$1, 'Project Configurations'!$E$1:$CZ$1, 0)), $A7)</f>
        <v>3</v>
      </c>
      <c r="T7" s="434">
        <f>COUNTIF(INDEX('Project Configurations'!$E$1:$CZ$220, 0, MATCH(T$1, 'Project Configurations'!$E$1:$CZ$1, 0)), $A7)</f>
        <v>3</v>
      </c>
      <c r="U7" s="434">
        <f>COUNTIF(INDEX('Project Configurations'!$E$1:$CZ$220, 0, MATCH(U$1, 'Project Configurations'!$E$1:$CZ$1, 0)), $A7)</f>
        <v>4</v>
      </c>
      <c r="V7" s="434">
        <f>COUNTIF(INDEX('Project Configurations'!$E$1:$CZ$220, 0, MATCH(V$1, 'Project Configurations'!$E$1:$CZ$1, 0)), $A7)</f>
        <v>5</v>
      </c>
      <c r="W7" s="434">
        <f>COUNTIF(INDEX('Project Configurations'!$E$1:$CZ$220, 0, MATCH(W$1, 'Project Configurations'!$E$1:$CZ$1, 0)), $A7)</f>
        <v>5</v>
      </c>
      <c r="X7" s="434">
        <f>COUNTIF(INDEX('Project Configurations'!$E$1:$CZ$220, 0, MATCH(X$1, 'Project Configurations'!$E$1:$CZ$1, 0)), $A7)</f>
        <v>4</v>
      </c>
      <c r="Y7" s="434">
        <f>COUNTIF(INDEX('Project Configurations'!$E$1:$CZ$220, 0, MATCH(Y$1, 'Project Configurations'!$E$1:$CZ$1, 0)), $A7)</f>
        <v>3</v>
      </c>
      <c r="Z7" s="434">
        <f>COUNTIF(INDEX('Project Configurations'!$E$1:$CZ$220, 0, MATCH(Z$1, 'Project Configurations'!$E$1:$CZ$1, 0)), $A7)</f>
        <v>3</v>
      </c>
      <c r="AA7" s="434">
        <f>COUNTIF(INDEX('Project Configurations'!$E$1:$CZ$220, 0, MATCH(AA$1, 'Project Configurations'!$E$1:$CZ$1, 0)), $A7)</f>
        <v>3</v>
      </c>
      <c r="AB7" s="434">
        <f>COUNTIF(INDEX('Project Configurations'!$E$1:$CZ$220, 0, MATCH(AB$1, 'Project Configurations'!$E$1:$CZ$1, 0)), $A7)</f>
        <v>3</v>
      </c>
      <c r="AC7" s="434">
        <f>COUNTIF(INDEX('Project Configurations'!$E$1:$CZ$220, 0, MATCH(AC$1, 'Project Configurations'!$E$1:$CZ$1, 0)), $A7)</f>
        <v>5</v>
      </c>
      <c r="AD7" s="434">
        <f>COUNTIF(INDEX('Project Configurations'!$E$1:$CZ$220, 0, MATCH(AD$1, 'Project Configurations'!$E$1:$CZ$1, 0)), $A7)</f>
        <v>5</v>
      </c>
      <c r="AE7" s="434">
        <f>COUNTIF(INDEX('Project Configurations'!$E$1:$CZ$220, 0, MATCH(AE$1, 'Project Configurations'!$E$1:$CZ$1, 0)), $A7)</f>
        <v>4</v>
      </c>
      <c r="AF7" s="434">
        <f>COUNTIF(INDEX('Project Configurations'!$E$1:$CZ$220, 0, MATCH(AF$1, 'Project Configurations'!$E$1:$CZ$1, 0)), $A7)</f>
        <v>4</v>
      </c>
      <c r="AG7" s="434">
        <f>COUNTIF(INDEX('Project Configurations'!$E$1:$CZ$220, 0, MATCH(AG$1, 'Project Configurations'!$E$1:$CZ$1, 0)), $A7)</f>
        <v>4</v>
      </c>
      <c r="AH7" s="434">
        <f>COUNTIF(INDEX('Project Configurations'!$E$1:$CZ$220, 0, MATCH(AH$1, 'Project Configurations'!$E$1:$CZ$1, 0)), $A7)</f>
        <v>3</v>
      </c>
      <c r="AI7" s="434">
        <f>COUNTIF(INDEX('Project Configurations'!$E$1:$CZ$220, 0, MATCH(AI$1, 'Project Configurations'!$E$1:$CZ$1, 0)), $A7)</f>
        <v>4</v>
      </c>
      <c r="AJ7" s="434">
        <f>COUNTIF(INDEX('Project Configurations'!$E$1:$CZ$220, 0, MATCH(AJ$1, 'Project Configurations'!$E$1:$CZ$1, 0)), $A7)</f>
        <v>3</v>
      </c>
      <c r="AK7" s="434">
        <f>COUNTIF(INDEX('Project Configurations'!$E$1:$CZ$220, 0, MATCH(AK$1, 'Project Configurations'!$E$1:$CZ$1, 0)), $A7)</f>
        <v>4</v>
      </c>
      <c r="AL7" s="434">
        <f>COUNTIF(INDEX('Project Configurations'!$E$1:$CZ$220, 0, MATCH(AL$1, 'Project Configurations'!$E$1:$CZ$1, 0)), $A7)</f>
        <v>2</v>
      </c>
      <c r="AM7" s="434">
        <f>COUNTIF(INDEX('Project Configurations'!$E$1:$CZ$220, 0, MATCH(AM$1, 'Project Configurations'!$E$1:$CZ$1, 0)), $A7)</f>
        <v>4</v>
      </c>
      <c r="AN7" s="434">
        <f>COUNTIF(INDEX('Project Configurations'!$E$1:$CZ$220, 0, MATCH(AN$1, 'Project Configurations'!$E$1:$CZ$1, 0)), $A7)</f>
        <v>3</v>
      </c>
      <c r="AO7" s="434">
        <f>COUNTIF(INDEX('Project Configurations'!$E$1:$CZ$220, 0, MATCH(AO$1, 'Project Configurations'!$E$1:$CZ$1, 0)), $A7)</f>
        <v>4</v>
      </c>
      <c r="AP7" s="434">
        <f>COUNTIF(INDEX('Project Configurations'!$E$1:$CZ$220, 0, MATCH(AP$1, 'Project Configurations'!$E$1:$CZ$1, 0)), $A7)</f>
        <v>9</v>
      </c>
      <c r="AQ7" s="434">
        <f>COUNTIF(INDEX('Project Configurations'!$E$1:$CZ$220, 0, MATCH(AQ$1, 'Project Configurations'!$E$1:$CZ$1, 0)), $A7)</f>
        <v>2</v>
      </c>
      <c r="AR7" s="434">
        <f>COUNTIF(INDEX('Project Configurations'!$E$1:$CZ$220, 0, MATCH(AR$1, 'Project Configurations'!$E$1:$CZ$1, 0)), $A7)</f>
        <v>2</v>
      </c>
      <c r="AS7" s="434">
        <f>COUNTIF(INDEX('Project Configurations'!$E$1:$CZ$220, 0, MATCH(AS$1, 'Project Configurations'!$E$1:$CZ$1, 0)), $A7)</f>
        <v>2</v>
      </c>
      <c r="AT7" s="434">
        <f>COUNTIF(INDEX('Project Configurations'!$E$1:$CZ$220, 0, MATCH(AT$1, 'Project Configurations'!$E$1:$CZ$1, 0)), $A7)</f>
        <v>4</v>
      </c>
      <c r="AU7" s="434">
        <f>COUNTIF(INDEX('Project Configurations'!$E$1:$CZ$220, 0, MATCH(AU$1, 'Project Configurations'!$E$1:$CZ$1, 0)), $A7)</f>
        <v>2</v>
      </c>
      <c r="AV7" s="434">
        <f>COUNTIF(INDEX('Project Configurations'!$E$1:$CZ$220, 0, MATCH(AV$1, 'Project Configurations'!$E$1:$CZ$1, 0)), $A7)</f>
        <v>2</v>
      </c>
      <c r="AW7" s="434">
        <f>COUNTIF(INDEX('Project Configurations'!$E$1:$CZ$220, 0, MATCH(AW$1, 'Project Configurations'!$E$1:$CZ$1, 0)), $A7)</f>
        <v>2</v>
      </c>
      <c r="AX7" s="434">
        <f>COUNTIF(INDEX('Project Configurations'!$E$1:$CZ$220, 0, MATCH(AX$1, 'Project Configurations'!$E$1:$CZ$1, 0)), $A7)</f>
        <v>2</v>
      </c>
      <c r="AY7" s="434">
        <f>COUNTIF(INDEX('Project Configurations'!$E$1:$CZ$220, 0, MATCH(AY$1, 'Project Configurations'!$E$1:$CZ$1, 0)), $A7)</f>
        <v>3</v>
      </c>
      <c r="AZ7" s="434">
        <f>COUNTIF(INDEX('Project Configurations'!$E$1:$CZ$220, 0, MATCH(AZ$1, 'Project Configurations'!$E$1:$CZ$1, 0)), $A7)</f>
        <v>4</v>
      </c>
      <c r="BA7" s="434">
        <f>COUNTIF(INDEX('Project Configurations'!$E$1:$CZ$220, 0, MATCH(BA$1, 'Project Configurations'!$E$1:$CZ$1, 0)), $A7)</f>
        <v>4</v>
      </c>
      <c r="BB7" s="434">
        <f>COUNTIF(INDEX('Project Configurations'!$E$1:$CZ$220, 0, MATCH(BB$1, 'Project Configurations'!$E$1:$CZ$1, 0)), $A7)</f>
        <v>4</v>
      </c>
      <c r="BC7" s="434">
        <f>COUNTIF(INDEX('Project Configurations'!$E$1:$CZ$220, 0, MATCH(BC$1, 'Project Configurations'!$E$1:$CZ$1, 0)), $A7)</f>
        <v>3</v>
      </c>
      <c r="BD7" s="434">
        <f>COUNTIF(INDEX('Project Configurations'!$E$1:$CZ$220, 0, MATCH(BD$1, 'Project Configurations'!$E$1:$CZ$1, 0)), $A7)</f>
        <v>3</v>
      </c>
      <c r="BE7" s="434">
        <f>COUNTIF(INDEX('Project Configurations'!$E$1:$CZ$220, 0, MATCH(BE$1, 'Project Configurations'!$E$1:$CZ$1, 0)), $A7)</f>
        <v>4</v>
      </c>
      <c r="BF7" s="434">
        <f>COUNTIF(INDEX('Project Configurations'!$E$1:$CZ$220, 0, MATCH(BF$1, 'Project Configurations'!$E$1:$CZ$1, 0)), $A7)</f>
        <v>9</v>
      </c>
      <c r="BG7" s="434">
        <f>COUNTIF(INDEX('Project Configurations'!$E$1:$CZ$220, 0, MATCH(BG$1, 'Project Configurations'!$E$1:$CZ$1, 0)), $A7)</f>
        <v>9</v>
      </c>
      <c r="BH7" s="434">
        <f>COUNTIF(INDEX('Project Configurations'!$E$1:$CZ$220, 0, MATCH(BH$1, 'Project Configurations'!$E$1:$CZ$1, 0)), $A7)</f>
        <v>9</v>
      </c>
      <c r="BI7" s="434">
        <f>COUNTIF(INDEX('Project Configurations'!$E$1:$CZ$220, 0, MATCH(BI$1, 'Project Configurations'!$E$1:$CZ$1, 0)), $A7)</f>
        <v>9</v>
      </c>
      <c r="BJ7" s="434">
        <f>COUNTIF(INDEX('Project Configurations'!$E$1:$CZ$220, 0, MATCH(BJ$1, 'Project Configurations'!$E$1:$CZ$1, 0)), $A7)</f>
        <v>9</v>
      </c>
      <c r="BK7" s="434">
        <f>COUNTIF(INDEX('Project Configurations'!$E$1:$CZ$220, 0, MATCH(BK$1, 'Project Configurations'!$E$1:$CZ$1, 0)), $A7)</f>
        <v>9</v>
      </c>
      <c r="BL7" s="434">
        <f>COUNTIF(INDEX('Project Configurations'!$E$1:$CZ$220, 0, MATCH(BL$1, 'Project Configurations'!$E$1:$CZ$1, 0)), $A7)</f>
        <v>9</v>
      </c>
      <c r="BM7" s="434">
        <f>COUNTIF(INDEX('Project Configurations'!$E$1:$CZ$220, 0, MATCH(BM$1, 'Project Configurations'!$E$1:$CZ$1, 0)), $A7)</f>
        <v>9</v>
      </c>
      <c r="BN7" s="434">
        <f>COUNTIF(INDEX('Project Configurations'!$E$1:$CZ$220, 0, MATCH(BN$1, 'Project Configurations'!$E$1:$CZ$1, 0)), $A7)</f>
        <v>9</v>
      </c>
      <c r="BO7" s="434">
        <f>COUNTIF(INDEX('Project Configurations'!$E$1:$CZ$220, 0, MATCH(BO$1, 'Project Configurations'!$E$1:$CZ$1, 0)), $A7)</f>
        <v>9</v>
      </c>
      <c r="BP7" s="434">
        <f>COUNTIF(INDEX('Project Configurations'!$E$1:$CZ$220, 0, MATCH(BP$1, 'Project Configurations'!$E$1:$CZ$1, 0)), $A7)</f>
        <v>9</v>
      </c>
      <c r="BQ7" s="434">
        <f>COUNTIF(INDEX('Project Configurations'!$E$1:$CZ$220, 0, MATCH(BQ$1, 'Project Configurations'!$E$1:$CZ$1, 0)), $A7)</f>
        <v>9</v>
      </c>
      <c r="BR7" s="434">
        <f>COUNTIF(INDEX('Project Configurations'!$E$1:$CZ$220, 0, MATCH(BR$1, 'Project Configurations'!$E$1:$CZ$1, 0)), $A7)</f>
        <v>9</v>
      </c>
      <c r="BS7" s="434">
        <f>COUNTIF(INDEX('Project Configurations'!$E$1:$CZ$220, 0, MATCH(BS$1, 'Project Configurations'!$E$1:$CZ$1, 0)), $A7)</f>
        <v>9</v>
      </c>
      <c r="BT7" s="434">
        <f>COUNTIF(INDEX('Project Configurations'!$E$1:$CZ$220, 0, MATCH(BT$1, 'Project Configurations'!$E$1:$CZ$1, 0)), $A7)</f>
        <v>9</v>
      </c>
      <c r="BU7" s="434">
        <f>COUNTIF(INDEX('Project Configurations'!$E$1:$CZ$220, 0, MATCH(BU$1, 'Project Configurations'!$E$1:$CZ$1, 0)), $A7)</f>
        <v>9</v>
      </c>
      <c r="BV7" s="434">
        <f>COUNTIF(INDEX('Project Configurations'!$E$1:$CZ$220, 0, MATCH(BV$1, 'Project Configurations'!$E$1:$CZ$1, 0)), $A7)</f>
        <v>9</v>
      </c>
      <c r="BW7" s="434">
        <f>COUNTIF(INDEX('Project Configurations'!$E$1:$CZ$220, 0, MATCH(BW$1, 'Project Configurations'!$E$1:$CZ$1, 0)), $A7)</f>
        <v>9</v>
      </c>
      <c r="BX7" s="434">
        <f>COUNTIF(INDEX('Project Configurations'!$E$1:$CZ$220, 0, MATCH(BX$1, 'Project Configurations'!$E$1:$CZ$1, 0)), $A7)</f>
        <v>9</v>
      </c>
      <c r="BY7" s="434">
        <f>COUNTIF(INDEX('Project Configurations'!$E$1:$CZ$220, 0, MATCH(BY$1, 'Project Configurations'!$E$1:$CZ$1, 0)), $A7)</f>
        <v>9</v>
      </c>
      <c r="BZ7" s="434">
        <f>COUNTIF(INDEX('Project Configurations'!$E$1:$CZ$220, 0, MATCH(BZ$1, 'Project Configurations'!$E$1:$CZ$1, 0)), $A7)</f>
        <v>9</v>
      </c>
      <c r="CA7" s="434">
        <f>COUNTIF(INDEX('Project Configurations'!$E$1:$CZ$220, 0, MATCH(CA$1, 'Project Configurations'!$E$1:$CZ$1, 0)), $A7)</f>
        <v>9</v>
      </c>
      <c r="CB7" s="434">
        <f>COUNTIF(INDEX('Project Configurations'!$E$1:$CZ$220, 0, MATCH(CB$1, 'Project Configurations'!$E$1:$CZ$1, 0)), $A7)</f>
        <v>9</v>
      </c>
      <c r="CC7" s="434">
        <f>COUNTIF(INDEX('Project Configurations'!$E$1:$CZ$220, 0, MATCH(CC$1, 'Project Configurations'!$E$1:$CZ$1, 0)), $A7)</f>
        <v>9</v>
      </c>
      <c r="CD7" s="434">
        <f>COUNTIF(INDEX('Project Configurations'!$E$1:$CZ$220, 0, MATCH(CD$1, 'Project Configurations'!$E$1:$CZ$1, 0)), $A7)</f>
        <v>9</v>
      </c>
      <c r="CE7" s="434">
        <f>COUNTIF(INDEX('Project Configurations'!$E$1:$CZ$220, 0, MATCH(CE$1, 'Project Configurations'!$E$1:$CZ$1, 0)), $A7)</f>
        <v>9</v>
      </c>
      <c r="CF7" s="434">
        <f>COUNTIF(INDEX('Project Configurations'!$E$1:$CZ$220, 0, MATCH(CF$1, 'Project Configurations'!$E$1:$CZ$1, 0)), $A7)</f>
        <v>9</v>
      </c>
      <c r="CG7" s="434">
        <f>COUNTIF(INDEX('Project Configurations'!$E$1:$CZ$220, 0, MATCH(CG$1, 'Project Configurations'!$E$1:$CZ$1, 0)), $A7)</f>
        <v>9</v>
      </c>
      <c r="CH7" s="434">
        <f>COUNTIF(INDEX('Project Configurations'!$E$1:$CZ$220, 0, MATCH(CH$1, 'Project Configurations'!$E$1:$CZ$1, 0)), $A7)</f>
        <v>9</v>
      </c>
      <c r="CI7" s="434">
        <f>COUNTIF(INDEX('Project Configurations'!$E$1:$CZ$220, 0, MATCH(CI$1, 'Project Configurations'!$E$1:$CZ$1, 0)), $A7)</f>
        <v>9</v>
      </c>
      <c r="CJ7" s="434">
        <f>COUNTIF(INDEX('Project Configurations'!$E$1:$CZ$220, 0, MATCH(CJ$1, 'Project Configurations'!$E$1:$CZ$1, 0)), $A7)</f>
        <v>9</v>
      </c>
      <c r="CK7" s="434">
        <f>COUNTIF(INDEX('Project Configurations'!$E$1:$CZ$220, 0, MATCH(CK$1, 'Project Configurations'!$E$1:$CZ$1, 0)), $A7)</f>
        <v>9</v>
      </c>
      <c r="CL7" s="434">
        <f>COUNTIF(INDEX('Project Configurations'!$E$1:$CZ$220, 0, MATCH(CL$1, 'Project Configurations'!$E$1:$CZ$1, 0)), $A7)</f>
        <v>9</v>
      </c>
      <c r="CM7" s="434">
        <f>COUNTIF(INDEX('Project Configurations'!$E$1:$CZ$220, 0, MATCH(CM$1, 'Project Configurations'!$E$1:$CZ$1, 0)), $A7)</f>
        <v>9</v>
      </c>
      <c r="CN7" s="434">
        <f>COUNTIF(INDEX('Project Configurations'!$E$1:$CZ$220, 0, MATCH(CN$1, 'Project Configurations'!$E$1:$CZ$1, 0)), $A7)</f>
        <v>9</v>
      </c>
      <c r="CO7" s="434">
        <f>COUNTIF(INDEX('Project Configurations'!$E$1:$CZ$220, 0, MATCH(CO$1, 'Project Configurations'!$E$1:$CZ$1, 0)), $A7)</f>
        <v>9</v>
      </c>
      <c r="CP7" s="434">
        <f>COUNTIF(INDEX('Project Configurations'!$E$1:$CZ$220, 0, MATCH(CP$1, 'Project Configurations'!$E$1:$CZ$1, 0)), $A7)</f>
        <v>9</v>
      </c>
      <c r="CQ7" s="434">
        <f>COUNTIF(INDEX('Project Configurations'!$E$1:$CZ$220, 0, MATCH(CQ$1, 'Project Configurations'!$E$1:$CZ$1, 0)), $A7)</f>
        <v>9</v>
      </c>
      <c r="CR7" s="434">
        <f>COUNTIF(INDEX('Project Configurations'!$E$1:$CZ$220, 0, MATCH(CR$1, 'Project Configurations'!$E$1:$CZ$1, 0)), $A7)</f>
        <v>9</v>
      </c>
      <c r="CS7" s="434">
        <f>COUNTIF(INDEX('Project Configurations'!$E$1:$CZ$220, 0, MATCH(CS$1, 'Project Configurations'!$E$1:$CZ$1, 0)), $A7)</f>
        <v>9</v>
      </c>
      <c r="CT7" s="434">
        <f>COUNTIF(INDEX('Project Configurations'!$E$1:$CZ$220, 0, MATCH(CT$1, 'Project Configurations'!$E$1:$CZ$1, 0)), $A7)</f>
        <v>9</v>
      </c>
      <c r="CU7" s="434">
        <f>COUNTIF(INDEX('Project Configurations'!$E$1:$CZ$220, 0, MATCH(CU$1, 'Project Configurations'!$E$1:$CZ$1, 0)), $A7)</f>
        <v>9</v>
      </c>
      <c r="CV7" s="434">
        <f>COUNTIF(INDEX('Project Configurations'!$E$1:$CZ$220, 0, MATCH(CV$1, 'Project Configurations'!$E$1:$CZ$1, 0)), $A7)</f>
        <v>9</v>
      </c>
    </row>
  </sheetData>
  <conditionalFormatting sqref="B2:CV7">
    <cfRule type="colorScale" priority="526">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37FBC-FF93-40F7-AAC0-5911D0D29C01}">
  <sheetPr codeName="Sheet5">
    <outlinePr summaryBelow="0" summaryRight="0"/>
  </sheetPr>
  <dimension ref="A1:BZ101"/>
  <sheetViews>
    <sheetView workbookViewId="0">
      <pane xSplit="3" ySplit="1" topLeftCell="D2" activePane="bottomRight" state="frozen"/>
      <selection pane="topRight"/>
      <selection pane="bottomLeft"/>
      <selection pane="bottomRight" activeCell="BW2" sqref="BW2"/>
    </sheetView>
  </sheetViews>
  <sheetFormatPr defaultRowHeight="15" customHeight="1" outlineLevelCol="1"/>
  <cols>
    <col min="1" max="1" width="31.5703125" hidden="1" customWidth="1"/>
    <col min="2" max="2" width="28.28515625" bestFit="1" customWidth="1"/>
    <col min="3" max="3" width="30" customWidth="1" outlineLevel="1"/>
    <col min="4" max="78" width="4" customWidth="1"/>
  </cols>
  <sheetData>
    <row r="1" spans="1:78" s="447" customFormat="1" ht="87.75" customHeight="1">
      <c r="A1" s="446"/>
      <c r="B1" s="446" t="s">
        <v>550</v>
      </c>
      <c r="C1" s="446"/>
      <c r="D1" s="535" t="s">
        <v>401</v>
      </c>
      <c r="E1" s="535" t="s">
        <v>403</v>
      </c>
      <c r="F1" s="535" t="s">
        <v>404</v>
      </c>
      <c r="G1" s="536" t="s">
        <v>388</v>
      </c>
      <c r="H1" s="536" t="s">
        <v>551</v>
      </c>
      <c r="I1" s="537" t="s">
        <v>390</v>
      </c>
      <c r="J1" s="538" t="s">
        <v>391</v>
      </c>
      <c r="K1" s="538" t="s">
        <v>552</v>
      </c>
      <c r="L1" s="535" t="s">
        <v>405</v>
      </c>
      <c r="M1" s="537" t="s">
        <v>406</v>
      </c>
      <c r="N1" s="538" t="s">
        <v>392</v>
      </c>
      <c r="O1" s="538" t="s">
        <v>407</v>
      </c>
      <c r="P1" s="538" t="s">
        <v>416</v>
      </c>
      <c r="Q1" s="538" t="s">
        <v>393</v>
      </c>
      <c r="R1" s="538" t="s">
        <v>395</v>
      </c>
      <c r="S1" s="538" t="s">
        <v>396</v>
      </c>
      <c r="T1" s="537" t="s">
        <v>397</v>
      </c>
      <c r="U1" s="537" t="s">
        <v>408</v>
      </c>
      <c r="V1" s="537" t="s">
        <v>553</v>
      </c>
      <c r="W1" s="538" t="s">
        <v>398</v>
      </c>
      <c r="X1" s="538" t="s">
        <v>399</v>
      </c>
      <c r="Y1" s="538" t="s">
        <v>554</v>
      </c>
      <c r="Z1" s="536" t="s">
        <v>218</v>
      </c>
      <c r="AA1" s="536" t="s">
        <v>221</v>
      </c>
      <c r="AB1" s="536" t="s">
        <v>230</v>
      </c>
      <c r="AC1" s="536" t="s">
        <v>232</v>
      </c>
      <c r="AD1" s="536" t="s">
        <v>259</v>
      </c>
      <c r="AE1" s="536" t="s">
        <v>264</v>
      </c>
      <c r="AF1" s="538" t="s">
        <v>265</v>
      </c>
      <c r="AG1" s="538" t="s">
        <v>274</v>
      </c>
      <c r="AH1" s="536" t="s">
        <v>276</v>
      </c>
      <c r="AI1" s="538" t="s">
        <v>278</v>
      </c>
      <c r="AJ1" s="538" t="s">
        <v>287</v>
      </c>
      <c r="AK1" s="536" t="s">
        <v>294</v>
      </c>
      <c r="AL1" s="538" t="s">
        <v>301</v>
      </c>
      <c r="AM1" s="538" t="s">
        <v>303</v>
      </c>
      <c r="AN1" s="538" t="s">
        <v>304</v>
      </c>
      <c r="AO1" s="538" t="s">
        <v>307</v>
      </c>
      <c r="AP1" s="538" t="s">
        <v>309</v>
      </c>
      <c r="AQ1" s="538" t="s">
        <v>317</v>
      </c>
      <c r="AR1" s="538" t="s">
        <v>326</v>
      </c>
      <c r="AS1" s="538" t="s">
        <v>329</v>
      </c>
      <c r="AT1" s="538" t="s">
        <v>331</v>
      </c>
      <c r="AU1" s="538" t="s">
        <v>332</v>
      </c>
      <c r="AV1" s="538" t="s">
        <v>333</v>
      </c>
      <c r="AW1" s="538" t="s">
        <v>334</v>
      </c>
      <c r="AX1" s="538" t="s">
        <v>335</v>
      </c>
      <c r="AY1" s="538" t="s">
        <v>336</v>
      </c>
      <c r="AZ1" s="538" t="s">
        <v>340</v>
      </c>
      <c r="BA1" s="538" t="s">
        <v>344</v>
      </c>
      <c r="BB1" s="538" t="s">
        <v>345</v>
      </c>
      <c r="BC1" s="538" t="s">
        <v>347</v>
      </c>
      <c r="BD1" s="538" t="s">
        <v>348</v>
      </c>
      <c r="BE1" s="538" t="s">
        <v>349</v>
      </c>
      <c r="BF1" s="538" t="s">
        <v>352</v>
      </c>
      <c r="BG1" s="538" t="s">
        <v>357</v>
      </c>
      <c r="BH1" s="538" t="s">
        <v>360</v>
      </c>
      <c r="BI1" s="538" t="s">
        <v>364</v>
      </c>
      <c r="BJ1" s="538" t="s">
        <v>366</v>
      </c>
      <c r="BK1" s="538" t="s">
        <v>367</v>
      </c>
      <c r="BL1" s="538" t="s">
        <v>368</v>
      </c>
      <c r="BM1" s="538" t="s">
        <v>369</v>
      </c>
      <c r="BN1" s="538" t="s">
        <v>370</v>
      </c>
      <c r="BO1" s="538" t="s">
        <v>373</v>
      </c>
      <c r="BP1" s="538" t="s">
        <v>376</v>
      </c>
      <c r="BQ1" s="538" t="s">
        <v>377</v>
      </c>
      <c r="BR1" s="538" t="s">
        <v>378</v>
      </c>
      <c r="BS1" s="536" t="s">
        <v>555</v>
      </c>
      <c r="BT1" s="538" t="s">
        <v>400</v>
      </c>
      <c r="BU1" s="538" t="s">
        <v>410</v>
      </c>
      <c r="BV1" s="538" t="s">
        <v>411</v>
      </c>
      <c r="BW1" s="538" t="s">
        <v>412</v>
      </c>
      <c r="BX1" s="539" t="s">
        <v>414</v>
      </c>
      <c r="BY1" s="538" t="s">
        <v>415</v>
      </c>
      <c r="BZ1" s="538" t="s">
        <v>416</v>
      </c>
    </row>
    <row r="2" spans="1:78" ht="15.75" thickBot="1">
      <c r="A2" s="561" t="s">
        <v>451</v>
      </c>
      <c r="B2" s="426" t="s">
        <v>556</v>
      </c>
      <c r="C2" s="427" t="s">
        <v>557</v>
      </c>
      <c r="D2" s="448" t="s">
        <v>544</v>
      </c>
      <c r="E2" s="448" t="s">
        <v>544</v>
      </c>
      <c r="F2" s="449" t="s">
        <v>544</v>
      </c>
      <c r="G2" s="449" t="s">
        <v>544</v>
      </c>
      <c r="H2" s="450" t="s">
        <v>545</v>
      </c>
      <c r="I2" s="448" t="s">
        <v>544</v>
      </c>
      <c r="J2" s="448" t="s">
        <v>544</v>
      </c>
      <c r="K2" s="448" t="s">
        <v>544</v>
      </c>
      <c r="L2" s="448" t="s">
        <v>544</v>
      </c>
      <c r="M2" s="448" t="s">
        <v>544</v>
      </c>
      <c r="N2" s="448" t="s">
        <v>544</v>
      </c>
      <c r="O2" s="451" t="s">
        <v>547</v>
      </c>
      <c r="P2" s="448" t="s">
        <v>544</v>
      </c>
      <c r="Q2" s="448" t="s">
        <v>544</v>
      </c>
      <c r="R2" s="448" t="s">
        <v>544</v>
      </c>
      <c r="S2" s="448" t="s">
        <v>544</v>
      </c>
      <c r="T2" s="448" t="s">
        <v>544</v>
      </c>
      <c r="U2" s="448" t="s">
        <v>544</v>
      </c>
      <c r="V2" s="448" t="s">
        <v>544</v>
      </c>
      <c r="W2" s="448" t="s">
        <v>544</v>
      </c>
      <c r="X2" s="448" t="s">
        <v>544</v>
      </c>
      <c r="Y2" s="448" t="s">
        <v>544</v>
      </c>
      <c r="Z2" s="449" t="s">
        <v>544</v>
      </c>
      <c r="AA2" s="449" t="s">
        <v>544</v>
      </c>
      <c r="AB2" s="450" t="s">
        <v>545</v>
      </c>
      <c r="AC2" s="450" t="s">
        <v>545</v>
      </c>
      <c r="AD2" s="449" t="s">
        <v>544</v>
      </c>
      <c r="AE2" s="449" t="s">
        <v>544</v>
      </c>
      <c r="AF2" s="448" t="s">
        <v>544</v>
      </c>
      <c r="AG2" s="448" t="s">
        <v>544</v>
      </c>
      <c r="AH2" s="449" t="s">
        <v>544</v>
      </c>
      <c r="AI2" s="448" t="s">
        <v>544</v>
      </c>
      <c r="AJ2" s="448" t="s">
        <v>544</v>
      </c>
      <c r="AK2" s="449" t="s">
        <v>544</v>
      </c>
      <c r="AL2" s="448" t="s">
        <v>544</v>
      </c>
      <c r="AM2" s="448" t="s">
        <v>544</v>
      </c>
      <c r="AN2" s="448" t="s">
        <v>544</v>
      </c>
      <c r="AO2" s="452" t="s">
        <v>545</v>
      </c>
      <c r="AP2" s="448" t="s">
        <v>544</v>
      </c>
      <c r="AQ2" s="448" t="s">
        <v>544</v>
      </c>
      <c r="AR2" s="448" t="s">
        <v>544</v>
      </c>
      <c r="AS2" s="448" t="s">
        <v>544</v>
      </c>
      <c r="AT2" s="448" t="s">
        <v>544</v>
      </c>
      <c r="AU2" s="448" t="s">
        <v>544</v>
      </c>
      <c r="AV2" s="448" t="s">
        <v>544</v>
      </c>
      <c r="AW2" s="448" t="s">
        <v>544</v>
      </c>
      <c r="AX2" s="452" t="s">
        <v>545</v>
      </c>
      <c r="AY2" s="448" t="s">
        <v>544</v>
      </c>
      <c r="AZ2" s="448" t="s">
        <v>544</v>
      </c>
      <c r="BA2" s="448" t="s">
        <v>544</v>
      </c>
      <c r="BB2" s="448" t="s">
        <v>544</v>
      </c>
      <c r="BC2" s="448" t="s">
        <v>544</v>
      </c>
      <c r="BD2" s="448" t="s">
        <v>544</v>
      </c>
      <c r="BE2" s="448" t="s">
        <v>544</v>
      </c>
      <c r="BF2" s="448" t="s">
        <v>544</v>
      </c>
      <c r="BG2" s="448" t="s">
        <v>544</v>
      </c>
      <c r="BH2" s="448" t="s">
        <v>544</v>
      </c>
      <c r="BI2" s="448" t="s">
        <v>544</v>
      </c>
      <c r="BJ2" s="448" t="s">
        <v>544</v>
      </c>
      <c r="BK2" s="448" t="s">
        <v>544</v>
      </c>
      <c r="BL2" s="448" t="s">
        <v>549</v>
      </c>
      <c r="BM2" s="448" t="s">
        <v>544</v>
      </c>
      <c r="BN2" s="448" t="s">
        <v>544</v>
      </c>
      <c r="BO2" s="448" t="s">
        <v>544</v>
      </c>
      <c r="BP2" s="448" t="s">
        <v>549</v>
      </c>
      <c r="BQ2" s="448" t="s">
        <v>549</v>
      </c>
      <c r="BR2" s="448" t="s">
        <v>549</v>
      </c>
      <c r="BS2" s="449" t="s">
        <v>544</v>
      </c>
      <c r="BT2" s="448" t="s">
        <v>544</v>
      </c>
      <c r="BU2" s="448" t="s">
        <v>544</v>
      </c>
      <c r="BV2" s="448" t="s">
        <v>544</v>
      </c>
      <c r="BW2" s="448"/>
      <c r="BX2" s="448"/>
      <c r="BY2" s="448" t="s">
        <v>544</v>
      </c>
      <c r="BZ2" s="448" t="s">
        <v>544</v>
      </c>
    </row>
    <row r="3" spans="1:78" ht="15.75" thickBot="1">
      <c r="A3" s="561"/>
      <c r="B3" s="426" t="s">
        <v>558</v>
      </c>
      <c r="C3" s="427" t="s">
        <v>559</v>
      </c>
      <c r="D3" s="448" t="s">
        <v>544</v>
      </c>
      <c r="E3" s="448" t="s">
        <v>544</v>
      </c>
      <c r="F3" s="449" t="s">
        <v>544</v>
      </c>
      <c r="G3" s="449" t="s">
        <v>544</v>
      </c>
      <c r="H3" s="449" t="s">
        <v>544</v>
      </c>
      <c r="I3" s="450" t="s">
        <v>545</v>
      </c>
      <c r="J3" s="448" t="s">
        <v>544</v>
      </c>
      <c r="K3" s="448" t="s">
        <v>544</v>
      </c>
      <c r="L3" s="448" t="s">
        <v>544</v>
      </c>
      <c r="M3" s="452" t="s">
        <v>545</v>
      </c>
      <c r="N3" s="448" t="s">
        <v>544</v>
      </c>
      <c r="O3" s="452" t="s">
        <v>545</v>
      </c>
      <c r="P3" s="452" t="s">
        <v>545</v>
      </c>
      <c r="Q3" s="448" t="s">
        <v>545</v>
      </c>
      <c r="R3" s="452" t="s">
        <v>545</v>
      </c>
      <c r="S3" s="448" t="s">
        <v>544</v>
      </c>
      <c r="T3" s="452" t="s">
        <v>545</v>
      </c>
      <c r="U3" s="452" t="s">
        <v>545</v>
      </c>
      <c r="V3" s="452" t="s">
        <v>545</v>
      </c>
      <c r="W3" s="451" t="s">
        <v>547</v>
      </c>
      <c r="X3" s="452" t="s">
        <v>545</v>
      </c>
      <c r="Y3" s="452" t="s">
        <v>545</v>
      </c>
      <c r="Z3" s="450" t="s">
        <v>545</v>
      </c>
      <c r="AA3" s="450" t="s">
        <v>545</v>
      </c>
      <c r="AB3" s="450" t="s">
        <v>545</v>
      </c>
      <c r="AC3" s="450" t="s">
        <v>545</v>
      </c>
      <c r="AD3" s="450" t="s">
        <v>545</v>
      </c>
      <c r="AE3" s="450" t="s">
        <v>545</v>
      </c>
      <c r="AF3" s="452" t="s">
        <v>545</v>
      </c>
      <c r="AG3" s="452" t="s">
        <v>545</v>
      </c>
      <c r="AH3" s="450" t="s">
        <v>545</v>
      </c>
      <c r="AI3" s="452" t="s">
        <v>545</v>
      </c>
      <c r="AJ3" s="452" t="s">
        <v>545</v>
      </c>
      <c r="AK3" s="450" t="s">
        <v>545</v>
      </c>
      <c r="AL3" s="452" t="s">
        <v>545</v>
      </c>
      <c r="AM3" s="452" t="s">
        <v>545</v>
      </c>
      <c r="AN3" s="452" t="s">
        <v>545</v>
      </c>
      <c r="AO3" s="452" t="s">
        <v>545</v>
      </c>
      <c r="AP3" s="452" t="s">
        <v>545</v>
      </c>
      <c r="AQ3" s="452" t="s">
        <v>545</v>
      </c>
      <c r="AR3" s="448" t="s">
        <v>544</v>
      </c>
      <c r="AS3" s="452" t="s">
        <v>545</v>
      </c>
      <c r="AT3" s="448" t="s">
        <v>544</v>
      </c>
      <c r="AU3" s="452" t="s">
        <v>545</v>
      </c>
      <c r="AV3" s="452" t="s">
        <v>545</v>
      </c>
      <c r="AW3" s="452" t="s">
        <v>545</v>
      </c>
      <c r="AX3" s="448" t="s">
        <v>544</v>
      </c>
      <c r="AY3" s="452" t="s">
        <v>545</v>
      </c>
      <c r="AZ3" s="452" t="s">
        <v>545</v>
      </c>
      <c r="BA3" s="452" t="s">
        <v>545</v>
      </c>
      <c r="BB3" s="448" t="s">
        <v>544</v>
      </c>
      <c r="BC3" s="448" t="s">
        <v>544</v>
      </c>
      <c r="BD3" s="448" t="s">
        <v>544</v>
      </c>
      <c r="BE3" s="448" t="s">
        <v>544</v>
      </c>
      <c r="BF3" s="452" t="s">
        <v>545</v>
      </c>
      <c r="BG3" s="452" t="s">
        <v>545</v>
      </c>
      <c r="BH3" s="448" t="s">
        <v>544</v>
      </c>
      <c r="BI3" s="452" t="s">
        <v>545</v>
      </c>
      <c r="BJ3" s="452" t="s">
        <v>545</v>
      </c>
      <c r="BK3" s="452" t="s">
        <v>545</v>
      </c>
      <c r="BL3" s="448" t="s">
        <v>549</v>
      </c>
      <c r="BM3" s="452" t="s">
        <v>545</v>
      </c>
      <c r="BN3" s="452" t="s">
        <v>545</v>
      </c>
      <c r="BO3" s="452" t="s">
        <v>545</v>
      </c>
      <c r="BP3" s="452" t="s">
        <v>545</v>
      </c>
      <c r="BQ3" s="452" t="s">
        <v>549</v>
      </c>
      <c r="BR3" s="452" t="s">
        <v>545</v>
      </c>
      <c r="BS3" s="450" t="s">
        <v>545</v>
      </c>
      <c r="BT3" s="452" t="s">
        <v>545</v>
      </c>
      <c r="BU3" s="452" t="s">
        <v>545</v>
      </c>
      <c r="BV3" s="452" t="s">
        <v>545</v>
      </c>
      <c r="BW3" s="452"/>
      <c r="BX3" s="452"/>
      <c r="BY3" s="452" t="s">
        <v>545</v>
      </c>
      <c r="BZ3" s="452" t="s">
        <v>545</v>
      </c>
    </row>
    <row r="4" spans="1:78" ht="15.75" thickBot="1">
      <c r="A4" s="561"/>
      <c r="B4" s="426" t="s">
        <v>560</v>
      </c>
      <c r="C4" s="427" t="s">
        <v>561</v>
      </c>
      <c r="D4" s="448" t="s">
        <v>544</v>
      </c>
      <c r="E4" s="448" t="s">
        <v>544</v>
      </c>
      <c r="F4" s="449" t="s">
        <v>544</v>
      </c>
      <c r="G4" s="449" t="s">
        <v>544</v>
      </c>
      <c r="H4" s="450" t="s">
        <v>545</v>
      </c>
      <c r="I4" s="448" t="s">
        <v>544</v>
      </c>
      <c r="J4" s="448" t="s">
        <v>544</v>
      </c>
      <c r="K4" s="448" t="s">
        <v>544</v>
      </c>
      <c r="L4" s="448" t="s">
        <v>544</v>
      </c>
      <c r="M4" s="448" t="s">
        <v>544</v>
      </c>
      <c r="N4" s="448" t="s">
        <v>544</v>
      </c>
      <c r="O4" s="448" t="s">
        <v>544</v>
      </c>
      <c r="P4" s="448" t="s">
        <v>544</v>
      </c>
      <c r="Q4" s="448" t="s">
        <v>544</v>
      </c>
      <c r="R4" s="448" t="s">
        <v>544</v>
      </c>
      <c r="S4" s="448" t="s">
        <v>544</v>
      </c>
      <c r="T4" s="448" t="s">
        <v>544</v>
      </c>
      <c r="U4" s="448" t="s">
        <v>544</v>
      </c>
      <c r="V4" s="452" t="s">
        <v>545</v>
      </c>
      <c r="W4" s="448" t="s">
        <v>544</v>
      </c>
      <c r="X4" s="448" t="s">
        <v>544</v>
      </c>
      <c r="Y4" s="448" t="s">
        <v>544</v>
      </c>
      <c r="Z4" s="449" t="s">
        <v>544</v>
      </c>
      <c r="AA4" s="449" t="s">
        <v>544</v>
      </c>
      <c r="AB4" s="449" t="s">
        <v>544</v>
      </c>
      <c r="AC4" s="449" t="s">
        <v>544</v>
      </c>
      <c r="AD4" s="450" t="s">
        <v>545</v>
      </c>
      <c r="AE4" s="449" t="s">
        <v>544</v>
      </c>
      <c r="AF4" s="452" t="s">
        <v>545</v>
      </c>
      <c r="AG4" s="452" t="s">
        <v>545</v>
      </c>
      <c r="AH4" s="449" t="s">
        <v>544</v>
      </c>
      <c r="AI4" s="448" t="s">
        <v>544</v>
      </c>
      <c r="AJ4" s="448" t="s">
        <v>544</v>
      </c>
      <c r="AK4" s="450" t="s">
        <v>545</v>
      </c>
      <c r="AL4" s="452" t="s">
        <v>545</v>
      </c>
      <c r="AM4" s="448" t="s">
        <v>544</v>
      </c>
      <c r="AN4" s="448" t="s">
        <v>544</v>
      </c>
      <c r="AO4" s="452" t="s">
        <v>545</v>
      </c>
      <c r="AP4" s="448" t="s">
        <v>544</v>
      </c>
      <c r="AQ4" s="448" t="s">
        <v>544</v>
      </c>
      <c r="AR4" s="448" t="s">
        <v>544</v>
      </c>
      <c r="AS4" s="448" t="s">
        <v>544</v>
      </c>
      <c r="AT4" s="448" t="s">
        <v>544</v>
      </c>
      <c r="AU4" s="452" t="s">
        <v>545</v>
      </c>
      <c r="AV4" s="448" t="s">
        <v>544</v>
      </c>
      <c r="AW4" s="452" t="s">
        <v>545</v>
      </c>
      <c r="AX4" s="452" t="s">
        <v>545</v>
      </c>
      <c r="AY4" s="448" t="s">
        <v>544</v>
      </c>
      <c r="AZ4" s="448" t="s">
        <v>544</v>
      </c>
      <c r="BA4" s="448" t="s">
        <v>544</v>
      </c>
      <c r="BB4" s="452" t="s">
        <v>545</v>
      </c>
      <c r="BC4" s="452" t="s">
        <v>545</v>
      </c>
      <c r="BD4" s="452" t="s">
        <v>545</v>
      </c>
      <c r="BE4" s="452" t="s">
        <v>545</v>
      </c>
      <c r="BF4" s="448" t="s">
        <v>544</v>
      </c>
      <c r="BG4" s="448" t="s">
        <v>544</v>
      </c>
      <c r="BH4" s="448" t="s">
        <v>544</v>
      </c>
      <c r="BI4" s="448" t="s">
        <v>544</v>
      </c>
      <c r="BJ4" s="448" t="s">
        <v>544</v>
      </c>
      <c r="BK4" s="448" t="s">
        <v>544</v>
      </c>
      <c r="BL4" s="448" t="s">
        <v>549</v>
      </c>
      <c r="BM4" s="448" t="s">
        <v>544</v>
      </c>
      <c r="BN4" s="448" t="s">
        <v>544</v>
      </c>
      <c r="BO4" s="448" t="s">
        <v>544</v>
      </c>
      <c r="BP4" s="448" t="s">
        <v>549</v>
      </c>
      <c r="BQ4" s="448" t="s">
        <v>549</v>
      </c>
      <c r="BR4" s="448" t="s">
        <v>549</v>
      </c>
      <c r="BS4" s="449" t="s">
        <v>544</v>
      </c>
      <c r="BT4" s="448" t="s">
        <v>544</v>
      </c>
      <c r="BU4" s="448" t="s">
        <v>544</v>
      </c>
      <c r="BV4" s="448" t="s">
        <v>544</v>
      </c>
      <c r="BW4" s="448"/>
      <c r="BX4" s="448"/>
      <c r="BY4" s="448" t="s">
        <v>544</v>
      </c>
      <c r="BZ4" s="448" t="s">
        <v>544</v>
      </c>
    </row>
    <row r="5" spans="1:78" ht="15.75" thickBot="1">
      <c r="A5" s="561" t="s">
        <v>562</v>
      </c>
      <c r="B5" s="426" t="s">
        <v>563</v>
      </c>
      <c r="C5" s="427" t="s">
        <v>564</v>
      </c>
      <c r="D5" s="452" t="s">
        <v>545</v>
      </c>
      <c r="E5" s="452" t="s">
        <v>545</v>
      </c>
      <c r="F5" s="449" t="s">
        <v>544</v>
      </c>
      <c r="G5" s="450" t="s">
        <v>545</v>
      </c>
      <c r="H5" s="449" t="s">
        <v>544</v>
      </c>
      <c r="I5" s="448" t="s">
        <v>544</v>
      </c>
      <c r="J5" s="448" t="s">
        <v>544</v>
      </c>
      <c r="K5" s="448" t="s">
        <v>544</v>
      </c>
      <c r="L5" s="452" t="s">
        <v>545</v>
      </c>
      <c r="M5" s="452" t="s">
        <v>545</v>
      </c>
      <c r="N5" s="448" t="s">
        <v>544</v>
      </c>
      <c r="O5" s="452" t="s">
        <v>545</v>
      </c>
      <c r="P5" s="452" t="s">
        <v>545</v>
      </c>
      <c r="Q5" s="448" t="s">
        <v>545</v>
      </c>
      <c r="R5" s="452" t="s">
        <v>545</v>
      </c>
      <c r="S5" s="448" t="s">
        <v>544</v>
      </c>
      <c r="T5" s="452" t="s">
        <v>545</v>
      </c>
      <c r="U5" s="452" t="s">
        <v>545</v>
      </c>
      <c r="V5" s="452" t="s">
        <v>545</v>
      </c>
      <c r="W5" s="451" t="s">
        <v>547</v>
      </c>
      <c r="X5" s="452" t="s">
        <v>545</v>
      </c>
      <c r="Y5" s="452" t="s">
        <v>545</v>
      </c>
      <c r="Z5" s="450" t="s">
        <v>545</v>
      </c>
      <c r="AA5" s="450" t="s">
        <v>545</v>
      </c>
      <c r="AB5" s="450" t="s">
        <v>545</v>
      </c>
      <c r="AC5" s="450" t="s">
        <v>545</v>
      </c>
      <c r="AD5" s="450" t="s">
        <v>545</v>
      </c>
      <c r="AE5" s="450" t="s">
        <v>545</v>
      </c>
      <c r="AF5" s="452" t="s">
        <v>545</v>
      </c>
      <c r="AG5" s="452" t="s">
        <v>545</v>
      </c>
      <c r="AH5" s="450" t="s">
        <v>545</v>
      </c>
      <c r="AI5" s="452" t="s">
        <v>545</v>
      </c>
      <c r="AJ5" s="452" t="s">
        <v>545</v>
      </c>
      <c r="AK5" s="450" t="s">
        <v>545</v>
      </c>
      <c r="AL5" s="452" t="s">
        <v>545</v>
      </c>
      <c r="AM5" s="452" t="s">
        <v>545</v>
      </c>
      <c r="AN5" s="452" t="s">
        <v>545</v>
      </c>
      <c r="AO5" s="452" t="s">
        <v>545</v>
      </c>
      <c r="AP5" s="452" t="s">
        <v>545</v>
      </c>
      <c r="AQ5" s="452" t="s">
        <v>545</v>
      </c>
      <c r="AR5" s="448" t="s">
        <v>544</v>
      </c>
      <c r="AS5" s="452" t="s">
        <v>545</v>
      </c>
      <c r="AT5" s="448" t="s">
        <v>544</v>
      </c>
      <c r="AU5" s="452" t="s">
        <v>545</v>
      </c>
      <c r="AV5" s="452" t="s">
        <v>545</v>
      </c>
      <c r="AW5" s="452" t="s">
        <v>545</v>
      </c>
      <c r="AX5" s="452" t="s">
        <v>545</v>
      </c>
      <c r="AY5" s="452" t="s">
        <v>545</v>
      </c>
      <c r="AZ5" s="452" t="s">
        <v>545</v>
      </c>
      <c r="BA5" s="452" t="s">
        <v>545</v>
      </c>
      <c r="BB5" s="452" t="s">
        <v>545</v>
      </c>
      <c r="BC5" s="452" t="s">
        <v>545</v>
      </c>
      <c r="BD5" s="452" t="s">
        <v>545</v>
      </c>
      <c r="BE5" s="452" t="s">
        <v>545</v>
      </c>
      <c r="BF5" s="452" t="s">
        <v>545</v>
      </c>
      <c r="BG5" s="452" t="s">
        <v>545</v>
      </c>
      <c r="BH5" s="448" t="s">
        <v>544</v>
      </c>
      <c r="BI5" s="452" t="s">
        <v>545</v>
      </c>
      <c r="BJ5" s="452" t="s">
        <v>545</v>
      </c>
      <c r="BK5" s="452" t="s">
        <v>545</v>
      </c>
      <c r="BL5" s="448" t="s">
        <v>549</v>
      </c>
      <c r="BM5" s="452" t="s">
        <v>545</v>
      </c>
      <c r="BN5" s="452" t="s">
        <v>545</v>
      </c>
      <c r="BO5" s="452" t="s">
        <v>545</v>
      </c>
      <c r="BP5" s="452" t="s">
        <v>545</v>
      </c>
      <c r="BQ5" s="452" t="s">
        <v>549</v>
      </c>
      <c r="BR5" s="452" t="s">
        <v>545</v>
      </c>
      <c r="BS5" s="450" t="s">
        <v>545</v>
      </c>
      <c r="BT5" s="452" t="s">
        <v>545</v>
      </c>
      <c r="BU5" s="452" t="s">
        <v>545</v>
      </c>
      <c r="BV5" s="452" t="s">
        <v>545</v>
      </c>
      <c r="BW5" s="452"/>
      <c r="BX5" s="452"/>
      <c r="BY5" s="452" t="s">
        <v>545</v>
      </c>
      <c r="BZ5" s="452" t="s">
        <v>545</v>
      </c>
    </row>
    <row r="6" spans="1:78" ht="15.75" thickBot="1">
      <c r="A6" s="561"/>
      <c r="B6" s="430" t="s">
        <v>565</v>
      </c>
      <c r="C6" s="427" t="s">
        <v>566</v>
      </c>
      <c r="D6" s="449" t="s">
        <v>544</v>
      </c>
      <c r="E6" s="449" t="s">
        <v>544</v>
      </c>
      <c r="F6" s="449" t="s">
        <v>544</v>
      </c>
      <c r="G6" s="449" t="s">
        <v>544</v>
      </c>
      <c r="H6" s="449" t="s">
        <v>544</v>
      </c>
      <c r="I6" s="453" t="s">
        <v>549</v>
      </c>
      <c r="J6" s="453" t="s">
        <v>549</v>
      </c>
      <c r="K6" s="449" t="s">
        <v>544</v>
      </c>
      <c r="L6" s="449" t="s">
        <v>544</v>
      </c>
      <c r="M6" s="449" t="s">
        <v>544</v>
      </c>
      <c r="N6" s="453" t="s">
        <v>549</v>
      </c>
      <c r="O6" s="449" t="s">
        <v>544</v>
      </c>
      <c r="P6" s="449" t="s">
        <v>544</v>
      </c>
      <c r="Q6" s="453" t="s">
        <v>549</v>
      </c>
      <c r="R6" s="449" t="s">
        <v>544</v>
      </c>
      <c r="S6" s="453" t="s">
        <v>549</v>
      </c>
      <c r="T6" s="449" t="s">
        <v>544</v>
      </c>
      <c r="U6" s="449" t="s">
        <v>544</v>
      </c>
      <c r="V6" s="450" t="s">
        <v>545</v>
      </c>
      <c r="W6" s="449" t="s">
        <v>544</v>
      </c>
      <c r="X6" s="449" t="s">
        <v>544</v>
      </c>
      <c r="Y6" s="449" t="s">
        <v>544</v>
      </c>
      <c r="Z6" s="449" t="s">
        <v>544</v>
      </c>
      <c r="AA6" s="449" t="s">
        <v>544</v>
      </c>
      <c r="AB6" s="449" t="s">
        <v>544</v>
      </c>
      <c r="AC6" s="449" t="s">
        <v>544</v>
      </c>
      <c r="AD6" s="450" t="s">
        <v>545</v>
      </c>
      <c r="AE6" s="449" t="s">
        <v>544</v>
      </c>
      <c r="AF6" s="449" t="s">
        <v>544</v>
      </c>
      <c r="AG6" s="449" t="s">
        <v>544</v>
      </c>
      <c r="AH6" s="449" t="s">
        <v>544</v>
      </c>
      <c r="AI6" s="449" t="s">
        <v>544</v>
      </c>
      <c r="AJ6" s="449" t="s">
        <v>544</v>
      </c>
      <c r="AK6" s="449" t="s">
        <v>544</v>
      </c>
      <c r="AL6" s="449" t="s">
        <v>544</v>
      </c>
      <c r="AM6" s="449" t="s">
        <v>544</v>
      </c>
      <c r="AN6" s="449" t="s">
        <v>544</v>
      </c>
      <c r="AO6" s="450" t="s">
        <v>545</v>
      </c>
      <c r="AP6" s="450" t="s">
        <v>545</v>
      </c>
      <c r="AQ6" s="449" t="s">
        <v>544</v>
      </c>
      <c r="AR6" s="449" t="s">
        <v>544</v>
      </c>
      <c r="AS6" s="449" t="s">
        <v>544</v>
      </c>
      <c r="AT6" s="449" t="s">
        <v>544</v>
      </c>
      <c r="AU6" s="449" t="s">
        <v>544</v>
      </c>
      <c r="AV6" s="449" t="s">
        <v>544</v>
      </c>
      <c r="AW6" s="449" t="s">
        <v>544</v>
      </c>
      <c r="AX6" s="449" t="s">
        <v>544</v>
      </c>
      <c r="AY6" s="449" t="s">
        <v>544</v>
      </c>
      <c r="AZ6" s="449" t="s">
        <v>544</v>
      </c>
      <c r="BA6" s="449" t="s">
        <v>544</v>
      </c>
      <c r="BB6" s="449" t="s">
        <v>544</v>
      </c>
      <c r="BC6" s="449" t="s">
        <v>544</v>
      </c>
      <c r="BD6" s="449" t="s">
        <v>544</v>
      </c>
      <c r="BE6" s="449" t="s">
        <v>544</v>
      </c>
      <c r="BF6" s="449" t="s">
        <v>544</v>
      </c>
      <c r="BG6" s="449" t="s">
        <v>544</v>
      </c>
      <c r="BH6" s="450" t="s">
        <v>545</v>
      </c>
      <c r="BI6" s="450" t="s">
        <v>545</v>
      </c>
      <c r="BJ6" s="448" t="s">
        <v>544</v>
      </c>
      <c r="BK6" s="449" t="s">
        <v>544</v>
      </c>
      <c r="BL6" s="448" t="s">
        <v>549</v>
      </c>
      <c r="BM6" s="448" t="s">
        <v>544</v>
      </c>
      <c r="BN6" s="448" t="s">
        <v>544</v>
      </c>
      <c r="BO6" s="448" t="s">
        <v>544</v>
      </c>
      <c r="BP6" s="448" t="s">
        <v>549</v>
      </c>
      <c r="BQ6" s="448" t="s">
        <v>549</v>
      </c>
      <c r="BR6" s="448" t="s">
        <v>549</v>
      </c>
      <c r="BS6" s="449" t="s">
        <v>544</v>
      </c>
      <c r="BT6" s="449" t="s">
        <v>544</v>
      </c>
      <c r="BU6" s="448" t="s">
        <v>544</v>
      </c>
      <c r="BV6" s="449" t="s">
        <v>544</v>
      </c>
      <c r="BW6" s="449"/>
      <c r="BX6" s="449"/>
      <c r="BY6" s="449" t="s">
        <v>544</v>
      </c>
      <c r="BZ6" s="449" t="s">
        <v>544</v>
      </c>
    </row>
    <row r="7" spans="1:78" ht="15.75" thickBot="1">
      <c r="A7" s="561"/>
      <c r="B7" s="426" t="s">
        <v>567</v>
      </c>
      <c r="C7" s="427" t="s">
        <v>568</v>
      </c>
      <c r="D7" s="452" t="s">
        <v>545</v>
      </c>
      <c r="E7" s="452" t="s">
        <v>545</v>
      </c>
      <c r="F7" s="449" t="s">
        <v>544</v>
      </c>
      <c r="G7" s="450" t="s">
        <v>545</v>
      </c>
      <c r="H7" s="449" t="s">
        <v>544</v>
      </c>
      <c r="I7" s="450" t="s">
        <v>545</v>
      </c>
      <c r="J7" s="448" t="s">
        <v>544</v>
      </c>
      <c r="K7" s="448" t="s">
        <v>544</v>
      </c>
      <c r="L7" s="452" t="s">
        <v>545</v>
      </c>
      <c r="M7" s="452" t="s">
        <v>545</v>
      </c>
      <c r="N7" s="448" t="s">
        <v>544</v>
      </c>
      <c r="O7" s="452" t="s">
        <v>545</v>
      </c>
      <c r="P7" s="452" t="s">
        <v>545</v>
      </c>
      <c r="Q7" s="448" t="s">
        <v>544</v>
      </c>
      <c r="R7" s="452" t="s">
        <v>545</v>
      </c>
      <c r="S7" s="448" t="s">
        <v>544</v>
      </c>
      <c r="T7" s="452" t="s">
        <v>545</v>
      </c>
      <c r="U7" s="452" t="s">
        <v>545</v>
      </c>
      <c r="V7" s="452" t="s">
        <v>545</v>
      </c>
      <c r="W7" s="451" t="s">
        <v>547</v>
      </c>
      <c r="X7" s="452" t="s">
        <v>545</v>
      </c>
      <c r="Y7" s="452" t="s">
        <v>545</v>
      </c>
      <c r="Z7" s="450" t="s">
        <v>545</v>
      </c>
      <c r="AA7" s="449" t="s">
        <v>544</v>
      </c>
      <c r="AB7" s="450" t="s">
        <v>545</v>
      </c>
      <c r="AC7" s="450" t="s">
        <v>545</v>
      </c>
      <c r="AD7" s="450" t="s">
        <v>545</v>
      </c>
      <c r="AE7" s="450" t="s">
        <v>545</v>
      </c>
      <c r="AF7" s="452" t="s">
        <v>545</v>
      </c>
      <c r="AG7" s="452" t="s">
        <v>545</v>
      </c>
      <c r="AH7" s="449" t="s">
        <v>544</v>
      </c>
      <c r="AI7" s="452" t="s">
        <v>545</v>
      </c>
      <c r="AJ7" s="452" t="s">
        <v>545</v>
      </c>
      <c r="AK7" s="450" t="s">
        <v>545</v>
      </c>
      <c r="AL7" s="452" t="s">
        <v>545</v>
      </c>
      <c r="AM7" s="448" t="s">
        <v>544</v>
      </c>
      <c r="AN7" s="448" t="s">
        <v>544</v>
      </c>
      <c r="AO7" s="452" t="s">
        <v>545</v>
      </c>
      <c r="AP7" s="452" t="s">
        <v>545</v>
      </c>
      <c r="AQ7" s="452" t="s">
        <v>545</v>
      </c>
      <c r="AR7" s="448" t="s">
        <v>544</v>
      </c>
      <c r="AS7" s="452" t="s">
        <v>545</v>
      </c>
      <c r="AT7" s="448" t="s">
        <v>544</v>
      </c>
      <c r="AU7" s="452" t="s">
        <v>545</v>
      </c>
      <c r="AV7" s="452" t="s">
        <v>545</v>
      </c>
      <c r="AW7" s="452" t="s">
        <v>545</v>
      </c>
      <c r="AX7" s="452" t="s">
        <v>545</v>
      </c>
      <c r="AY7" s="452" t="s">
        <v>545</v>
      </c>
      <c r="AZ7" s="452" t="s">
        <v>545</v>
      </c>
      <c r="BA7" s="452" t="s">
        <v>545</v>
      </c>
      <c r="BB7" s="452" t="s">
        <v>545</v>
      </c>
      <c r="BC7" s="452" t="s">
        <v>545</v>
      </c>
      <c r="BD7" s="452" t="s">
        <v>545</v>
      </c>
      <c r="BE7" s="448" t="s">
        <v>544</v>
      </c>
      <c r="BF7" s="452" t="s">
        <v>545</v>
      </c>
      <c r="BG7" s="452" t="s">
        <v>545</v>
      </c>
      <c r="BH7" s="448" t="s">
        <v>544</v>
      </c>
      <c r="BI7" s="452" t="s">
        <v>545</v>
      </c>
      <c r="BJ7" s="452" t="s">
        <v>545</v>
      </c>
      <c r="BK7" s="452" t="s">
        <v>545</v>
      </c>
      <c r="BL7" s="448" t="s">
        <v>549</v>
      </c>
      <c r="BM7" s="452" t="s">
        <v>545</v>
      </c>
      <c r="BN7" s="452" t="s">
        <v>545</v>
      </c>
      <c r="BO7" s="452" t="s">
        <v>545</v>
      </c>
      <c r="BP7" s="452" t="s">
        <v>545</v>
      </c>
      <c r="BQ7" s="452" t="s">
        <v>549</v>
      </c>
      <c r="BR7" s="452" t="s">
        <v>545</v>
      </c>
      <c r="BS7" s="450" t="s">
        <v>545</v>
      </c>
      <c r="BT7" s="452" t="s">
        <v>545</v>
      </c>
      <c r="BU7" s="452" t="s">
        <v>545</v>
      </c>
      <c r="BV7" s="451" t="s">
        <v>545</v>
      </c>
      <c r="BW7" s="451"/>
      <c r="BX7" s="451"/>
      <c r="BY7" s="451" t="s">
        <v>547</v>
      </c>
      <c r="BZ7" s="451" t="s">
        <v>547</v>
      </c>
    </row>
    <row r="8" spans="1:78" ht="15.75" thickBot="1">
      <c r="A8" s="561" t="s">
        <v>569</v>
      </c>
      <c r="B8" s="426" t="s">
        <v>570</v>
      </c>
      <c r="C8" s="427" t="s">
        <v>571</v>
      </c>
      <c r="D8" s="448" t="s">
        <v>544</v>
      </c>
      <c r="E8" s="448" t="s">
        <v>544</v>
      </c>
      <c r="F8" s="449" t="s">
        <v>544</v>
      </c>
      <c r="G8" s="450" t="s">
        <v>545</v>
      </c>
      <c r="H8" s="449" t="s">
        <v>544</v>
      </c>
      <c r="I8" s="448" t="s">
        <v>544</v>
      </c>
      <c r="J8" s="448" t="s">
        <v>544</v>
      </c>
      <c r="K8" s="448" t="s">
        <v>544</v>
      </c>
      <c r="L8" s="452" t="s">
        <v>545</v>
      </c>
      <c r="M8" s="452" t="s">
        <v>545</v>
      </c>
      <c r="N8" s="448" t="s">
        <v>544</v>
      </c>
      <c r="O8" s="452" t="s">
        <v>545</v>
      </c>
      <c r="P8" s="454" t="s">
        <v>546</v>
      </c>
      <c r="Q8" s="448" t="s">
        <v>544</v>
      </c>
      <c r="R8" s="448" t="s">
        <v>544</v>
      </c>
      <c r="S8" s="448" t="s">
        <v>544</v>
      </c>
      <c r="T8" s="448" t="s">
        <v>544</v>
      </c>
      <c r="U8" s="452" t="s">
        <v>545</v>
      </c>
      <c r="V8" s="452" t="s">
        <v>545</v>
      </c>
      <c r="W8" s="451" t="s">
        <v>547</v>
      </c>
      <c r="X8" s="452" t="s">
        <v>545</v>
      </c>
      <c r="Y8" s="452" t="s">
        <v>545</v>
      </c>
      <c r="Z8" s="450" t="s">
        <v>545</v>
      </c>
      <c r="AA8" s="449" t="s">
        <v>544</v>
      </c>
      <c r="AB8" s="450" t="s">
        <v>545</v>
      </c>
      <c r="AC8" s="450" t="s">
        <v>545</v>
      </c>
      <c r="AD8" s="450" t="s">
        <v>545</v>
      </c>
      <c r="AE8" s="450" t="s">
        <v>545</v>
      </c>
      <c r="AF8" s="452" t="s">
        <v>545</v>
      </c>
      <c r="AG8" s="452" t="s">
        <v>545</v>
      </c>
      <c r="AH8" s="449" t="s">
        <v>544</v>
      </c>
      <c r="AI8" s="452" t="s">
        <v>545</v>
      </c>
      <c r="AJ8" s="448" t="s">
        <v>544</v>
      </c>
      <c r="AK8" s="450" t="s">
        <v>545</v>
      </c>
      <c r="AL8" s="452" t="s">
        <v>545</v>
      </c>
      <c r="AM8" s="448" t="s">
        <v>544</v>
      </c>
      <c r="AN8" s="448" t="s">
        <v>544</v>
      </c>
      <c r="AO8" s="452" t="s">
        <v>545</v>
      </c>
      <c r="AP8" s="452" t="s">
        <v>545</v>
      </c>
      <c r="AQ8" s="452" t="s">
        <v>545</v>
      </c>
      <c r="AR8" s="448" t="s">
        <v>544</v>
      </c>
      <c r="AS8" s="452" t="s">
        <v>545</v>
      </c>
      <c r="AT8" s="448" t="s">
        <v>544</v>
      </c>
      <c r="AU8" s="452" t="s">
        <v>545</v>
      </c>
      <c r="AV8" s="452" t="s">
        <v>545</v>
      </c>
      <c r="AW8" s="452" t="s">
        <v>545</v>
      </c>
      <c r="AX8" s="452" t="s">
        <v>545</v>
      </c>
      <c r="AY8" s="452" t="s">
        <v>545</v>
      </c>
      <c r="AZ8" s="452" t="s">
        <v>545</v>
      </c>
      <c r="BA8" s="452" t="s">
        <v>545</v>
      </c>
      <c r="BB8" s="452" t="s">
        <v>545</v>
      </c>
      <c r="BC8" s="452" t="s">
        <v>545</v>
      </c>
      <c r="BD8" s="452" t="s">
        <v>545</v>
      </c>
      <c r="BE8" s="448" t="s">
        <v>544</v>
      </c>
      <c r="BF8" s="452" t="s">
        <v>545</v>
      </c>
      <c r="BG8" s="452" t="s">
        <v>545</v>
      </c>
      <c r="BH8" s="448" t="s">
        <v>544</v>
      </c>
      <c r="BI8" s="452" t="s">
        <v>545</v>
      </c>
      <c r="BJ8" s="452" t="s">
        <v>545</v>
      </c>
      <c r="BK8" s="452" t="s">
        <v>545</v>
      </c>
      <c r="BL8" s="448" t="s">
        <v>549</v>
      </c>
      <c r="BM8" s="452" t="s">
        <v>545</v>
      </c>
      <c r="BN8" s="452" t="s">
        <v>545</v>
      </c>
      <c r="BO8" s="452" t="s">
        <v>545</v>
      </c>
      <c r="BP8" s="452" t="s">
        <v>545</v>
      </c>
      <c r="BQ8" s="452" t="s">
        <v>549</v>
      </c>
      <c r="BR8" s="452" t="s">
        <v>545</v>
      </c>
      <c r="BS8" s="450" t="s">
        <v>545</v>
      </c>
      <c r="BT8" s="452" t="s">
        <v>545</v>
      </c>
      <c r="BU8" s="452" t="s">
        <v>545</v>
      </c>
      <c r="BV8" s="448" t="s">
        <v>545</v>
      </c>
      <c r="BW8" s="448"/>
      <c r="BX8" s="448"/>
      <c r="BY8" s="448" t="s">
        <v>544</v>
      </c>
      <c r="BZ8" s="448" t="s">
        <v>544</v>
      </c>
    </row>
    <row r="9" spans="1:78" ht="15.75" thickBot="1">
      <c r="A9" s="561"/>
      <c r="B9" s="430" t="s">
        <v>572</v>
      </c>
      <c r="C9" s="427" t="s">
        <v>573</v>
      </c>
      <c r="D9" s="449" t="s">
        <v>544</v>
      </c>
      <c r="E9" s="449" t="s">
        <v>544</v>
      </c>
      <c r="F9" s="449" t="s">
        <v>544</v>
      </c>
      <c r="G9" s="449" t="s">
        <v>544</v>
      </c>
      <c r="H9" s="449" t="s">
        <v>544</v>
      </c>
      <c r="I9" s="453" t="s">
        <v>549</v>
      </c>
      <c r="J9" s="453" t="s">
        <v>549</v>
      </c>
      <c r="K9" s="449" t="s">
        <v>544</v>
      </c>
      <c r="L9" s="449" t="s">
        <v>544</v>
      </c>
      <c r="M9" s="449" t="s">
        <v>544</v>
      </c>
      <c r="N9" s="453" t="s">
        <v>549</v>
      </c>
      <c r="O9" s="449" t="s">
        <v>544</v>
      </c>
      <c r="P9" s="449" t="s">
        <v>544</v>
      </c>
      <c r="Q9" s="453" t="s">
        <v>549</v>
      </c>
      <c r="R9" s="449" t="s">
        <v>544</v>
      </c>
      <c r="S9" s="453" t="s">
        <v>549</v>
      </c>
      <c r="T9" s="449" t="s">
        <v>544</v>
      </c>
      <c r="U9" s="449" t="s">
        <v>544</v>
      </c>
      <c r="V9" s="449" t="s">
        <v>544</v>
      </c>
      <c r="W9" s="449" t="s">
        <v>544</v>
      </c>
      <c r="X9" s="449" t="s">
        <v>544</v>
      </c>
      <c r="Y9" s="449" t="s">
        <v>544</v>
      </c>
      <c r="Z9" s="450" t="s">
        <v>545</v>
      </c>
      <c r="AA9" s="449" t="s">
        <v>544</v>
      </c>
      <c r="AB9" s="449" t="s">
        <v>544</v>
      </c>
      <c r="AC9" s="449" t="s">
        <v>544</v>
      </c>
      <c r="AD9" s="450" t="s">
        <v>545</v>
      </c>
      <c r="AE9" s="449" t="s">
        <v>544</v>
      </c>
      <c r="AF9" s="449" t="s">
        <v>544</v>
      </c>
      <c r="AG9" s="449" t="s">
        <v>544</v>
      </c>
      <c r="AH9" s="449" t="s">
        <v>544</v>
      </c>
      <c r="AI9" s="449" t="s">
        <v>544</v>
      </c>
      <c r="AJ9" s="449" t="s">
        <v>544</v>
      </c>
      <c r="AK9" s="449" t="s">
        <v>544</v>
      </c>
      <c r="AL9" s="449" t="s">
        <v>544</v>
      </c>
      <c r="AM9" s="449" t="s">
        <v>544</v>
      </c>
      <c r="AN9" s="449" t="s">
        <v>544</v>
      </c>
      <c r="AO9" s="450" t="s">
        <v>545</v>
      </c>
      <c r="AP9" s="449" t="s">
        <v>544</v>
      </c>
      <c r="AQ9" s="449" t="s">
        <v>544</v>
      </c>
      <c r="AR9" s="449" t="s">
        <v>544</v>
      </c>
      <c r="AS9" s="449" t="s">
        <v>544</v>
      </c>
      <c r="AT9" s="449" t="s">
        <v>544</v>
      </c>
      <c r="AU9" s="449" t="s">
        <v>544</v>
      </c>
      <c r="AV9" s="449" t="s">
        <v>544</v>
      </c>
      <c r="AW9" s="449" t="s">
        <v>544</v>
      </c>
      <c r="AX9" s="449" t="s">
        <v>544</v>
      </c>
      <c r="AY9" s="449" t="s">
        <v>544</v>
      </c>
      <c r="AZ9" s="449" t="s">
        <v>544</v>
      </c>
      <c r="BA9" s="449" t="s">
        <v>544</v>
      </c>
      <c r="BB9" s="449" t="s">
        <v>544</v>
      </c>
      <c r="BC9" s="449" t="s">
        <v>544</v>
      </c>
      <c r="BD9" s="449" t="s">
        <v>544</v>
      </c>
      <c r="BE9" s="449" t="s">
        <v>544</v>
      </c>
      <c r="BF9" s="449" t="s">
        <v>544</v>
      </c>
      <c r="BG9" s="449" t="s">
        <v>544</v>
      </c>
      <c r="BH9" s="449" t="s">
        <v>544</v>
      </c>
      <c r="BI9" s="450" t="s">
        <v>545</v>
      </c>
      <c r="BJ9" s="448" t="s">
        <v>544</v>
      </c>
      <c r="BK9" s="449" t="s">
        <v>544</v>
      </c>
      <c r="BL9" s="448" t="s">
        <v>549</v>
      </c>
      <c r="BM9" s="448" t="s">
        <v>544</v>
      </c>
      <c r="BN9" s="448" t="s">
        <v>544</v>
      </c>
      <c r="BO9" s="448" t="s">
        <v>544</v>
      </c>
      <c r="BP9" s="448" t="s">
        <v>549</v>
      </c>
      <c r="BQ9" s="448" t="s">
        <v>549</v>
      </c>
      <c r="BR9" s="448" t="s">
        <v>549</v>
      </c>
      <c r="BS9" s="450" t="s">
        <v>545</v>
      </c>
      <c r="BT9" s="449" t="s">
        <v>544</v>
      </c>
      <c r="BU9" s="448" t="s">
        <v>544</v>
      </c>
      <c r="BV9" s="449" t="s">
        <v>544</v>
      </c>
      <c r="BW9" s="449"/>
      <c r="BX9" s="449"/>
      <c r="BY9" s="449" t="s">
        <v>544</v>
      </c>
      <c r="BZ9" s="449" t="s">
        <v>544</v>
      </c>
    </row>
    <row r="10" spans="1:78" ht="15.75" thickBot="1">
      <c r="A10" s="561" t="s">
        <v>574</v>
      </c>
      <c r="B10" s="426" t="s">
        <v>428</v>
      </c>
      <c r="C10" s="427" t="s">
        <v>575</v>
      </c>
      <c r="D10" s="452" t="s">
        <v>545</v>
      </c>
      <c r="E10" s="452" t="s">
        <v>545</v>
      </c>
      <c r="F10" s="450" t="s">
        <v>545</v>
      </c>
      <c r="G10" s="450" t="s">
        <v>545</v>
      </c>
      <c r="H10" s="449" t="s">
        <v>544</v>
      </c>
      <c r="I10" s="450" t="s">
        <v>545</v>
      </c>
      <c r="J10" s="450" t="s">
        <v>545</v>
      </c>
      <c r="K10" s="452" t="s">
        <v>545</v>
      </c>
      <c r="L10" s="452" t="s">
        <v>545</v>
      </c>
      <c r="M10" s="452" t="s">
        <v>545</v>
      </c>
      <c r="N10" s="448" t="s">
        <v>545</v>
      </c>
      <c r="O10" s="452" t="s">
        <v>545</v>
      </c>
      <c r="P10" s="452" t="s">
        <v>545</v>
      </c>
      <c r="Q10" s="448" t="s">
        <v>545</v>
      </c>
      <c r="R10" s="452" t="s">
        <v>545</v>
      </c>
      <c r="S10" s="448" t="s">
        <v>545</v>
      </c>
      <c r="T10" s="452" t="s">
        <v>545</v>
      </c>
      <c r="U10" s="452" t="s">
        <v>545</v>
      </c>
      <c r="V10" s="452" t="s">
        <v>545</v>
      </c>
      <c r="W10" s="451" t="s">
        <v>547</v>
      </c>
      <c r="X10" s="452" t="s">
        <v>545</v>
      </c>
      <c r="Y10" s="454" t="s">
        <v>546</v>
      </c>
      <c r="Z10" s="450" t="s">
        <v>545</v>
      </c>
      <c r="AA10" s="450" t="s">
        <v>545</v>
      </c>
      <c r="AB10" s="450" t="s">
        <v>545</v>
      </c>
      <c r="AC10" s="450" t="s">
        <v>545</v>
      </c>
      <c r="AD10" s="450" t="s">
        <v>545</v>
      </c>
      <c r="AE10" s="450" t="s">
        <v>545</v>
      </c>
      <c r="AF10" s="452" t="s">
        <v>545</v>
      </c>
      <c r="AG10" s="452" t="s">
        <v>545</v>
      </c>
      <c r="AH10" s="450" t="s">
        <v>545</v>
      </c>
      <c r="AI10" s="452" t="s">
        <v>545</v>
      </c>
      <c r="AJ10" s="452" t="s">
        <v>545</v>
      </c>
      <c r="AK10" s="450" t="s">
        <v>545</v>
      </c>
      <c r="AL10" s="448" t="s">
        <v>544</v>
      </c>
      <c r="AM10" s="448" t="s">
        <v>544</v>
      </c>
      <c r="AN10" s="452" t="s">
        <v>545</v>
      </c>
      <c r="AO10" s="452" t="s">
        <v>545</v>
      </c>
      <c r="AP10" s="452" t="s">
        <v>545</v>
      </c>
      <c r="AQ10" s="452" t="s">
        <v>545</v>
      </c>
      <c r="AR10" s="448" t="s">
        <v>544</v>
      </c>
      <c r="AS10" s="452" t="s">
        <v>545</v>
      </c>
      <c r="AT10" s="448" t="s">
        <v>544</v>
      </c>
      <c r="AU10" s="448" t="s">
        <v>544</v>
      </c>
      <c r="AV10" s="454" t="s">
        <v>546</v>
      </c>
      <c r="AW10" s="448" t="s">
        <v>544</v>
      </c>
      <c r="AX10" s="448" t="s">
        <v>544</v>
      </c>
      <c r="AY10" s="454" t="s">
        <v>546</v>
      </c>
      <c r="AZ10" s="454" t="s">
        <v>546</v>
      </c>
      <c r="BA10" s="452" t="s">
        <v>545</v>
      </c>
      <c r="BB10" s="454" t="s">
        <v>546</v>
      </c>
      <c r="BC10" s="454" t="s">
        <v>546</v>
      </c>
      <c r="BD10" s="454" t="s">
        <v>546</v>
      </c>
      <c r="BE10" s="454" t="s">
        <v>546</v>
      </c>
      <c r="BF10" s="454" t="s">
        <v>546</v>
      </c>
      <c r="BG10" s="452" t="s">
        <v>545</v>
      </c>
      <c r="BH10" s="454" t="s">
        <v>546</v>
      </c>
      <c r="BI10" s="448" t="s">
        <v>544</v>
      </c>
      <c r="BJ10" s="454" t="s">
        <v>546</v>
      </c>
      <c r="BK10" s="452" t="s">
        <v>545</v>
      </c>
      <c r="BL10" s="448" t="s">
        <v>549</v>
      </c>
      <c r="BM10" s="452" t="s">
        <v>545</v>
      </c>
      <c r="BN10" s="452" t="s">
        <v>545</v>
      </c>
      <c r="BO10" s="454" t="s">
        <v>546</v>
      </c>
      <c r="BP10" s="452" t="s">
        <v>545</v>
      </c>
      <c r="BQ10" s="454" t="s">
        <v>549</v>
      </c>
      <c r="BR10" s="455" t="s">
        <v>546</v>
      </c>
      <c r="BS10" s="450" t="s">
        <v>545</v>
      </c>
      <c r="BT10" s="452" t="s">
        <v>545</v>
      </c>
      <c r="BU10" s="454" t="s">
        <v>546</v>
      </c>
      <c r="BV10" s="452" t="s">
        <v>545</v>
      </c>
      <c r="BW10" s="452"/>
      <c r="BX10" s="452"/>
      <c r="BY10" s="452" t="s">
        <v>545</v>
      </c>
      <c r="BZ10" s="452" t="s">
        <v>545</v>
      </c>
    </row>
    <row r="11" spans="1:78" ht="15.75" thickBot="1">
      <c r="A11" s="561"/>
      <c r="B11" s="426" t="s">
        <v>576</v>
      </c>
      <c r="C11" s="427" t="s">
        <v>577</v>
      </c>
      <c r="D11" s="448" t="s">
        <v>544</v>
      </c>
      <c r="E11" s="454" t="s">
        <v>546</v>
      </c>
      <c r="F11" s="449" t="s">
        <v>544</v>
      </c>
      <c r="G11" s="449" t="s">
        <v>544</v>
      </c>
      <c r="H11" s="449" t="s">
        <v>544</v>
      </c>
      <c r="I11" s="448" t="s">
        <v>544</v>
      </c>
      <c r="J11" s="448" t="s">
        <v>544</v>
      </c>
      <c r="K11" s="448" t="s">
        <v>544</v>
      </c>
      <c r="L11" s="452" t="s">
        <v>545</v>
      </c>
      <c r="M11" s="448" t="s">
        <v>544</v>
      </c>
      <c r="N11" s="448" t="s">
        <v>544</v>
      </c>
      <c r="O11" s="448" t="s">
        <v>544</v>
      </c>
      <c r="P11" s="452" t="s">
        <v>545</v>
      </c>
      <c r="Q11" s="448" t="s">
        <v>544</v>
      </c>
      <c r="R11" s="448" t="s">
        <v>544</v>
      </c>
      <c r="S11" s="448" t="s">
        <v>544</v>
      </c>
      <c r="T11" s="448" t="s">
        <v>544</v>
      </c>
      <c r="U11" s="448" t="s">
        <v>544</v>
      </c>
      <c r="V11" s="454" t="s">
        <v>546</v>
      </c>
      <c r="W11" s="451" t="s">
        <v>547</v>
      </c>
      <c r="X11" s="448" t="s">
        <v>544</v>
      </c>
      <c r="Y11" s="452" t="s">
        <v>545</v>
      </c>
      <c r="Z11" s="455" t="s">
        <v>546</v>
      </c>
      <c r="AA11" s="449" t="s">
        <v>544</v>
      </c>
      <c r="AB11" s="449" t="s">
        <v>544</v>
      </c>
      <c r="AC11" s="449" t="s">
        <v>544</v>
      </c>
      <c r="AD11" s="455" t="s">
        <v>546</v>
      </c>
      <c r="AE11" s="449" t="s">
        <v>544</v>
      </c>
      <c r="AF11" s="448" t="s">
        <v>544</v>
      </c>
      <c r="AG11" s="452" t="s">
        <v>545</v>
      </c>
      <c r="AH11" s="449" t="s">
        <v>544</v>
      </c>
      <c r="AI11" s="448" t="s">
        <v>544</v>
      </c>
      <c r="AJ11" s="448" t="s">
        <v>544</v>
      </c>
      <c r="AK11" s="450" t="s">
        <v>545</v>
      </c>
      <c r="AL11" s="448" t="s">
        <v>544</v>
      </c>
      <c r="AM11" s="448" t="s">
        <v>544</v>
      </c>
      <c r="AN11" s="452" t="s">
        <v>545</v>
      </c>
      <c r="AO11" s="454" t="s">
        <v>546</v>
      </c>
      <c r="AP11" s="448" t="s">
        <v>544</v>
      </c>
      <c r="AQ11" s="448" t="s">
        <v>544</v>
      </c>
      <c r="AR11" s="448" t="s">
        <v>544</v>
      </c>
      <c r="AS11" s="452" t="s">
        <v>545</v>
      </c>
      <c r="AT11" s="448" t="s">
        <v>544</v>
      </c>
      <c r="AU11" s="452" t="s">
        <v>545</v>
      </c>
      <c r="AV11" s="452" t="s">
        <v>545</v>
      </c>
      <c r="AW11" s="452" t="s">
        <v>545</v>
      </c>
      <c r="AX11" s="448" t="s">
        <v>544</v>
      </c>
      <c r="AY11" s="452" t="s">
        <v>545</v>
      </c>
      <c r="AZ11" s="452" t="s">
        <v>545</v>
      </c>
      <c r="BA11" s="448" t="s">
        <v>544</v>
      </c>
      <c r="BB11" s="452" t="s">
        <v>545</v>
      </c>
      <c r="BC11" s="452" t="s">
        <v>545</v>
      </c>
      <c r="BD11" s="452" t="s">
        <v>545</v>
      </c>
      <c r="BE11" s="448" t="s">
        <v>544</v>
      </c>
      <c r="BF11" s="454" t="s">
        <v>546</v>
      </c>
      <c r="BG11" s="452" t="s">
        <v>545</v>
      </c>
      <c r="BH11" s="448" t="s">
        <v>544</v>
      </c>
      <c r="BI11" s="448" t="s">
        <v>544</v>
      </c>
      <c r="BJ11" s="452" t="s">
        <v>545</v>
      </c>
      <c r="BK11" s="448" t="s">
        <v>544</v>
      </c>
      <c r="BL11" s="448" t="s">
        <v>549</v>
      </c>
      <c r="BM11" s="452" t="s">
        <v>545</v>
      </c>
      <c r="BN11" s="452" t="s">
        <v>545</v>
      </c>
      <c r="BO11" s="452" t="s">
        <v>545</v>
      </c>
      <c r="BP11" s="452" t="s">
        <v>545</v>
      </c>
      <c r="BQ11" s="452" t="s">
        <v>549</v>
      </c>
      <c r="BR11" s="452" t="s">
        <v>549</v>
      </c>
      <c r="BS11" s="449" t="s">
        <v>544</v>
      </c>
      <c r="BT11" s="448" t="s">
        <v>544</v>
      </c>
      <c r="BU11" s="448" t="s">
        <v>544</v>
      </c>
      <c r="BV11" s="454" t="s">
        <v>545</v>
      </c>
      <c r="BW11" s="454"/>
      <c r="BX11" s="454"/>
      <c r="BY11" s="454" t="s">
        <v>546</v>
      </c>
      <c r="BZ11" s="454" t="s">
        <v>546</v>
      </c>
    </row>
    <row r="12" spans="1:78" ht="15.75" thickBot="1">
      <c r="A12" s="561"/>
      <c r="B12" s="426" t="s">
        <v>578</v>
      </c>
      <c r="C12" s="427" t="s">
        <v>579</v>
      </c>
      <c r="D12" s="448" t="s">
        <v>544</v>
      </c>
      <c r="E12" s="448" t="s">
        <v>544</v>
      </c>
      <c r="F12" s="449" t="s">
        <v>544</v>
      </c>
      <c r="G12" s="449" t="s">
        <v>544</v>
      </c>
      <c r="H12" s="449" t="s">
        <v>544</v>
      </c>
      <c r="I12" s="448" t="s">
        <v>544</v>
      </c>
      <c r="J12" s="448" t="s">
        <v>544</v>
      </c>
      <c r="K12" s="448" t="s">
        <v>544</v>
      </c>
      <c r="L12" s="448" t="s">
        <v>544</v>
      </c>
      <c r="M12" s="448" t="s">
        <v>544</v>
      </c>
      <c r="N12" s="448" t="s">
        <v>544</v>
      </c>
      <c r="O12" s="448" t="s">
        <v>544</v>
      </c>
      <c r="P12" s="448" t="s">
        <v>544</v>
      </c>
      <c r="Q12" s="448" t="s">
        <v>544</v>
      </c>
      <c r="R12" s="448" t="s">
        <v>544</v>
      </c>
      <c r="S12" s="448" t="s">
        <v>544</v>
      </c>
      <c r="T12" s="448" t="s">
        <v>544</v>
      </c>
      <c r="U12" s="448" t="s">
        <v>544</v>
      </c>
      <c r="V12" s="448" t="s">
        <v>544</v>
      </c>
      <c r="W12" s="448" t="s">
        <v>544</v>
      </c>
      <c r="X12" s="448" t="s">
        <v>544</v>
      </c>
      <c r="Y12" s="448" t="s">
        <v>544</v>
      </c>
      <c r="Z12" s="449" t="s">
        <v>544</v>
      </c>
      <c r="AA12" s="449" t="s">
        <v>544</v>
      </c>
      <c r="AB12" s="449" t="s">
        <v>544</v>
      </c>
      <c r="AC12" s="450" t="s">
        <v>545</v>
      </c>
      <c r="AD12" s="449" t="s">
        <v>544</v>
      </c>
      <c r="AE12" s="449" t="s">
        <v>544</v>
      </c>
      <c r="AF12" s="448" t="s">
        <v>544</v>
      </c>
      <c r="AG12" s="448" t="s">
        <v>544</v>
      </c>
      <c r="AH12" s="449" t="s">
        <v>544</v>
      </c>
      <c r="AI12" s="448" t="s">
        <v>544</v>
      </c>
      <c r="AJ12" s="454" t="s">
        <v>546</v>
      </c>
      <c r="AK12" s="449" t="s">
        <v>544</v>
      </c>
      <c r="AL12" s="448" t="s">
        <v>544</v>
      </c>
      <c r="AM12" s="448" t="s">
        <v>544</v>
      </c>
      <c r="AN12" s="448" t="s">
        <v>544</v>
      </c>
      <c r="AO12" s="448" t="s">
        <v>544</v>
      </c>
      <c r="AP12" s="448" t="s">
        <v>544</v>
      </c>
      <c r="AQ12" s="448" t="s">
        <v>544</v>
      </c>
      <c r="AR12" s="448" t="s">
        <v>544</v>
      </c>
      <c r="AS12" s="448" t="s">
        <v>544</v>
      </c>
      <c r="AT12" s="448" t="s">
        <v>544</v>
      </c>
      <c r="AU12" s="452" t="s">
        <v>545</v>
      </c>
      <c r="AV12" s="448" t="s">
        <v>544</v>
      </c>
      <c r="AW12" s="452" t="s">
        <v>545</v>
      </c>
      <c r="AX12" s="448" t="s">
        <v>544</v>
      </c>
      <c r="AY12" s="448" t="s">
        <v>544</v>
      </c>
      <c r="AZ12" s="448" t="s">
        <v>544</v>
      </c>
      <c r="BA12" s="448" t="s">
        <v>544</v>
      </c>
      <c r="BB12" s="448" t="s">
        <v>544</v>
      </c>
      <c r="BC12" s="448" t="s">
        <v>544</v>
      </c>
      <c r="BD12" s="448" t="s">
        <v>544</v>
      </c>
      <c r="BE12" s="448" t="s">
        <v>544</v>
      </c>
      <c r="BF12" s="448" t="s">
        <v>544</v>
      </c>
      <c r="BG12" s="448" t="s">
        <v>544</v>
      </c>
      <c r="BH12" s="448" t="s">
        <v>544</v>
      </c>
      <c r="BI12" s="448" t="s">
        <v>544</v>
      </c>
      <c r="BJ12" s="448" t="s">
        <v>544</v>
      </c>
      <c r="BK12" s="448" t="s">
        <v>544</v>
      </c>
      <c r="BL12" s="448" t="s">
        <v>549</v>
      </c>
      <c r="BM12" s="448" t="s">
        <v>544</v>
      </c>
      <c r="BN12" s="448" t="s">
        <v>544</v>
      </c>
      <c r="BO12" s="448" t="s">
        <v>544</v>
      </c>
      <c r="BP12" s="448" t="s">
        <v>549</v>
      </c>
      <c r="BQ12" s="448" t="s">
        <v>549</v>
      </c>
      <c r="BR12" s="448" t="s">
        <v>549</v>
      </c>
      <c r="BS12" s="449" t="s">
        <v>544</v>
      </c>
      <c r="BT12" s="448" t="s">
        <v>544</v>
      </c>
      <c r="BU12" s="448" t="s">
        <v>544</v>
      </c>
      <c r="BV12" s="448" t="s">
        <v>544</v>
      </c>
      <c r="BW12" s="448"/>
      <c r="BX12" s="448"/>
      <c r="BY12" s="448" t="s">
        <v>544</v>
      </c>
      <c r="BZ12" s="448" t="s">
        <v>544</v>
      </c>
    </row>
    <row r="13" spans="1:78" ht="15.75" thickBot="1">
      <c r="A13" s="561"/>
      <c r="B13" s="426" t="s">
        <v>449</v>
      </c>
      <c r="C13" s="427" t="s">
        <v>580</v>
      </c>
      <c r="D13" s="454" t="s">
        <v>546</v>
      </c>
      <c r="E13" s="454" t="s">
        <v>546</v>
      </c>
      <c r="F13" s="449" t="s">
        <v>544</v>
      </c>
      <c r="G13" s="450" t="s">
        <v>545</v>
      </c>
      <c r="H13" s="449" t="s">
        <v>544</v>
      </c>
      <c r="I13" s="450" t="s">
        <v>545</v>
      </c>
      <c r="J13" s="450" t="s">
        <v>545</v>
      </c>
      <c r="K13" s="452" t="s">
        <v>545</v>
      </c>
      <c r="L13" s="448" t="s">
        <v>544</v>
      </c>
      <c r="M13" s="454" t="s">
        <v>546</v>
      </c>
      <c r="N13" s="448" t="s">
        <v>545</v>
      </c>
      <c r="O13" s="454" t="s">
        <v>546</v>
      </c>
      <c r="P13" s="452" t="s">
        <v>545</v>
      </c>
      <c r="Q13" s="448" t="s">
        <v>545</v>
      </c>
      <c r="R13" s="454" t="s">
        <v>546</v>
      </c>
      <c r="S13" s="448" t="s">
        <v>545</v>
      </c>
      <c r="T13" s="454" t="s">
        <v>546</v>
      </c>
      <c r="U13" s="454" t="s">
        <v>546</v>
      </c>
      <c r="V13" s="454" t="s">
        <v>546</v>
      </c>
      <c r="W13" s="451" t="s">
        <v>547</v>
      </c>
      <c r="X13" s="454" t="s">
        <v>546</v>
      </c>
      <c r="Y13" s="454" t="s">
        <v>546</v>
      </c>
      <c r="Z13" s="455" t="s">
        <v>546</v>
      </c>
      <c r="AA13" s="455" t="s">
        <v>546</v>
      </c>
      <c r="AB13" s="455" t="s">
        <v>546</v>
      </c>
      <c r="AC13" s="450" t="s">
        <v>545</v>
      </c>
      <c r="AD13" s="455" t="s">
        <v>546</v>
      </c>
      <c r="AE13" s="455" t="s">
        <v>546</v>
      </c>
      <c r="AF13" s="452" t="s">
        <v>545</v>
      </c>
      <c r="AG13" s="452" t="s">
        <v>545</v>
      </c>
      <c r="AH13" s="455" t="s">
        <v>546</v>
      </c>
      <c r="AI13" s="454" t="s">
        <v>546</v>
      </c>
      <c r="AJ13" s="454" t="s">
        <v>546</v>
      </c>
      <c r="AK13" s="455" t="s">
        <v>546</v>
      </c>
      <c r="AL13" s="452" t="s">
        <v>545</v>
      </c>
      <c r="AM13" s="448" t="s">
        <v>544</v>
      </c>
      <c r="AN13" s="454" t="s">
        <v>546</v>
      </c>
      <c r="AO13" s="454" t="s">
        <v>546</v>
      </c>
      <c r="AP13" s="454" t="s">
        <v>546</v>
      </c>
      <c r="AQ13" s="448" t="s">
        <v>544</v>
      </c>
      <c r="AR13" s="448" t="s">
        <v>544</v>
      </c>
      <c r="AS13" s="448" t="s">
        <v>544</v>
      </c>
      <c r="AT13" s="448" t="s">
        <v>544</v>
      </c>
      <c r="AU13" s="452" t="s">
        <v>545</v>
      </c>
      <c r="AV13" s="452" t="s">
        <v>545</v>
      </c>
      <c r="AW13" s="448" t="s">
        <v>544</v>
      </c>
      <c r="AX13" s="448" t="s">
        <v>544</v>
      </c>
      <c r="AY13" s="454" t="s">
        <v>546</v>
      </c>
      <c r="AZ13" s="454" t="s">
        <v>546</v>
      </c>
      <c r="BA13" s="454" t="s">
        <v>546</v>
      </c>
      <c r="BB13" s="454" t="s">
        <v>546</v>
      </c>
      <c r="BC13" s="454" t="s">
        <v>546</v>
      </c>
      <c r="BD13" s="454" t="s">
        <v>546</v>
      </c>
      <c r="BE13" s="454" t="s">
        <v>546</v>
      </c>
      <c r="BF13" s="452" t="s">
        <v>545</v>
      </c>
      <c r="BG13" s="454" t="s">
        <v>546</v>
      </c>
      <c r="BH13" s="448" t="s">
        <v>544</v>
      </c>
      <c r="BI13" s="448" t="s">
        <v>544</v>
      </c>
      <c r="BJ13" s="454" t="s">
        <v>546</v>
      </c>
      <c r="BK13" s="454" t="s">
        <v>546</v>
      </c>
      <c r="BL13" s="448" t="s">
        <v>549</v>
      </c>
      <c r="BM13" s="448" t="s">
        <v>544</v>
      </c>
      <c r="BN13" s="448" t="s">
        <v>544</v>
      </c>
      <c r="BO13" s="454" t="s">
        <v>546</v>
      </c>
      <c r="BP13" s="452" t="s">
        <v>545</v>
      </c>
      <c r="BQ13" s="454" t="s">
        <v>549</v>
      </c>
      <c r="BR13" s="455" t="s">
        <v>546</v>
      </c>
      <c r="BS13" s="455" t="s">
        <v>546</v>
      </c>
      <c r="BT13" s="454" t="s">
        <v>546</v>
      </c>
      <c r="BU13" s="448" t="s">
        <v>544</v>
      </c>
      <c r="BV13" s="454" t="s">
        <v>546</v>
      </c>
      <c r="BW13" s="454"/>
      <c r="BX13" s="454"/>
      <c r="BY13" s="454" t="s">
        <v>546</v>
      </c>
      <c r="BZ13" s="454" t="s">
        <v>546</v>
      </c>
    </row>
    <row r="14" spans="1:78" ht="15.75" thickBot="1">
      <c r="A14" s="561" t="s">
        <v>454</v>
      </c>
      <c r="B14" s="431" t="s">
        <v>420</v>
      </c>
      <c r="C14" s="427" t="s">
        <v>581</v>
      </c>
      <c r="D14" s="454" t="s">
        <v>546</v>
      </c>
      <c r="E14" s="454" t="s">
        <v>546</v>
      </c>
      <c r="F14" s="450" t="s">
        <v>545</v>
      </c>
      <c r="G14" s="450" t="s">
        <v>545</v>
      </c>
      <c r="H14" s="449" t="s">
        <v>544</v>
      </c>
      <c r="I14" s="450" t="s">
        <v>545</v>
      </c>
      <c r="J14" s="450" t="s">
        <v>545</v>
      </c>
      <c r="K14" s="454" t="s">
        <v>546</v>
      </c>
      <c r="L14" s="454" t="s">
        <v>546</v>
      </c>
      <c r="M14" s="454" t="s">
        <v>546</v>
      </c>
      <c r="N14" s="448" t="s">
        <v>545</v>
      </c>
      <c r="O14" s="454" t="s">
        <v>546</v>
      </c>
      <c r="P14" s="452" t="s">
        <v>545</v>
      </c>
      <c r="Q14" s="448" t="s">
        <v>545</v>
      </c>
      <c r="R14" s="454" t="s">
        <v>546</v>
      </c>
      <c r="S14" s="448" t="s">
        <v>545</v>
      </c>
      <c r="T14" s="454" t="s">
        <v>546</v>
      </c>
      <c r="U14" s="454" t="s">
        <v>546</v>
      </c>
      <c r="V14" s="454" t="s">
        <v>546</v>
      </c>
      <c r="W14" s="451" t="s">
        <v>547</v>
      </c>
      <c r="X14" s="454" t="s">
        <v>546</v>
      </c>
      <c r="Y14" s="454" t="s">
        <v>546</v>
      </c>
      <c r="Z14" s="455" t="s">
        <v>546</v>
      </c>
      <c r="AA14" s="455" t="s">
        <v>546</v>
      </c>
      <c r="AB14" s="455" t="s">
        <v>546</v>
      </c>
      <c r="AC14" s="450" t="s">
        <v>545</v>
      </c>
      <c r="AD14" s="455" t="s">
        <v>546</v>
      </c>
      <c r="AE14" s="450" t="s">
        <v>545</v>
      </c>
      <c r="AF14" s="454" t="s">
        <v>546</v>
      </c>
      <c r="AG14" s="454" t="s">
        <v>546</v>
      </c>
      <c r="AH14" s="455" t="s">
        <v>546</v>
      </c>
      <c r="AI14" s="454" t="s">
        <v>546</v>
      </c>
      <c r="AJ14" s="454" t="s">
        <v>546</v>
      </c>
      <c r="AK14" s="455" t="s">
        <v>546</v>
      </c>
      <c r="AL14" s="448" t="s">
        <v>544</v>
      </c>
      <c r="AM14" s="452" t="s">
        <v>545</v>
      </c>
      <c r="AN14" s="454" t="s">
        <v>546</v>
      </c>
      <c r="AO14" s="454" t="s">
        <v>546</v>
      </c>
      <c r="AP14" s="454" t="s">
        <v>546</v>
      </c>
      <c r="AQ14" s="454" t="s">
        <v>546</v>
      </c>
      <c r="AR14" s="448" t="s">
        <v>544</v>
      </c>
      <c r="AS14" s="452" t="s">
        <v>545</v>
      </c>
      <c r="AT14" s="448" t="s">
        <v>544</v>
      </c>
      <c r="AU14" s="448" t="s">
        <v>544</v>
      </c>
      <c r="AV14" s="454" t="s">
        <v>546</v>
      </c>
      <c r="AW14" s="448" t="s">
        <v>544</v>
      </c>
      <c r="AX14" s="448" t="s">
        <v>544</v>
      </c>
      <c r="AY14" s="454" t="s">
        <v>546</v>
      </c>
      <c r="AZ14" s="454" t="s">
        <v>546</v>
      </c>
      <c r="BA14" s="454" t="s">
        <v>546</v>
      </c>
      <c r="BB14" s="454" t="s">
        <v>546</v>
      </c>
      <c r="BC14" s="454" t="s">
        <v>546</v>
      </c>
      <c r="BD14" s="454" t="s">
        <v>546</v>
      </c>
      <c r="BE14" s="454" t="s">
        <v>546</v>
      </c>
      <c r="BF14" s="452" t="s">
        <v>545</v>
      </c>
      <c r="BG14" s="454" t="s">
        <v>546</v>
      </c>
      <c r="BH14" s="454" t="s">
        <v>546</v>
      </c>
      <c r="BI14" s="452" t="s">
        <v>545</v>
      </c>
      <c r="BJ14" s="454" t="s">
        <v>546</v>
      </c>
      <c r="BK14" s="454" t="s">
        <v>546</v>
      </c>
      <c r="BL14" s="448" t="s">
        <v>549</v>
      </c>
      <c r="BM14" s="448" t="s">
        <v>544</v>
      </c>
      <c r="BN14" s="452" t="s">
        <v>545</v>
      </c>
      <c r="BO14" s="454" t="s">
        <v>546</v>
      </c>
      <c r="BP14" s="455" t="s">
        <v>546</v>
      </c>
      <c r="BQ14" s="454" t="s">
        <v>549</v>
      </c>
      <c r="BR14" s="455" t="s">
        <v>546</v>
      </c>
      <c r="BS14" s="455" t="s">
        <v>546</v>
      </c>
      <c r="BT14" s="454" t="s">
        <v>546</v>
      </c>
      <c r="BU14" s="452" t="s">
        <v>545</v>
      </c>
      <c r="BV14" s="454" t="s">
        <v>545</v>
      </c>
      <c r="BW14" s="454"/>
      <c r="BX14" s="454"/>
      <c r="BY14" s="454" t="s">
        <v>546</v>
      </c>
      <c r="BZ14" s="454" t="s">
        <v>546</v>
      </c>
    </row>
    <row r="15" spans="1:78" ht="15.75" thickBot="1">
      <c r="A15" s="561"/>
      <c r="B15" s="431" t="s">
        <v>582</v>
      </c>
      <c r="C15" s="427" t="s">
        <v>583</v>
      </c>
      <c r="D15" s="454" t="s">
        <v>544</v>
      </c>
      <c r="E15" s="454" t="s">
        <v>544</v>
      </c>
      <c r="F15" s="450" t="s">
        <v>545</v>
      </c>
      <c r="G15" s="450" t="s">
        <v>544</v>
      </c>
      <c r="H15" s="449" t="s">
        <v>544</v>
      </c>
      <c r="I15" s="448" t="s">
        <v>549</v>
      </c>
      <c r="J15" s="448" t="s">
        <v>549</v>
      </c>
      <c r="K15" s="454" t="s">
        <v>544</v>
      </c>
      <c r="L15" s="454" t="s">
        <v>544</v>
      </c>
      <c r="M15" s="454" t="s">
        <v>544</v>
      </c>
      <c r="N15" s="448" t="s">
        <v>549</v>
      </c>
      <c r="O15" s="454" t="s">
        <v>544</v>
      </c>
      <c r="P15" s="452" t="s">
        <v>544</v>
      </c>
      <c r="Q15" s="448" t="s">
        <v>549</v>
      </c>
      <c r="R15" s="454" t="s">
        <v>544</v>
      </c>
      <c r="S15" s="448" t="s">
        <v>549</v>
      </c>
      <c r="T15" s="454" t="s">
        <v>544</v>
      </c>
      <c r="U15" s="454" t="s">
        <v>544</v>
      </c>
      <c r="V15" s="454" t="s">
        <v>544</v>
      </c>
      <c r="W15" s="454" t="s">
        <v>544</v>
      </c>
      <c r="X15" s="454" t="s">
        <v>544</v>
      </c>
      <c r="Y15" s="454" t="s">
        <v>544</v>
      </c>
      <c r="Z15" s="454" t="s">
        <v>544</v>
      </c>
      <c r="AA15" s="454" t="s">
        <v>544</v>
      </c>
      <c r="AB15" s="454" t="s">
        <v>544</v>
      </c>
      <c r="AC15" s="454" t="s">
        <v>544</v>
      </c>
      <c r="AD15" s="454" t="s">
        <v>544</v>
      </c>
      <c r="AE15" s="454" t="s">
        <v>544</v>
      </c>
      <c r="AF15" s="454" t="s">
        <v>544</v>
      </c>
      <c r="AG15" s="454" t="s">
        <v>544</v>
      </c>
      <c r="AH15" s="454" t="s">
        <v>544</v>
      </c>
      <c r="AI15" s="454" t="s">
        <v>544</v>
      </c>
      <c r="AJ15" s="454" t="s">
        <v>544</v>
      </c>
      <c r="AK15" s="454" t="s">
        <v>544</v>
      </c>
      <c r="AL15" s="454" t="s">
        <v>544</v>
      </c>
      <c r="AM15" s="454" t="s">
        <v>544</v>
      </c>
      <c r="AN15" s="454" t="s">
        <v>544</v>
      </c>
      <c r="AO15" s="454" t="s">
        <v>544</v>
      </c>
      <c r="AP15" s="454" t="s">
        <v>544</v>
      </c>
      <c r="AQ15" s="454" t="s">
        <v>544</v>
      </c>
      <c r="AR15" s="454" t="s">
        <v>544</v>
      </c>
      <c r="AS15" s="454" t="s">
        <v>544</v>
      </c>
      <c r="AT15" s="454" t="s">
        <v>544</v>
      </c>
      <c r="AU15" s="454" t="s">
        <v>544</v>
      </c>
      <c r="AV15" s="454" t="s">
        <v>544</v>
      </c>
      <c r="AW15" s="454" t="s">
        <v>544</v>
      </c>
      <c r="AX15" s="454" t="s">
        <v>544</v>
      </c>
      <c r="AY15" s="454" t="s">
        <v>544</v>
      </c>
      <c r="AZ15" s="454" t="s">
        <v>544</v>
      </c>
      <c r="BA15" s="454" t="s">
        <v>544</v>
      </c>
      <c r="BB15" s="454" t="s">
        <v>544</v>
      </c>
      <c r="BC15" s="454" t="s">
        <v>544</v>
      </c>
      <c r="BD15" s="454" t="s">
        <v>544</v>
      </c>
      <c r="BE15" s="454" t="s">
        <v>544</v>
      </c>
      <c r="BF15" s="454" t="s">
        <v>544</v>
      </c>
      <c r="BG15" s="454" t="s">
        <v>544</v>
      </c>
      <c r="BH15" s="454" t="s">
        <v>544</v>
      </c>
      <c r="BI15" s="454" t="s">
        <v>544</v>
      </c>
      <c r="BJ15" s="454" t="s">
        <v>544</v>
      </c>
      <c r="BK15" s="454" t="s">
        <v>544</v>
      </c>
      <c r="BL15" s="448" t="s">
        <v>549</v>
      </c>
      <c r="BM15" s="454" t="s">
        <v>544</v>
      </c>
      <c r="BN15" s="454" t="s">
        <v>544</v>
      </c>
      <c r="BO15" s="454" t="s">
        <v>544</v>
      </c>
      <c r="BP15" s="454" t="s">
        <v>549</v>
      </c>
      <c r="BQ15" s="454" t="s">
        <v>549</v>
      </c>
      <c r="BR15" s="454" t="s">
        <v>549</v>
      </c>
      <c r="BS15" s="454" t="s">
        <v>544</v>
      </c>
      <c r="BT15" s="454" t="s">
        <v>544</v>
      </c>
      <c r="BU15" s="454" t="s">
        <v>544</v>
      </c>
      <c r="BV15" s="454" t="s">
        <v>544</v>
      </c>
      <c r="BW15" s="454"/>
      <c r="BX15" s="454"/>
      <c r="BY15" s="454" t="s">
        <v>544</v>
      </c>
      <c r="BZ15" s="454" t="s">
        <v>544</v>
      </c>
    </row>
    <row r="16" spans="1:78" ht="15.75" thickBot="1">
      <c r="A16" s="561"/>
      <c r="B16" s="426" t="s">
        <v>584</v>
      </c>
      <c r="C16" s="427" t="s">
        <v>585</v>
      </c>
      <c r="D16" s="454" t="s">
        <v>546</v>
      </c>
      <c r="E16" s="454" t="s">
        <v>546</v>
      </c>
      <c r="F16" s="449" t="s">
        <v>544</v>
      </c>
      <c r="G16" s="449" t="s">
        <v>544</v>
      </c>
      <c r="H16" s="449" t="s">
        <v>544</v>
      </c>
      <c r="I16" s="448" t="s">
        <v>544</v>
      </c>
      <c r="J16" s="448" t="s">
        <v>544</v>
      </c>
      <c r="K16" s="452" t="s">
        <v>545</v>
      </c>
      <c r="L16" s="454" t="s">
        <v>546</v>
      </c>
      <c r="M16" s="454" t="s">
        <v>546</v>
      </c>
      <c r="N16" s="448" t="s">
        <v>544</v>
      </c>
      <c r="O16" s="454" t="s">
        <v>546</v>
      </c>
      <c r="P16" s="454" t="s">
        <v>546</v>
      </c>
      <c r="Q16" s="448" t="s">
        <v>544</v>
      </c>
      <c r="R16" s="454" t="s">
        <v>546</v>
      </c>
      <c r="S16" s="448" t="s">
        <v>544</v>
      </c>
      <c r="T16" s="454" t="s">
        <v>546</v>
      </c>
      <c r="U16" s="454" t="s">
        <v>546</v>
      </c>
      <c r="V16" s="454" t="s">
        <v>546</v>
      </c>
      <c r="W16" s="451" t="s">
        <v>547</v>
      </c>
      <c r="X16" s="454" t="s">
        <v>546</v>
      </c>
      <c r="Y16" s="452" t="s">
        <v>545</v>
      </c>
      <c r="Z16" s="455" t="s">
        <v>546</v>
      </c>
      <c r="AA16" s="455" t="s">
        <v>546</v>
      </c>
      <c r="AB16" s="455" t="s">
        <v>546</v>
      </c>
      <c r="AC16" s="450" t="s">
        <v>545</v>
      </c>
      <c r="AD16" s="455" t="s">
        <v>546</v>
      </c>
      <c r="AE16" s="450" t="s">
        <v>545</v>
      </c>
      <c r="AF16" s="452" t="s">
        <v>545</v>
      </c>
      <c r="AG16" s="452" t="s">
        <v>545</v>
      </c>
      <c r="AH16" s="455" t="s">
        <v>546</v>
      </c>
      <c r="AI16" s="452" t="s">
        <v>545</v>
      </c>
      <c r="AJ16" s="454" t="s">
        <v>546</v>
      </c>
      <c r="AK16" s="455" t="s">
        <v>546</v>
      </c>
      <c r="AL16" s="452" t="s">
        <v>545</v>
      </c>
      <c r="AM16" s="452" t="s">
        <v>545</v>
      </c>
      <c r="AN16" s="454" t="s">
        <v>546</v>
      </c>
      <c r="AO16" s="454" t="s">
        <v>546</v>
      </c>
      <c r="AP16" s="454" t="s">
        <v>546</v>
      </c>
      <c r="AQ16" s="452" t="s">
        <v>545</v>
      </c>
      <c r="AR16" s="448" t="s">
        <v>544</v>
      </c>
      <c r="AS16" s="452" t="s">
        <v>545</v>
      </c>
      <c r="AT16" s="448" t="s">
        <v>544</v>
      </c>
      <c r="AU16" s="452" t="s">
        <v>545</v>
      </c>
      <c r="AV16" s="452" t="s">
        <v>545</v>
      </c>
      <c r="AW16" s="448" t="s">
        <v>544</v>
      </c>
      <c r="AX16" s="448" t="s">
        <v>544</v>
      </c>
      <c r="AY16" s="454" t="s">
        <v>546</v>
      </c>
      <c r="AZ16" s="452" t="s">
        <v>545</v>
      </c>
      <c r="BA16" s="452" t="s">
        <v>545</v>
      </c>
      <c r="BB16" s="454" t="s">
        <v>546</v>
      </c>
      <c r="BC16" s="454" t="s">
        <v>546</v>
      </c>
      <c r="BD16" s="454" t="s">
        <v>546</v>
      </c>
      <c r="BE16" s="454" t="s">
        <v>546</v>
      </c>
      <c r="BF16" s="452" t="s">
        <v>545</v>
      </c>
      <c r="BG16" s="452" t="s">
        <v>545</v>
      </c>
      <c r="BH16" s="448" t="s">
        <v>544</v>
      </c>
      <c r="BI16" s="452" t="s">
        <v>545</v>
      </c>
      <c r="BJ16" s="454" t="s">
        <v>546</v>
      </c>
      <c r="BK16" s="454" t="s">
        <v>546</v>
      </c>
      <c r="BL16" s="448" t="s">
        <v>549</v>
      </c>
      <c r="BM16" s="448" t="s">
        <v>544</v>
      </c>
      <c r="BN16" s="452" t="s">
        <v>545</v>
      </c>
      <c r="BO16" s="452" t="s">
        <v>545</v>
      </c>
      <c r="BP16" s="452" t="s">
        <v>545</v>
      </c>
      <c r="BQ16" s="452" t="s">
        <v>549</v>
      </c>
      <c r="BR16" s="452" t="s">
        <v>545</v>
      </c>
      <c r="BS16" s="455" t="s">
        <v>546</v>
      </c>
      <c r="BT16" s="454" t="s">
        <v>546</v>
      </c>
      <c r="BU16" s="452" t="s">
        <v>545</v>
      </c>
      <c r="BV16" s="454" t="s">
        <v>545</v>
      </c>
      <c r="BW16" s="454"/>
      <c r="BX16" s="454"/>
      <c r="BY16" s="454" t="s">
        <v>546</v>
      </c>
      <c r="BZ16" s="454" t="s">
        <v>546</v>
      </c>
    </row>
    <row r="17" spans="1:78" ht="15.75" thickBot="1">
      <c r="A17" s="561"/>
      <c r="B17" s="426" t="s">
        <v>586</v>
      </c>
      <c r="C17" s="427" t="s">
        <v>587</v>
      </c>
      <c r="D17" s="454" t="s">
        <v>546</v>
      </c>
      <c r="E17" s="454" t="s">
        <v>546</v>
      </c>
      <c r="F17" s="450" t="s">
        <v>545</v>
      </c>
      <c r="G17" s="450" t="s">
        <v>545</v>
      </c>
      <c r="H17" s="449" t="s">
        <v>544</v>
      </c>
      <c r="I17" s="450" t="s">
        <v>545</v>
      </c>
      <c r="J17" s="450" t="s">
        <v>545</v>
      </c>
      <c r="K17" s="452" t="s">
        <v>545</v>
      </c>
      <c r="L17" s="454" t="s">
        <v>546</v>
      </c>
      <c r="M17" s="454" t="s">
        <v>546</v>
      </c>
      <c r="N17" s="448" t="s">
        <v>545</v>
      </c>
      <c r="O17" s="454" t="s">
        <v>546</v>
      </c>
      <c r="P17" s="452" t="s">
        <v>545</v>
      </c>
      <c r="Q17" s="448" t="s">
        <v>545</v>
      </c>
      <c r="R17" s="454" t="s">
        <v>546</v>
      </c>
      <c r="S17" s="448" t="s">
        <v>545</v>
      </c>
      <c r="T17" s="448" t="s">
        <v>544</v>
      </c>
      <c r="U17" s="454" t="s">
        <v>546</v>
      </c>
      <c r="V17" s="454" t="s">
        <v>546</v>
      </c>
      <c r="W17" s="451" t="s">
        <v>547</v>
      </c>
      <c r="X17" s="454" t="s">
        <v>546</v>
      </c>
      <c r="Y17" s="452" t="s">
        <v>545</v>
      </c>
      <c r="Z17" s="455" t="s">
        <v>546</v>
      </c>
      <c r="AA17" s="455" t="s">
        <v>546</v>
      </c>
      <c r="AB17" s="455" t="s">
        <v>546</v>
      </c>
      <c r="AC17" s="450" t="s">
        <v>545</v>
      </c>
      <c r="AD17" s="455" t="s">
        <v>546</v>
      </c>
      <c r="AE17" s="450" t="s">
        <v>545</v>
      </c>
      <c r="AF17" s="452" t="s">
        <v>545</v>
      </c>
      <c r="AG17" s="452" t="s">
        <v>545</v>
      </c>
      <c r="AH17" s="455" t="s">
        <v>546</v>
      </c>
      <c r="AI17" s="452" t="s">
        <v>545</v>
      </c>
      <c r="AJ17" s="452" t="s">
        <v>545</v>
      </c>
      <c r="AK17" s="450" t="s">
        <v>545</v>
      </c>
      <c r="AL17" s="452" t="s">
        <v>545</v>
      </c>
      <c r="AM17" s="448" t="s">
        <v>544</v>
      </c>
      <c r="AN17" s="454" t="s">
        <v>546</v>
      </c>
      <c r="AO17" s="454" t="s">
        <v>546</v>
      </c>
      <c r="AP17" s="454" t="s">
        <v>546</v>
      </c>
      <c r="AQ17" s="452" t="s">
        <v>545</v>
      </c>
      <c r="AR17" s="448" t="s">
        <v>544</v>
      </c>
      <c r="AS17" s="452" t="s">
        <v>545</v>
      </c>
      <c r="AT17" s="448" t="s">
        <v>544</v>
      </c>
      <c r="AU17" s="452" t="s">
        <v>545</v>
      </c>
      <c r="AV17" s="452" t="s">
        <v>545</v>
      </c>
      <c r="AW17" s="452" t="s">
        <v>545</v>
      </c>
      <c r="AX17" s="452" t="s">
        <v>545</v>
      </c>
      <c r="AY17" s="454" t="s">
        <v>546</v>
      </c>
      <c r="AZ17" s="452" t="s">
        <v>545</v>
      </c>
      <c r="BA17" s="452" t="s">
        <v>545</v>
      </c>
      <c r="BB17" s="454" t="s">
        <v>546</v>
      </c>
      <c r="BC17" s="454" t="s">
        <v>546</v>
      </c>
      <c r="BD17" s="454" t="s">
        <v>546</v>
      </c>
      <c r="BE17" s="454" t="s">
        <v>546</v>
      </c>
      <c r="BF17" s="452" t="s">
        <v>545</v>
      </c>
      <c r="BG17" s="452" t="s">
        <v>545</v>
      </c>
      <c r="BH17" s="448" t="s">
        <v>544</v>
      </c>
      <c r="BI17" s="448" t="s">
        <v>544</v>
      </c>
      <c r="BJ17" s="454" t="s">
        <v>546</v>
      </c>
      <c r="BK17" s="454" t="s">
        <v>546</v>
      </c>
      <c r="BL17" s="448" t="s">
        <v>549</v>
      </c>
      <c r="BM17" s="452" t="s">
        <v>545</v>
      </c>
      <c r="BN17" s="452" t="s">
        <v>545</v>
      </c>
      <c r="BO17" s="452" t="s">
        <v>545</v>
      </c>
      <c r="BP17" s="452" t="s">
        <v>545</v>
      </c>
      <c r="BQ17" s="452" t="s">
        <v>549</v>
      </c>
      <c r="BR17" s="452" t="s">
        <v>545</v>
      </c>
      <c r="BS17" s="455" t="s">
        <v>546</v>
      </c>
      <c r="BT17" s="454" t="s">
        <v>546</v>
      </c>
      <c r="BU17" s="448" t="s">
        <v>544</v>
      </c>
      <c r="BV17" s="454" t="s">
        <v>545</v>
      </c>
      <c r="BW17" s="454"/>
      <c r="BX17" s="454"/>
      <c r="BY17" s="454" t="s">
        <v>546</v>
      </c>
      <c r="BZ17" s="454" t="s">
        <v>546</v>
      </c>
    </row>
    <row r="18" spans="1:78" ht="15.75" thickBot="1">
      <c r="A18" s="561"/>
      <c r="B18" s="426" t="s">
        <v>588</v>
      </c>
      <c r="C18" s="427" t="s">
        <v>589</v>
      </c>
      <c r="D18" s="454" t="s">
        <v>546</v>
      </c>
      <c r="E18" s="454" t="s">
        <v>546</v>
      </c>
      <c r="F18" s="449" t="s">
        <v>544</v>
      </c>
      <c r="G18" s="449" t="s">
        <v>544</v>
      </c>
      <c r="H18" s="449" t="s">
        <v>544</v>
      </c>
      <c r="I18" s="448" t="s">
        <v>544</v>
      </c>
      <c r="J18" s="448" t="s">
        <v>544</v>
      </c>
      <c r="K18" s="448" t="s">
        <v>544</v>
      </c>
      <c r="L18" s="454" t="s">
        <v>546</v>
      </c>
      <c r="M18" s="454" t="s">
        <v>546</v>
      </c>
      <c r="N18" s="448" t="s">
        <v>544</v>
      </c>
      <c r="O18" s="448" t="s">
        <v>544</v>
      </c>
      <c r="P18" s="448" t="s">
        <v>544</v>
      </c>
      <c r="Q18" s="448" t="s">
        <v>544</v>
      </c>
      <c r="R18" s="454" t="s">
        <v>546</v>
      </c>
      <c r="S18" s="448" t="s">
        <v>544</v>
      </c>
      <c r="T18" s="454" t="s">
        <v>546</v>
      </c>
      <c r="U18" s="454" t="s">
        <v>546</v>
      </c>
      <c r="V18" s="454" t="s">
        <v>546</v>
      </c>
      <c r="W18" s="451" t="s">
        <v>547</v>
      </c>
      <c r="X18" s="454" t="s">
        <v>546</v>
      </c>
      <c r="Y18" s="448" t="s">
        <v>544</v>
      </c>
      <c r="Z18" s="455" t="s">
        <v>546</v>
      </c>
      <c r="AA18" s="455" t="s">
        <v>546</v>
      </c>
      <c r="AB18" s="455" t="s">
        <v>546</v>
      </c>
      <c r="AC18" s="450" t="s">
        <v>545</v>
      </c>
      <c r="AD18" s="455" t="s">
        <v>546</v>
      </c>
      <c r="AE18" s="450" t="s">
        <v>545</v>
      </c>
      <c r="AF18" s="452" t="s">
        <v>545</v>
      </c>
      <c r="AG18" s="454" t="s">
        <v>546</v>
      </c>
      <c r="AH18" s="455" t="s">
        <v>546</v>
      </c>
      <c r="AI18" s="452" t="s">
        <v>545</v>
      </c>
      <c r="AJ18" s="454" t="s">
        <v>546</v>
      </c>
      <c r="AK18" s="455" t="s">
        <v>546</v>
      </c>
      <c r="AL18" s="448" t="s">
        <v>544</v>
      </c>
      <c r="AM18" s="448" t="s">
        <v>544</v>
      </c>
      <c r="AN18" s="454" t="s">
        <v>546</v>
      </c>
      <c r="AO18" s="454" t="s">
        <v>546</v>
      </c>
      <c r="AP18" s="454" t="s">
        <v>546</v>
      </c>
      <c r="AQ18" s="448" t="s">
        <v>544</v>
      </c>
      <c r="AR18" s="448" t="s">
        <v>544</v>
      </c>
      <c r="AS18" s="448" t="s">
        <v>544</v>
      </c>
      <c r="AT18" s="448" t="s">
        <v>544</v>
      </c>
      <c r="AU18" s="448" t="s">
        <v>544</v>
      </c>
      <c r="AV18" s="448" t="s">
        <v>544</v>
      </c>
      <c r="AW18" s="448" t="s">
        <v>544</v>
      </c>
      <c r="AX18" s="448" t="s">
        <v>544</v>
      </c>
      <c r="AY18" s="448" t="s">
        <v>544</v>
      </c>
      <c r="AZ18" s="448" t="s">
        <v>544</v>
      </c>
      <c r="BA18" s="452" t="s">
        <v>545</v>
      </c>
      <c r="BB18" s="448" t="s">
        <v>544</v>
      </c>
      <c r="BC18" s="448" t="s">
        <v>544</v>
      </c>
      <c r="BD18" s="448" t="s">
        <v>544</v>
      </c>
      <c r="BE18" s="448" t="s">
        <v>544</v>
      </c>
      <c r="BF18" s="452" t="s">
        <v>545</v>
      </c>
      <c r="BG18" s="448" t="s">
        <v>544</v>
      </c>
      <c r="BH18" s="448" t="s">
        <v>544</v>
      </c>
      <c r="BI18" s="448" t="s">
        <v>544</v>
      </c>
      <c r="BJ18" s="448" t="s">
        <v>544</v>
      </c>
      <c r="BK18" s="448" t="s">
        <v>544</v>
      </c>
      <c r="BL18" s="448" t="s">
        <v>549</v>
      </c>
      <c r="BM18" s="452" t="s">
        <v>545</v>
      </c>
      <c r="BN18" s="448" t="s">
        <v>544</v>
      </c>
      <c r="BO18" s="454" t="s">
        <v>546</v>
      </c>
      <c r="BP18" s="454" t="s">
        <v>549</v>
      </c>
      <c r="BQ18" s="454" t="s">
        <v>549</v>
      </c>
      <c r="BR18" s="454" t="s">
        <v>549</v>
      </c>
      <c r="BS18" s="455" t="s">
        <v>546</v>
      </c>
      <c r="BT18" s="454" t="s">
        <v>546</v>
      </c>
      <c r="BU18" s="448" t="s">
        <v>544</v>
      </c>
      <c r="BV18" s="454" t="s">
        <v>546</v>
      </c>
      <c r="BW18" s="454"/>
      <c r="BX18" s="454"/>
      <c r="BY18" s="454" t="s">
        <v>546</v>
      </c>
      <c r="BZ18" s="454" t="s">
        <v>546</v>
      </c>
    </row>
    <row r="19" spans="1:78" ht="15.75" thickBot="1">
      <c r="A19" s="561"/>
      <c r="B19" s="426" t="s">
        <v>590</v>
      </c>
      <c r="C19" s="427" t="s">
        <v>591</v>
      </c>
      <c r="D19" s="454" t="s">
        <v>546</v>
      </c>
      <c r="E19" s="454" t="s">
        <v>546</v>
      </c>
      <c r="F19" s="449" t="s">
        <v>544</v>
      </c>
      <c r="G19" s="450" t="s">
        <v>545</v>
      </c>
      <c r="H19" s="449" t="s">
        <v>544</v>
      </c>
      <c r="I19" s="450" t="s">
        <v>545</v>
      </c>
      <c r="J19" s="450" t="s">
        <v>545</v>
      </c>
      <c r="K19" s="452" t="s">
        <v>545</v>
      </c>
      <c r="L19" s="454" t="s">
        <v>546</v>
      </c>
      <c r="M19" s="454" t="s">
        <v>546</v>
      </c>
      <c r="N19" s="448" t="s">
        <v>545</v>
      </c>
      <c r="O19" s="454" t="s">
        <v>546</v>
      </c>
      <c r="P19" s="452" t="s">
        <v>545</v>
      </c>
      <c r="Q19" s="448" t="s">
        <v>545</v>
      </c>
      <c r="R19" s="454" t="s">
        <v>546</v>
      </c>
      <c r="S19" s="448" t="s">
        <v>545</v>
      </c>
      <c r="T19" s="454" t="s">
        <v>546</v>
      </c>
      <c r="U19" s="454" t="s">
        <v>546</v>
      </c>
      <c r="V19" s="454" t="s">
        <v>546</v>
      </c>
      <c r="W19" s="451" t="s">
        <v>547</v>
      </c>
      <c r="X19" s="454" t="s">
        <v>546</v>
      </c>
      <c r="Y19" s="452" t="s">
        <v>545</v>
      </c>
      <c r="Z19" s="455" t="s">
        <v>546</v>
      </c>
      <c r="AA19" s="455" t="s">
        <v>546</v>
      </c>
      <c r="AB19" s="455" t="s">
        <v>546</v>
      </c>
      <c r="AC19" s="450" t="s">
        <v>545</v>
      </c>
      <c r="AD19" s="455" t="s">
        <v>546</v>
      </c>
      <c r="AE19" s="450" t="s">
        <v>545</v>
      </c>
      <c r="AF19" s="452" t="s">
        <v>545</v>
      </c>
      <c r="AG19" s="452" t="s">
        <v>545</v>
      </c>
      <c r="AH19" s="455" t="s">
        <v>546</v>
      </c>
      <c r="AI19" s="452" t="s">
        <v>545</v>
      </c>
      <c r="AJ19" s="452" t="s">
        <v>545</v>
      </c>
      <c r="AK19" s="450" t="s">
        <v>545</v>
      </c>
      <c r="AL19" s="452" t="s">
        <v>545</v>
      </c>
      <c r="AM19" s="452" t="s">
        <v>545</v>
      </c>
      <c r="AN19" s="454" t="s">
        <v>546</v>
      </c>
      <c r="AO19" s="454" t="s">
        <v>546</v>
      </c>
      <c r="AP19" s="454" t="s">
        <v>546</v>
      </c>
      <c r="AQ19" s="452" t="s">
        <v>545</v>
      </c>
      <c r="AR19" s="448" t="s">
        <v>544</v>
      </c>
      <c r="AS19" s="452" t="s">
        <v>545</v>
      </c>
      <c r="AT19" s="448" t="s">
        <v>544</v>
      </c>
      <c r="AU19" s="452" t="s">
        <v>545</v>
      </c>
      <c r="AV19" s="452" t="s">
        <v>545</v>
      </c>
      <c r="AW19" s="448" t="s">
        <v>544</v>
      </c>
      <c r="AX19" s="448" t="s">
        <v>544</v>
      </c>
      <c r="AY19" s="454" t="s">
        <v>546</v>
      </c>
      <c r="AZ19" s="452" t="s">
        <v>545</v>
      </c>
      <c r="BA19" s="452" t="s">
        <v>545</v>
      </c>
      <c r="BB19" s="454" t="s">
        <v>546</v>
      </c>
      <c r="BC19" s="454" t="s">
        <v>546</v>
      </c>
      <c r="BD19" s="454" t="s">
        <v>546</v>
      </c>
      <c r="BE19" s="454" t="s">
        <v>546</v>
      </c>
      <c r="BF19" s="452" t="s">
        <v>545</v>
      </c>
      <c r="BG19" s="452" t="s">
        <v>545</v>
      </c>
      <c r="BH19" s="452" t="s">
        <v>545</v>
      </c>
      <c r="BI19" s="452" t="s">
        <v>545</v>
      </c>
      <c r="BJ19" s="454" t="s">
        <v>546</v>
      </c>
      <c r="BK19" s="454" t="s">
        <v>546</v>
      </c>
      <c r="BL19" s="448" t="s">
        <v>549</v>
      </c>
      <c r="BM19" s="452" t="s">
        <v>545</v>
      </c>
      <c r="BN19" s="452" t="s">
        <v>545</v>
      </c>
      <c r="BO19" s="448" t="s">
        <v>544</v>
      </c>
      <c r="BP19" s="452" t="s">
        <v>545</v>
      </c>
      <c r="BQ19" s="448" t="s">
        <v>549</v>
      </c>
      <c r="BR19" s="452" t="s">
        <v>545</v>
      </c>
      <c r="BS19" s="455" t="s">
        <v>546</v>
      </c>
      <c r="BT19" s="454" t="s">
        <v>546</v>
      </c>
      <c r="BU19" s="452" t="s">
        <v>545</v>
      </c>
      <c r="BV19" s="454" t="s">
        <v>545</v>
      </c>
      <c r="BW19" s="454"/>
      <c r="BX19" s="454"/>
      <c r="BY19" s="454" t="s">
        <v>546</v>
      </c>
      <c r="BZ19" s="454" t="s">
        <v>546</v>
      </c>
    </row>
    <row r="20" spans="1:78" ht="15.75" thickBot="1">
      <c r="A20" s="426" t="s">
        <v>456</v>
      </c>
      <c r="B20" s="426" t="s">
        <v>592</v>
      </c>
      <c r="C20" s="427" t="s">
        <v>593</v>
      </c>
      <c r="D20" s="454" t="s">
        <v>546</v>
      </c>
      <c r="E20" s="454" t="s">
        <v>546</v>
      </c>
      <c r="F20" s="449" t="s">
        <v>544</v>
      </c>
      <c r="G20" s="450" t="s">
        <v>545</v>
      </c>
      <c r="H20" s="449" t="s">
        <v>544</v>
      </c>
      <c r="I20" s="450" t="s">
        <v>545</v>
      </c>
      <c r="J20" s="448" t="s">
        <v>544</v>
      </c>
      <c r="K20" s="448" t="s">
        <v>544</v>
      </c>
      <c r="L20" s="448" t="s">
        <v>544</v>
      </c>
      <c r="M20" s="454" t="s">
        <v>546</v>
      </c>
      <c r="N20" s="448" t="s">
        <v>545</v>
      </c>
      <c r="O20" s="454" t="s">
        <v>546</v>
      </c>
      <c r="P20" s="454" t="s">
        <v>546</v>
      </c>
      <c r="Q20" s="448" t="s">
        <v>544</v>
      </c>
      <c r="R20" s="454" t="s">
        <v>546</v>
      </c>
      <c r="S20" s="448" t="s">
        <v>544</v>
      </c>
      <c r="T20" s="454" t="s">
        <v>546</v>
      </c>
      <c r="U20" s="454" t="s">
        <v>546</v>
      </c>
      <c r="V20" s="452" t="s">
        <v>545</v>
      </c>
      <c r="W20" s="451" t="s">
        <v>547</v>
      </c>
      <c r="X20" s="454" t="s">
        <v>546</v>
      </c>
      <c r="Y20" s="454" t="s">
        <v>546</v>
      </c>
      <c r="Z20" s="455" t="s">
        <v>546</v>
      </c>
      <c r="AA20" s="455" t="s">
        <v>546</v>
      </c>
      <c r="AB20" s="455" t="s">
        <v>546</v>
      </c>
      <c r="AC20" s="450" t="s">
        <v>545</v>
      </c>
      <c r="AD20" s="455" t="s">
        <v>546</v>
      </c>
      <c r="AE20" s="449" t="s">
        <v>544</v>
      </c>
      <c r="AF20" s="452" t="s">
        <v>545</v>
      </c>
      <c r="AG20" s="454" t="s">
        <v>546</v>
      </c>
      <c r="AH20" s="455" t="s">
        <v>546</v>
      </c>
      <c r="AI20" s="454" t="s">
        <v>546</v>
      </c>
      <c r="AJ20" s="452" t="s">
        <v>545</v>
      </c>
      <c r="AK20" s="455" t="s">
        <v>546</v>
      </c>
      <c r="AL20" s="448" t="s">
        <v>544</v>
      </c>
      <c r="AM20" s="448" t="s">
        <v>544</v>
      </c>
      <c r="AN20" s="454" t="s">
        <v>546</v>
      </c>
      <c r="AO20" s="454" t="s">
        <v>546</v>
      </c>
      <c r="AP20" s="454" t="s">
        <v>546</v>
      </c>
      <c r="AQ20" s="448" t="s">
        <v>544</v>
      </c>
      <c r="AR20" s="448" t="s">
        <v>544</v>
      </c>
      <c r="AS20" s="448" t="s">
        <v>544</v>
      </c>
      <c r="AT20" s="448" t="s">
        <v>544</v>
      </c>
      <c r="AU20" s="448" t="s">
        <v>544</v>
      </c>
      <c r="AV20" s="454" t="s">
        <v>546</v>
      </c>
      <c r="AW20" s="448" t="s">
        <v>544</v>
      </c>
      <c r="AX20" s="448" t="s">
        <v>544</v>
      </c>
      <c r="AY20" s="448" t="s">
        <v>544</v>
      </c>
      <c r="AZ20" s="454" t="s">
        <v>546</v>
      </c>
      <c r="BA20" s="448" t="s">
        <v>544</v>
      </c>
      <c r="BB20" s="448" t="s">
        <v>544</v>
      </c>
      <c r="BC20" s="448" t="s">
        <v>544</v>
      </c>
      <c r="BD20" s="448" t="s">
        <v>544</v>
      </c>
      <c r="BE20" s="448" t="s">
        <v>544</v>
      </c>
      <c r="BF20" s="452" t="s">
        <v>545</v>
      </c>
      <c r="BG20" s="454" t="s">
        <v>546</v>
      </c>
      <c r="BH20" s="448" t="s">
        <v>544</v>
      </c>
      <c r="BI20" s="448" t="s">
        <v>544</v>
      </c>
      <c r="BJ20" s="448" t="s">
        <v>544</v>
      </c>
      <c r="BK20" s="448" t="s">
        <v>544</v>
      </c>
      <c r="BL20" s="448" t="s">
        <v>549</v>
      </c>
      <c r="BM20" s="448" t="s">
        <v>544</v>
      </c>
      <c r="BN20" s="448" t="s">
        <v>544</v>
      </c>
      <c r="BO20" s="448" t="s">
        <v>544</v>
      </c>
      <c r="BP20" s="455" t="s">
        <v>546</v>
      </c>
      <c r="BQ20" s="448" t="s">
        <v>549</v>
      </c>
      <c r="BR20" s="455" t="s">
        <v>546</v>
      </c>
      <c r="BS20" s="455" t="s">
        <v>546</v>
      </c>
      <c r="BT20" s="454" t="s">
        <v>546</v>
      </c>
      <c r="BU20" s="448" t="s">
        <v>544</v>
      </c>
      <c r="BV20" s="452" t="s">
        <v>546</v>
      </c>
      <c r="BW20" s="452"/>
      <c r="BX20" s="452"/>
      <c r="BY20" s="452" t="s">
        <v>545</v>
      </c>
      <c r="BZ20" s="452" t="s">
        <v>545</v>
      </c>
    </row>
    <row r="21" spans="1:78" ht="15.75" thickBot="1">
      <c r="A21" s="426" t="s">
        <v>457</v>
      </c>
      <c r="B21" s="430" t="s">
        <v>594</v>
      </c>
      <c r="C21" s="427" t="s">
        <v>595</v>
      </c>
      <c r="D21" s="449" t="s">
        <v>544</v>
      </c>
      <c r="E21" s="449" t="s">
        <v>544</v>
      </c>
      <c r="F21" s="449" t="s">
        <v>544</v>
      </c>
      <c r="G21" s="449" t="s">
        <v>544</v>
      </c>
      <c r="H21" s="449" t="s">
        <v>544</v>
      </c>
      <c r="I21" s="453" t="s">
        <v>549</v>
      </c>
      <c r="J21" s="453" t="s">
        <v>549</v>
      </c>
      <c r="K21" s="449" t="s">
        <v>544</v>
      </c>
      <c r="L21" s="449" t="s">
        <v>544</v>
      </c>
      <c r="M21" s="449" t="s">
        <v>544</v>
      </c>
      <c r="N21" s="453" t="s">
        <v>549</v>
      </c>
      <c r="O21" s="449" t="s">
        <v>544</v>
      </c>
      <c r="P21" s="449" t="s">
        <v>544</v>
      </c>
      <c r="Q21" s="453" t="s">
        <v>549</v>
      </c>
      <c r="R21" s="449" t="s">
        <v>544</v>
      </c>
      <c r="S21" s="453" t="s">
        <v>549</v>
      </c>
      <c r="T21" s="449" t="s">
        <v>544</v>
      </c>
      <c r="U21" s="449" t="s">
        <v>544</v>
      </c>
      <c r="V21" s="449" t="s">
        <v>544</v>
      </c>
      <c r="W21" s="449" t="s">
        <v>544</v>
      </c>
      <c r="X21" s="449" t="s">
        <v>544</v>
      </c>
      <c r="Y21" s="449" t="s">
        <v>544</v>
      </c>
      <c r="Z21" s="449" t="s">
        <v>544</v>
      </c>
      <c r="AA21" s="449" t="s">
        <v>544</v>
      </c>
      <c r="AB21" s="449" t="s">
        <v>544</v>
      </c>
      <c r="AC21" s="449" t="s">
        <v>544</v>
      </c>
      <c r="AD21" s="449" t="s">
        <v>544</v>
      </c>
      <c r="AE21" s="449" t="s">
        <v>544</v>
      </c>
      <c r="AF21" s="449" t="s">
        <v>544</v>
      </c>
      <c r="AG21" s="449" t="s">
        <v>544</v>
      </c>
      <c r="AH21" s="449" t="s">
        <v>544</v>
      </c>
      <c r="AI21" s="449" t="s">
        <v>544</v>
      </c>
      <c r="AJ21" s="449" t="s">
        <v>544</v>
      </c>
      <c r="AK21" s="449" t="s">
        <v>544</v>
      </c>
      <c r="AL21" s="449" t="s">
        <v>544</v>
      </c>
      <c r="AM21" s="449" t="s">
        <v>544</v>
      </c>
      <c r="AN21" s="449" t="s">
        <v>544</v>
      </c>
      <c r="AO21" s="449" t="s">
        <v>544</v>
      </c>
      <c r="AP21" s="449" t="s">
        <v>544</v>
      </c>
      <c r="AQ21" s="449" t="s">
        <v>544</v>
      </c>
      <c r="AR21" s="449" t="s">
        <v>544</v>
      </c>
      <c r="AS21" s="449" t="s">
        <v>544</v>
      </c>
      <c r="AT21" s="449" t="s">
        <v>544</v>
      </c>
      <c r="AU21" s="449" t="s">
        <v>544</v>
      </c>
      <c r="AV21" s="449" t="s">
        <v>544</v>
      </c>
      <c r="AW21" s="449" t="s">
        <v>544</v>
      </c>
      <c r="AX21" s="449" t="s">
        <v>544</v>
      </c>
      <c r="AY21" s="449" t="s">
        <v>544</v>
      </c>
      <c r="AZ21" s="449" t="s">
        <v>544</v>
      </c>
      <c r="BA21" s="449" t="s">
        <v>544</v>
      </c>
      <c r="BB21" s="449" t="s">
        <v>544</v>
      </c>
      <c r="BC21" s="449" t="s">
        <v>544</v>
      </c>
      <c r="BD21" s="449" t="s">
        <v>544</v>
      </c>
      <c r="BE21" s="449" t="s">
        <v>544</v>
      </c>
      <c r="BF21" s="449" t="s">
        <v>544</v>
      </c>
      <c r="BG21" s="449" t="s">
        <v>544</v>
      </c>
      <c r="BH21" s="449" t="s">
        <v>544</v>
      </c>
      <c r="BI21" s="448" t="s">
        <v>544</v>
      </c>
      <c r="BJ21" s="448" t="s">
        <v>544</v>
      </c>
      <c r="BK21" s="449" t="s">
        <v>544</v>
      </c>
      <c r="BL21" s="448" t="s">
        <v>549</v>
      </c>
      <c r="BM21" s="448" t="s">
        <v>544</v>
      </c>
      <c r="BN21" s="448" t="s">
        <v>544</v>
      </c>
      <c r="BO21" s="452" t="s">
        <v>545</v>
      </c>
      <c r="BP21" s="452" t="s">
        <v>549</v>
      </c>
      <c r="BQ21" s="452" t="s">
        <v>549</v>
      </c>
      <c r="BR21" s="452" t="s">
        <v>549</v>
      </c>
      <c r="BS21" s="449" t="s">
        <v>544</v>
      </c>
      <c r="BT21" s="449" t="s">
        <v>544</v>
      </c>
      <c r="BU21" s="448" t="s">
        <v>544</v>
      </c>
      <c r="BV21" s="449" t="s">
        <v>544</v>
      </c>
      <c r="BW21" s="449"/>
      <c r="BX21" s="449"/>
      <c r="BY21" s="449" t="s">
        <v>544</v>
      </c>
      <c r="BZ21" s="449" t="s">
        <v>544</v>
      </c>
    </row>
    <row r="22" spans="1:78" ht="15.75" thickBot="1">
      <c r="A22" s="561" t="s">
        <v>596</v>
      </c>
      <c r="B22" s="430" t="s">
        <v>597</v>
      </c>
      <c r="C22" s="427" t="s">
        <v>598</v>
      </c>
      <c r="D22" s="449" t="s">
        <v>544</v>
      </c>
      <c r="E22" s="449" t="s">
        <v>544</v>
      </c>
      <c r="F22" s="449" t="s">
        <v>544</v>
      </c>
      <c r="G22" s="449" t="s">
        <v>544</v>
      </c>
      <c r="H22" s="449" t="s">
        <v>544</v>
      </c>
      <c r="I22" s="453" t="s">
        <v>549</v>
      </c>
      <c r="J22" s="453" t="s">
        <v>549</v>
      </c>
      <c r="K22" s="449" t="s">
        <v>544</v>
      </c>
      <c r="L22" s="449" t="s">
        <v>544</v>
      </c>
      <c r="M22" s="449" t="s">
        <v>544</v>
      </c>
      <c r="N22" s="453" t="s">
        <v>549</v>
      </c>
      <c r="O22" s="449" t="s">
        <v>544</v>
      </c>
      <c r="P22" s="449" t="s">
        <v>544</v>
      </c>
      <c r="Q22" s="453" t="s">
        <v>549</v>
      </c>
      <c r="R22" s="449" t="s">
        <v>544</v>
      </c>
      <c r="S22" s="453" t="s">
        <v>549</v>
      </c>
      <c r="T22" s="449" t="s">
        <v>544</v>
      </c>
      <c r="U22" s="449" t="s">
        <v>544</v>
      </c>
      <c r="V22" s="449" t="s">
        <v>544</v>
      </c>
      <c r="W22" s="449" t="s">
        <v>544</v>
      </c>
      <c r="X22" s="449" t="s">
        <v>544</v>
      </c>
      <c r="Y22" s="449" t="s">
        <v>544</v>
      </c>
      <c r="Z22" s="449" t="s">
        <v>544</v>
      </c>
      <c r="AA22" s="449" t="s">
        <v>544</v>
      </c>
      <c r="AB22" s="449" t="s">
        <v>544</v>
      </c>
      <c r="AC22" s="449" t="s">
        <v>544</v>
      </c>
      <c r="AD22" s="449" t="s">
        <v>544</v>
      </c>
      <c r="AE22" s="449" t="s">
        <v>544</v>
      </c>
      <c r="AF22" s="449" t="s">
        <v>544</v>
      </c>
      <c r="AG22" s="449" t="s">
        <v>544</v>
      </c>
      <c r="AH22" s="449" t="s">
        <v>544</v>
      </c>
      <c r="AI22" s="449" t="s">
        <v>544</v>
      </c>
      <c r="AJ22" s="449" t="s">
        <v>544</v>
      </c>
      <c r="AK22" s="449" t="s">
        <v>544</v>
      </c>
      <c r="AL22" s="449" t="s">
        <v>544</v>
      </c>
      <c r="AM22" s="449" t="s">
        <v>544</v>
      </c>
      <c r="AN22" s="449" t="s">
        <v>544</v>
      </c>
      <c r="AO22" s="449" t="s">
        <v>544</v>
      </c>
      <c r="AP22" s="449" t="s">
        <v>544</v>
      </c>
      <c r="AQ22" s="449" t="s">
        <v>544</v>
      </c>
      <c r="AR22" s="449" t="s">
        <v>544</v>
      </c>
      <c r="AS22" s="449" t="s">
        <v>544</v>
      </c>
      <c r="AT22" s="449" t="s">
        <v>544</v>
      </c>
      <c r="AU22" s="449" t="s">
        <v>544</v>
      </c>
      <c r="AV22" s="449" t="s">
        <v>544</v>
      </c>
      <c r="AW22" s="449" t="s">
        <v>544</v>
      </c>
      <c r="AX22" s="449" t="s">
        <v>544</v>
      </c>
      <c r="AY22" s="449" t="s">
        <v>544</v>
      </c>
      <c r="AZ22" s="449" t="s">
        <v>544</v>
      </c>
      <c r="BA22" s="449" t="s">
        <v>544</v>
      </c>
      <c r="BB22" s="449" t="s">
        <v>544</v>
      </c>
      <c r="BC22" s="449" t="s">
        <v>544</v>
      </c>
      <c r="BD22" s="449" t="s">
        <v>544</v>
      </c>
      <c r="BE22" s="449" t="s">
        <v>544</v>
      </c>
      <c r="BF22" s="449" t="s">
        <v>544</v>
      </c>
      <c r="BG22" s="449" t="s">
        <v>544</v>
      </c>
      <c r="BH22" s="449" t="s">
        <v>544</v>
      </c>
      <c r="BI22" s="448" t="s">
        <v>544</v>
      </c>
      <c r="BJ22" s="448" t="s">
        <v>544</v>
      </c>
      <c r="BK22" s="449" t="s">
        <v>544</v>
      </c>
      <c r="BL22" s="448" t="s">
        <v>549</v>
      </c>
      <c r="BM22" s="448" t="s">
        <v>544</v>
      </c>
      <c r="BN22" s="448" t="s">
        <v>544</v>
      </c>
      <c r="BO22" s="448" t="s">
        <v>544</v>
      </c>
      <c r="BP22" s="448" t="s">
        <v>549</v>
      </c>
      <c r="BQ22" s="448" t="s">
        <v>549</v>
      </c>
      <c r="BR22" s="448" t="s">
        <v>549</v>
      </c>
      <c r="BS22" s="449" t="s">
        <v>544</v>
      </c>
      <c r="BT22" s="449" t="s">
        <v>544</v>
      </c>
      <c r="BU22" s="448" t="s">
        <v>544</v>
      </c>
      <c r="BV22" s="449" t="s">
        <v>544</v>
      </c>
      <c r="BW22" s="449"/>
      <c r="BX22" s="449"/>
      <c r="BY22" s="449" t="s">
        <v>544</v>
      </c>
      <c r="BZ22" s="449" t="s">
        <v>544</v>
      </c>
    </row>
    <row r="23" spans="1:78" ht="15.75" thickBot="1">
      <c r="A23" s="561"/>
      <c r="B23" s="430" t="s">
        <v>599</v>
      </c>
      <c r="C23" s="427" t="s">
        <v>600</v>
      </c>
      <c r="D23" s="449" t="s">
        <v>544</v>
      </c>
      <c r="E23" s="449" t="s">
        <v>544</v>
      </c>
      <c r="F23" s="449" t="s">
        <v>544</v>
      </c>
      <c r="G23" s="449" t="s">
        <v>544</v>
      </c>
      <c r="H23" s="449" t="s">
        <v>544</v>
      </c>
      <c r="I23" s="453" t="s">
        <v>549</v>
      </c>
      <c r="J23" s="453" t="s">
        <v>549</v>
      </c>
      <c r="K23" s="449" t="s">
        <v>544</v>
      </c>
      <c r="L23" s="449" t="s">
        <v>544</v>
      </c>
      <c r="M23" s="449" t="s">
        <v>544</v>
      </c>
      <c r="N23" s="453" t="s">
        <v>549</v>
      </c>
      <c r="O23" s="449" t="s">
        <v>544</v>
      </c>
      <c r="P23" s="449" t="s">
        <v>544</v>
      </c>
      <c r="Q23" s="453" t="s">
        <v>549</v>
      </c>
      <c r="R23" s="449" t="s">
        <v>544</v>
      </c>
      <c r="S23" s="453" t="s">
        <v>549</v>
      </c>
      <c r="T23" s="449" t="s">
        <v>544</v>
      </c>
      <c r="U23" s="449" t="s">
        <v>544</v>
      </c>
      <c r="V23" s="449" t="s">
        <v>544</v>
      </c>
      <c r="W23" s="449" t="s">
        <v>544</v>
      </c>
      <c r="X23" s="449" t="s">
        <v>544</v>
      </c>
      <c r="Y23" s="449" t="s">
        <v>544</v>
      </c>
      <c r="Z23" s="449" t="s">
        <v>544</v>
      </c>
      <c r="AA23" s="449" t="s">
        <v>544</v>
      </c>
      <c r="AB23" s="449" t="s">
        <v>544</v>
      </c>
      <c r="AC23" s="450" t="s">
        <v>545</v>
      </c>
      <c r="AD23" s="449" t="s">
        <v>544</v>
      </c>
      <c r="AE23" s="449" t="s">
        <v>544</v>
      </c>
      <c r="AF23" s="449" t="s">
        <v>544</v>
      </c>
      <c r="AG23" s="449" t="s">
        <v>544</v>
      </c>
      <c r="AH23" s="449" t="s">
        <v>544</v>
      </c>
      <c r="AI23" s="449" t="s">
        <v>544</v>
      </c>
      <c r="AJ23" s="449" t="s">
        <v>544</v>
      </c>
      <c r="AK23" s="449" t="s">
        <v>544</v>
      </c>
      <c r="AL23" s="449" t="s">
        <v>544</v>
      </c>
      <c r="AM23" s="449" t="s">
        <v>544</v>
      </c>
      <c r="AN23" s="449" t="s">
        <v>544</v>
      </c>
      <c r="AO23" s="449" t="s">
        <v>544</v>
      </c>
      <c r="AP23" s="449" t="s">
        <v>544</v>
      </c>
      <c r="AQ23" s="449" t="s">
        <v>544</v>
      </c>
      <c r="AR23" s="449" t="s">
        <v>544</v>
      </c>
      <c r="AS23" s="449" t="s">
        <v>544</v>
      </c>
      <c r="AT23" s="449" t="s">
        <v>544</v>
      </c>
      <c r="AU23" s="449" t="s">
        <v>544</v>
      </c>
      <c r="AV23" s="449" t="s">
        <v>544</v>
      </c>
      <c r="AW23" s="449" t="s">
        <v>544</v>
      </c>
      <c r="AX23" s="449" t="s">
        <v>544</v>
      </c>
      <c r="AY23" s="449" t="s">
        <v>544</v>
      </c>
      <c r="AZ23" s="449" t="s">
        <v>544</v>
      </c>
      <c r="BA23" s="449" t="s">
        <v>544</v>
      </c>
      <c r="BB23" s="449" t="s">
        <v>544</v>
      </c>
      <c r="BC23" s="449" t="s">
        <v>544</v>
      </c>
      <c r="BD23" s="449" t="s">
        <v>544</v>
      </c>
      <c r="BE23" s="449" t="s">
        <v>544</v>
      </c>
      <c r="BF23" s="449" t="s">
        <v>544</v>
      </c>
      <c r="BG23" s="449" t="s">
        <v>544</v>
      </c>
      <c r="BH23" s="449" t="s">
        <v>544</v>
      </c>
      <c r="BI23" s="448" t="s">
        <v>544</v>
      </c>
      <c r="BJ23" s="448" t="s">
        <v>544</v>
      </c>
      <c r="BK23" s="449" t="s">
        <v>544</v>
      </c>
      <c r="BL23" s="448" t="s">
        <v>549</v>
      </c>
      <c r="BM23" s="448" t="s">
        <v>544</v>
      </c>
      <c r="BN23" s="448" t="s">
        <v>544</v>
      </c>
      <c r="BO23" s="448" t="s">
        <v>544</v>
      </c>
      <c r="BP23" s="448" t="s">
        <v>549</v>
      </c>
      <c r="BQ23" s="448" t="s">
        <v>549</v>
      </c>
      <c r="BR23" s="448" t="s">
        <v>549</v>
      </c>
      <c r="BS23" s="449" t="s">
        <v>544</v>
      </c>
      <c r="BT23" s="449" t="s">
        <v>544</v>
      </c>
      <c r="BU23" s="448" t="s">
        <v>544</v>
      </c>
      <c r="BV23" s="449" t="s">
        <v>544</v>
      </c>
      <c r="BW23" s="449"/>
      <c r="BX23" s="449"/>
      <c r="BY23" s="449" t="s">
        <v>544</v>
      </c>
      <c r="BZ23" s="449" t="s">
        <v>544</v>
      </c>
    </row>
    <row r="24" spans="1:78" ht="15.75" thickBot="1">
      <c r="A24" s="561"/>
      <c r="B24" s="430" t="s">
        <v>601</v>
      </c>
      <c r="C24" s="427" t="s">
        <v>602</v>
      </c>
      <c r="D24" s="449" t="s">
        <v>544</v>
      </c>
      <c r="E24" s="449" t="s">
        <v>544</v>
      </c>
      <c r="F24" s="449" t="s">
        <v>544</v>
      </c>
      <c r="G24" s="449" t="s">
        <v>544</v>
      </c>
      <c r="H24" s="449" t="s">
        <v>544</v>
      </c>
      <c r="I24" s="453" t="s">
        <v>549</v>
      </c>
      <c r="J24" s="453" t="s">
        <v>549</v>
      </c>
      <c r="K24" s="449" t="s">
        <v>544</v>
      </c>
      <c r="L24" s="449" t="s">
        <v>544</v>
      </c>
      <c r="M24" s="449" t="s">
        <v>544</v>
      </c>
      <c r="N24" s="453" t="s">
        <v>549</v>
      </c>
      <c r="O24" s="449" t="s">
        <v>544</v>
      </c>
      <c r="P24" s="449" t="s">
        <v>544</v>
      </c>
      <c r="Q24" s="453" t="s">
        <v>549</v>
      </c>
      <c r="R24" s="449" t="s">
        <v>544</v>
      </c>
      <c r="S24" s="453" t="s">
        <v>549</v>
      </c>
      <c r="T24" s="449" t="s">
        <v>544</v>
      </c>
      <c r="U24" s="449" t="s">
        <v>544</v>
      </c>
      <c r="V24" s="449" t="s">
        <v>544</v>
      </c>
      <c r="W24" s="449" t="s">
        <v>544</v>
      </c>
      <c r="X24" s="449" t="s">
        <v>544</v>
      </c>
      <c r="Y24" s="449" t="s">
        <v>544</v>
      </c>
      <c r="Z24" s="449" t="s">
        <v>544</v>
      </c>
      <c r="AA24" s="449" t="s">
        <v>544</v>
      </c>
      <c r="AB24" s="449" t="s">
        <v>544</v>
      </c>
      <c r="AC24" s="450" t="s">
        <v>545</v>
      </c>
      <c r="AD24" s="449" t="s">
        <v>544</v>
      </c>
      <c r="AE24" s="449" t="s">
        <v>544</v>
      </c>
      <c r="AF24" s="449" t="s">
        <v>544</v>
      </c>
      <c r="AG24" s="449" t="s">
        <v>544</v>
      </c>
      <c r="AH24" s="449" t="s">
        <v>544</v>
      </c>
      <c r="AI24" s="449" t="s">
        <v>544</v>
      </c>
      <c r="AJ24" s="450" t="s">
        <v>545</v>
      </c>
      <c r="AK24" s="449" t="s">
        <v>544</v>
      </c>
      <c r="AL24" s="449" t="s">
        <v>544</v>
      </c>
      <c r="AM24" s="449" t="s">
        <v>544</v>
      </c>
      <c r="AN24" s="449" t="s">
        <v>544</v>
      </c>
      <c r="AO24" s="449" t="s">
        <v>544</v>
      </c>
      <c r="AP24" s="449" t="s">
        <v>544</v>
      </c>
      <c r="AQ24" s="449" t="s">
        <v>544</v>
      </c>
      <c r="AR24" s="449" t="s">
        <v>544</v>
      </c>
      <c r="AS24" s="449" t="s">
        <v>544</v>
      </c>
      <c r="AT24" s="449" t="s">
        <v>544</v>
      </c>
      <c r="AU24" s="449" t="s">
        <v>544</v>
      </c>
      <c r="AV24" s="449" t="s">
        <v>544</v>
      </c>
      <c r="AW24" s="449" t="s">
        <v>544</v>
      </c>
      <c r="AX24" s="449" t="s">
        <v>544</v>
      </c>
      <c r="AY24" s="449" t="s">
        <v>544</v>
      </c>
      <c r="AZ24" s="449" t="s">
        <v>544</v>
      </c>
      <c r="BA24" s="449" t="s">
        <v>544</v>
      </c>
      <c r="BB24" s="449" t="s">
        <v>544</v>
      </c>
      <c r="BC24" s="449" t="s">
        <v>544</v>
      </c>
      <c r="BD24" s="449" t="s">
        <v>544</v>
      </c>
      <c r="BE24" s="449" t="s">
        <v>544</v>
      </c>
      <c r="BF24" s="449" t="s">
        <v>544</v>
      </c>
      <c r="BG24" s="449" t="s">
        <v>544</v>
      </c>
      <c r="BH24" s="449" t="s">
        <v>544</v>
      </c>
      <c r="BI24" s="448" t="s">
        <v>544</v>
      </c>
      <c r="BJ24" s="448" t="s">
        <v>544</v>
      </c>
      <c r="BK24" s="449" t="s">
        <v>544</v>
      </c>
      <c r="BL24" s="448" t="s">
        <v>549</v>
      </c>
      <c r="BM24" s="448" t="s">
        <v>544</v>
      </c>
      <c r="BN24" s="448" t="s">
        <v>544</v>
      </c>
      <c r="BO24" s="448" t="s">
        <v>544</v>
      </c>
      <c r="BP24" s="448" t="s">
        <v>549</v>
      </c>
      <c r="BQ24" s="448" t="s">
        <v>549</v>
      </c>
      <c r="BR24" s="448" t="s">
        <v>549</v>
      </c>
      <c r="BS24" s="449" t="s">
        <v>544</v>
      </c>
      <c r="BT24" s="449" t="s">
        <v>544</v>
      </c>
      <c r="BU24" s="448" t="s">
        <v>544</v>
      </c>
      <c r="BV24" s="449" t="s">
        <v>544</v>
      </c>
      <c r="BW24" s="449"/>
      <c r="BX24" s="449"/>
      <c r="BY24" s="449" t="s">
        <v>544</v>
      </c>
      <c r="BZ24" s="449" t="s">
        <v>544</v>
      </c>
    </row>
    <row r="25" spans="1:78" ht="15.75" thickBot="1">
      <c r="A25" s="561"/>
      <c r="B25" s="430" t="s">
        <v>603</v>
      </c>
      <c r="C25" s="427" t="s">
        <v>604</v>
      </c>
      <c r="D25" s="449" t="s">
        <v>544</v>
      </c>
      <c r="E25" s="449" t="s">
        <v>544</v>
      </c>
      <c r="F25" s="449" t="s">
        <v>544</v>
      </c>
      <c r="G25" s="449" t="s">
        <v>544</v>
      </c>
      <c r="H25" s="449" t="s">
        <v>544</v>
      </c>
      <c r="I25" s="453" t="s">
        <v>549</v>
      </c>
      <c r="J25" s="453" t="s">
        <v>549</v>
      </c>
      <c r="K25" s="449" t="s">
        <v>544</v>
      </c>
      <c r="L25" s="449" t="s">
        <v>544</v>
      </c>
      <c r="M25" s="449" t="s">
        <v>544</v>
      </c>
      <c r="N25" s="453" t="s">
        <v>549</v>
      </c>
      <c r="O25" s="449" t="s">
        <v>544</v>
      </c>
      <c r="P25" s="450" t="s">
        <v>545</v>
      </c>
      <c r="Q25" s="453" t="s">
        <v>549</v>
      </c>
      <c r="R25" s="449" t="s">
        <v>544</v>
      </c>
      <c r="S25" s="453" t="s">
        <v>549</v>
      </c>
      <c r="T25" s="449" t="s">
        <v>544</v>
      </c>
      <c r="U25" s="449" t="s">
        <v>544</v>
      </c>
      <c r="V25" s="449" t="s">
        <v>544</v>
      </c>
      <c r="W25" s="449" t="s">
        <v>544</v>
      </c>
      <c r="X25" s="449" t="s">
        <v>544</v>
      </c>
      <c r="Y25" s="450" t="s">
        <v>545</v>
      </c>
      <c r="Z25" s="449" t="s">
        <v>544</v>
      </c>
      <c r="AA25" s="449" t="s">
        <v>544</v>
      </c>
      <c r="AB25" s="449" t="s">
        <v>544</v>
      </c>
      <c r="AC25" s="449" t="s">
        <v>544</v>
      </c>
      <c r="AD25" s="449" t="s">
        <v>544</v>
      </c>
      <c r="AE25" s="449" t="s">
        <v>544</v>
      </c>
      <c r="AF25" s="449" t="s">
        <v>544</v>
      </c>
      <c r="AG25" s="449" t="s">
        <v>544</v>
      </c>
      <c r="AH25" s="449" t="s">
        <v>544</v>
      </c>
      <c r="AI25" s="449" t="s">
        <v>544</v>
      </c>
      <c r="AJ25" s="449" t="s">
        <v>544</v>
      </c>
      <c r="AK25" s="449" t="s">
        <v>544</v>
      </c>
      <c r="AL25" s="449" t="s">
        <v>544</v>
      </c>
      <c r="AM25" s="449" t="s">
        <v>544</v>
      </c>
      <c r="AN25" s="449" t="s">
        <v>544</v>
      </c>
      <c r="AO25" s="449" t="s">
        <v>544</v>
      </c>
      <c r="AP25" s="449" t="s">
        <v>544</v>
      </c>
      <c r="AQ25" s="449" t="s">
        <v>544</v>
      </c>
      <c r="AR25" s="449" t="s">
        <v>544</v>
      </c>
      <c r="AS25" s="449" t="s">
        <v>544</v>
      </c>
      <c r="AT25" s="450" t="s">
        <v>545</v>
      </c>
      <c r="AU25" s="449" t="s">
        <v>544</v>
      </c>
      <c r="AV25" s="450" t="s">
        <v>545</v>
      </c>
      <c r="AW25" s="449" t="s">
        <v>544</v>
      </c>
      <c r="AX25" s="449" t="s">
        <v>544</v>
      </c>
      <c r="AY25" s="449" t="s">
        <v>544</v>
      </c>
      <c r="AZ25" s="450" t="s">
        <v>545</v>
      </c>
      <c r="BA25" s="449" t="s">
        <v>544</v>
      </c>
      <c r="BB25" s="449" t="s">
        <v>544</v>
      </c>
      <c r="BC25" s="449" t="s">
        <v>544</v>
      </c>
      <c r="BD25" s="449" t="s">
        <v>544</v>
      </c>
      <c r="BE25" s="449" t="s">
        <v>544</v>
      </c>
      <c r="BF25" s="450" t="s">
        <v>545</v>
      </c>
      <c r="BG25" s="450" t="s">
        <v>545</v>
      </c>
      <c r="BH25" s="449" t="s">
        <v>544</v>
      </c>
      <c r="BI25" s="448" t="s">
        <v>544</v>
      </c>
      <c r="BJ25" s="448" t="s">
        <v>544</v>
      </c>
      <c r="BK25" s="449" t="s">
        <v>544</v>
      </c>
      <c r="BL25" s="448" t="s">
        <v>549</v>
      </c>
      <c r="BM25" s="448" t="s">
        <v>544</v>
      </c>
      <c r="BN25" s="448" t="s">
        <v>544</v>
      </c>
      <c r="BO25" s="448" t="s">
        <v>544</v>
      </c>
      <c r="BP25" s="448" t="s">
        <v>549</v>
      </c>
      <c r="BQ25" s="448" t="s">
        <v>549</v>
      </c>
      <c r="BR25" s="448" t="s">
        <v>549</v>
      </c>
      <c r="BS25" s="449" t="s">
        <v>544</v>
      </c>
      <c r="BT25" s="449" t="s">
        <v>544</v>
      </c>
      <c r="BU25" s="448" t="s">
        <v>544</v>
      </c>
      <c r="BV25" s="456" t="s">
        <v>548</v>
      </c>
      <c r="BW25" s="456"/>
      <c r="BX25" s="456"/>
      <c r="BY25" s="456" t="s">
        <v>548</v>
      </c>
      <c r="BZ25" s="456" t="s">
        <v>548</v>
      </c>
    </row>
    <row r="26" spans="1:78" ht="15.75" thickBot="1">
      <c r="A26" s="561" t="s">
        <v>431</v>
      </c>
      <c r="B26" s="430" t="s">
        <v>605</v>
      </c>
      <c r="C26" s="427" t="s">
        <v>606</v>
      </c>
      <c r="D26" s="449" t="s">
        <v>544</v>
      </c>
      <c r="E26" s="449" t="s">
        <v>544</v>
      </c>
      <c r="F26" s="449" t="s">
        <v>544</v>
      </c>
      <c r="G26" s="449" t="s">
        <v>544</v>
      </c>
      <c r="H26" s="449" t="s">
        <v>544</v>
      </c>
      <c r="I26" s="453" t="s">
        <v>549</v>
      </c>
      <c r="J26" s="453" t="s">
        <v>549</v>
      </c>
      <c r="K26" s="449" t="s">
        <v>544</v>
      </c>
      <c r="L26" s="449" t="s">
        <v>544</v>
      </c>
      <c r="M26" s="449" t="s">
        <v>544</v>
      </c>
      <c r="N26" s="453" t="s">
        <v>549</v>
      </c>
      <c r="O26" s="449" t="s">
        <v>544</v>
      </c>
      <c r="P26" s="449" t="s">
        <v>544</v>
      </c>
      <c r="Q26" s="453" t="s">
        <v>549</v>
      </c>
      <c r="R26" s="449" t="s">
        <v>544</v>
      </c>
      <c r="S26" s="453" t="s">
        <v>549</v>
      </c>
      <c r="T26" s="449" t="s">
        <v>544</v>
      </c>
      <c r="U26" s="449" t="s">
        <v>544</v>
      </c>
      <c r="V26" s="449" t="s">
        <v>544</v>
      </c>
      <c r="W26" s="449" t="s">
        <v>544</v>
      </c>
      <c r="X26" s="449" t="s">
        <v>544</v>
      </c>
      <c r="Y26" s="449" t="s">
        <v>544</v>
      </c>
      <c r="Z26" s="449" t="s">
        <v>544</v>
      </c>
      <c r="AA26" s="449" t="s">
        <v>544</v>
      </c>
      <c r="AB26" s="449" t="s">
        <v>544</v>
      </c>
      <c r="AC26" s="450" t="s">
        <v>545</v>
      </c>
      <c r="AD26" s="449" t="s">
        <v>544</v>
      </c>
      <c r="AE26" s="449" t="s">
        <v>544</v>
      </c>
      <c r="AF26" s="449" t="s">
        <v>544</v>
      </c>
      <c r="AG26" s="449" t="s">
        <v>544</v>
      </c>
      <c r="AH26" s="449" t="s">
        <v>544</v>
      </c>
      <c r="AI26" s="449" t="s">
        <v>544</v>
      </c>
      <c r="AJ26" s="449" t="s">
        <v>544</v>
      </c>
      <c r="AK26" s="449" t="s">
        <v>544</v>
      </c>
      <c r="AL26" s="449" t="s">
        <v>544</v>
      </c>
      <c r="AM26" s="449" t="s">
        <v>544</v>
      </c>
      <c r="AN26" s="449" t="s">
        <v>544</v>
      </c>
      <c r="AO26" s="449" t="s">
        <v>544</v>
      </c>
      <c r="AP26" s="449" t="s">
        <v>544</v>
      </c>
      <c r="AQ26" s="449" t="s">
        <v>544</v>
      </c>
      <c r="AR26" s="449" t="s">
        <v>544</v>
      </c>
      <c r="AS26" s="449" t="s">
        <v>544</v>
      </c>
      <c r="AT26" s="449" t="s">
        <v>544</v>
      </c>
      <c r="AU26" s="449" t="s">
        <v>544</v>
      </c>
      <c r="AV26" s="449" t="s">
        <v>544</v>
      </c>
      <c r="AW26" s="449" t="s">
        <v>544</v>
      </c>
      <c r="AX26" s="449" t="s">
        <v>544</v>
      </c>
      <c r="AY26" s="449" t="s">
        <v>544</v>
      </c>
      <c r="AZ26" s="449" t="s">
        <v>544</v>
      </c>
      <c r="BA26" s="449" t="s">
        <v>544</v>
      </c>
      <c r="BB26" s="449" t="s">
        <v>544</v>
      </c>
      <c r="BC26" s="449" t="s">
        <v>544</v>
      </c>
      <c r="BD26" s="449" t="s">
        <v>544</v>
      </c>
      <c r="BE26" s="449" t="s">
        <v>544</v>
      </c>
      <c r="BF26" s="449" t="s">
        <v>544</v>
      </c>
      <c r="BG26" s="449" t="s">
        <v>544</v>
      </c>
      <c r="BH26" s="449" t="s">
        <v>544</v>
      </c>
      <c r="BI26" s="448" t="s">
        <v>544</v>
      </c>
      <c r="BJ26" s="448" t="s">
        <v>544</v>
      </c>
      <c r="BK26" s="449" t="s">
        <v>544</v>
      </c>
      <c r="BL26" s="448" t="s">
        <v>549</v>
      </c>
      <c r="BM26" s="448" t="s">
        <v>544</v>
      </c>
      <c r="BN26" s="448" t="s">
        <v>544</v>
      </c>
      <c r="BO26" s="448" t="s">
        <v>544</v>
      </c>
      <c r="BP26" s="448" t="s">
        <v>549</v>
      </c>
      <c r="BQ26" s="448" t="s">
        <v>549</v>
      </c>
      <c r="BR26" s="448" t="s">
        <v>549</v>
      </c>
      <c r="BS26" s="449" t="s">
        <v>544</v>
      </c>
      <c r="BT26" s="449" t="s">
        <v>544</v>
      </c>
      <c r="BU26" s="448" t="s">
        <v>544</v>
      </c>
      <c r="BV26" s="449" t="s">
        <v>544</v>
      </c>
      <c r="BW26" s="449"/>
      <c r="BX26" s="449"/>
      <c r="BY26" s="449" t="s">
        <v>544</v>
      </c>
      <c r="BZ26" s="449" t="s">
        <v>544</v>
      </c>
    </row>
    <row r="27" spans="1:78" ht="15.75" thickBot="1">
      <c r="A27" s="561"/>
      <c r="B27" s="430" t="s">
        <v>607</v>
      </c>
      <c r="C27" s="427" t="s">
        <v>608</v>
      </c>
      <c r="D27" s="449" t="s">
        <v>544</v>
      </c>
      <c r="E27" s="449" t="s">
        <v>544</v>
      </c>
      <c r="F27" s="449" t="s">
        <v>544</v>
      </c>
      <c r="G27" s="449" t="s">
        <v>544</v>
      </c>
      <c r="H27" s="449" t="s">
        <v>544</v>
      </c>
      <c r="I27" s="453" t="s">
        <v>549</v>
      </c>
      <c r="J27" s="453" t="s">
        <v>549</v>
      </c>
      <c r="K27" s="449" t="s">
        <v>544</v>
      </c>
      <c r="L27" s="449" t="s">
        <v>544</v>
      </c>
      <c r="M27" s="449" t="s">
        <v>544</v>
      </c>
      <c r="N27" s="453" t="s">
        <v>549</v>
      </c>
      <c r="O27" s="449" t="s">
        <v>544</v>
      </c>
      <c r="P27" s="449" t="s">
        <v>544</v>
      </c>
      <c r="Q27" s="453" t="s">
        <v>549</v>
      </c>
      <c r="R27" s="449" t="s">
        <v>544</v>
      </c>
      <c r="S27" s="453" t="s">
        <v>549</v>
      </c>
      <c r="T27" s="449" t="s">
        <v>544</v>
      </c>
      <c r="U27" s="449" t="s">
        <v>544</v>
      </c>
      <c r="V27" s="449" t="s">
        <v>544</v>
      </c>
      <c r="W27" s="449" t="s">
        <v>544</v>
      </c>
      <c r="X27" s="449" t="s">
        <v>544</v>
      </c>
      <c r="Y27" s="449" t="s">
        <v>544</v>
      </c>
      <c r="Z27" s="449" t="s">
        <v>544</v>
      </c>
      <c r="AA27" s="449" t="s">
        <v>544</v>
      </c>
      <c r="AB27" s="449" t="s">
        <v>544</v>
      </c>
      <c r="AC27" s="449" t="s">
        <v>544</v>
      </c>
      <c r="AD27" s="449" t="s">
        <v>544</v>
      </c>
      <c r="AE27" s="449" t="s">
        <v>544</v>
      </c>
      <c r="AF27" s="449" t="s">
        <v>544</v>
      </c>
      <c r="AG27" s="449" t="s">
        <v>544</v>
      </c>
      <c r="AH27" s="449" t="s">
        <v>544</v>
      </c>
      <c r="AI27" s="449" t="s">
        <v>544</v>
      </c>
      <c r="AJ27" s="449" t="s">
        <v>544</v>
      </c>
      <c r="AK27" s="449" t="s">
        <v>544</v>
      </c>
      <c r="AL27" s="449" t="s">
        <v>544</v>
      </c>
      <c r="AM27" s="449" t="s">
        <v>544</v>
      </c>
      <c r="AN27" s="449" t="s">
        <v>544</v>
      </c>
      <c r="AO27" s="449" t="s">
        <v>544</v>
      </c>
      <c r="AP27" s="449" t="s">
        <v>544</v>
      </c>
      <c r="AQ27" s="449" t="s">
        <v>544</v>
      </c>
      <c r="AR27" s="449" t="s">
        <v>544</v>
      </c>
      <c r="AS27" s="449" t="s">
        <v>544</v>
      </c>
      <c r="AT27" s="449" t="s">
        <v>544</v>
      </c>
      <c r="AU27" s="449" t="s">
        <v>544</v>
      </c>
      <c r="AV27" s="449" t="s">
        <v>544</v>
      </c>
      <c r="AW27" s="449" t="s">
        <v>544</v>
      </c>
      <c r="AX27" s="449" t="s">
        <v>544</v>
      </c>
      <c r="AY27" s="449" t="s">
        <v>544</v>
      </c>
      <c r="AZ27" s="449" t="s">
        <v>544</v>
      </c>
      <c r="BA27" s="449" t="s">
        <v>544</v>
      </c>
      <c r="BB27" s="449" t="s">
        <v>544</v>
      </c>
      <c r="BC27" s="449" t="s">
        <v>544</v>
      </c>
      <c r="BD27" s="449" t="s">
        <v>544</v>
      </c>
      <c r="BE27" s="449" t="s">
        <v>544</v>
      </c>
      <c r="BF27" s="449" t="s">
        <v>544</v>
      </c>
      <c r="BG27" s="449" t="s">
        <v>544</v>
      </c>
      <c r="BH27" s="449" t="s">
        <v>544</v>
      </c>
      <c r="BI27" s="448" t="s">
        <v>544</v>
      </c>
      <c r="BJ27" s="448" t="s">
        <v>544</v>
      </c>
      <c r="BK27" s="449" t="s">
        <v>544</v>
      </c>
      <c r="BL27" s="448" t="s">
        <v>549</v>
      </c>
      <c r="BM27" s="448" t="s">
        <v>544</v>
      </c>
      <c r="BN27" s="448" t="s">
        <v>544</v>
      </c>
      <c r="BO27" s="448" t="s">
        <v>544</v>
      </c>
      <c r="BP27" s="448" t="s">
        <v>549</v>
      </c>
      <c r="BQ27" s="448" t="s">
        <v>549</v>
      </c>
      <c r="BR27" s="448" t="s">
        <v>549</v>
      </c>
      <c r="BS27" s="449" t="s">
        <v>544</v>
      </c>
      <c r="BT27" s="449" t="s">
        <v>544</v>
      </c>
      <c r="BU27" s="448" t="s">
        <v>544</v>
      </c>
      <c r="BV27" s="449" t="s">
        <v>544</v>
      </c>
      <c r="BW27" s="449"/>
      <c r="BX27" s="449"/>
      <c r="BY27" s="449" t="s">
        <v>544</v>
      </c>
      <c r="BZ27" s="449" t="s">
        <v>544</v>
      </c>
    </row>
    <row r="28" spans="1:78" ht="15.75" thickBot="1">
      <c r="A28" s="561"/>
      <c r="B28" s="430" t="s">
        <v>609</v>
      </c>
      <c r="C28" s="427" t="s">
        <v>610</v>
      </c>
      <c r="D28" s="449" t="s">
        <v>544</v>
      </c>
      <c r="E28" s="449" t="s">
        <v>544</v>
      </c>
      <c r="F28" s="449" t="s">
        <v>544</v>
      </c>
      <c r="G28" s="449" t="s">
        <v>544</v>
      </c>
      <c r="H28" s="449" t="s">
        <v>544</v>
      </c>
      <c r="I28" s="453" t="s">
        <v>549</v>
      </c>
      <c r="J28" s="453" t="s">
        <v>549</v>
      </c>
      <c r="K28" s="449" t="s">
        <v>544</v>
      </c>
      <c r="L28" s="449" t="s">
        <v>544</v>
      </c>
      <c r="M28" s="449" t="s">
        <v>544</v>
      </c>
      <c r="N28" s="453" t="s">
        <v>549</v>
      </c>
      <c r="O28" s="449" t="s">
        <v>544</v>
      </c>
      <c r="P28" s="449" t="s">
        <v>544</v>
      </c>
      <c r="Q28" s="453" t="s">
        <v>549</v>
      </c>
      <c r="R28" s="449" t="s">
        <v>544</v>
      </c>
      <c r="S28" s="453" t="s">
        <v>549</v>
      </c>
      <c r="T28" s="449" t="s">
        <v>544</v>
      </c>
      <c r="U28" s="449" t="s">
        <v>544</v>
      </c>
      <c r="V28" s="449" t="s">
        <v>544</v>
      </c>
      <c r="W28" s="449" t="s">
        <v>544</v>
      </c>
      <c r="X28" s="449" t="s">
        <v>544</v>
      </c>
      <c r="Y28" s="449" t="s">
        <v>544</v>
      </c>
      <c r="Z28" s="449" t="s">
        <v>544</v>
      </c>
      <c r="AA28" s="449" t="s">
        <v>544</v>
      </c>
      <c r="AB28" s="449" t="s">
        <v>544</v>
      </c>
      <c r="AC28" s="449" t="s">
        <v>544</v>
      </c>
      <c r="AD28" s="450" t="s">
        <v>545</v>
      </c>
      <c r="AE28" s="449" t="s">
        <v>544</v>
      </c>
      <c r="AF28" s="449" t="s">
        <v>544</v>
      </c>
      <c r="AG28" s="449" t="s">
        <v>544</v>
      </c>
      <c r="AH28" s="449" t="s">
        <v>544</v>
      </c>
      <c r="AI28" s="449" t="s">
        <v>544</v>
      </c>
      <c r="AJ28" s="449" t="s">
        <v>544</v>
      </c>
      <c r="AK28" s="449" t="s">
        <v>544</v>
      </c>
      <c r="AL28" s="449" t="s">
        <v>544</v>
      </c>
      <c r="AM28" s="449" t="s">
        <v>544</v>
      </c>
      <c r="AN28" s="449" t="s">
        <v>544</v>
      </c>
      <c r="AO28" s="449" t="s">
        <v>544</v>
      </c>
      <c r="AP28" s="449" t="s">
        <v>544</v>
      </c>
      <c r="AQ28" s="449" t="s">
        <v>544</v>
      </c>
      <c r="AR28" s="449" t="s">
        <v>544</v>
      </c>
      <c r="AS28" s="449" t="s">
        <v>544</v>
      </c>
      <c r="AT28" s="449" t="s">
        <v>544</v>
      </c>
      <c r="AU28" s="449" t="s">
        <v>544</v>
      </c>
      <c r="AV28" s="449" t="s">
        <v>544</v>
      </c>
      <c r="AW28" s="449" t="s">
        <v>544</v>
      </c>
      <c r="AX28" s="449" t="s">
        <v>544</v>
      </c>
      <c r="AY28" s="449" t="s">
        <v>544</v>
      </c>
      <c r="AZ28" s="449" t="s">
        <v>544</v>
      </c>
      <c r="BA28" s="449" t="s">
        <v>544</v>
      </c>
      <c r="BB28" s="449" t="s">
        <v>544</v>
      </c>
      <c r="BC28" s="449" t="s">
        <v>544</v>
      </c>
      <c r="BD28" s="449" t="s">
        <v>544</v>
      </c>
      <c r="BE28" s="449" t="s">
        <v>544</v>
      </c>
      <c r="BF28" s="449" t="s">
        <v>544</v>
      </c>
      <c r="BG28" s="449" t="s">
        <v>544</v>
      </c>
      <c r="BH28" s="449" t="s">
        <v>544</v>
      </c>
      <c r="BI28" s="448" t="s">
        <v>544</v>
      </c>
      <c r="BJ28" s="448" t="s">
        <v>544</v>
      </c>
      <c r="BK28" s="449" t="s">
        <v>544</v>
      </c>
      <c r="BL28" s="448" t="s">
        <v>549</v>
      </c>
      <c r="BM28" s="448" t="s">
        <v>544</v>
      </c>
      <c r="BN28" s="448" t="s">
        <v>544</v>
      </c>
      <c r="BO28" s="448" t="s">
        <v>544</v>
      </c>
      <c r="BP28" s="448" t="s">
        <v>549</v>
      </c>
      <c r="BQ28" s="448" t="s">
        <v>549</v>
      </c>
      <c r="BR28" s="448" t="s">
        <v>549</v>
      </c>
      <c r="BS28" s="449" t="s">
        <v>544</v>
      </c>
      <c r="BT28" s="449" t="s">
        <v>544</v>
      </c>
      <c r="BU28" s="448" t="s">
        <v>544</v>
      </c>
      <c r="BV28" s="449" t="s">
        <v>544</v>
      </c>
      <c r="BW28" s="449"/>
      <c r="BX28" s="449"/>
      <c r="BY28" s="449" t="s">
        <v>544</v>
      </c>
      <c r="BZ28" s="449" t="s">
        <v>544</v>
      </c>
    </row>
    <row r="29" spans="1:78" ht="15.75" thickBot="1">
      <c r="A29" s="561" t="s">
        <v>441</v>
      </c>
      <c r="B29" s="430" t="s">
        <v>611</v>
      </c>
      <c r="C29" s="427" t="s">
        <v>612</v>
      </c>
      <c r="D29" s="449" t="s">
        <v>544</v>
      </c>
      <c r="E29" s="449" t="s">
        <v>544</v>
      </c>
      <c r="F29" s="449" t="s">
        <v>544</v>
      </c>
      <c r="G29" s="449" t="s">
        <v>544</v>
      </c>
      <c r="H29" s="449" t="s">
        <v>544</v>
      </c>
      <c r="I29" s="453" t="s">
        <v>549</v>
      </c>
      <c r="J29" s="453" t="s">
        <v>549</v>
      </c>
      <c r="K29" s="449" t="s">
        <v>544</v>
      </c>
      <c r="L29" s="449" t="s">
        <v>544</v>
      </c>
      <c r="M29" s="449" t="s">
        <v>544</v>
      </c>
      <c r="N29" s="453" t="s">
        <v>549</v>
      </c>
      <c r="O29" s="449" t="s">
        <v>544</v>
      </c>
      <c r="P29" s="449" t="s">
        <v>544</v>
      </c>
      <c r="Q29" s="453" t="s">
        <v>549</v>
      </c>
      <c r="R29" s="449" t="s">
        <v>544</v>
      </c>
      <c r="S29" s="453" t="s">
        <v>549</v>
      </c>
      <c r="T29" s="449" t="s">
        <v>544</v>
      </c>
      <c r="U29" s="449" t="s">
        <v>544</v>
      </c>
      <c r="V29" s="449" t="s">
        <v>544</v>
      </c>
      <c r="W29" s="449" t="s">
        <v>544</v>
      </c>
      <c r="X29" s="449" t="s">
        <v>544</v>
      </c>
      <c r="Y29" s="449" t="s">
        <v>544</v>
      </c>
      <c r="Z29" s="449" t="s">
        <v>544</v>
      </c>
      <c r="AA29" s="449" t="s">
        <v>544</v>
      </c>
      <c r="AB29" s="449" t="s">
        <v>544</v>
      </c>
      <c r="AC29" s="449" t="s">
        <v>544</v>
      </c>
      <c r="AD29" s="450" t="s">
        <v>545</v>
      </c>
      <c r="AE29" s="449" t="s">
        <v>544</v>
      </c>
      <c r="AF29" s="449" t="s">
        <v>544</v>
      </c>
      <c r="AG29" s="449" t="s">
        <v>544</v>
      </c>
      <c r="AH29" s="449" t="s">
        <v>544</v>
      </c>
      <c r="AI29" s="449" t="s">
        <v>544</v>
      </c>
      <c r="AJ29" s="449" t="s">
        <v>544</v>
      </c>
      <c r="AK29" s="449" t="s">
        <v>544</v>
      </c>
      <c r="AL29" s="449" t="s">
        <v>544</v>
      </c>
      <c r="AM29" s="449" t="s">
        <v>544</v>
      </c>
      <c r="AN29" s="449" t="s">
        <v>544</v>
      </c>
      <c r="AO29" s="449" t="s">
        <v>544</v>
      </c>
      <c r="AP29" s="449" t="s">
        <v>544</v>
      </c>
      <c r="AQ29" s="449" t="s">
        <v>544</v>
      </c>
      <c r="AR29" s="449" t="s">
        <v>544</v>
      </c>
      <c r="AS29" s="449" t="s">
        <v>544</v>
      </c>
      <c r="AT29" s="449" t="s">
        <v>544</v>
      </c>
      <c r="AU29" s="449" t="s">
        <v>544</v>
      </c>
      <c r="AV29" s="449" t="s">
        <v>544</v>
      </c>
      <c r="AW29" s="449" t="s">
        <v>544</v>
      </c>
      <c r="AX29" s="449" t="s">
        <v>544</v>
      </c>
      <c r="AY29" s="449" t="s">
        <v>544</v>
      </c>
      <c r="AZ29" s="449" t="s">
        <v>544</v>
      </c>
      <c r="BA29" s="449" t="s">
        <v>544</v>
      </c>
      <c r="BB29" s="449" t="s">
        <v>544</v>
      </c>
      <c r="BC29" s="449" t="s">
        <v>544</v>
      </c>
      <c r="BD29" s="449" t="s">
        <v>544</v>
      </c>
      <c r="BE29" s="449" t="s">
        <v>544</v>
      </c>
      <c r="BF29" s="449" t="s">
        <v>544</v>
      </c>
      <c r="BG29" s="449" t="s">
        <v>544</v>
      </c>
      <c r="BH29" s="449" t="s">
        <v>544</v>
      </c>
      <c r="BI29" s="448" t="s">
        <v>544</v>
      </c>
      <c r="BJ29" s="448" t="s">
        <v>544</v>
      </c>
      <c r="BK29" s="449" t="s">
        <v>544</v>
      </c>
      <c r="BL29" s="448" t="s">
        <v>549</v>
      </c>
      <c r="BM29" s="448" t="s">
        <v>544</v>
      </c>
      <c r="BN29" s="448" t="s">
        <v>544</v>
      </c>
      <c r="BO29" s="448" t="s">
        <v>544</v>
      </c>
      <c r="BP29" s="448" t="s">
        <v>549</v>
      </c>
      <c r="BQ29" s="448" t="s">
        <v>549</v>
      </c>
      <c r="BR29" s="448" t="s">
        <v>549</v>
      </c>
      <c r="BS29" s="449" t="s">
        <v>544</v>
      </c>
      <c r="BT29" s="449" t="s">
        <v>544</v>
      </c>
      <c r="BU29" s="448" t="s">
        <v>544</v>
      </c>
      <c r="BV29" s="449" t="s">
        <v>544</v>
      </c>
      <c r="BW29" s="449"/>
      <c r="BX29" s="449"/>
      <c r="BY29" s="449" t="s">
        <v>544</v>
      </c>
      <c r="BZ29" s="449" t="s">
        <v>544</v>
      </c>
    </row>
    <row r="30" spans="1:78" ht="15.75" thickBot="1">
      <c r="A30" s="561"/>
      <c r="B30" s="430" t="s">
        <v>613</v>
      </c>
      <c r="C30" s="427" t="s">
        <v>614</v>
      </c>
      <c r="D30" s="449" t="s">
        <v>544</v>
      </c>
      <c r="E30" s="449" t="s">
        <v>544</v>
      </c>
      <c r="F30" s="449" t="s">
        <v>544</v>
      </c>
      <c r="G30" s="449" t="s">
        <v>544</v>
      </c>
      <c r="H30" s="449" t="s">
        <v>544</v>
      </c>
      <c r="I30" s="453" t="s">
        <v>549</v>
      </c>
      <c r="J30" s="453" t="s">
        <v>549</v>
      </c>
      <c r="K30" s="449" t="s">
        <v>544</v>
      </c>
      <c r="L30" s="449" t="s">
        <v>544</v>
      </c>
      <c r="M30" s="449" t="s">
        <v>544</v>
      </c>
      <c r="N30" s="453" t="s">
        <v>549</v>
      </c>
      <c r="O30" s="449" t="s">
        <v>544</v>
      </c>
      <c r="P30" s="449" t="s">
        <v>544</v>
      </c>
      <c r="Q30" s="453" t="s">
        <v>549</v>
      </c>
      <c r="R30" s="449" t="s">
        <v>544</v>
      </c>
      <c r="S30" s="453" t="s">
        <v>549</v>
      </c>
      <c r="T30" s="449" t="s">
        <v>544</v>
      </c>
      <c r="U30" s="449" t="s">
        <v>544</v>
      </c>
      <c r="V30" s="449" t="s">
        <v>544</v>
      </c>
      <c r="W30" s="449" t="s">
        <v>544</v>
      </c>
      <c r="X30" s="449" t="s">
        <v>544</v>
      </c>
      <c r="Y30" s="449" t="s">
        <v>544</v>
      </c>
      <c r="Z30" s="449" t="s">
        <v>544</v>
      </c>
      <c r="AA30" s="449" t="s">
        <v>544</v>
      </c>
      <c r="AB30" s="449" t="s">
        <v>544</v>
      </c>
      <c r="AC30" s="449" t="s">
        <v>544</v>
      </c>
      <c r="AD30" s="450" t="s">
        <v>545</v>
      </c>
      <c r="AE30" s="449" t="s">
        <v>544</v>
      </c>
      <c r="AF30" s="449" t="s">
        <v>544</v>
      </c>
      <c r="AG30" s="449" t="s">
        <v>544</v>
      </c>
      <c r="AH30" s="449" t="s">
        <v>544</v>
      </c>
      <c r="AI30" s="449" t="s">
        <v>544</v>
      </c>
      <c r="AJ30" s="449" t="s">
        <v>544</v>
      </c>
      <c r="AK30" s="449" t="s">
        <v>544</v>
      </c>
      <c r="AL30" s="449" t="s">
        <v>544</v>
      </c>
      <c r="AM30" s="449" t="s">
        <v>544</v>
      </c>
      <c r="AN30" s="449" t="s">
        <v>544</v>
      </c>
      <c r="AO30" s="449" t="s">
        <v>544</v>
      </c>
      <c r="AP30" s="449" t="s">
        <v>544</v>
      </c>
      <c r="AQ30" s="449" t="s">
        <v>544</v>
      </c>
      <c r="AR30" s="449" t="s">
        <v>544</v>
      </c>
      <c r="AS30" s="449" t="s">
        <v>544</v>
      </c>
      <c r="AT30" s="449" t="s">
        <v>544</v>
      </c>
      <c r="AU30" s="449" t="s">
        <v>544</v>
      </c>
      <c r="AV30" s="449" t="s">
        <v>544</v>
      </c>
      <c r="AW30" s="449" t="s">
        <v>544</v>
      </c>
      <c r="AX30" s="449" t="s">
        <v>544</v>
      </c>
      <c r="AY30" s="449" t="s">
        <v>544</v>
      </c>
      <c r="AZ30" s="449" t="s">
        <v>544</v>
      </c>
      <c r="BA30" s="449" t="s">
        <v>544</v>
      </c>
      <c r="BB30" s="449" t="s">
        <v>544</v>
      </c>
      <c r="BC30" s="449" t="s">
        <v>544</v>
      </c>
      <c r="BD30" s="449" t="s">
        <v>544</v>
      </c>
      <c r="BE30" s="449" t="s">
        <v>544</v>
      </c>
      <c r="BF30" s="449" t="s">
        <v>544</v>
      </c>
      <c r="BG30" s="449" t="s">
        <v>544</v>
      </c>
      <c r="BH30" s="449" t="s">
        <v>544</v>
      </c>
      <c r="BI30" s="448" t="s">
        <v>544</v>
      </c>
      <c r="BJ30" s="448" t="s">
        <v>544</v>
      </c>
      <c r="BK30" s="449" t="s">
        <v>544</v>
      </c>
      <c r="BL30" s="448" t="s">
        <v>549</v>
      </c>
      <c r="BM30" s="448" t="s">
        <v>544</v>
      </c>
      <c r="BN30" s="448" t="s">
        <v>544</v>
      </c>
      <c r="BO30" s="448" t="s">
        <v>544</v>
      </c>
      <c r="BP30" s="448" t="s">
        <v>549</v>
      </c>
      <c r="BQ30" s="448" t="s">
        <v>549</v>
      </c>
      <c r="BR30" s="448" t="s">
        <v>549</v>
      </c>
      <c r="BS30" s="449" t="s">
        <v>544</v>
      </c>
      <c r="BT30" s="449" t="s">
        <v>544</v>
      </c>
      <c r="BU30" s="448" t="s">
        <v>544</v>
      </c>
      <c r="BV30" s="449" t="s">
        <v>544</v>
      </c>
      <c r="BW30" s="449"/>
      <c r="BX30" s="449"/>
      <c r="BY30" s="449" t="s">
        <v>544</v>
      </c>
      <c r="BZ30" s="449" t="s">
        <v>544</v>
      </c>
    </row>
    <row r="31" spans="1:78" ht="15.75" thickBot="1">
      <c r="A31" s="561"/>
      <c r="B31" s="430" t="s">
        <v>615</v>
      </c>
      <c r="C31" s="427" t="s">
        <v>616</v>
      </c>
      <c r="D31" s="449" t="s">
        <v>544</v>
      </c>
      <c r="E31" s="449" t="s">
        <v>544</v>
      </c>
      <c r="F31" s="449" t="s">
        <v>544</v>
      </c>
      <c r="G31" s="449" t="s">
        <v>544</v>
      </c>
      <c r="H31" s="449" t="s">
        <v>544</v>
      </c>
      <c r="I31" s="453" t="s">
        <v>549</v>
      </c>
      <c r="J31" s="453" t="s">
        <v>549</v>
      </c>
      <c r="K31" s="449" t="s">
        <v>544</v>
      </c>
      <c r="L31" s="449" t="s">
        <v>544</v>
      </c>
      <c r="M31" s="449" t="s">
        <v>544</v>
      </c>
      <c r="N31" s="453" t="s">
        <v>549</v>
      </c>
      <c r="O31" s="449" t="s">
        <v>544</v>
      </c>
      <c r="P31" s="449" t="s">
        <v>544</v>
      </c>
      <c r="Q31" s="453" t="s">
        <v>549</v>
      </c>
      <c r="R31" s="449" t="s">
        <v>544</v>
      </c>
      <c r="S31" s="453" t="s">
        <v>549</v>
      </c>
      <c r="T31" s="449" t="s">
        <v>544</v>
      </c>
      <c r="U31" s="449" t="s">
        <v>544</v>
      </c>
      <c r="V31" s="449" t="s">
        <v>544</v>
      </c>
      <c r="W31" s="449" t="s">
        <v>544</v>
      </c>
      <c r="X31" s="449" t="s">
        <v>544</v>
      </c>
      <c r="Y31" s="449" t="s">
        <v>544</v>
      </c>
      <c r="Z31" s="449" t="s">
        <v>544</v>
      </c>
      <c r="AA31" s="449" t="s">
        <v>544</v>
      </c>
      <c r="AB31" s="449" t="s">
        <v>544</v>
      </c>
      <c r="AC31" s="450" t="s">
        <v>545</v>
      </c>
      <c r="AD31" s="449" t="s">
        <v>544</v>
      </c>
      <c r="AE31" s="449" t="s">
        <v>544</v>
      </c>
      <c r="AF31" s="449" t="s">
        <v>544</v>
      </c>
      <c r="AG31" s="449" t="s">
        <v>544</v>
      </c>
      <c r="AH31" s="449" t="s">
        <v>544</v>
      </c>
      <c r="AI31" s="449" t="s">
        <v>544</v>
      </c>
      <c r="AJ31" s="449" t="s">
        <v>544</v>
      </c>
      <c r="AK31" s="449" t="s">
        <v>544</v>
      </c>
      <c r="AL31" s="449" t="s">
        <v>544</v>
      </c>
      <c r="AM31" s="449" t="s">
        <v>544</v>
      </c>
      <c r="AN31" s="449" t="s">
        <v>544</v>
      </c>
      <c r="AO31" s="449" t="s">
        <v>544</v>
      </c>
      <c r="AP31" s="449" t="s">
        <v>544</v>
      </c>
      <c r="AQ31" s="449" t="s">
        <v>544</v>
      </c>
      <c r="AR31" s="449" t="s">
        <v>544</v>
      </c>
      <c r="AS31" s="449" t="s">
        <v>544</v>
      </c>
      <c r="AT31" s="449" t="s">
        <v>544</v>
      </c>
      <c r="AU31" s="449" t="s">
        <v>544</v>
      </c>
      <c r="AV31" s="449" t="s">
        <v>544</v>
      </c>
      <c r="AW31" s="449" t="s">
        <v>544</v>
      </c>
      <c r="AX31" s="449" t="s">
        <v>544</v>
      </c>
      <c r="AY31" s="449" t="s">
        <v>544</v>
      </c>
      <c r="AZ31" s="449" t="s">
        <v>544</v>
      </c>
      <c r="BA31" s="449" t="s">
        <v>544</v>
      </c>
      <c r="BB31" s="449" t="s">
        <v>544</v>
      </c>
      <c r="BC31" s="449" t="s">
        <v>544</v>
      </c>
      <c r="BD31" s="449" t="s">
        <v>544</v>
      </c>
      <c r="BE31" s="449" t="s">
        <v>544</v>
      </c>
      <c r="BF31" s="449" t="s">
        <v>544</v>
      </c>
      <c r="BG31" s="449" t="s">
        <v>544</v>
      </c>
      <c r="BH31" s="449" t="s">
        <v>544</v>
      </c>
      <c r="BI31" s="448" t="s">
        <v>544</v>
      </c>
      <c r="BJ31" s="448" t="s">
        <v>544</v>
      </c>
      <c r="BK31" s="449" t="s">
        <v>544</v>
      </c>
      <c r="BL31" s="448" t="s">
        <v>549</v>
      </c>
      <c r="BM31" s="448" t="s">
        <v>544</v>
      </c>
      <c r="BN31" s="448" t="s">
        <v>544</v>
      </c>
      <c r="BO31" s="448" t="s">
        <v>544</v>
      </c>
      <c r="BP31" s="448" t="s">
        <v>549</v>
      </c>
      <c r="BQ31" s="448" t="s">
        <v>549</v>
      </c>
      <c r="BR31" s="448" t="s">
        <v>549</v>
      </c>
      <c r="BS31" s="449" t="s">
        <v>544</v>
      </c>
      <c r="BT31" s="449" t="s">
        <v>544</v>
      </c>
      <c r="BU31" s="448" t="s">
        <v>544</v>
      </c>
      <c r="BV31" s="449" t="s">
        <v>544</v>
      </c>
      <c r="BW31" s="449"/>
      <c r="BX31" s="449"/>
      <c r="BY31" s="449" t="s">
        <v>544</v>
      </c>
      <c r="BZ31" s="449" t="s">
        <v>544</v>
      </c>
    </row>
    <row r="32" spans="1:78" ht="15.75" thickBot="1">
      <c r="A32" s="561"/>
      <c r="B32" s="430" t="s">
        <v>617</v>
      </c>
      <c r="C32" s="427" t="s">
        <v>618</v>
      </c>
      <c r="D32" s="449" t="s">
        <v>544</v>
      </c>
      <c r="E32" s="449" t="s">
        <v>544</v>
      </c>
      <c r="F32" s="449" t="s">
        <v>544</v>
      </c>
      <c r="G32" s="449" t="s">
        <v>544</v>
      </c>
      <c r="H32" s="449" t="s">
        <v>544</v>
      </c>
      <c r="I32" s="453" t="s">
        <v>549</v>
      </c>
      <c r="J32" s="453" t="s">
        <v>549</v>
      </c>
      <c r="K32" s="449" t="s">
        <v>544</v>
      </c>
      <c r="L32" s="449" t="s">
        <v>544</v>
      </c>
      <c r="M32" s="449" t="s">
        <v>544</v>
      </c>
      <c r="N32" s="453" t="s">
        <v>549</v>
      </c>
      <c r="O32" s="449" t="s">
        <v>544</v>
      </c>
      <c r="P32" s="449" t="s">
        <v>544</v>
      </c>
      <c r="Q32" s="453" t="s">
        <v>549</v>
      </c>
      <c r="R32" s="449" t="s">
        <v>544</v>
      </c>
      <c r="S32" s="453" t="s">
        <v>549</v>
      </c>
      <c r="T32" s="449" t="s">
        <v>544</v>
      </c>
      <c r="U32" s="449" t="s">
        <v>544</v>
      </c>
      <c r="V32" s="449" t="s">
        <v>544</v>
      </c>
      <c r="W32" s="449" t="s">
        <v>544</v>
      </c>
      <c r="X32" s="449" t="s">
        <v>544</v>
      </c>
      <c r="Y32" s="449" t="s">
        <v>544</v>
      </c>
      <c r="Z32" s="449" t="s">
        <v>544</v>
      </c>
      <c r="AA32" s="449" t="s">
        <v>544</v>
      </c>
      <c r="AB32" s="449" t="s">
        <v>544</v>
      </c>
      <c r="AC32" s="449" t="s">
        <v>544</v>
      </c>
      <c r="AD32" s="449" t="s">
        <v>544</v>
      </c>
      <c r="AE32" s="449" t="s">
        <v>544</v>
      </c>
      <c r="AF32" s="449" t="s">
        <v>544</v>
      </c>
      <c r="AG32" s="449" t="s">
        <v>544</v>
      </c>
      <c r="AH32" s="449" t="s">
        <v>544</v>
      </c>
      <c r="AI32" s="449" t="s">
        <v>544</v>
      </c>
      <c r="AJ32" s="449" t="s">
        <v>544</v>
      </c>
      <c r="AK32" s="449" t="s">
        <v>544</v>
      </c>
      <c r="AL32" s="449" t="s">
        <v>544</v>
      </c>
      <c r="AM32" s="449" t="s">
        <v>544</v>
      </c>
      <c r="AN32" s="449" t="s">
        <v>544</v>
      </c>
      <c r="AO32" s="449" t="s">
        <v>544</v>
      </c>
      <c r="AP32" s="449" t="s">
        <v>544</v>
      </c>
      <c r="AQ32" s="449" t="s">
        <v>544</v>
      </c>
      <c r="AR32" s="449" t="s">
        <v>544</v>
      </c>
      <c r="AS32" s="449" t="s">
        <v>544</v>
      </c>
      <c r="AT32" s="449" t="s">
        <v>544</v>
      </c>
      <c r="AU32" s="449" t="s">
        <v>544</v>
      </c>
      <c r="AV32" s="449" t="s">
        <v>544</v>
      </c>
      <c r="AW32" s="449" t="s">
        <v>544</v>
      </c>
      <c r="AX32" s="449" t="s">
        <v>544</v>
      </c>
      <c r="AY32" s="449" t="s">
        <v>544</v>
      </c>
      <c r="AZ32" s="449" t="s">
        <v>544</v>
      </c>
      <c r="BA32" s="449" t="s">
        <v>544</v>
      </c>
      <c r="BB32" s="449" t="s">
        <v>544</v>
      </c>
      <c r="BC32" s="449" t="s">
        <v>544</v>
      </c>
      <c r="BD32" s="449" t="s">
        <v>544</v>
      </c>
      <c r="BE32" s="449" t="s">
        <v>544</v>
      </c>
      <c r="BF32" s="449" t="s">
        <v>544</v>
      </c>
      <c r="BG32" s="449" t="s">
        <v>544</v>
      </c>
      <c r="BH32" s="449" t="s">
        <v>544</v>
      </c>
      <c r="BI32" s="448" t="s">
        <v>544</v>
      </c>
      <c r="BJ32" s="448" t="s">
        <v>544</v>
      </c>
      <c r="BK32" s="449" t="s">
        <v>544</v>
      </c>
      <c r="BL32" s="448" t="s">
        <v>549</v>
      </c>
      <c r="BM32" s="448" t="s">
        <v>544</v>
      </c>
      <c r="BN32" s="448" t="s">
        <v>544</v>
      </c>
      <c r="BO32" s="448" t="s">
        <v>544</v>
      </c>
      <c r="BP32" s="448" t="s">
        <v>549</v>
      </c>
      <c r="BQ32" s="448" t="s">
        <v>549</v>
      </c>
      <c r="BR32" s="448" t="s">
        <v>549</v>
      </c>
      <c r="BS32" s="449" t="s">
        <v>544</v>
      </c>
      <c r="BT32" s="449" t="s">
        <v>544</v>
      </c>
      <c r="BU32" s="448" t="s">
        <v>544</v>
      </c>
      <c r="BV32" s="449" t="s">
        <v>544</v>
      </c>
      <c r="BW32" s="449"/>
      <c r="BX32" s="449"/>
      <c r="BY32" s="449" t="s">
        <v>544</v>
      </c>
      <c r="BZ32" s="449" t="s">
        <v>544</v>
      </c>
    </row>
    <row r="33" spans="1:78" ht="15.75" thickBot="1">
      <c r="A33" s="561"/>
      <c r="B33" s="430" t="s">
        <v>619</v>
      </c>
      <c r="C33" s="427" t="s">
        <v>620</v>
      </c>
      <c r="D33" s="449" t="s">
        <v>544</v>
      </c>
      <c r="E33" s="449" t="s">
        <v>544</v>
      </c>
      <c r="F33" s="449" t="s">
        <v>544</v>
      </c>
      <c r="G33" s="449" t="s">
        <v>544</v>
      </c>
      <c r="H33" s="449" t="s">
        <v>544</v>
      </c>
      <c r="I33" s="453" t="s">
        <v>549</v>
      </c>
      <c r="J33" s="453" t="s">
        <v>549</v>
      </c>
      <c r="K33" s="449" t="s">
        <v>544</v>
      </c>
      <c r="L33" s="449" t="s">
        <v>544</v>
      </c>
      <c r="M33" s="449" t="s">
        <v>544</v>
      </c>
      <c r="N33" s="453" t="s">
        <v>549</v>
      </c>
      <c r="O33" s="449" t="s">
        <v>544</v>
      </c>
      <c r="P33" s="449" t="s">
        <v>544</v>
      </c>
      <c r="Q33" s="453" t="s">
        <v>549</v>
      </c>
      <c r="R33" s="449" t="s">
        <v>544</v>
      </c>
      <c r="S33" s="453" t="s">
        <v>549</v>
      </c>
      <c r="T33" s="449" t="s">
        <v>544</v>
      </c>
      <c r="U33" s="449" t="s">
        <v>544</v>
      </c>
      <c r="V33" s="449" t="s">
        <v>544</v>
      </c>
      <c r="W33" s="449" t="s">
        <v>544</v>
      </c>
      <c r="X33" s="449" t="s">
        <v>544</v>
      </c>
      <c r="Y33" s="449" t="s">
        <v>544</v>
      </c>
      <c r="Z33" s="449" t="s">
        <v>544</v>
      </c>
      <c r="AA33" s="449" t="s">
        <v>544</v>
      </c>
      <c r="AB33" s="449" t="s">
        <v>544</v>
      </c>
      <c r="AC33" s="450" t="s">
        <v>545</v>
      </c>
      <c r="AD33" s="450" t="s">
        <v>545</v>
      </c>
      <c r="AE33" s="449" t="s">
        <v>544</v>
      </c>
      <c r="AF33" s="449" t="s">
        <v>544</v>
      </c>
      <c r="AG33" s="449" t="s">
        <v>544</v>
      </c>
      <c r="AH33" s="449" t="s">
        <v>544</v>
      </c>
      <c r="AI33" s="449" t="s">
        <v>544</v>
      </c>
      <c r="AJ33" s="449" t="s">
        <v>544</v>
      </c>
      <c r="AK33" s="449" t="s">
        <v>544</v>
      </c>
      <c r="AL33" s="449" t="s">
        <v>544</v>
      </c>
      <c r="AM33" s="449" t="s">
        <v>544</v>
      </c>
      <c r="AN33" s="449" t="s">
        <v>544</v>
      </c>
      <c r="AO33" s="449" t="s">
        <v>544</v>
      </c>
      <c r="AP33" s="449" t="s">
        <v>544</v>
      </c>
      <c r="AQ33" s="449" t="s">
        <v>544</v>
      </c>
      <c r="AR33" s="449" t="s">
        <v>544</v>
      </c>
      <c r="AS33" s="449" t="s">
        <v>544</v>
      </c>
      <c r="AT33" s="449" t="s">
        <v>544</v>
      </c>
      <c r="AU33" s="449" t="s">
        <v>544</v>
      </c>
      <c r="AV33" s="449" t="s">
        <v>544</v>
      </c>
      <c r="AW33" s="449" t="s">
        <v>544</v>
      </c>
      <c r="AX33" s="449" t="s">
        <v>544</v>
      </c>
      <c r="AY33" s="449" t="s">
        <v>544</v>
      </c>
      <c r="AZ33" s="449" t="s">
        <v>544</v>
      </c>
      <c r="BA33" s="449" t="s">
        <v>544</v>
      </c>
      <c r="BB33" s="449" t="s">
        <v>544</v>
      </c>
      <c r="BC33" s="449" t="s">
        <v>544</v>
      </c>
      <c r="BD33" s="449" t="s">
        <v>544</v>
      </c>
      <c r="BE33" s="449" t="s">
        <v>544</v>
      </c>
      <c r="BF33" s="449" t="s">
        <v>544</v>
      </c>
      <c r="BG33" s="449" t="s">
        <v>544</v>
      </c>
      <c r="BH33" s="449" t="s">
        <v>544</v>
      </c>
      <c r="BI33" s="448" t="s">
        <v>544</v>
      </c>
      <c r="BJ33" s="448" t="s">
        <v>544</v>
      </c>
      <c r="BK33" s="449" t="s">
        <v>544</v>
      </c>
      <c r="BL33" s="448" t="s">
        <v>549</v>
      </c>
      <c r="BM33" s="448" t="s">
        <v>544</v>
      </c>
      <c r="BN33" s="448" t="s">
        <v>544</v>
      </c>
      <c r="BO33" s="448" t="s">
        <v>544</v>
      </c>
      <c r="BP33" s="448" t="s">
        <v>549</v>
      </c>
      <c r="BQ33" s="448" t="s">
        <v>549</v>
      </c>
      <c r="BR33" s="448" t="s">
        <v>549</v>
      </c>
      <c r="BS33" s="449" t="s">
        <v>544</v>
      </c>
      <c r="BT33" s="449" t="s">
        <v>544</v>
      </c>
      <c r="BU33" s="448" t="s">
        <v>544</v>
      </c>
      <c r="BV33" s="449" t="s">
        <v>544</v>
      </c>
      <c r="BW33" s="449"/>
      <c r="BX33" s="449"/>
      <c r="BY33" s="449" t="s">
        <v>544</v>
      </c>
      <c r="BZ33" s="449" t="s">
        <v>544</v>
      </c>
    </row>
    <row r="34" spans="1:78" ht="15.75" thickBot="1">
      <c r="A34" s="561"/>
      <c r="B34" s="430" t="s">
        <v>621</v>
      </c>
      <c r="C34" s="427" t="s">
        <v>622</v>
      </c>
      <c r="D34" s="449" t="s">
        <v>544</v>
      </c>
      <c r="E34" s="449" t="s">
        <v>544</v>
      </c>
      <c r="F34" s="449" t="s">
        <v>544</v>
      </c>
      <c r="G34" s="449" t="s">
        <v>544</v>
      </c>
      <c r="H34" s="449" t="s">
        <v>544</v>
      </c>
      <c r="I34" s="453" t="s">
        <v>549</v>
      </c>
      <c r="J34" s="453" t="s">
        <v>549</v>
      </c>
      <c r="K34" s="449" t="s">
        <v>544</v>
      </c>
      <c r="L34" s="449" t="s">
        <v>544</v>
      </c>
      <c r="M34" s="449" t="s">
        <v>544</v>
      </c>
      <c r="N34" s="453" t="s">
        <v>549</v>
      </c>
      <c r="O34" s="449" t="s">
        <v>544</v>
      </c>
      <c r="P34" s="449" t="s">
        <v>544</v>
      </c>
      <c r="Q34" s="453" t="s">
        <v>549</v>
      </c>
      <c r="R34" s="449" t="s">
        <v>544</v>
      </c>
      <c r="S34" s="453" t="s">
        <v>549</v>
      </c>
      <c r="T34" s="449" t="s">
        <v>544</v>
      </c>
      <c r="U34" s="449" t="s">
        <v>544</v>
      </c>
      <c r="V34" s="449" t="s">
        <v>544</v>
      </c>
      <c r="W34" s="449" t="s">
        <v>544</v>
      </c>
      <c r="X34" s="449" t="s">
        <v>544</v>
      </c>
      <c r="Y34" s="449" t="s">
        <v>544</v>
      </c>
      <c r="Z34" s="449" t="s">
        <v>544</v>
      </c>
      <c r="AA34" s="449" t="s">
        <v>544</v>
      </c>
      <c r="AB34" s="449" t="s">
        <v>544</v>
      </c>
      <c r="AC34" s="449" t="s">
        <v>544</v>
      </c>
      <c r="AD34" s="449" t="s">
        <v>544</v>
      </c>
      <c r="AE34" s="449" t="s">
        <v>544</v>
      </c>
      <c r="AF34" s="449" t="s">
        <v>544</v>
      </c>
      <c r="AG34" s="449" t="s">
        <v>544</v>
      </c>
      <c r="AH34" s="449" t="s">
        <v>544</v>
      </c>
      <c r="AI34" s="449" t="s">
        <v>544</v>
      </c>
      <c r="AJ34" s="449" t="s">
        <v>544</v>
      </c>
      <c r="AK34" s="449" t="s">
        <v>544</v>
      </c>
      <c r="AL34" s="449" t="s">
        <v>544</v>
      </c>
      <c r="AM34" s="449" t="s">
        <v>544</v>
      </c>
      <c r="AN34" s="449" t="s">
        <v>544</v>
      </c>
      <c r="AO34" s="449" t="s">
        <v>544</v>
      </c>
      <c r="AP34" s="449" t="s">
        <v>544</v>
      </c>
      <c r="AQ34" s="449" t="s">
        <v>544</v>
      </c>
      <c r="AR34" s="449" t="s">
        <v>544</v>
      </c>
      <c r="AS34" s="449" t="s">
        <v>544</v>
      </c>
      <c r="AT34" s="449" t="s">
        <v>544</v>
      </c>
      <c r="AU34" s="449" t="s">
        <v>544</v>
      </c>
      <c r="AV34" s="449" t="s">
        <v>544</v>
      </c>
      <c r="AW34" s="449" t="s">
        <v>544</v>
      </c>
      <c r="AX34" s="449" t="s">
        <v>544</v>
      </c>
      <c r="AY34" s="449" t="s">
        <v>544</v>
      </c>
      <c r="AZ34" s="449" t="s">
        <v>544</v>
      </c>
      <c r="BA34" s="449" t="s">
        <v>544</v>
      </c>
      <c r="BB34" s="449" t="s">
        <v>544</v>
      </c>
      <c r="BC34" s="449" t="s">
        <v>544</v>
      </c>
      <c r="BD34" s="449" t="s">
        <v>544</v>
      </c>
      <c r="BE34" s="449" t="s">
        <v>544</v>
      </c>
      <c r="BF34" s="449" t="s">
        <v>544</v>
      </c>
      <c r="BG34" s="449" t="s">
        <v>544</v>
      </c>
      <c r="BH34" s="449" t="s">
        <v>544</v>
      </c>
      <c r="BI34" s="448" t="s">
        <v>544</v>
      </c>
      <c r="BJ34" s="448" t="s">
        <v>544</v>
      </c>
      <c r="BK34" s="449" t="s">
        <v>544</v>
      </c>
      <c r="BL34" s="448" t="s">
        <v>549</v>
      </c>
      <c r="BM34" s="448" t="s">
        <v>544</v>
      </c>
      <c r="BN34" s="448" t="s">
        <v>544</v>
      </c>
      <c r="BO34" s="448" t="s">
        <v>544</v>
      </c>
      <c r="BP34" s="448" t="s">
        <v>549</v>
      </c>
      <c r="BQ34" s="448" t="s">
        <v>549</v>
      </c>
      <c r="BR34" s="448" t="s">
        <v>549</v>
      </c>
      <c r="BS34" s="449" t="s">
        <v>544</v>
      </c>
      <c r="BT34" s="449" t="s">
        <v>544</v>
      </c>
      <c r="BU34" s="448" t="s">
        <v>544</v>
      </c>
      <c r="BV34" s="449" t="s">
        <v>544</v>
      </c>
      <c r="BW34" s="449"/>
      <c r="BX34" s="449"/>
      <c r="BY34" s="449" t="s">
        <v>544</v>
      </c>
      <c r="BZ34" s="449" t="s">
        <v>544</v>
      </c>
    </row>
    <row r="35" spans="1:78" ht="15.75" thickBot="1">
      <c r="A35" s="561"/>
      <c r="B35" s="430" t="s">
        <v>623</v>
      </c>
      <c r="C35" s="427" t="s">
        <v>624</v>
      </c>
      <c r="D35" s="449" t="s">
        <v>544</v>
      </c>
      <c r="E35" s="449" t="s">
        <v>544</v>
      </c>
      <c r="F35" s="449" t="s">
        <v>544</v>
      </c>
      <c r="G35" s="449" t="s">
        <v>544</v>
      </c>
      <c r="H35" s="449" t="s">
        <v>544</v>
      </c>
      <c r="I35" s="453" t="s">
        <v>549</v>
      </c>
      <c r="J35" s="453" t="s">
        <v>549</v>
      </c>
      <c r="K35" s="449" t="s">
        <v>544</v>
      </c>
      <c r="L35" s="449" t="s">
        <v>544</v>
      </c>
      <c r="M35" s="449" t="s">
        <v>544</v>
      </c>
      <c r="N35" s="453" t="s">
        <v>549</v>
      </c>
      <c r="O35" s="449" t="s">
        <v>544</v>
      </c>
      <c r="P35" s="449" t="s">
        <v>544</v>
      </c>
      <c r="Q35" s="453" t="s">
        <v>549</v>
      </c>
      <c r="R35" s="449" t="s">
        <v>544</v>
      </c>
      <c r="S35" s="453" t="s">
        <v>549</v>
      </c>
      <c r="T35" s="449" t="s">
        <v>544</v>
      </c>
      <c r="U35" s="449" t="s">
        <v>544</v>
      </c>
      <c r="V35" s="449" t="s">
        <v>544</v>
      </c>
      <c r="W35" s="449" t="s">
        <v>544</v>
      </c>
      <c r="X35" s="449" t="s">
        <v>544</v>
      </c>
      <c r="Y35" s="449" t="s">
        <v>544</v>
      </c>
      <c r="Z35" s="449" t="s">
        <v>544</v>
      </c>
      <c r="AA35" s="449" t="s">
        <v>544</v>
      </c>
      <c r="AB35" s="449" t="s">
        <v>544</v>
      </c>
      <c r="AC35" s="449" t="s">
        <v>544</v>
      </c>
      <c r="AD35" s="449" t="s">
        <v>544</v>
      </c>
      <c r="AE35" s="449" t="s">
        <v>544</v>
      </c>
      <c r="AF35" s="449" t="s">
        <v>544</v>
      </c>
      <c r="AG35" s="449" t="s">
        <v>544</v>
      </c>
      <c r="AH35" s="449" t="s">
        <v>544</v>
      </c>
      <c r="AI35" s="449" t="s">
        <v>544</v>
      </c>
      <c r="AJ35" s="450" t="s">
        <v>545</v>
      </c>
      <c r="AK35" s="449" t="s">
        <v>544</v>
      </c>
      <c r="AL35" s="449" t="s">
        <v>544</v>
      </c>
      <c r="AM35" s="449" t="s">
        <v>544</v>
      </c>
      <c r="AN35" s="449" t="s">
        <v>544</v>
      </c>
      <c r="AO35" s="449" t="s">
        <v>544</v>
      </c>
      <c r="AP35" s="449" t="s">
        <v>544</v>
      </c>
      <c r="AQ35" s="449" t="s">
        <v>544</v>
      </c>
      <c r="AR35" s="449" t="s">
        <v>544</v>
      </c>
      <c r="AS35" s="449" t="s">
        <v>544</v>
      </c>
      <c r="AT35" s="449" t="s">
        <v>544</v>
      </c>
      <c r="AU35" s="449" t="s">
        <v>544</v>
      </c>
      <c r="AV35" s="449" t="s">
        <v>544</v>
      </c>
      <c r="AW35" s="449" t="s">
        <v>544</v>
      </c>
      <c r="AX35" s="449" t="s">
        <v>544</v>
      </c>
      <c r="AY35" s="449" t="s">
        <v>544</v>
      </c>
      <c r="AZ35" s="449" t="s">
        <v>544</v>
      </c>
      <c r="BA35" s="449" t="s">
        <v>544</v>
      </c>
      <c r="BB35" s="449" t="s">
        <v>544</v>
      </c>
      <c r="BC35" s="449" t="s">
        <v>544</v>
      </c>
      <c r="BD35" s="449" t="s">
        <v>544</v>
      </c>
      <c r="BE35" s="449" t="s">
        <v>544</v>
      </c>
      <c r="BF35" s="450" t="s">
        <v>545</v>
      </c>
      <c r="BG35" s="449" t="s">
        <v>544</v>
      </c>
      <c r="BH35" s="449" t="s">
        <v>544</v>
      </c>
      <c r="BI35" s="448" t="s">
        <v>544</v>
      </c>
      <c r="BJ35" s="448" t="s">
        <v>544</v>
      </c>
      <c r="BK35" s="449" t="s">
        <v>544</v>
      </c>
      <c r="BL35" s="448" t="s">
        <v>549</v>
      </c>
      <c r="BM35" s="448" t="s">
        <v>544</v>
      </c>
      <c r="BN35" s="448" t="s">
        <v>544</v>
      </c>
      <c r="BO35" s="448" t="s">
        <v>544</v>
      </c>
      <c r="BP35" s="448" t="s">
        <v>549</v>
      </c>
      <c r="BQ35" s="448" t="s">
        <v>549</v>
      </c>
      <c r="BR35" s="448" t="s">
        <v>549</v>
      </c>
      <c r="BS35" s="449" t="s">
        <v>544</v>
      </c>
      <c r="BT35" s="449" t="s">
        <v>544</v>
      </c>
      <c r="BU35" s="448" t="s">
        <v>544</v>
      </c>
      <c r="BV35" s="456" t="s">
        <v>548</v>
      </c>
      <c r="BW35" s="456"/>
      <c r="BX35" s="456"/>
      <c r="BY35" s="456" t="s">
        <v>548</v>
      </c>
      <c r="BZ35" s="456" t="s">
        <v>548</v>
      </c>
    </row>
    <row r="36" spans="1:78" ht="15.75" thickBot="1">
      <c r="A36" s="561"/>
      <c r="B36" s="430" t="s">
        <v>625</v>
      </c>
      <c r="C36" s="427" t="s">
        <v>626</v>
      </c>
      <c r="D36" s="449" t="s">
        <v>544</v>
      </c>
      <c r="E36" s="449" t="s">
        <v>544</v>
      </c>
      <c r="F36" s="449" t="s">
        <v>544</v>
      </c>
      <c r="G36" s="449" t="s">
        <v>544</v>
      </c>
      <c r="H36" s="449" t="s">
        <v>544</v>
      </c>
      <c r="I36" s="453" t="s">
        <v>549</v>
      </c>
      <c r="J36" s="453" t="s">
        <v>549</v>
      </c>
      <c r="K36" s="449" t="s">
        <v>544</v>
      </c>
      <c r="L36" s="449" t="s">
        <v>544</v>
      </c>
      <c r="M36" s="449" t="s">
        <v>544</v>
      </c>
      <c r="N36" s="453" t="s">
        <v>549</v>
      </c>
      <c r="O36" s="449" t="s">
        <v>544</v>
      </c>
      <c r="P36" s="449" t="s">
        <v>544</v>
      </c>
      <c r="Q36" s="453" t="s">
        <v>549</v>
      </c>
      <c r="R36" s="449" t="s">
        <v>544</v>
      </c>
      <c r="S36" s="453" t="s">
        <v>549</v>
      </c>
      <c r="T36" s="449" t="s">
        <v>544</v>
      </c>
      <c r="U36" s="449" t="s">
        <v>544</v>
      </c>
      <c r="V36" s="449" t="s">
        <v>544</v>
      </c>
      <c r="W36" s="449" t="s">
        <v>544</v>
      </c>
      <c r="X36" s="449" t="s">
        <v>544</v>
      </c>
      <c r="Y36" s="449" t="s">
        <v>544</v>
      </c>
      <c r="Z36" s="449" t="s">
        <v>544</v>
      </c>
      <c r="AA36" s="449" t="s">
        <v>544</v>
      </c>
      <c r="AB36" s="449" t="s">
        <v>544</v>
      </c>
      <c r="AC36" s="449" t="s">
        <v>544</v>
      </c>
      <c r="AD36" s="449" t="s">
        <v>544</v>
      </c>
      <c r="AE36" s="449" t="s">
        <v>544</v>
      </c>
      <c r="AF36" s="449" t="s">
        <v>544</v>
      </c>
      <c r="AG36" s="449" t="s">
        <v>544</v>
      </c>
      <c r="AH36" s="449" t="s">
        <v>544</v>
      </c>
      <c r="AI36" s="449" t="s">
        <v>544</v>
      </c>
      <c r="AJ36" s="450" t="s">
        <v>545</v>
      </c>
      <c r="AK36" s="449" t="s">
        <v>544</v>
      </c>
      <c r="AL36" s="449" t="s">
        <v>544</v>
      </c>
      <c r="AM36" s="449" t="s">
        <v>544</v>
      </c>
      <c r="AN36" s="449" t="s">
        <v>544</v>
      </c>
      <c r="AO36" s="449" t="s">
        <v>544</v>
      </c>
      <c r="AP36" s="449" t="s">
        <v>544</v>
      </c>
      <c r="AQ36" s="449" t="s">
        <v>544</v>
      </c>
      <c r="AR36" s="449" t="s">
        <v>544</v>
      </c>
      <c r="AS36" s="449" t="s">
        <v>544</v>
      </c>
      <c r="AT36" s="449" t="s">
        <v>544</v>
      </c>
      <c r="AU36" s="449" t="s">
        <v>544</v>
      </c>
      <c r="AV36" s="449" t="s">
        <v>544</v>
      </c>
      <c r="AW36" s="449" t="s">
        <v>544</v>
      </c>
      <c r="AX36" s="449" t="s">
        <v>544</v>
      </c>
      <c r="AY36" s="449" t="s">
        <v>544</v>
      </c>
      <c r="AZ36" s="449" t="s">
        <v>544</v>
      </c>
      <c r="BA36" s="449" t="s">
        <v>544</v>
      </c>
      <c r="BB36" s="449" t="s">
        <v>544</v>
      </c>
      <c r="BC36" s="449" t="s">
        <v>544</v>
      </c>
      <c r="BD36" s="449" t="s">
        <v>544</v>
      </c>
      <c r="BE36" s="449" t="s">
        <v>544</v>
      </c>
      <c r="BF36" s="450" t="s">
        <v>545</v>
      </c>
      <c r="BG36" s="449" t="s">
        <v>544</v>
      </c>
      <c r="BH36" s="449" t="s">
        <v>544</v>
      </c>
      <c r="BI36" s="448" t="s">
        <v>544</v>
      </c>
      <c r="BJ36" s="448" t="s">
        <v>544</v>
      </c>
      <c r="BK36" s="449" t="s">
        <v>544</v>
      </c>
      <c r="BL36" s="448" t="s">
        <v>549</v>
      </c>
      <c r="BM36" s="448" t="s">
        <v>544</v>
      </c>
      <c r="BN36" s="448" t="s">
        <v>544</v>
      </c>
      <c r="BO36" s="448" t="s">
        <v>544</v>
      </c>
      <c r="BP36" s="448" t="s">
        <v>549</v>
      </c>
      <c r="BQ36" s="448" t="s">
        <v>549</v>
      </c>
      <c r="BR36" s="448" t="s">
        <v>549</v>
      </c>
      <c r="BS36" s="449" t="s">
        <v>544</v>
      </c>
      <c r="BT36" s="449" t="s">
        <v>544</v>
      </c>
      <c r="BU36" s="448" t="s">
        <v>544</v>
      </c>
      <c r="BV36" s="456" t="s">
        <v>548</v>
      </c>
      <c r="BW36" s="456"/>
      <c r="BX36" s="456"/>
      <c r="BY36" s="456" t="s">
        <v>548</v>
      </c>
      <c r="BZ36" s="456" t="s">
        <v>548</v>
      </c>
    </row>
    <row r="37" spans="1:78" ht="15.75" thickBot="1">
      <c r="A37" s="561" t="s">
        <v>627</v>
      </c>
      <c r="B37" s="430" t="s">
        <v>628</v>
      </c>
      <c r="C37" s="427" t="s">
        <v>629</v>
      </c>
      <c r="D37" s="449" t="s">
        <v>544</v>
      </c>
      <c r="E37" s="449" t="s">
        <v>544</v>
      </c>
      <c r="F37" s="449" t="s">
        <v>544</v>
      </c>
      <c r="G37" s="449" t="s">
        <v>544</v>
      </c>
      <c r="H37" s="449" t="s">
        <v>544</v>
      </c>
      <c r="I37" s="453" t="s">
        <v>549</v>
      </c>
      <c r="J37" s="453" t="s">
        <v>549</v>
      </c>
      <c r="K37" s="449" t="s">
        <v>544</v>
      </c>
      <c r="L37" s="449" t="s">
        <v>544</v>
      </c>
      <c r="M37" s="449" t="s">
        <v>544</v>
      </c>
      <c r="N37" s="453" t="s">
        <v>549</v>
      </c>
      <c r="O37" s="449" t="s">
        <v>544</v>
      </c>
      <c r="P37" s="449" t="s">
        <v>544</v>
      </c>
      <c r="Q37" s="453" t="s">
        <v>549</v>
      </c>
      <c r="R37" s="449" t="s">
        <v>544</v>
      </c>
      <c r="S37" s="453" t="s">
        <v>549</v>
      </c>
      <c r="T37" s="449" t="s">
        <v>544</v>
      </c>
      <c r="U37" s="449" t="s">
        <v>544</v>
      </c>
      <c r="V37" s="449" t="s">
        <v>544</v>
      </c>
      <c r="W37" s="449" t="s">
        <v>544</v>
      </c>
      <c r="X37" s="449" t="s">
        <v>544</v>
      </c>
      <c r="Y37" s="449" t="s">
        <v>544</v>
      </c>
      <c r="Z37" s="449" t="s">
        <v>544</v>
      </c>
      <c r="AA37" s="449" t="s">
        <v>544</v>
      </c>
      <c r="AB37" s="449" t="s">
        <v>544</v>
      </c>
      <c r="AC37" s="449" t="s">
        <v>544</v>
      </c>
      <c r="AD37" s="449" t="s">
        <v>544</v>
      </c>
      <c r="AE37" s="449" t="s">
        <v>544</v>
      </c>
      <c r="AF37" s="449" t="s">
        <v>544</v>
      </c>
      <c r="AG37" s="449" t="s">
        <v>544</v>
      </c>
      <c r="AH37" s="449" t="s">
        <v>544</v>
      </c>
      <c r="AI37" s="449" t="s">
        <v>544</v>
      </c>
      <c r="AJ37" s="450" t="s">
        <v>545</v>
      </c>
      <c r="AK37" s="449" t="s">
        <v>544</v>
      </c>
      <c r="AL37" s="449" t="s">
        <v>544</v>
      </c>
      <c r="AM37" s="449" t="s">
        <v>544</v>
      </c>
      <c r="AN37" s="449" t="s">
        <v>544</v>
      </c>
      <c r="AO37" s="449" t="s">
        <v>544</v>
      </c>
      <c r="AP37" s="449" t="s">
        <v>544</v>
      </c>
      <c r="AQ37" s="449" t="s">
        <v>544</v>
      </c>
      <c r="AR37" s="449" t="s">
        <v>544</v>
      </c>
      <c r="AS37" s="449" t="s">
        <v>544</v>
      </c>
      <c r="AT37" s="449" t="s">
        <v>544</v>
      </c>
      <c r="AU37" s="449" t="s">
        <v>544</v>
      </c>
      <c r="AV37" s="449" t="s">
        <v>544</v>
      </c>
      <c r="AW37" s="449" t="s">
        <v>544</v>
      </c>
      <c r="AX37" s="449" t="s">
        <v>544</v>
      </c>
      <c r="AY37" s="449" t="s">
        <v>544</v>
      </c>
      <c r="AZ37" s="449" t="s">
        <v>544</v>
      </c>
      <c r="BA37" s="449" t="s">
        <v>544</v>
      </c>
      <c r="BB37" s="449" t="s">
        <v>544</v>
      </c>
      <c r="BC37" s="449" t="s">
        <v>544</v>
      </c>
      <c r="BD37" s="449" t="s">
        <v>544</v>
      </c>
      <c r="BE37" s="449" t="s">
        <v>544</v>
      </c>
      <c r="BF37" s="449" t="s">
        <v>544</v>
      </c>
      <c r="BG37" s="449" t="s">
        <v>544</v>
      </c>
      <c r="BH37" s="449" t="s">
        <v>544</v>
      </c>
      <c r="BI37" s="448" t="s">
        <v>544</v>
      </c>
      <c r="BJ37" s="448" t="s">
        <v>544</v>
      </c>
      <c r="BK37" s="449" t="s">
        <v>544</v>
      </c>
      <c r="BL37" s="448" t="s">
        <v>549</v>
      </c>
      <c r="BM37" s="448" t="s">
        <v>544</v>
      </c>
      <c r="BN37" s="448" t="s">
        <v>544</v>
      </c>
      <c r="BO37" s="448" t="s">
        <v>544</v>
      </c>
      <c r="BP37" s="448" t="s">
        <v>549</v>
      </c>
      <c r="BQ37" s="448" t="s">
        <v>549</v>
      </c>
      <c r="BR37" s="448" t="s">
        <v>549</v>
      </c>
      <c r="BS37" s="449" t="s">
        <v>544</v>
      </c>
      <c r="BT37" s="449" t="s">
        <v>544</v>
      </c>
      <c r="BU37" s="448" t="s">
        <v>544</v>
      </c>
      <c r="BV37" s="456" t="s">
        <v>548</v>
      </c>
      <c r="BW37" s="456"/>
      <c r="BX37" s="456"/>
      <c r="BY37" s="456" t="s">
        <v>548</v>
      </c>
      <c r="BZ37" s="456" t="s">
        <v>548</v>
      </c>
    </row>
    <row r="38" spans="1:78" ht="15.75" thickBot="1">
      <c r="A38" s="561"/>
      <c r="B38" s="430" t="s">
        <v>630</v>
      </c>
      <c r="C38" s="427" t="s">
        <v>631</v>
      </c>
      <c r="D38" s="449" t="s">
        <v>544</v>
      </c>
      <c r="E38" s="449" t="s">
        <v>544</v>
      </c>
      <c r="F38" s="449" t="s">
        <v>544</v>
      </c>
      <c r="G38" s="449" t="s">
        <v>544</v>
      </c>
      <c r="H38" s="449" t="s">
        <v>544</v>
      </c>
      <c r="I38" s="453" t="s">
        <v>549</v>
      </c>
      <c r="J38" s="453" t="s">
        <v>549</v>
      </c>
      <c r="K38" s="449" t="s">
        <v>544</v>
      </c>
      <c r="L38" s="449" t="s">
        <v>544</v>
      </c>
      <c r="M38" s="449" t="s">
        <v>544</v>
      </c>
      <c r="N38" s="453" t="s">
        <v>549</v>
      </c>
      <c r="O38" s="449" t="s">
        <v>544</v>
      </c>
      <c r="P38" s="449" t="s">
        <v>544</v>
      </c>
      <c r="Q38" s="453" t="s">
        <v>549</v>
      </c>
      <c r="R38" s="449" t="s">
        <v>544</v>
      </c>
      <c r="S38" s="453" t="s">
        <v>549</v>
      </c>
      <c r="T38" s="449" t="s">
        <v>544</v>
      </c>
      <c r="U38" s="449" t="s">
        <v>544</v>
      </c>
      <c r="V38" s="449" t="s">
        <v>544</v>
      </c>
      <c r="W38" s="449" t="s">
        <v>544</v>
      </c>
      <c r="X38" s="449" t="s">
        <v>544</v>
      </c>
      <c r="Y38" s="449" t="s">
        <v>544</v>
      </c>
      <c r="Z38" s="449" t="s">
        <v>544</v>
      </c>
      <c r="AA38" s="449" t="s">
        <v>544</v>
      </c>
      <c r="AB38" s="449" t="s">
        <v>544</v>
      </c>
      <c r="AC38" s="449" t="s">
        <v>544</v>
      </c>
      <c r="AD38" s="449" t="s">
        <v>544</v>
      </c>
      <c r="AE38" s="449" t="s">
        <v>544</v>
      </c>
      <c r="AF38" s="449" t="s">
        <v>544</v>
      </c>
      <c r="AG38" s="450" t="s">
        <v>545</v>
      </c>
      <c r="AH38" s="449" t="s">
        <v>544</v>
      </c>
      <c r="AI38" s="449" t="s">
        <v>544</v>
      </c>
      <c r="AJ38" s="449" t="s">
        <v>544</v>
      </c>
      <c r="AK38" s="449" t="s">
        <v>544</v>
      </c>
      <c r="AL38" s="449" t="s">
        <v>544</v>
      </c>
      <c r="AM38" s="449" t="s">
        <v>544</v>
      </c>
      <c r="AN38" s="449" t="s">
        <v>544</v>
      </c>
      <c r="AO38" s="450" t="s">
        <v>545</v>
      </c>
      <c r="AP38" s="449" t="s">
        <v>544</v>
      </c>
      <c r="AQ38" s="449" t="s">
        <v>544</v>
      </c>
      <c r="AR38" s="449" t="s">
        <v>544</v>
      </c>
      <c r="AS38" s="449" t="s">
        <v>544</v>
      </c>
      <c r="AT38" s="449" t="s">
        <v>544</v>
      </c>
      <c r="AU38" s="449" t="s">
        <v>544</v>
      </c>
      <c r="AV38" s="449" t="s">
        <v>544</v>
      </c>
      <c r="AW38" s="449" t="s">
        <v>544</v>
      </c>
      <c r="AX38" s="449" t="s">
        <v>544</v>
      </c>
      <c r="AY38" s="449" t="s">
        <v>544</v>
      </c>
      <c r="AZ38" s="449" t="s">
        <v>544</v>
      </c>
      <c r="BA38" s="449" t="s">
        <v>544</v>
      </c>
      <c r="BB38" s="449" t="s">
        <v>544</v>
      </c>
      <c r="BC38" s="449" t="s">
        <v>544</v>
      </c>
      <c r="BD38" s="449" t="s">
        <v>544</v>
      </c>
      <c r="BE38" s="449" t="s">
        <v>544</v>
      </c>
      <c r="BF38" s="449" t="s">
        <v>544</v>
      </c>
      <c r="BG38" s="449" t="s">
        <v>544</v>
      </c>
      <c r="BH38" s="449" t="s">
        <v>544</v>
      </c>
      <c r="BI38" s="448" t="s">
        <v>544</v>
      </c>
      <c r="BJ38" s="448" t="s">
        <v>544</v>
      </c>
      <c r="BK38" s="449" t="s">
        <v>544</v>
      </c>
      <c r="BL38" s="448" t="s">
        <v>549</v>
      </c>
      <c r="BM38" s="448" t="s">
        <v>544</v>
      </c>
      <c r="BN38" s="448" t="s">
        <v>544</v>
      </c>
      <c r="BO38" s="448" t="s">
        <v>544</v>
      </c>
      <c r="BP38" s="448" t="s">
        <v>549</v>
      </c>
      <c r="BQ38" s="448" t="s">
        <v>549</v>
      </c>
      <c r="BR38" s="448" t="s">
        <v>549</v>
      </c>
      <c r="BS38" s="449" t="s">
        <v>544</v>
      </c>
      <c r="BT38" s="449" t="s">
        <v>544</v>
      </c>
      <c r="BU38" s="448" t="s">
        <v>544</v>
      </c>
      <c r="BV38" s="449" t="s">
        <v>544</v>
      </c>
      <c r="BW38" s="449"/>
      <c r="BX38" s="449"/>
      <c r="BY38" s="449" t="s">
        <v>544</v>
      </c>
      <c r="BZ38" s="449" t="s">
        <v>544</v>
      </c>
    </row>
    <row r="39" spans="1:78" ht="15.75" thickBot="1">
      <c r="A39" s="561"/>
      <c r="B39" s="430" t="s">
        <v>632</v>
      </c>
      <c r="C39" s="427" t="s">
        <v>633</v>
      </c>
      <c r="D39" s="449" t="s">
        <v>544</v>
      </c>
      <c r="E39" s="449" t="s">
        <v>544</v>
      </c>
      <c r="F39" s="449" t="s">
        <v>544</v>
      </c>
      <c r="G39" s="449" t="s">
        <v>544</v>
      </c>
      <c r="H39" s="449" t="s">
        <v>544</v>
      </c>
      <c r="I39" s="453" t="s">
        <v>549</v>
      </c>
      <c r="J39" s="453" t="s">
        <v>549</v>
      </c>
      <c r="K39" s="449" t="s">
        <v>544</v>
      </c>
      <c r="L39" s="449" t="s">
        <v>544</v>
      </c>
      <c r="M39" s="449" t="s">
        <v>544</v>
      </c>
      <c r="N39" s="453" t="s">
        <v>549</v>
      </c>
      <c r="O39" s="449" t="s">
        <v>544</v>
      </c>
      <c r="P39" s="449" t="s">
        <v>544</v>
      </c>
      <c r="Q39" s="453" t="s">
        <v>549</v>
      </c>
      <c r="R39" s="449" t="s">
        <v>544</v>
      </c>
      <c r="S39" s="453" t="s">
        <v>549</v>
      </c>
      <c r="T39" s="449" t="s">
        <v>544</v>
      </c>
      <c r="U39" s="449" t="s">
        <v>544</v>
      </c>
      <c r="V39" s="449" t="s">
        <v>544</v>
      </c>
      <c r="W39" s="449" t="s">
        <v>544</v>
      </c>
      <c r="X39" s="456" t="s">
        <v>548</v>
      </c>
      <c r="Y39" s="449" t="s">
        <v>544</v>
      </c>
      <c r="Z39" s="449" t="s">
        <v>544</v>
      </c>
      <c r="AA39" s="449" t="s">
        <v>544</v>
      </c>
      <c r="AB39" s="449" t="s">
        <v>544</v>
      </c>
      <c r="AC39" s="449" t="s">
        <v>544</v>
      </c>
      <c r="AD39" s="449" t="s">
        <v>544</v>
      </c>
      <c r="AE39" s="449" t="s">
        <v>544</v>
      </c>
      <c r="AF39" s="449" t="s">
        <v>544</v>
      </c>
      <c r="AG39" s="450" t="s">
        <v>545</v>
      </c>
      <c r="AH39" s="449" t="s">
        <v>544</v>
      </c>
      <c r="AI39" s="449" t="s">
        <v>544</v>
      </c>
      <c r="AJ39" s="449" t="s">
        <v>544</v>
      </c>
      <c r="AK39" s="449" t="s">
        <v>544</v>
      </c>
      <c r="AL39" s="449" t="s">
        <v>544</v>
      </c>
      <c r="AM39" s="449" t="s">
        <v>544</v>
      </c>
      <c r="AN39" s="449" t="s">
        <v>544</v>
      </c>
      <c r="AO39" s="450" t="s">
        <v>545</v>
      </c>
      <c r="AP39" s="450" t="s">
        <v>545</v>
      </c>
      <c r="AQ39" s="449" t="s">
        <v>544</v>
      </c>
      <c r="AR39" s="449" t="s">
        <v>544</v>
      </c>
      <c r="AS39" s="449" t="s">
        <v>544</v>
      </c>
      <c r="AT39" s="449" t="s">
        <v>544</v>
      </c>
      <c r="AU39" s="449" t="s">
        <v>544</v>
      </c>
      <c r="AV39" s="449" t="s">
        <v>544</v>
      </c>
      <c r="AW39" s="449" t="s">
        <v>544</v>
      </c>
      <c r="AX39" s="449" t="s">
        <v>544</v>
      </c>
      <c r="AY39" s="449" t="s">
        <v>544</v>
      </c>
      <c r="AZ39" s="449" t="s">
        <v>544</v>
      </c>
      <c r="BA39" s="449" t="s">
        <v>544</v>
      </c>
      <c r="BB39" s="449" t="s">
        <v>544</v>
      </c>
      <c r="BC39" s="449" t="s">
        <v>544</v>
      </c>
      <c r="BD39" s="449" t="s">
        <v>544</v>
      </c>
      <c r="BE39" s="449" t="s">
        <v>544</v>
      </c>
      <c r="BF39" s="449" t="s">
        <v>544</v>
      </c>
      <c r="BG39" s="449" t="s">
        <v>544</v>
      </c>
      <c r="BH39" s="449" t="s">
        <v>544</v>
      </c>
      <c r="BI39" s="448" t="s">
        <v>544</v>
      </c>
      <c r="BJ39" s="448" t="s">
        <v>544</v>
      </c>
      <c r="BK39" s="449" t="s">
        <v>544</v>
      </c>
      <c r="BL39" s="448" t="s">
        <v>549</v>
      </c>
      <c r="BM39" s="448" t="s">
        <v>544</v>
      </c>
      <c r="BN39" s="448" t="s">
        <v>544</v>
      </c>
      <c r="BO39" s="448" t="s">
        <v>544</v>
      </c>
      <c r="BP39" s="448" t="s">
        <v>549</v>
      </c>
      <c r="BQ39" s="448" t="s">
        <v>549</v>
      </c>
      <c r="BR39" s="448" t="s">
        <v>549</v>
      </c>
      <c r="BS39" s="449" t="s">
        <v>544</v>
      </c>
      <c r="BT39" s="456" t="s">
        <v>548</v>
      </c>
      <c r="BU39" s="448" t="s">
        <v>544</v>
      </c>
      <c r="BV39" s="456" t="s">
        <v>548</v>
      </c>
      <c r="BW39" s="456"/>
      <c r="BX39" s="456"/>
      <c r="BY39" s="456" t="s">
        <v>548</v>
      </c>
      <c r="BZ39" s="456" t="s">
        <v>548</v>
      </c>
    </row>
    <row r="40" spans="1:78" ht="15.75" thickBot="1">
      <c r="A40" s="426" t="s">
        <v>460</v>
      </c>
      <c r="B40" s="430" t="s">
        <v>634</v>
      </c>
      <c r="C40" s="427" t="s">
        <v>635</v>
      </c>
      <c r="D40" s="449" t="s">
        <v>544</v>
      </c>
      <c r="E40" s="449" t="s">
        <v>544</v>
      </c>
      <c r="F40" s="449" t="s">
        <v>544</v>
      </c>
      <c r="G40" s="449" t="s">
        <v>544</v>
      </c>
      <c r="H40" s="449" t="s">
        <v>544</v>
      </c>
      <c r="I40" s="453" t="s">
        <v>549</v>
      </c>
      <c r="J40" s="453" t="s">
        <v>549</v>
      </c>
      <c r="K40" s="449" t="s">
        <v>544</v>
      </c>
      <c r="L40" s="449" t="s">
        <v>544</v>
      </c>
      <c r="M40" s="449" t="s">
        <v>544</v>
      </c>
      <c r="N40" s="453" t="s">
        <v>549</v>
      </c>
      <c r="O40" s="449" t="s">
        <v>544</v>
      </c>
      <c r="P40" s="449" t="s">
        <v>544</v>
      </c>
      <c r="Q40" s="453" t="s">
        <v>549</v>
      </c>
      <c r="R40" s="449" t="s">
        <v>544</v>
      </c>
      <c r="S40" s="453" t="s">
        <v>549</v>
      </c>
      <c r="T40" s="449" t="s">
        <v>544</v>
      </c>
      <c r="U40" s="449" t="s">
        <v>544</v>
      </c>
      <c r="V40" s="449" t="s">
        <v>544</v>
      </c>
      <c r="W40" s="449" t="s">
        <v>544</v>
      </c>
      <c r="X40" s="449" t="s">
        <v>544</v>
      </c>
      <c r="Y40" s="449" t="s">
        <v>544</v>
      </c>
      <c r="Z40" s="449" t="s">
        <v>544</v>
      </c>
      <c r="AA40" s="449" t="s">
        <v>544</v>
      </c>
      <c r="AB40" s="449" t="s">
        <v>544</v>
      </c>
      <c r="AC40" s="449" t="s">
        <v>544</v>
      </c>
      <c r="AD40" s="449" t="s">
        <v>544</v>
      </c>
      <c r="AE40" s="449" t="s">
        <v>544</v>
      </c>
      <c r="AF40" s="449" t="s">
        <v>544</v>
      </c>
      <c r="AG40" s="449" t="s">
        <v>544</v>
      </c>
      <c r="AH40" s="449" t="s">
        <v>544</v>
      </c>
      <c r="AI40" s="449" t="s">
        <v>544</v>
      </c>
      <c r="AJ40" s="449" t="s">
        <v>544</v>
      </c>
      <c r="AK40" s="449" t="s">
        <v>544</v>
      </c>
      <c r="AL40" s="449" t="s">
        <v>544</v>
      </c>
      <c r="AM40" s="449" t="s">
        <v>544</v>
      </c>
      <c r="AN40" s="449" t="s">
        <v>544</v>
      </c>
      <c r="AO40" s="449" t="s">
        <v>544</v>
      </c>
      <c r="AP40" s="449" t="s">
        <v>544</v>
      </c>
      <c r="AQ40" s="449" t="s">
        <v>544</v>
      </c>
      <c r="AR40" s="449" t="s">
        <v>544</v>
      </c>
      <c r="AS40" s="449" t="s">
        <v>544</v>
      </c>
      <c r="AT40" s="449" t="s">
        <v>544</v>
      </c>
      <c r="AU40" s="449" t="s">
        <v>544</v>
      </c>
      <c r="AV40" s="449" t="s">
        <v>544</v>
      </c>
      <c r="AW40" s="449" t="s">
        <v>544</v>
      </c>
      <c r="AX40" s="449" t="s">
        <v>544</v>
      </c>
      <c r="AY40" s="449" t="s">
        <v>544</v>
      </c>
      <c r="AZ40" s="449" t="s">
        <v>544</v>
      </c>
      <c r="BA40" s="449" t="s">
        <v>544</v>
      </c>
      <c r="BB40" s="449" t="s">
        <v>544</v>
      </c>
      <c r="BC40" s="449" t="s">
        <v>544</v>
      </c>
      <c r="BD40" s="449" t="s">
        <v>544</v>
      </c>
      <c r="BE40" s="449" t="s">
        <v>544</v>
      </c>
      <c r="BF40" s="449" t="s">
        <v>544</v>
      </c>
      <c r="BG40" s="449" t="s">
        <v>544</v>
      </c>
      <c r="BH40" s="449" t="s">
        <v>544</v>
      </c>
      <c r="BI40" s="448" t="s">
        <v>544</v>
      </c>
      <c r="BJ40" s="448" t="s">
        <v>544</v>
      </c>
      <c r="BK40" s="449" t="s">
        <v>544</v>
      </c>
      <c r="BL40" s="448" t="s">
        <v>549</v>
      </c>
      <c r="BM40" s="448" t="s">
        <v>544</v>
      </c>
      <c r="BN40" s="448" t="s">
        <v>544</v>
      </c>
      <c r="BO40" s="448" t="s">
        <v>544</v>
      </c>
      <c r="BP40" s="448" t="s">
        <v>549</v>
      </c>
      <c r="BQ40" s="448" t="s">
        <v>549</v>
      </c>
      <c r="BR40" s="448" t="s">
        <v>549</v>
      </c>
      <c r="BS40" s="449" t="s">
        <v>544</v>
      </c>
      <c r="BT40" s="449" t="s">
        <v>544</v>
      </c>
      <c r="BU40" s="448" t="s">
        <v>544</v>
      </c>
      <c r="BV40" s="449" t="s">
        <v>544</v>
      </c>
      <c r="BW40" s="449"/>
      <c r="BX40" s="449"/>
      <c r="BY40" s="449" t="s">
        <v>544</v>
      </c>
      <c r="BZ40" s="449" t="s">
        <v>544</v>
      </c>
    </row>
    <row r="41" spans="1:78" ht="15.75" thickBot="1">
      <c r="A41" s="426" t="s">
        <v>636</v>
      </c>
      <c r="B41" s="430" t="s">
        <v>637</v>
      </c>
      <c r="C41" s="427" t="s">
        <v>638</v>
      </c>
      <c r="D41" s="449" t="s">
        <v>544</v>
      </c>
      <c r="E41" s="449" t="s">
        <v>544</v>
      </c>
      <c r="F41" s="449" t="s">
        <v>544</v>
      </c>
      <c r="G41" s="449" t="s">
        <v>544</v>
      </c>
      <c r="H41" s="449" t="s">
        <v>544</v>
      </c>
      <c r="I41" s="453" t="s">
        <v>549</v>
      </c>
      <c r="J41" s="453" t="s">
        <v>549</v>
      </c>
      <c r="K41" s="449" t="s">
        <v>544</v>
      </c>
      <c r="L41" s="449" t="s">
        <v>544</v>
      </c>
      <c r="M41" s="449" t="s">
        <v>544</v>
      </c>
      <c r="N41" s="453" t="s">
        <v>549</v>
      </c>
      <c r="O41" s="449" t="s">
        <v>544</v>
      </c>
      <c r="P41" s="450" t="s">
        <v>545</v>
      </c>
      <c r="Q41" s="453" t="s">
        <v>549</v>
      </c>
      <c r="R41" s="449" t="s">
        <v>544</v>
      </c>
      <c r="S41" s="453" t="s">
        <v>549</v>
      </c>
      <c r="T41" s="449" t="s">
        <v>544</v>
      </c>
      <c r="U41" s="449" t="s">
        <v>544</v>
      </c>
      <c r="V41" s="449" t="s">
        <v>544</v>
      </c>
      <c r="W41" s="449" t="s">
        <v>544</v>
      </c>
      <c r="X41" s="449" t="s">
        <v>544</v>
      </c>
      <c r="Y41" s="449" t="s">
        <v>544</v>
      </c>
      <c r="Z41" s="449" t="s">
        <v>544</v>
      </c>
      <c r="AA41" s="449" t="s">
        <v>544</v>
      </c>
      <c r="AB41" s="449" t="s">
        <v>544</v>
      </c>
      <c r="AC41" s="449" t="s">
        <v>544</v>
      </c>
      <c r="AD41" s="449" t="s">
        <v>544</v>
      </c>
      <c r="AE41" s="449" t="s">
        <v>544</v>
      </c>
      <c r="AF41" s="449" t="s">
        <v>544</v>
      </c>
      <c r="AG41" s="449" t="s">
        <v>544</v>
      </c>
      <c r="AH41" s="449" t="s">
        <v>544</v>
      </c>
      <c r="AI41" s="449" t="s">
        <v>544</v>
      </c>
      <c r="AJ41" s="449" t="s">
        <v>544</v>
      </c>
      <c r="AK41" s="449" t="s">
        <v>544</v>
      </c>
      <c r="AL41" s="449" t="s">
        <v>544</v>
      </c>
      <c r="AM41" s="449" t="s">
        <v>544</v>
      </c>
      <c r="AN41" s="449" t="s">
        <v>544</v>
      </c>
      <c r="AO41" s="449" t="s">
        <v>544</v>
      </c>
      <c r="AP41" s="449" t="s">
        <v>544</v>
      </c>
      <c r="AQ41" s="449" t="s">
        <v>544</v>
      </c>
      <c r="AR41" s="449" t="s">
        <v>544</v>
      </c>
      <c r="AS41" s="449" t="s">
        <v>544</v>
      </c>
      <c r="AT41" s="449" t="s">
        <v>544</v>
      </c>
      <c r="AU41" s="449" t="s">
        <v>544</v>
      </c>
      <c r="AV41" s="450" t="s">
        <v>545</v>
      </c>
      <c r="AW41" s="449" t="s">
        <v>544</v>
      </c>
      <c r="AX41" s="449" t="s">
        <v>544</v>
      </c>
      <c r="AY41" s="449" t="s">
        <v>544</v>
      </c>
      <c r="AZ41" s="450" t="s">
        <v>545</v>
      </c>
      <c r="BA41" s="449" t="s">
        <v>544</v>
      </c>
      <c r="BB41" s="449" t="s">
        <v>544</v>
      </c>
      <c r="BC41" s="449" t="s">
        <v>544</v>
      </c>
      <c r="BD41" s="449" t="s">
        <v>544</v>
      </c>
      <c r="BE41" s="449" t="s">
        <v>544</v>
      </c>
      <c r="BF41" s="449" t="s">
        <v>544</v>
      </c>
      <c r="BG41" s="450" t="s">
        <v>545</v>
      </c>
      <c r="BH41" s="449" t="s">
        <v>544</v>
      </c>
      <c r="BI41" s="448" t="s">
        <v>544</v>
      </c>
      <c r="BJ41" s="448" t="s">
        <v>544</v>
      </c>
      <c r="BK41" s="449" t="s">
        <v>544</v>
      </c>
      <c r="BL41" s="448" t="s">
        <v>549</v>
      </c>
      <c r="BM41" s="448" t="s">
        <v>544</v>
      </c>
      <c r="BN41" s="448" t="s">
        <v>544</v>
      </c>
      <c r="BO41" s="448" t="s">
        <v>544</v>
      </c>
      <c r="BP41" s="448" t="s">
        <v>549</v>
      </c>
      <c r="BQ41" s="448" t="s">
        <v>549</v>
      </c>
      <c r="BR41" s="448" t="s">
        <v>549</v>
      </c>
      <c r="BS41" s="449" t="s">
        <v>544</v>
      </c>
      <c r="BT41" s="449" t="s">
        <v>544</v>
      </c>
      <c r="BU41" s="448" t="s">
        <v>544</v>
      </c>
      <c r="BV41" s="449" t="s">
        <v>544</v>
      </c>
      <c r="BW41" s="449"/>
      <c r="BX41" s="449"/>
      <c r="BY41" s="449" t="s">
        <v>544</v>
      </c>
      <c r="BZ41" s="449" t="s">
        <v>544</v>
      </c>
    </row>
    <row r="42" spans="1:78" ht="15.75" thickBot="1">
      <c r="A42" s="561" t="s">
        <v>458</v>
      </c>
      <c r="B42" s="430" t="s">
        <v>639</v>
      </c>
      <c r="C42" s="427" t="s">
        <v>640</v>
      </c>
      <c r="D42" s="449" t="s">
        <v>544</v>
      </c>
      <c r="E42" s="449" t="s">
        <v>544</v>
      </c>
      <c r="F42" s="449" t="s">
        <v>544</v>
      </c>
      <c r="G42" s="449" t="s">
        <v>544</v>
      </c>
      <c r="H42" s="449" t="s">
        <v>544</v>
      </c>
      <c r="I42" s="453" t="s">
        <v>549</v>
      </c>
      <c r="J42" s="453" t="s">
        <v>549</v>
      </c>
      <c r="K42" s="449" t="s">
        <v>544</v>
      </c>
      <c r="L42" s="449" t="s">
        <v>544</v>
      </c>
      <c r="M42" s="449" t="s">
        <v>544</v>
      </c>
      <c r="N42" s="453" t="s">
        <v>549</v>
      </c>
      <c r="O42" s="449" t="s">
        <v>544</v>
      </c>
      <c r="P42" s="450" t="s">
        <v>545</v>
      </c>
      <c r="Q42" s="453" t="s">
        <v>549</v>
      </c>
      <c r="R42" s="449" t="s">
        <v>544</v>
      </c>
      <c r="S42" s="453" t="s">
        <v>549</v>
      </c>
      <c r="T42" s="449" t="s">
        <v>544</v>
      </c>
      <c r="U42" s="449" t="s">
        <v>544</v>
      </c>
      <c r="V42" s="449" t="s">
        <v>544</v>
      </c>
      <c r="W42" s="449" t="s">
        <v>544</v>
      </c>
      <c r="X42" s="449" t="s">
        <v>544</v>
      </c>
      <c r="Y42" s="450" t="s">
        <v>545</v>
      </c>
      <c r="Z42" s="449" t="s">
        <v>544</v>
      </c>
      <c r="AA42" s="449" t="s">
        <v>544</v>
      </c>
      <c r="AB42" s="449" t="s">
        <v>544</v>
      </c>
      <c r="AC42" s="449" t="s">
        <v>544</v>
      </c>
      <c r="AD42" s="449" t="s">
        <v>544</v>
      </c>
      <c r="AE42" s="449" t="s">
        <v>544</v>
      </c>
      <c r="AF42" s="449" t="s">
        <v>544</v>
      </c>
      <c r="AG42" s="449" t="s">
        <v>544</v>
      </c>
      <c r="AH42" s="449" t="s">
        <v>544</v>
      </c>
      <c r="AI42" s="449" t="s">
        <v>544</v>
      </c>
      <c r="AJ42" s="449" t="s">
        <v>544</v>
      </c>
      <c r="AK42" s="449" t="s">
        <v>544</v>
      </c>
      <c r="AL42" s="449" t="s">
        <v>544</v>
      </c>
      <c r="AM42" s="449" t="s">
        <v>544</v>
      </c>
      <c r="AN42" s="449" t="s">
        <v>544</v>
      </c>
      <c r="AO42" s="449" t="s">
        <v>544</v>
      </c>
      <c r="AP42" s="449" t="s">
        <v>544</v>
      </c>
      <c r="AQ42" s="449" t="s">
        <v>544</v>
      </c>
      <c r="AR42" s="449" t="s">
        <v>544</v>
      </c>
      <c r="AS42" s="449" t="s">
        <v>544</v>
      </c>
      <c r="AT42" s="450" t="s">
        <v>545</v>
      </c>
      <c r="AU42" s="449" t="s">
        <v>544</v>
      </c>
      <c r="AV42" s="450" t="s">
        <v>545</v>
      </c>
      <c r="AW42" s="449" t="s">
        <v>544</v>
      </c>
      <c r="AX42" s="449" t="s">
        <v>544</v>
      </c>
      <c r="AY42" s="449" t="s">
        <v>544</v>
      </c>
      <c r="AZ42" s="450" t="s">
        <v>545</v>
      </c>
      <c r="BA42" s="449" t="s">
        <v>544</v>
      </c>
      <c r="BB42" s="449" t="s">
        <v>544</v>
      </c>
      <c r="BC42" s="449" t="s">
        <v>544</v>
      </c>
      <c r="BD42" s="449" t="s">
        <v>544</v>
      </c>
      <c r="BE42" s="449" t="s">
        <v>544</v>
      </c>
      <c r="BF42" s="450" t="s">
        <v>545</v>
      </c>
      <c r="BG42" s="450" t="s">
        <v>545</v>
      </c>
      <c r="BH42" s="449" t="s">
        <v>544</v>
      </c>
      <c r="BI42" s="448" t="s">
        <v>544</v>
      </c>
      <c r="BJ42" s="448" t="s">
        <v>544</v>
      </c>
      <c r="BK42" s="449" t="s">
        <v>544</v>
      </c>
      <c r="BL42" s="448" t="s">
        <v>549</v>
      </c>
      <c r="BM42" s="448" t="s">
        <v>544</v>
      </c>
      <c r="BN42" s="448" t="s">
        <v>544</v>
      </c>
      <c r="BO42" s="448" t="s">
        <v>544</v>
      </c>
      <c r="BP42" s="448" t="s">
        <v>549</v>
      </c>
      <c r="BQ42" s="448" t="s">
        <v>549</v>
      </c>
      <c r="BR42" s="448" t="s">
        <v>549</v>
      </c>
      <c r="BS42" s="449" t="s">
        <v>544</v>
      </c>
      <c r="BT42" s="449" t="s">
        <v>544</v>
      </c>
      <c r="BU42" s="448" t="s">
        <v>544</v>
      </c>
      <c r="BV42" s="449" t="s">
        <v>544</v>
      </c>
      <c r="BW42" s="449"/>
      <c r="BX42" s="449"/>
      <c r="BY42" s="449" t="s">
        <v>544</v>
      </c>
      <c r="BZ42" s="449" t="s">
        <v>544</v>
      </c>
    </row>
    <row r="43" spans="1:78" ht="15.75" thickBot="1">
      <c r="A43" s="561"/>
      <c r="B43" s="430" t="s">
        <v>641</v>
      </c>
      <c r="C43" s="427" t="s">
        <v>642</v>
      </c>
      <c r="D43" s="449" t="s">
        <v>544</v>
      </c>
      <c r="E43" s="449" t="s">
        <v>544</v>
      </c>
      <c r="F43" s="449" t="s">
        <v>544</v>
      </c>
      <c r="G43" s="449" t="s">
        <v>544</v>
      </c>
      <c r="H43" s="449" t="s">
        <v>544</v>
      </c>
      <c r="I43" s="453" t="s">
        <v>549</v>
      </c>
      <c r="J43" s="453" t="s">
        <v>549</v>
      </c>
      <c r="K43" s="449" t="s">
        <v>544</v>
      </c>
      <c r="L43" s="449" t="s">
        <v>544</v>
      </c>
      <c r="M43" s="449" t="s">
        <v>544</v>
      </c>
      <c r="N43" s="453" t="s">
        <v>549</v>
      </c>
      <c r="O43" s="449" t="s">
        <v>544</v>
      </c>
      <c r="P43" s="449" t="s">
        <v>544</v>
      </c>
      <c r="Q43" s="453" t="s">
        <v>549</v>
      </c>
      <c r="R43" s="449" t="s">
        <v>544</v>
      </c>
      <c r="S43" s="453" t="s">
        <v>549</v>
      </c>
      <c r="T43" s="449" t="s">
        <v>544</v>
      </c>
      <c r="U43" s="449" t="s">
        <v>544</v>
      </c>
      <c r="V43" s="449" t="s">
        <v>544</v>
      </c>
      <c r="W43" s="449" t="s">
        <v>544</v>
      </c>
      <c r="X43" s="449" t="s">
        <v>544</v>
      </c>
      <c r="Y43" s="449" t="s">
        <v>544</v>
      </c>
      <c r="Z43" s="449" t="s">
        <v>544</v>
      </c>
      <c r="AA43" s="449" t="s">
        <v>544</v>
      </c>
      <c r="AB43" s="449" t="s">
        <v>544</v>
      </c>
      <c r="AC43" s="449" t="s">
        <v>544</v>
      </c>
      <c r="AD43" s="449" t="s">
        <v>544</v>
      </c>
      <c r="AE43" s="449" t="s">
        <v>544</v>
      </c>
      <c r="AF43" s="449" t="s">
        <v>544</v>
      </c>
      <c r="AG43" s="449" t="s">
        <v>544</v>
      </c>
      <c r="AH43" s="449" t="s">
        <v>544</v>
      </c>
      <c r="AI43" s="449" t="s">
        <v>544</v>
      </c>
      <c r="AJ43" s="449" t="s">
        <v>544</v>
      </c>
      <c r="AK43" s="449" t="s">
        <v>544</v>
      </c>
      <c r="AL43" s="449" t="s">
        <v>544</v>
      </c>
      <c r="AM43" s="449" t="s">
        <v>544</v>
      </c>
      <c r="AN43" s="449" t="s">
        <v>544</v>
      </c>
      <c r="AO43" s="449" t="s">
        <v>544</v>
      </c>
      <c r="AP43" s="449" t="s">
        <v>544</v>
      </c>
      <c r="AQ43" s="449" t="s">
        <v>544</v>
      </c>
      <c r="AR43" s="449" t="s">
        <v>544</v>
      </c>
      <c r="AS43" s="449" t="s">
        <v>544</v>
      </c>
      <c r="AT43" s="449" t="s">
        <v>544</v>
      </c>
      <c r="AU43" s="449" t="s">
        <v>544</v>
      </c>
      <c r="AV43" s="449" t="s">
        <v>544</v>
      </c>
      <c r="AW43" s="449" t="s">
        <v>544</v>
      </c>
      <c r="AX43" s="449" t="s">
        <v>544</v>
      </c>
      <c r="AY43" s="449" t="s">
        <v>544</v>
      </c>
      <c r="AZ43" s="449" t="s">
        <v>544</v>
      </c>
      <c r="BA43" s="449" t="s">
        <v>544</v>
      </c>
      <c r="BB43" s="449" t="s">
        <v>544</v>
      </c>
      <c r="BC43" s="449" t="s">
        <v>544</v>
      </c>
      <c r="BD43" s="449" t="s">
        <v>544</v>
      </c>
      <c r="BE43" s="449" t="s">
        <v>544</v>
      </c>
      <c r="BF43" s="449" t="s">
        <v>544</v>
      </c>
      <c r="BG43" s="449" t="s">
        <v>544</v>
      </c>
      <c r="BH43" s="449" t="s">
        <v>544</v>
      </c>
      <c r="BI43" s="448" t="s">
        <v>544</v>
      </c>
      <c r="BJ43" s="448" t="s">
        <v>544</v>
      </c>
      <c r="BK43" s="449" t="s">
        <v>544</v>
      </c>
      <c r="BL43" s="448" t="s">
        <v>549</v>
      </c>
      <c r="BM43" s="448" t="s">
        <v>544</v>
      </c>
      <c r="BN43" s="448" t="s">
        <v>544</v>
      </c>
      <c r="BO43" s="448" t="s">
        <v>544</v>
      </c>
      <c r="BP43" s="448" t="s">
        <v>549</v>
      </c>
      <c r="BQ43" s="448" t="s">
        <v>549</v>
      </c>
      <c r="BR43" s="448" t="s">
        <v>549</v>
      </c>
      <c r="BS43" s="449" t="s">
        <v>544</v>
      </c>
      <c r="BT43" s="449" t="s">
        <v>544</v>
      </c>
      <c r="BU43" s="448" t="s">
        <v>544</v>
      </c>
      <c r="BV43" s="449" t="s">
        <v>544</v>
      </c>
      <c r="BW43" s="449"/>
      <c r="BX43" s="449"/>
      <c r="BY43" s="449" t="s">
        <v>544</v>
      </c>
      <c r="BZ43" s="449" t="s">
        <v>544</v>
      </c>
    </row>
    <row r="44" spans="1:78" ht="15.75" thickBot="1">
      <c r="A44" s="561" t="s">
        <v>643</v>
      </c>
      <c r="B44" s="430" t="s">
        <v>644</v>
      </c>
      <c r="C44" s="427" t="s">
        <v>645</v>
      </c>
      <c r="D44" s="449" t="s">
        <v>544</v>
      </c>
      <c r="E44" s="449" t="s">
        <v>544</v>
      </c>
      <c r="F44" s="449" t="s">
        <v>544</v>
      </c>
      <c r="G44" s="449" t="s">
        <v>544</v>
      </c>
      <c r="H44" s="449" t="s">
        <v>544</v>
      </c>
      <c r="I44" s="453" t="s">
        <v>549</v>
      </c>
      <c r="J44" s="453" t="s">
        <v>549</v>
      </c>
      <c r="K44" s="449" t="s">
        <v>544</v>
      </c>
      <c r="L44" s="449" t="s">
        <v>544</v>
      </c>
      <c r="M44" s="449" t="s">
        <v>544</v>
      </c>
      <c r="N44" s="453" t="s">
        <v>549</v>
      </c>
      <c r="O44" s="449" t="s">
        <v>544</v>
      </c>
      <c r="P44" s="449" t="s">
        <v>544</v>
      </c>
      <c r="Q44" s="453" t="s">
        <v>549</v>
      </c>
      <c r="R44" s="449" t="s">
        <v>544</v>
      </c>
      <c r="S44" s="453" t="s">
        <v>549</v>
      </c>
      <c r="T44" s="449" t="s">
        <v>544</v>
      </c>
      <c r="U44" s="449" t="s">
        <v>544</v>
      </c>
      <c r="V44" s="449" t="s">
        <v>544</v>
      </c>
      <c r="W44" s="449" t="s">
        <v>544</v>
      </c>
      <c r="X44" s="449" t="s">
        <v>544</v>
      </c>
      <c r="Y44" s="449" t="s">
        <v>544</v>
      </c>
      <c r="Z44" s="449" t="s">
        <v>544</v>
      </c>
      <c r="AA44" s="449" t="s">
        <v>544</v>
      </c>
      <c r="AB44" s="449" t="s">
        <v>544</v>
      </c>
      <c r="AC44" s="449" t="s">
        <v>544</v>
      </c>
      <c r="AD44" s="449" t="s">
        <v>544</v>
      </c>
      <c r="AE44" s="449" t="s">
        <v>544</v>
      </c>
      <c r="AF44" s="449" t="s">
        <v>544</v>
      </c>
      <c r="AG44" s="449" t="s">
        <v>544</v>
      </c>
      <c r="AH44" s="449" t="s">
        <v>544</v>
      </c>
      <c r="AI44" s="449" t="s">
        <v>544</v>
      </c>
      <c r="AJ44" s="449" t="s">
        <v>544</v>
      </c>
      <c r="AK44" s="449" t="s">
        <v>544</v>
      </c>
      <c r="AL44" s="449" t="s">
        <v>544</v>
      </c>
      <c r="AM44" s="449" t="s">
        <v>544</v>
      </c>
      <c r="AN44" s="449" t="s">
        <v>544</v>
      </c>
      <c r="AO44" s="449" t="s">
        <v>544</v>
      </c>
      <c r="AP44" s="449" t="s">
        <v>544</v>
      </c>
      <c r="AQ44" s="449" t="s">
        <v>544</v>
      </c>
      <c r="AR44" s="449" t="s">
        <v>544</v>
      </c>
      <c r="AS44" s="449" t="s">
        <v>544</v>
      </c>
      <c r="AT44" s="449" t="s">
        <v>544</v>
      </c>
      <c r="AU44" s="449" t="s">
        <v>544</v>
      </c>
      <c r="AV44" s="449" t="s">
        <v>544</v>
      </c>
      <c r="AW44" s="449" t="s">
        <v>544</v>
      </c>
      <c r="AX44" s="449" t="s">
        <v>544</v>
      </c>
      <c r="AY44" s="449" t="s">
        <v>544</v>
      </c>
      <c r="AZ44" s="449" t="s">
        <v>544</v>
      </c>
      <c r="BA44" s="449" t="s">
        <v>544</v>
      </c>
      <c r="BB44" s="449" t="s">
        <v>544</v>
      </c>
      <c r="BC44" s="449" t="s">
        <v>544</v>
      </c>
      <c r="BD44" s="449" t="s">
        <v>544</v>
      </c>
      <c r="BE44" s="449" t="s">
        <v>544</v>
      </c>
      <c r="BF44" s="449" t="s">
        <v>544</v>
      </c>
      <c r="BG44" s="449" t="s">
        <v>544</v>
      </c>
      <c r="BH44" s="449" t="s">
        <v>544</v>
      </c>
      <c r="BI44" s="448" t="s">
        <v>544</v>
      </c>
      <c r="BJ44" s="448" t="s">
        <v>544</v>
      </c>
      <c r="BK44" s="449" t="s">
        <v>544</v>
      </c>
      <c r="BL44" s="448" t="s">
        <v>549</v>
      </c>
      <c r="BM44" s="448" t="s">
        <v>544</v>
      </c>
      <c r="BN44" s="448" t="s">
        <v>544</v>
      </c>
      <c r="BO44" s="448" t="s">
        <v>544</v>
      </c>
      <c r="BP44" s="448" t="s">
        <v>549</v>
      </c>
      <c r="BQ44" s="448" t="s">
        <v>549</v>
      </c>
      <c r="BR44" s="448" t="s">
        <v>549</v>
      </c>
      <c r="BS44" s="449" t="s">
        <v>544</v>
      </c>
      <c r="BT44" s="449" t="s">
        <v>544</v>
      </c>
      <c r="BU44" s="448" t="s">
        <v>544</v>
      </c>
      <c r="BV44" s="449" t="s">
        <v>544</v>
      </c>
      <c r="BW44" s="449"/>
      <c r="BX44" s="449"/>
      <c r="BY44" s="449" t="s">
        <v>544</v>
      </c>
      <c r="BZ44" s="449" t="s">
        <v>544</v>
      </c>
    </row>
    <row r="45" spans="1:78" ht="15.75" thickBot="1">
      <c r="A45" s="561"/>
      <c r="B45" s="430" t="s">
        <v>646</v>
      </c>
      <c r="C45" s="427" t="s">
        <v>647</v>
      </c>
      <c r="D45" s="449" t="s">
        <v>544</v>
      </c>
      <c r="E45" s="449" t="s">
        <v>544</v>
      </c>
      <c r="F45" s="449" t="s">
        <v>544</v>
      </c>
      <c r="G45" s="449" t="s">
        <v>544</v>
      </c>
      <c r="H45" s="449" t="s">
        <v>544</v>
      </c>
      <c r="I45" s="453" t="s">
        <v>549</v>
      </c>
      <c r="J45" s="453" t="s">
        <v>549</v>
      </c>
      <c r="K45" s="449" t="s">
        <v>544</v>
      </c>
      <c r="L45" s="449" t="s">
        <v>544</v>
      </c>
      <c r="M45" s="449" t="s">
        <v>544</v>
      </c>
      <c r="N45" s="453" t="s">
        <v>549</v>
      </c>
      <c r="O45" s="449" t="s">
        <v>544</v>
      </c>
      <c r="P45" s="449" t="s">
        <v>544</v>
      </c>
      <c r="Q45" s="453" t="s">
        <v>549</v>
      </c>
      <c r="R45" s="449" t="s">
        <v>544</v>
      </c>
      <c r="S45" s="453" t="s">
        <v>549</v>
      </c>
      <c r="T45" s="449" t="s">
        <v>544</v>
      </c>
      <c r="U45" s="449" t="s">
        <v>544</v>
      </c>
      <c r="V45" s="449" t="s">
        <v>544</v>
      </c>
      <c r="W45" s="449" t="s">
        <v>544</v>
      </c>
      <c r="X45" s="449" t="s">
        <v>544</v>
      </c>
      <c r="Y45" s="449" t="s">
        <v>544</v>
      </c>
      <c r="Z45" s="449" t="s">
        <v>544</v>
      </c>
      <c r="AA45" s="449" t="s">
        <v>544</v>
      </c>
      <c r="AB45" s="449" t="s">
        <v>544</v>
      </c>
      <c r="AC45" s="449" t="s">
        <v>544</v>
      </c>
      <c r="AD45" s="449" t="s">
        <v>544</v>
      </c>
      <c r="AE45" s="449" t="s">
        <v>544</v>
      </c>
      <c r="AF45" s="449" t="s">
        <v>544</v>
      </c>
      <c r="AG45" s="449" t="s">
        <v>544</v>
      </c>
      <c r="AH45" s="449" t="s">
        <v>544</v>
      </c>
      <c r="AI45" s="449" t="s">
        <v>544</v>
      </c>
      <c r="AJ45" s="449" t="s">
        <v>544</v>
      </c>
      <c r="AK45" s="449" t="s">
        <v>544</v>
      </c>
      <c r="AL45" s="449" t="s">
        <v>544</v>
      </c>
      <c r="AM45" s="449" t="s">
        <v>544</v>
      </c>
      <c r="AN45" s="449" t="s">
        <v>544</v>
      </c>
      <c r="AO45" s="449" t="s">
        <v>544</v>
      </c>
      <c r="AP45" s="449" t="s">
        <v>544</v>
      </c>
      <c r="AQ45" s="449" t="s">
        <v>544</v>
      </c>
      <c r="AR45" s="449" t="s">
        <v>544</v>
      </c>
      <c r="AS45" s="449" t="s">
        <v>544</v>
      </c>
      <c r="AT45" s="449" t="s">
        <v>544</v>
      </c>
      <c r="AU45" s="449" t="s">
        <v>544</v>
      </c>
      <c r="AV45" s="449" t="s">
        <v>544</v>
      </c>
      <c r="AW45" s="449" t="s">
        <v>544</v>
      </c>
      <c r="AX45" s="449" t="s">
        <v>544</v>
      </c>
      <c r="AY45" s="449" t="s">
        <v>544</v>
      </c>
      <c r="AZ45" s="449" t="s">
        <v>544</v>
      </c>
      <c r="BA45" s="449" t="s">
        <v>544</v>
      </c>
      <c r="BB45" s="449" t="s">
        <v>544</v>
      </c>
      <c r="BC45" s="449" t="s">
        <v>544</v>
      </c>
      <c r="BD45" s="449" t="s">
        <v>544</v>
      </c>
      <c r="BE45" s="449" t="s">
        <v>544</v>
      </c>
      <c r="BF45" s="449" t="s">
        <v>544</v>
      </c>
      <c r="BG45" s="449" t="s">
        <v>544</v>
      </c>
      <c r="BH45" s="449" t="s">
        <v>544</v>
      </c>
      <c r="BI45" s="448" t="s">
        <v>544</v>
      </c>
      <c r="BJ45" s="448" t="s">
        <v>544</v>
      </c>
      <c r="BK45" s="449" t="s">
        <v>544</v>
      </c>
      <c r="BL45" s="448" t="s">
        <v>549</v>
      </c>
      <c r="BM45" s="448" t="s">
        <v>544</v>
      </c>
      <c r="BN45" s="448" t="s">
        <v>544</v>
      </c>
      <c r="BO45" s="448" t="s">
        <v>544</v>
      </c>
      <c r="BP45" s="448" t="s">
        <v>549</v>
      </c>
      <c r="BQ45" s="448" t="s">
        <v>549</v>
      </c>
      <c r="BR45" s="448" t="s">
        <v>549</v>
      </c>
      <c r="BS45" s="449" t="s">
        <v>544</v>
      </c>
      <c r="BT45" s="449" t="s">
        <v>544</v>
      </c>
      <c r="BU45" s="448" t="s">
        <v>544</v>
      </c>
      <c r="BV45" s="449" t="s">
        <v>544</v>
      </c>
      <c r="BW45" s="449"/>
      <c r="BX45" s="449"/>
      <c r="BY45" s="449" t="s">
        <v>544</v>
      </c>
      <c r="BZ45" s="449" t="s">
        <v>544</v>
      </c>
    </row>
    <row r="46" spans="1:78" ht="15.75" thickBot="1">
      <c r="A46" s="561" t="s">
        <v>648</v>
      </c>
      <c r="B46" s="430" t="s">
        <v>649</v>
      </c>
      <c r="C46" s="427" t="s">
        <v>650</v>
      </c>
      <c r="D46" s="449" t="s">
        <v>544</v>
      </c>
      <c r="E46" s="449" t="s">
        <v>544</v>
      </c>
      <c r="F46" s="449" t="s">
        <v>544</v>
      </c>
      <c r="G46" s="449" t="s">
        <v>544</v>
      </c>
      <c r="H46" s="449" t="s">
        <v>544</v>
      </c>
      <c r="I46" s="453" t="s">
        <v>549</v>
      </c>
      <c r="J46" s="453" t="s">
        <v>549</v>
      </c>
      <c r="K46" s="449" t="s">
        <v>544</v>
      </c>
      <c r="L46" s="449" t="s">
        <v>544</v>
      </c>
      <c r="M46" s="449" t="s">
        <v>544</v>
      </c>
      <c r="N46" s="453" t="s">
        <v>549</v>
      </c>
      <c r="O46" s="449" t="s">
        <v>544</v>
      </c>
      <c r="P46" s="449" t="s">
        <v>544</v>
      </c>
      <c r="Q46" s="453" t="s">
        <v>549</v>
      </c>
      <c r="R46" s="449" t="s">
        <v>544</v>
      </c>
      <c r="S46" s="453" t="s">
        <v>549</v>
      </c>
      <c r="T46" s="449" t="s">
        <v>544</v>
      </c>
      <c r="U46" s="449" t="s">
        <v>544</v>
      </c>
      <c r="V46" s="449" t="s">
        <v>544</v>
      </c>
      <c r="W46" s="449" t="s">
        <v>544</v>
      </c>
      <c r="X46" s="449" t="s">
        <v>544</v>
      </c>
      <c r="Y46" s="449" t="s">
        <v>544</v>
      </c>
      <c r="Z46" s="449" t="s">
        <v>544</v>
      </c>
      <c r="AA46" s="449" t="s">
        <v>544</v>
      </c>
      <c r="AB46" s="449" t="s">
        <v>544</v>
      </c>
      <c r="AC46" s="449" t="s">
        <v>544</v>
      </c>
      <c r="AD46" s="449" t="s">
        <v>544</v>
      </c>
      <c r="AE46" s="449" t="s">
        <v>544</v>
      </c>
      <c r="AF46" s="449" t="s">
        <v>544</v>
      </c>
      <c r="AG46" s="449" t="s">
        <v>544</v>
      </c>
      <c r="AH46" s="449" t="s">
        <v>544</v>
      </c>
      <c r="AI46" s="449" t="s">
        <v>544</v>
      </c>
      <c r="AJ46" s="449" t="s">
        <v>544</v>
      </c>
      <c r="AK46" s="449" t="s">
        <v>544</v>
      </c>
      <c r="AL46" s="449" t="s">
        <v>544</v>
      </c>
      <c r="AM46" s="449" t="s">
        <v>544</v>
      </c>
      <c r="AN46" s="449" t="s">
        <v>544</v>
      </c>
      <c r="AO46" s="449" t="s">
        <v>544</v>
      </c>
      <c r="AP46" s="449" t="s">
        <v>544</v>
      </c>
      <c r="AQ46" s="449" t="s">
        <v>544</v>
      </c>
      <c r="AR46" s="449" t="s">
        <v>544</v>
      </c>
      <c r="AS46" s="449" t="s">
        <v>544</v>
      </c>
      <c r="AT46" s="449" t="s">
        <v>544</v>
      </c>
      <c r="AU46" s="449" t="s">
        <v>544</v>
      </c>
      <c r="AV46" s="449" t="s">
        <v>544</v>
      </c>
      <c r="AW46" s="449" t="s">
        <v>544</v>
      </c>
      <c r="AX46" s="449" t="s">
        <v>544</v>
      </c>
      <c r="AY46" s="449" t="s">
        <v>544</v>
      </c>
      <c r="AZ46" s="449" t="s">
        <v>544</v>
      </c>
      <c r="BA46" s="449" t="s">
        <v>544</v>
      </c>
      <c r="BB46" s="449" t="s">
        <v>544</v>
      </c>
      <c r="BC46" s="449" t="s">
        <v>544</v>
      </c>
      <c r="BD46" s="449" t="s">
        <v>544</v>
      </c>
      <c r="BE46" s="449" t="s">
        <v>544</v>
      </c>
      <c r="BF46" s="449" t="s">
        <v>544</v>
      </c>
      <c r="BG46" s="449" t="s">
        <v>544</v>
      </c>
      <c r="BH46" s="450" t="s">
        <v>545</v>
      </c>
      <c r="BI46" s="448" t="s">
        <v>544</v>
      </c>
      <c r="BJ46" s="448" t="s">
        <v>544</v>
      </c>
      <c r="BK46" s="449" t="s">
        <v>544</v>
      </c>
      <c r="BL46" s="448" t="s">
        <v>549</v>
      </c>
      <c r="BM46" s="448" t="s">
        <v>544</v>
      </c>
      <c r="BN46" s="448" t="s">
        <v>544</v>
      </c>
      <c r="BO46" s="448" t="s">
        <v>544</v>
      </c>
      <c r="BP46" s="448" t="s">
        <v>549</v>
      </c>
      <c r="BQ46" s="448" t="s">
        <v>549</v>
      </c>
      <c r="BR46" s="448" t="s">
        <v>549</v>
      </c>
      <c r="BS46" s="449" t="s">
        <v>544</v>
      </c>
      <c r="BT46" s="449" t="s">
        <v>544</v>
      </c>
      <c r="BU46" s="448" t="s">
        <v>544</v>
      </c>
      <c r="BV46" s="449" t="s">
        <v>544</v>
      </c>
      <c r="BW46" s="449"/>
      <c r="BX46" s="449"/>
      <c r="BY46" s="449" t="s">
        <v>544</v>
      </c>
      <c r="BZ46" s="449" t="s">
        <v>544</v>
      </c>
    </row>
    <row r="47" spans="1:78" ht="15.75" thickBot="1">
      <c r="A47" s="561"/>
      <c r="B47" s="430" t="s">
        <v>651</v>
      </c>
      <c r="C47" s="427" t="s">
        <v>652</v>
      </c>
      <c r="D47" s="449" t="s">
        <v>544</v>
      </c>
      <c r="E47" s="449" t="s">
        <v>544</v>
      </c>
      <c r="F47" s="449" t="s">
        <v>544</v>
      </c>
      <c r="G47" s="449" t="s">
        <v>544</v>
      </c>
      <c r="H47" s="449" t="s">
        <v>544</v>
      </c>
      <c r="I47" s="453" t="s">
        <v>549</v>
      </c>
      <c r="J47" s="453" t="s">
        <v>549</v>
      </c>
      <c r="K47" s="449" t="s">
        <v>544</v>
      </c>
      <c r="L47" s="449" t="s">
        <v>544</v>
      </c>
      <c r="M47" s="449" t="s">
        <v>544</v>
      </c>
      <c r="N47" s="453" t="s">
        <v>549</v>
      </c>
      <c r="O47" s="449" t="s">
        <v>544</v>
      </c>
      <c r="P47" s="449" t="s">
        <v>544</v>
      </c>
      <c r="Q47" s="453" t="s">
        <v>549</v>
      </c>
      <c r="R47" s="449" t="s">
        <v>544</v>
      </c>
      <c r="S47" s="453" t="s">
        <v>549</v>
      </c>
      <c r="T47" s="449" t="s">
        <v>544</v>
      </c>
      <c r="U47" s="449" t="s">
        <v>544</v>
      </c>
      <c r="V47" s="449" t="s">
        <v>544</v>
      </c>
      <c r="W47" s="449" t="s">
        <v>544</v>
      </c>
      <c r="X47" s="449" t="s">
        <v>544</v>
      </c>
      <c r="Y47" s="449" t="s">
        <v>544</v>
      </c>
      <c r="Z47" s="449" t="s">
        <v>544</v>
      </c>
      <c r="AA47" s="449" t="s">
        <v>544</v>
      </c>
      <c r="AB47" s="449" t="s">
        <v>544</v>
      </c>
      <c r="AC47" s="449" t="s">
        <v>544</v>
      </c>
      <c r="AD47" s="449" t="s">
        <v>544</v>
      </c>
      <c r="AE47" s="449" t="s">
        <v>544</v>
      </c>
      <c r="AF47" s="449" t="s">
        <v>544</v>
      </c>
      <c r="AG47" s="449" t="s">
        <v>544</v>
      </c>
      <c r="AH47" s="449" t="s">
        <v>544</v>
      </c>
      <c r="AI47" s="449" t="s">
        <v>544</v>
      </c>
      <c r="AJ47" s="449" t="s">
        <v>544</v>
      </c>
      <c r="AK47" s="449" t="s">
        <v>544</v>
      </c>
      <c r="AL47" s="449" t="s">
        <v>544</v>
      </c>
      <c r="AM47" s="449" t="s">
        <v>544</v>
      </c>
      <c r="AN47" s="449" t="s">
        <v>544</v>
      </c>
      <c r="AO47" s="449" t="s">
        <v>544</v>
      </c>
      <c r="AP47" s="449" t="s">
        <v>544</v>
      </c>
      <c r="AQ47" s="449" t="s">
        <v>544</v>
      </c>
      <c r="AR47" s="449" t="s">
        <v>544</v>
      </c>
      <c r="AS47" s="449" t="s">
        <v>544</v>
      </c>
      <c r="AT47" s="449" t="s">
        <v>544</v>
      </c>
      <c r="AU47" s="449" t="s">
        <v>544</v>
      </c>
      <c r="AV47" s="449" t="s">
        <v>544</v>
      </c>
      <c r="AW47" s="449" t="s">
        <v>544</v>
      </c>
      <c r="AX47" s="449" t="s">
        <v>544</v>
      </c>
      <c r="AY47" s="449" t="s">
        <v>544</v>
      </c>
      <c r="AZ47" s="449" t="s">
        <v>544</v>
      </c>
      <c r="BA47" s="449" t="s">
        <v>544</v>
      </c>
      <c r="BB47" s="449" t="s">
        <v>544</v>
      </c>
      <c r="BC47" s="449" t="s">
        <v>544</v>
      </c>
      <c r="BD47" s="449" t="s">
        <v>544</v>
      </c>
      <c r="BE47" s="449" t="s">
        <v>544</v>
      </c>
      <c r="BF47" s="449" t="s">
        <v>544</v>
      </c>
      <c r="BG47" s="449" t="s">
        <v>544</v>
      </c>
      <c r="BH47" s="449" t="s">
        <v>544</v>
      </c>
      <c r="BI47" s="448" t="s">
        <v>544</v>
      </c>
      <c r="BJ47" s="448" t="s">
        <v>544</v>
      </c>
      <c r="BK47" s="449" t="s">
        <v>544</v>
      </c>
      <c r="BL47" s="448" t="s">
        <v>549</v>
      </c>
      <c r="BM47" s="448" t="s">
        <v>544</v>
      </c>
      <c r="BN47" s="448" t="s">
        <v>544</v>
      </c>
      <c r="BO47" s="448" t="s">
        <v>544</v>
      </c>
      <c r="BP47" s="448" t="s">
        <v>549</v>
      </c>
      <c r="BQ47" s="448" t="s">
        <v>549</v>
      </c>
      <c r="BR47" s="448" t="s">
        <v>549</v>
      </c>
      <c r="BS47" s="449" t="s">
        <v>544</v>
      </c>
      <c r="BT47" s="449" t="s">
        <v>544</v>
      </c>
      <c r="BU47" s="448" t="s">
        <v>544</v>
      </c>
      <c r="BV47" s="449" t="s">
        <v>544</v>
      </c>
      <c r="BW47" s="449"/>
      <c r="BX47" s="449"/>
      <c r="BY47" s="449" t="s">
        <v>544</v>
      </c>
      <c r="BZ47" s="449" t="s">
        <v>544</v>
      </c>
    </row>
    <row r="48" spans="1:78" ht="15.75" thickBot="1">
      <c r="A48" s="426" t="s">
        <v>449</v>
      </c>
      <c r="B48" s="430" t="s">
        <v>653</v>
      </c>
      <c r="C48" s="427" t="s">
        <v>654</v>
      </c>
      <c r="D48" s="449" t="s">
        <v>544</v>
      </c>
      <c r="E48" s="449" t="s">
        <v>544</v>
      </c>
      <c r="F48" s="449" t="s">
        <v>544</v>
      </c>
      <c r="G48" s="449" t="s">
        <v>544</v>
      </c>
      <c r="H48" s="449" t="s">
        <v>544</v>
      </c>
      <c r="I48" s="453" t="s">
        <v>549</v>
      </c>
      <c r="J48" s="453" t="s">
        <v>549</v>
      </c>
      <c r="K48" s="449" t="s">
        <v>544</v>
      </c>
      <c r="L48" s="449" t="s">
        <v>544</v>
      </c>
      <c r="M48" s="449" t="s">
        <v>544</v>
      </c>
      <c r="N48" s="453" t="s">
        <v>549</v>
      </c>
      <c r="O48" s="449" t="s">
        <v>544</v>
      </c>
      <c r="P48" s="449" t="s">
        <v>544</v>
      </c>
      <c r="Q48" s="453" t="s">
        <v>549</v>
      </c>
      <c r="R48" s="449" t="s">
        <v>544</v>
      </c>
      <c r="S48" s="453" t="s">
        <v>549</v>
      </c>
      <c r="T48" s="449" t="s">
        <v>544</v>
      </c>
      <c r="U48" s="449" t="s">
        <v>544</v>
      </c>
      <c r="V48" s="449" t="s">
        <v>544</v>
      </c>
      <c r="W48" s="449" t="s">
        <v>544</v>
      </c>
      <c r="X48" s="449" t="s">
        <v>544</v>
      </c>
      <c r="Y48" s="449" t="s">
        <v>544</v>
      </c>
      <c r="Z48" s="449" t="s">
        <v>544</v>
      </c>
      <c r="AA48" s="449" t="s">
        <v>544</v>
      </c>
      <c r="AB48" s="449" t="s">
        <v>544</v>
      </c>
      <c r="AC48" s="449" t="s">
        <v>544</v>
      </c>
      <c r="AD48" s="449" t="s">
        <v>544</v>
      </c>
      <c r="AE48" s="449" t="s">
        <v>544</v>
      </c>
      <c r="AF48" s="449" t="s">
        <v>544</v>
      </c>
      <c r="AG48" s="449" t="s">
        <v>544</v>
      </c>
      <c r="AH48" s="449" t="s">
        <v>544</v>
      </c>
      <c r="AI48" s="449" t="s">
        <v>544</v>
      </c>
      <c r="AJ48" s="449" t="s">
        <v>544</v>
      </c>
      <c r="AK48" s="449" t="s">
        <v>544</v>
      </c>
      <c r="AL48" s="449" t="s">
        <v>544</v>
      </c>
      <c r="AM48" s="449" t="s">
        <v>544</v>
      </c>
      <c r="AN48" s="449" t="s">
        <v>544</v>
      </c>
      <c r="AO48" s="449" t="s">
        <v>544</v>
      </c>
      <c r="AP48" s="449" t="s">
        <v>544</v>
      </c>
      <c r="AQ48" s="449" t="s">
        <v>544</v>
      </c>
      <c r="AR48" s="449" t="s">
        <v>544</v>
      </c>
      <c r="AS48" s="449" t="s">
        <v>544</v>
      </c>
      <c r="AT48" s="449" t="s">
        <v>544</v>
      </c>
      <c r="AU48" s="449" t="s">
        <v>544</v>
      </c>
      <c r="AV48" s="449" t="s">
        <v>544</v>
      </c>
      <c r="AW48" s="449" t="s">
        <v>544</v>
      </c>
      <c r="AX48" s="449" t="s">
        <v>544</v>
      </c>
      <c r="AY48" s="449" t="s">
        <v>544</v>
      </c>
      <c r="AZ48" s="449" t="s">
        <v>544</v>
      </c>
      <c r="BA48" s="449" t="s">
        <v>544</v>
      </c>
      <c r="BB48" s="449" t="s">
        <v>544</v>
      </c>
      <c r="BC48" s="449" t="s">
        <v>544</v>
      </c>
      <c r="BD48" s="449" t="s">
        <v>544</v>
      </c>
      <c r="BE48" s="449" t="s">
        <v>544</v>
      </c>
      <c r="BF48" s="449" t="s">
        <v>544</v>
      </c>
      <c r="BG48" s="449" t="s">
        <v>544</v>
      </c>
      <c r="BH48" s="449" t="s">
        <v>544</v>
      </c>
      <c r="BI48" s="448" t="s">
        <v>544</v>
      </c>
      <c r="BJ48" s="448" t="s">
        <v>544</v>
      </c>
      <c r="BK48" s="449" t="s">
        <v>544</v>
      </c>
      <c r="BL48" s="448" t="s">
        <v>549</v>
      </c>
      <c r="BM48" s="448" t="s">
        <v>544</v>
      </c>
      <c r="BN48" s="448" t="s">
        <v>544</v>
      </c>
      <c r="BO48" s="448" t="s">
        <v>544</v>
      </c>
      <c r="BP48" s="448" t="s">
        <v>549</v>
      </c>
      <c r="BQ48" s="448" t="s">
        <v>549</v>
      </c>
      <c r="BR48" s="448" t="s">
        <v>549</v>
      </c>
      <c r="BS48" s="449" t="s">
        <v>544</v>
      </c>
      <c r="BT48" s="449" t="s">
        <v>544</v>
      </c>
      <c r="BU48" s="448" t="s">
        <v>544</v>
      </c>
      <c r="BV48" s="449" t="s">
        <v>544</v>
      </c>
      <c r="BW48" s="449"/>
      <c r="BX48" s="449"/>
      <c r="BY48" s="449" t="s">
        <v>544</v>
      </c>
      <c r="BZ48" s="449" t="s">
        <v>544</v>
      </c>
    </row>
    <row r="49" spans="1:78" ht="15.75" thickBot="1">
      <c r="A49" s="426" t="s">
        <v>428</v>
      </c>
      <c r="B49" s="430" t="s">
        <v>655</v>
      </c>
      <c r="C49" s="427" t="s">
        <v>656</v>
      </c>
      <c r="D49" s="449" t="s">
        <v>544</v>
      </c>
      <c r="E49" s="449" t="s">
        <v>544</v>
      </c>
      <c r="F49" s="449" t="s">
        <v>544</v>
      </c>
      <c r="G49" s="449" t="s">
        <v>544</v>
      </c>
      <c r="H49" s="449" t="s">
        <v>544</v>
      </c>
      <c r="I49" s="453" t="s">
        <v>549</v>
      </c>
      <c r="J49" s="453" t="s">
        <v>549</v>
      </c>
      <c r="K49" s="449" t="s">
        <v>544</v>
      </c>
      <c r="L49" s="449" t="s">
        <v>544</v>
      </c>
      <c r="M49" s="449" t="s">
        <v>544</v>
      </c>
      <c r="N49" s="453" t="s">
        <v>549</v>
      </c>
      <c r="O49" s="449" t="s">
        <v>544</v>
      </c>
      <c r="P49" s="449" t="s">
        <v>544</v>
      </c>
      <c r="Q49" s="453" t="s">
        <v>549</v>
      </c>
      <c r="R49" s="449" t="s">
        <v>544</v>
      </c>
      <c r="S49" s="453" t="s">
        <v>549</v>
      </c>
      <c r="T49" s="449" t="s">
        <v>544</v>
      </c>
      <c r="U49" s="449" t="s">
        <v>544</v>
      </c>
      <c r="V49" s="449" t="s">
        <v>544</v>
      </c>
      <c r="W49" s="449" t="s">
        <v>544</v>
      </c>
      <c r="X49" s="449" t="s">
        <v>544</v>
      </c>
      <c r="Y49" s="449" t="s">
        <v>544</v>
      </c>
      <c r="Z49" s="449" t="s">
        <v>544</v>
      </c>
      <c r="AA49" s="449" t="s">
        <v>544</v>
      </c>
      <c r="AB49" s="449" t="s">
        <v>544</v>
      </c>
      <c r="AC49" s="449" t="s">
        <v>544</v>
      </c>
      <c r="AD49" s="449" t="s">
        <v>544</v>
      </c>
      <c r="AE49" s="449" t="s">
        <v>544</v>
      </c>
      <c r="AF49" s="449" t="s">
        <v>544</v>
      </c>
      <c r="AG49" s="449" t="s">
        <v>544</v>
      </c>
      <c r="AH49" s="449" t="s">
        <v>544</v>
      </c>
      <c r="AI49" s="449" t="s">
        <v>544</v>
      </c>
      <c r="AJ49" s="449" t="s">
        <v>544</v>
      </c>
      <c r="AK49" s="449" t="s">
        <v>544</v>
      </c>
      <c r="AL49" s="449" t="s">
        <v>544</v>
      </c>
      <c r="AM49" s="449" t="s">
        <v>544</v>
      </c>
      <c r="AN49" s="449" t="s">
        <v>544</v>
      </c>
      <c r="AO49" s="449" t="s">
        <v>544</v>
      </c>
      <c r="AP49" s="449" t="s">
        <v>544</v>
      </c>
      <c r="AQ49" s="449" t="s">
        <v>544</v>
      </c>
      <c r="AR49" s="449" t="s">
        <v>544</v>
      </c>
      <c r="AS49" s="449" t="s">
        <v>544</v>
      </c>
      <c r="AT49" s="449" t="s">
        <v>544</v>
      </c>
      <c r="AU49" s="449" t="s">
        <v>544</v>
      </c>
      <c r="AV49" s="449" t="s">
        <v>544</v>
      </c>
      <c r="AW49" s="449" t="s">
        <v>544</v>
      </c>
      <c r="AX49" s="449" t="s">
        <v>544</v>
      </c>
      <c r="AY49" s="449" t="s">
        <v>544</v>
      </c>
      <c r="AZ49" s="449" t="s">
        <v>544</v>
      </c>
      <c r="BA49" s="449" t="s">
        <v>544</v>
      </c>
      <c r="BB49" s="449" t="s">
        <v>544</v>
      </c>
      <c r="BC49" s="449" t="s">
        <v>544</v>
      </c>
      <c r="BD49" s="449" t="s">
        <v>544</v>
      </c>
      <c r="BE49" s="449" t="s">
        <v>544</v>
      </c>
      <c r="BF49" s="449" t="s">
        <v>544</v>
      </c>
      <c r="BG49" s="449" t="s">
        <v>544</v>
      </c>
      <c r="BH49" s="449" t="s">
        <v>544</v>
      </c>
      <c r="BI49" s="448" t="s">
        <v>544</v>
      </c>
      <c r="BJ49" s="448" t="s">
        <v>544</v>
      </c>
      <c r="BK49" s="449" t="s">
        <v>544</v>
      </c>
      <c r="BL49" s="448" t="s">
        <v>549</v>
      </c>
      <c r="BM49" s="448" t="s">
        <v>544</v>
      </c>
      <c r="BN49" s="448" t="s">
        <v>544</v>
      </c>
      <c r="BO49" s="448" t="s">
        <v>544</v>
      </c>
      <c r="BP49" s="448" t="s">
        <v>549</v>
      </c>
      <c r="BQ49" s="448" t="s">
        <v>549</v>
      </c>
      <c r="BR49" s="448" t="s">
        <v>549</v>
      </c>
      <c r="BS49" s="449" t="s">
        <v>544</v>
      </c>
      <c r="BT49" s="449" t="s">
        <v>544</v>
      </c>
      <c r="BU49" s="448" t="s">
        <v>544</v>
      </c>
      <c r="BV49" s="449" t="s">
        <v>544</v>
      </c>
      <c r="BW49" s="449"/>
      <c r="BX49" s="449"/>
      <c r="BY49" s="449" t="s">
        <v>544</v>
      </c>
      <c r="BZ49" s="449" t="s">
        <v>544</v>
      </c>
    </row>
    <row r="50" spans="1:78" ht="15.75" thickBot="1">
      <c r="A50" s="431" t="s">
        <v>420</v>
      </c>
      <c r="B50" s="430" t="s">
        <v>657</v>
      </c>
      <c r="C50" s="427" t="s">
        <v>658</v>
      </c>
      <c r="D50" s="449" t="s">
        <v>544</v>
      </c>
      <c r="E50" s="449" t="s">
        <v>544</v>
      </c>
      <c r="F50" s="449" t="s">
        <v>544</v>
      </c>
      <c r="G50" s="449" t="s">
        <v>544</v>
      </c>
      <c r="H50" s="449" t="s">
        <v>544</v>
      </c>
      <c r="I50" s="453" t="s">
        <v>549</v>
      </c>
      <c r="J50" s="453" t="s">
        <v>549</v>
      </c>
      <c r="K50" s="449" t="s">
        <v>544</v>
      </c>
      <c r="L50" s="449" t="s">
        <v>544</v>
      </c>
      <c r="M50" s="449" t="s">
        <v>544</v>
      </c>
      <c r="N50" s="453" t="s">
        <v>549</v>
      </c>
      <c r="O50" s="449" t="s">
        <v>544</v>
      </c>
      <c r="P50" s="449" t="s">
        <v>544</v>
      </c>
      <c r="Q50" s="453" t="s">
        <v>549</v>
      </c>
      <c r="R50" s="449" t="s">
        <v>544</v>
      </c>
      <c r="S50" s="453" t="s">
        <v>549</v>
      </c>
      <c r="T50" s="449" t="s">
        <v>544</v>
      </c>
      <c r="U50" s="449" t="s">
        <v>544</v>
      </c>
      <c r="V50" s="449" t="s">
        <v>544</v>
      </c>
      <c r="W50" s="449" t="s">
        <v>544</v>
      </c>
      <c r="X50" s="449" t="s">
        <v>544</v>
      </c>
      <c r="Y50" s="449" t="s">
        <v>544</v>
      </c>
      <c r="Z50" s="449" t="s">
        <v>544</v>
      </c>
      <c r="AA50" s="449" t="s">
        <v>544</v>
      </c>
      <c r="AB50" s="449" t="s">
        <v>544</v>
      </c>
      <c r="AC50" s="449" t="s">
        <v>544</v>
      </c>
      <c r="AD50" s="449" t="s">
        <v>544</v>
      </c>
      <c r="AE50" s="449" t="s">
        <v>544</v>
      </c>
      <c r="AF50" s="449" t="s">
        <v>544</v>
      </c>
      <c r="AG50" s="449" t="s">
        <v>544</v>
      </c>
      <c r="AH50" s="449" t="s">
        <v>544</v>
      </c>
      <c r="AI50" s="449" t="s">
        <v>544</v>
      </c>
      <c r="AJ50" s="449" t="s">
        <v>544</v>
      </c>
      <c r="AK50" s="449" t="s">
        <v>544</v>
      </c>
      <c r="AL50" s="449" t="s">
        <v>544</v>
      </c>
      <c r="AM50" s="449" t="s">
        <v>544</v>
      </c>
      <c r="AN50" s="449" t="s">
        <v>544</v>
      </c>
      <c r="AO50" s="449" t="s">
        <v>544</v>
      </c>
      <c r="AP50" s="449" t="s">
        <v>544</v>
      </c>
      <c r="AQ50" s="449" t="s">
        <v>544</v>
      </c>
      <c r="AR50" s="449" t="s">
        <v>544</v>
      </c>
      <c r="AS50" s="449" t="s">
        <v>544</v>
      </c>
      <c r="AT50" s="449" t="s">
        <v>544</v>
      </c>
      <c r="AU50" s="449" t="s">
        <v>544</v>
      </c>
      <c r="AV50" s="449" t="s">
        <v>544</v>
      </c>
      <c r="AW50" s="449" t="s">
        <v>544</v>
      </c>
      <c r="AX50" s="449" t="s">
        <v>544</v>
      </c>
      <c r="AY50" s="449" t="s">
        <v>544</v>
      </c>
      <c r="AZ50" s="449" t="s">
        <v>544</v>
      </c>
      <c r="BA50" s="449" t="s">
        <v>544</v>
      </c>
      <c r="BB50" s="449" t="s">
        <v>544</v>
      </c>
      <c r="BC50" s="449" t="s">
        <v>544</v>
      </c>
      <c r="BD50" s="449" t="s">
        <v>544</v>
      </c>
      <c r="BE50" s="449" t="s">
        <v>544</v>
      </c>
      <c r="BF50" s="449" t="s">
        <v>544</v>
      </c>
      <c r="BG50" s="449" t="s">
        <v>544</v>
      </c>
      <c r="BH50" s="449" t="s">
        <v>544</v>
      </c>
      <c r="BI50" s="448" t="s">
        <v>544</v>
      </c>
      <c r="BJ50" s="448" t="s">
        <v>544</v>
      </c>
      <c r="BK50" s="449" t="s">
        <v>544</v>
      </c>
      <c r="BL50" s="448" t="s">
        <v>549</v>
      </c>
      <c r="BM50" s="448" t="s">
        <v>544</v>
      </c>
      <c r="BN50" s="448" t="s">
        <v>544</v>
      </c>
      <c r="BO50" s="448" t="s">
        <v>544</v>
      </c>
      <c r="BP50" s="448" t="s">
        <v>549</v>
      </c>
      <c r="BQ50" s="448" t="s">
        <v>549</v>
      </c>
      <c r="BR50" s="448" t="s">
        <v>549</v>
      </c>
      <c r="BS50" s="449" t="s">
        <v>544</v>
      </c>
      <c r="BT50" s="449" t="s">
        <v>544</v>
      </c>
      <c r="BU50" s="448" t="s">
        <v>544</v>
      </c>
      <c r="BV50" s="449" t="s">
        <v>544</v>
      </c>
      <c r="BW50" s="449"/>
      <c r="BX50" s="449"/>
      <c r="BY50" s="449" t="s">
        <v>544</v>
      </c>
      <c r="BZ50" s="449" t="s">
        <v>544</v>
      </c>
    </row>
    <row r="51" spans="1:78" ht="15.75" thickBot="1">
      <c r="A51" s="426" t="s">
        <v>592</v>
      </c>
      <c r="B51" s="430" t="s">
        <v>659</v>
      </c>
      <c r="C51" s="427" t="s">
        <v>660</v>
      </c>
      <c r="D51" s="449" t="s">
        <v>544</v>
      </c>
      <c r="E51" s="449" t="s">
        <v>544</v>
      </c>
      <c r="F51" s="449" t="s">
        <v>544</v>
      </c>
      <c r="G51" s="449" t="s">
        <v>544</v>
      </c>
      <c r="H51" s="449" t="s">
        <v>544</v>
      </c>
      <c r="I51" s="453" t="s">
        <v>549</v>
      </c>
      <c r="J51" s="453" t="s">
        <v>549</v>
      </c>
      <c r="K51" s="449" t="s">
        <v>544</v>
      </c>
      <c r="L51" s="449" t="s">
        <v>544</v>
      </c>
      <c r="M51" s="449" t="s">
        <v>544</v>
      </c>
      <c r="N51" s="453" t="s">
        <v>549</v>
      </c>
      <c r="O51" s="449" t="s">
        <v>544</v>
      </c>
      <c r="P51" s="449" t="s">
        <v>544</v>
      </c>
      <c r="Q51" s="453" t="s">
        <v>549</v>
      </c>
      <c r="R51" s="449" t="s">
        <v>544</v>
      </c>
      <c r="S51" s="453" t="s">
        <v>549</v>
      </c>
      <c r="T51" s="449" t="s">
        <v>544</v>
      </c>
      <c r="U51" s="449" t="s">
        <v>544</v>
      </c>
      <c r="V51" s="449" t="s">
        <v>544</v>
      </c>
      <c r="W51" s="449" t="s">
        <v>544</v>
      </c>
      <c r="X51" s="449" t="s">
        <v>544</v>
      </c>
      <c r="Y51" s="449" t="s">
        <v>544</v>
      </c>
      <c r="Z51" s="449" t="s">
        <v>544</v>
      </c>
      <c r="AA51" s="449" t="s">
        <v>544</v>
      </c>
      <c r="AB51" s="449" t="s">
        <v>544</v>
      </c>
      <c r="AC51" s="449" t="s">
        <v>544</v>
      </c>
      <c r="AD51" s="449" t="s">
        <v>544</v>
      </c>
      <c r="AE51" s="449" t="s">
        <v>544</v>
      </c>
      <c r="AF51" s="449" t="s">
        <v>544</v>
      </c>
      <c r="AG51" s="449" t="s">
        <v>544</v>
      </c>
      <c r="AH51" s="449" t="s">
        <v>544</v>
      </c>
      <c r="AI51" s="449" t="s">
        <v>544</v>
      </c>
      <c r="AJ51" s="449" t="s">
        <v>544</v>
      </c>
      <c r="AK51" s="449" t="s">
        <v>544</v>
      </c>
      <c r="AL51" s="449" t="s">
        <v>544</v>
      </c>
      <c r="AM51" s="449" t="s">
        <v>544</v>
      </c>
      <c r="AN51" s="449" t="s">
        <v>544</v>
      </c>
      <c r="AO51" s="449" t="s">
        <v>544</v>
      </c>
      <c r="AP51" s="449" t="s">
        <v>544</v>
      </c>
      <c r="AQ51" s="449" t="s">
        <v>544</v>
      </c>
      <c r="AR51" s="449" t="s">
        <v>544</v>
      </c>
      <c r="AS51" s="449" t="s">
        <v>544</v>
      </c>
      <c r="AT51" s="449" t="s">
        <v>544</v>
      </c>
      <c r="AU51" s="449" t="s">
        <v>544</v>
      </c>
      <c r="AV51" s="449" t="s">
        <v>544</v>
      </c>
      <c r="AW51" s="449" t="s">
        <v>544</v>
      </c>
      <c r="AX51" s="449" t="s">
        <v>544</v>
      </c>
      <c r="AY51" s="449" t="s">
        <v>544</v>
      </c>
      <c r="AZ51" s="449" t="s">
        <v>544</v>
      </c>
      <c r="BA51" s="449" t="s">
        <v>544</v>
      </c>
      <c r="BB51" s="449" t="s">
        <v>544</v>
      </c>
      <c r="BC51" s="449" t="s">
        <v>544</v>
      </c>
      <c r="BD51" s="449" t="s">
        <v>544</v>
      </c>
      <c r="BE51" s="449" t="s">
        <v>544</v>
      </c>
      <c r="BF51" s="449" t="s">
        <v>544</v>
      </c>
      <c r="BG51" s="449" t="s">
        <v>544</v>
      </c>
      <c r="BH51" s="449" t="s">
        <v>544</v>
      </c>
      <c r="BI51" s="448" t="s">
        <v>544</v>
      </c>
      <c r="BJ51" s="448" t="s">
        <v>544</v>
      </c>
      <c r="BK51" s="449" t="s">
        <v>544</v>
      </c>
      <c r="BL51" s="448" t="s">
        <v>549</v>
      </c>
      <c r="BM51" s="448" t="s">
        <v>544</v>
      </c>
      <c r="BN51" s="448" t="s">
        <v>544</v>
      </c>
      <c r="BO51" s="448" t="s">
        <v>544</v>
      </c>
      <c r="BP51" s="448" t="s">
        <v>549</v>
      </c>
      <c r="BQ51" s="448" t="s">
        <v>549</v>
      </c>
      <c r="BR51" s="448" t="s">
        <v>549</v>
      </c>
      <c r="BS51" s="449" t="s">
        <v>544</v>
      </c>
      <c r="BT51" s="449" t="s">
        <v>544</v>
      </c>
      <c r="BU51" s="448" t="s">
        <v>544</v>
      </c>
      <c r="BV51" s="449" t="s">
        <v>544</v>
      </c>
      <c r="BW51" s="449"/>
      <c r="BX51" s="449"/>
      <c r="BY51" s="449" t="s">
        <v>544</v>
      </c>
      <c r="BZ51" s="449" t="s">
        <v>544</v>
      </c>
    </row>
    <row r="52" spans="1:78" ht="15.75" thickBot="1">
      <c r="A52" s="560" t="s">
        <v>661</v>
      </c>
      <c r="B52" s="430" t="s">
        <v>662</v>
      </c>
      <c r="C52" s="427" t="s">
        <v>663</v>
      </c>
      <c r="D52" s="449" t="s">
        <v>544</v>
      </c>
      <c r="E52" s="449" t="s">
        <v>544</v>
      </c>
      <c r="F52" s="449" t="s">
        <v>544</v>
      </c>
      <c r="G52" s="449" t="s">
        <v>544</v>
      </c>
      <c r="H52" s="449" t="s">
        <v>544</v>
      </c>
      <c r="I52" s="453" t="s">
        <v>549</v>
      </c>
      <c r="J52" s="453" t="s">
        <v>549</v>
      </c>
      <c r="K52" s="449" t="s">
        <v>544</v>
      </c>
      <c r="L52" s="449" t="s">
        <v>544</v>
      </c>
      <c r="M52" s="449" t="s">
        <v>544</v>
      </c>
      <c r="N52" s="453" t="s">
        <v>549</v>
      </c>
      <c r="O52" s="449" t="s">
        <v>544</v>
      </c>
      <c r="P52" s="449" t="s">
        <v>544</v>
      </c>
      <c r="Q52" s="453" t="s">
        <v>549</v>
      </c>
      <c r="R52" s="449" t="s">
        <v>544</v>
      </c>
      <c r="S52" s="453" t="s">
        <v>549</v>
      </c>
      <c r="T52" s="449" t="s">
        <v>544</v>
      </c>
      <c r="U52" s="449" t="s">
        <v>544</v>
      </c>
      <c r="V52" s="449" t="s">
        <v>544</v>
      </c>
      <c r="W52" s="449" t="s">
        <v>544</v>
      </c>
      <c r="X52" s="449" t="s">
        <v>544</v>
      </c>
      <c r="Y52" s="449" t="s">
        <v>544</v>
      </c>
      <c r="Z52" s="449" t="s">
        <v>544</v>
      </c>
      <c r="AA52" s="449" t="s">
        <v>544</v>
      </c>
      <c r="AB52" s="449" t="s">
        <v>544</v>
      </c>
      <c r="AC52" s="449" t="s">
        <v>544</v>
      </c>
      <c r="AD52" s="449" t="s">
        <v>544</v>
      </c>
      <c r="AE52" s="449" t="s">
        <v>544</v>
      </c>
      <c r="AF52" s="449" t="s">
        <v>544</v>
      </c>
      <c r="AG52" s="449" t="s">
        <v>544</v>
      </c>
      <c r="AH52" s="449" t="s">
        <v>544</v>
      </c>
      <c r="AI52" s="449" t="s">
        <v>544</v>
      </c>
      <c r="AJ52" s="449" t="s">
        <v>544</v>
      </c>
      <c r="AK52" s="449" t="s">
        <v>544</v>
      </c>
      <c r="AL52" s="449" t="s">
        <v>544</v>
      </c>
      <c r="AM52" s="449" t="s">
        <v>544</v>
      </c>
      <c r="AN52" s="449" t="s">
        <v>544</v>
      </c>
      <c r="AO52" s="449" t="s">
        <v>544</v>
      </c>
      <c r="AP52" s="449" t="s">
        <v>544</v>
      </c>
      <c r="AQ52" s="449" t="s">
        <v>544</v>
      </c>
      <c r="AR52" s="449" t="s">
        <v>544</v>
      </c>
      <c r="AS52" s="449" t="s">
        <v>544</v>
      </c>
      <c r="AT52" s="449" t="s">
        <v>544</v>
      </c>
      <c r="AU52" s="449" t="s">
        <v>544</v>
      </c>
      <c r="AV52" s="449" t="s">
        <v>544</v>
      </c>
      <c r="AW52" s="449" t="s">
        <v>544</v>
      </c>
      <c r="AX52" s="449" t="s">
        <v>544</v>
      </c>
      <c r="AY52" s="449" t="s">
        <v>544</v>
      </c>
      <c r="AZ52" s="449" t="s">
        <v>544</v>
      </c>
      <c r="BA52" s="449" t="s">
        <v>544</v>
      </c>
      <c r="BB52" s="449" t="s">
        <v>544</v>
      </c>
      <c r="BC52" s="449" t="s">
        <v>544</v>
      </c>
      <c r="BD52" s="449" t="s">
        <v>544</v>
      </c>
      <c r="BE52" s="449" t="s">
        <v>544</v>
      </c>
      <c r="BF52" s="449" t="s">
        <v>544</v>
      </c>
      <c r="BG52" s="449" t="s">
        <v>544</v>
      </c>
      <c r="BH52" s="449" t="s">
        <v>544</v>
      </c>
      <c r="BI52" s="448" t="s">
        <v>544</v>
      </c>
      <c r="BJ52" s="448" t="s">
        <v>544</v>
      </c>
      <c r="BK52" s="449" t="s">
        <v>544</v>
      </c>
      <c r="BL52" s="448" t="s">
        <v>549</v>
      </c>
      <c r="BM52" s="448" t="s">
        <v>544</v>
      </c>
      <c r="BN52" s="448" t="s">
        <v>544</v>
      </c>
      <c r="BO52" s="448" t="s">
        <v>544</v>
      </c>
      <c r="BP52" s="448" t="s">
        <v>549</v>
      </c>
      <c r="BQ52" s="448" t="s">
        <v>549</v>
      </c>
      <c r="BR52" s="448" t="s">
        <v>549</v>
      </c>
      <c r="BS52" s="449" t="s">
        <v>544</v>
      </c>
      <c r="BT52" s="449" t="s">
        <v>544</v>
      </c>
      <c r="BU52" s="448" t="s">
        <v>544</v>
      </c>
      <c r="BV52" s="449" t="s">
        <v>544</v>
      </c>
      <c r="BW52" s="449"/>
      <c r="BX52" s="449"/>
      <c r="BY52" s="449" t="s">
        <v>544</v>
      </c>
      <c r="BZ52" s="449" t="s">
        <v>544</v>
      </c>
    </row>
    <row r="53" spans="1:78" ht="15.75" thickBot="1">
      <c r="A53" s="560"/>
      <c r="B53" s="430" t="s">
        <v>664</v>
      </c>
      <c r="C53" s="427" t="s">
        <v>665</v>
      </c>
      <c r="D53" s="449" t="s">
        <v>544</v>
      </c>
      <c r="E53" s="449" t="s">
        <v>544</v>
      </c>
      <c r="F53" s="449" t="s">
        <v>544</v>
      </c>
      <c r="G53" s="449" t="s">
        <v>544</v>
      </c>
      <c r="H53" s="449" t="s">
        <v>544</v>
      </c>
      <c r="I53" s="453" t="s">
        <v>549</v>
      </c>
      <c r="J53" s="453" t="s">
        <v>549</v>
      </c>
      <c r="K53" s="449" t="s">
        <v>544</v>
      </c>
      <c r="L53" s="449" t="s">
        <v>544</v>
      </c>
      <c r="M53" s="449" t="s">
        <v>544</v>
      </c>
      <c r="N53" s="453" t="s">
        <v>549</v>
      </c>
      <c r="O53" s="449" t="s">
        <v>544</v>
      </c>
      <c r="P53" s="449" t="s">
        <v>544</v>
      </c>
      <c r="Q53" s="453" t="s">
        <v>549</v>
      </c>
      <c r="R53" s="449" t="s">
        <v>544</v>
      </c>
      <c r="S53" s="453" t="s">
        <v>549</v>
      </c>
      <c r="T53" s="449" t="s">
        <v>544</v>
      </c>
      <c r="U53" s="449" t="s">
        <v>544</v>
      </c>
      <c r="V53" s="449" t="s">
        <v>544</v>
      </c>
      <c r="W53" s="449" t="s">
        <v>544</v>
      </c>
      <c r="X53" s="449" t="s">
        <v>544</v>
      </c>
      <c r="Y53" s="449" t="s">
        <v>544</v>
      </c>
      <c r="Z53" s="449" t="s">
        <v>544</v>
      </c>
      <c r="AA53" s="449" t="s">
        <v>544</v>
      </c>
      <c r="AB53" s="449" t="s">
        <v>544</v>
      </c>
      <c r="AC53" s="449" t="s">
        <v>544</v>
      </c>
      <c r="AD53" s="449" t="s">
        <v>544</v>
      </c>
      <c r="AE53" s="449" t="s">
        <v>544</v>
      </c>
      <c r="AF53" s="449" t="s">
        <v>544</v>
      </c>
      <c r="AG53" s="449" t="s">
        <v>544</v>
      </c>
      <c r="AH53" s="449" t="s">
        <v>544</v>
      </c>
      <c r="AI53" s="449" t="s">
        <v>544</v>
      </c>
      <c r="AJ53" s="449" t="s">
        <v>544</v>
      </c>
      <c r="AK53" s="449" t="s">
        <v>544</v>
      </c>
      <c r="AL53" s="449" t="s">
        <v>544</v>
      </c>
      <c r="AM53" s="449" t="s">
        <v>544</v>
      </c>
      <c r="AN53" s="449" t="s">
        <v>544</v>
      </c>
      <c r="AO53" s="449" t="s">
        <v>544</v>
      </c>
      <c r="AP53" s="449" t="s">
        <v>544</v>
      </c>
      <c r="AQ53" s="449" t="s">
        <v>544</v>
      </c>
      <c r="AR53" s="449" t="s">
        <v>544</v>
      </c>
      <c r="AS53" s="449" t="s">
        <v>544</v>
      </c>
      <c r="AT53" s="449" t="s">
        <v>544</v>
      </c>
      <c r="AU53" s="449" t="s">
        <v>544</v>
      </c>
      <c r="AV53" s="449" t="s">
        <v>544</v>
      </c>
      <c r="AW53" s="449" t="s">
        <v>544</v>
      </c>
      <c r="AX53" s="449" t="s">
        <v>544</v>
      </c>
      <c r="AY53" s="449" t="s">
        <v>544</v>
      </c>
      <c r="AZ53" s="449" t="s">
        <v>544</v>
      </c>
      <c r="BA53" s="449" t="s">
        <v>544</v>
      </c>
      <c r="BB53" s="449" t="s">
        <v>544</v>
      </c>
      <c r="BC53" s="449" t="s">
        <v>544</v>
      </c>
      <c r="BD53" s="449" t="s">
        <v>544</v>
      </c>
      <c r="BE53" s="449" t="s">
        <v>544</v>
      </c>
      <c r="BF53" s="449" t="s">
        <v>544</v>
      </c>
      <c r="BG53" s="449" t="s">
        <v>544</v>
      </c>
      <c r="BH53" s="449" t="s">
        <v>544</v>
      </c>
      <c r="BI53" s="448" t="s">
        <v>544</v>
      </c>
      <c r="BJ53" s="448" t="s">
        <v>544</v>
      </c>
      <c r="BK53" s="449" t="s">
        <v>544</v>
      </c>
      <c r="BL53" s="448" t="s">
        <v>549</v>
      </c>
      <c r="BM53" s="448" t="s">
        <v>544</v>
      </c>
      <c r="BN53" s="448" t="s">
        <v>544</v>
      </c>
      <c r="BO53" s="448" t="s">
        <v>544</v>
      </c>
      <c r="BP53" s="448" t="s">
        <v>549</v>
      </c>
      <c r="BQ53" s="448" t="s">
        <v>549</v>
      </c>
      <c r="BR53" s="448" t="s">
        <v>549</v>
      </c>
      <c r="BS53" s="449" t="s">
        <v>544</v>
      </c>
      <c r="BT53" s="449" t="s">
        <v>544</v>
      </c>
      <c r="BU53" s="448" t="s">
        <v>544</v>
      </c>
      <c r="BV53" s="449" t="s">
        <v>544</v>
      </c>
      <c r="BW53" s="449"/>
      <c r="BX53" s="449"/>
      <c r="BY53" s="449" t="s">
        <v>544</v>
      </c>
      <c r="BZ53" s="449" t="s">
        <v>544</v>
      </c>
    </row>
    <row r="54" spans="1:78" ht="15.75" thickBot="1">
      <c r="A54" s="426" t="s">
        <v>666</v>
      </c>
      <c r="B54" s="432" t="s">
        <v>667</v>
      </c>
      <c r="C54" s="427" t="s">
        <v>668</v>
      </c>
      <c r="D54" s="448" t="s">
        <v>544</v>
      </c>
      <c r="E54" s="454" t="s">
        <v>546</v>
      </c>
      <c r="F54" s="449" t="s">
        <v>544</v>
      </c>
      <c r="G54" s="449" t="s">
        <v>544</v>
      </c>
      <c r="H54" s="449" t="s">
        <v>544</v>
      </c>
      <c r="I54" s="448" t="s">
        <v>544</v>
      </c>
      <c r="J54" s="448" t="s">
        <v>544</v>
      </c>
      <c r="K54" s="448" t="s">
        <v>544</v>
      </c>
      <c r="L54" s="448" t="s">
        <v>544</v>
      </c>
      <c r="M54" s="454" t="s">
        <v>546</v>
      </c>
      <c r="N54" s="448" t="s">
        <v>544</v>
      </c>
      <c r="O54" s="454" t="s">
        <v>546</v>
      </c>
      <c r="P54" s="452" t="s">
        <v>545</v>
      </c>
      <c r="Q54" s="448" t="s">
        <v>544</v>
      </c>
      <c r="R54" s="448" t="s">
        <v>544</v>
      </c>
      <c r="S54" s="448" t="s">
        <v>544</v>
      </c>
      <c r="T54" s="448" t="s">
        <v>544</v>
      </c>
      <c r="U54" s="454" t="s">
        <v>546</v>
      </c>
      <c r="V54" s="454" t="s">
        <v>546</v>
      </c>
      <c r="W54" s="451" t="s">
        <v>547</v>
      </c>
      <c r="X54" s="448" t="s">
        <v>544</v>
      </c>
      <c r="Y54" s="452" t="s">
        <v>545</v>
      </c>
      <c r="Z54" s="449" t="s">
        <v>544</v>
      </c>
      <c r="AA54" s="449" t="s">
        <v>544</v>
      </c>
      <c r="AB54" s="449" t="s">
        <v>544</v>
      </c>
      <c r="AC54" s="450" t="s">
        <v>545</v>
      </c>
      <c r="AD54" s="449" t="s">
        <v>544</v>
      </c>
      <c r="AE54" s="449" t="s">
        <v>544</v>
      </c>
      <c r="AF54" s="452" t="s">
        <v>545</v>
      </c>
      <c r="AG54" s="454" t="s">
        <v>546</v>
      </c>
      <c r="AH54" s="449" t="s">
        <v>544</v>
      </c>
      <c r="AI54" s="448" t="s">
        <v>544</v>
      </c>
      <c r="AJ54" s="454" t="s">
        <v>546</v>
      </c>
      <c r="AK54" s="449" t="s">
        <v>544</v>
      </c>
      <c r="AL54" s="448" t="s">
        <v>544</v>
      </c>
      <c r="AM54" s="448" t="s">
        <v>544</v>
      </c>
      <c r="AN54" s="454" t="s">
        <v>546</v>
      </c>
      <c r="AO54" s="454" t="s">
        <v>546</v>
      </c>
      <c r="AP54" s="448" t="s">
        <v>544</v>
      </c>
      <c r="AQ54" s="448" t="s">
        <v>544</v>
      </c>
      <c r="AR54" s="452" t="s">
        <v>545</v>
      </c>
      <c r="AS54" s="452" t="s">
        <v>545</v>
      </c>
      <c r="AT54" s="448" t="s">
        <v>544</v>
      </c>
      <c r="AU54" s="448" t="s">
        <v>544</v>
      </c>
      <c r="AV54" s="448" t="s">
        <v>544</v>
      </c>
      <c r="AW54" s="448" t="s">
        <v>544</v>
      </c>
      <c r="AX54" s="448" t="s">
        <v>544</v>
      </c>
      <c r="AY54" s="452" t="s">
        <v>545</v>
      </c>
      <c r="AZ54" s="452" t="s">
        <v>545</v>
      </c>
      <c r="BA54" s="452" t="s">
        <v>545</v>
      </c>
      <c r="BB54" s="452" t="s">
        <v>545</v>
      </c>
      <c r="BC54" s="452" t="s">
        <v>545</v>
      </c>
      <c r="BD54" s="452" t="s">
        <v>545</v>
      </c>
      <c r="BE54" s="452" t="s">
        <v>545</v>
      </c>
      <c r="BF54" s="452" t="s">
        <v>545</v>
      </c>
      <c r="BG54" s="452" t="s">
        <v>545</v>
      </c>
      <c r="BH54" s="452" t="s">
        <v>545</v>
      </c>
      <c r="BI54" s="448" t="s">
        <v>544</v>
      </c>
      <c r="BJ54" s="454" t="s">
        <v>546</v>
      </c>
      <c r="BK54" s="448" t="s">
        <v>544</v>
      </c>
      <c r="BL54" s="448" t="s">
        <v>549</v>
      </c>
      <c r="BM54" s="452" t="s">
        <v>545</v>
      </c>
      <c r="BN54" s="448" t="s">
        <v>544</v>
      </c>
      <c r="BO54" s="454" t="s">
        <v>546</v>
      </c>
      <c r="BP54" s="454" t="s">
        <v>549</v>
      </c>
      <c r="BQ54" s="454" t="s">
        <v>549</v>
      </c>
      <c r="BR54" s="452" t="s">
        <v>545</v>
      </c>
      <c r="BS54" s="449" t="s">
        <v>544</v>
      </c>
      <c r="BT54" s="448" t="s">
        <v>544</v>
      </c>
      <c r="BU54" s="448" t="s">
        <v>544</v>
      </c>
      <c r="BV54" s="454" t="s">
        <v>545</v>
      </c>
      <c r="BW54" s="454"/>
      <c r="BX54" s="454"/>
      <c r="BY54" s="454" t="s">
        <v>546</v>
      </c>
      <c r="BZ54" s="454" t="s">
        <v>546</v>
      </c>
    </row>
    <row r="55" spans="1:78" ht="15.75" thickBot="1">
      <c r="A55" s="560" t="s">
        <v>669</v>
      </c>
      <c r="B55" s="432" t="s">
        <v>670</v>
      </c>
      <c r="C55" s="427" t="s">
        <v>654</v>
      </c>
      <c r="D55" s="448" t="s">
        <v>544</v>
      </c>
      <c r="E55" s="448" t="s">
        <v>544</v>
      </c>
      <c r="F55" s="449" t="s">
        <v>544</v>
      </c>
      <c r="G55" s="449" t="s">
        <v>544</v>
      </c>
      <c r="H55" s="449" t="s">
        <v>544</v>
      </c>
      <c r="I55" s="448" t="s">
        <v>544</v>
      </c>
      <c r="J55" s="448" t="s">
        <v>544</v>
      </c>
      <c r="K55" s="448" t="s">
        <v>544</v>
      </c>
      <c r="L55" s="448" t="s">
        <v>544</v>
      </c>
      <c r="M55" s="448" t="s">
        <v>544</v>
      </c>
      <c r="N55" s="448" t="s">
        <v>544</v>
      </c>
      <c r="O55" s="448" t="s">
        <v>544</v>
      </c>
      <c r="P55" s="448" t="s">
        <v>544</v>
      </c>
      <c r="Q55" s="448" t="s">
        <v>544</v>
      </c>
      <c r="R55" s="448" t="s">
        <v>544</v>
      </c>
      <c r="S55" s="448" t="s">
        <v>544</v>
      </c>
      <c r="T55" s="448" t="s">
        <v>544</v>
      </c>
      <c r="U55" s="448" t="s">
        <v>544</v>
      </c>
      <c r="V55" s="454" t="s">
        <v>546</v>
      </c>
      <c r="W55" s="448" t="s">
        <v>544</v>
      </c>
      <c r="X55" s="448" t="s">
        <v>544</v>
      </c>
      <c r="Y55" s="448" t="s">
        <v>544</v>
      </c>
      <c r="Z55" s="449" t="s">
        <v>544</v>
      </c>
      <c r="AA55" s="449" t="s">
        <v>544</v>
      </c>
      <c r="AB55" s="449" t="s">
        <v>544</v>
      </c>
      <c r="AC55" s="449" t="s">
        <v>544</v>
      </c>
      <c r="AD55" s="449" t="s">
        <v>544</v>
      </c>
      <c r="AE55" s="449" t="s">
        <v>544</v>
      </c>
      <c r="AF55" s="448" t="s">
        <v>544</v>
      </c>
      <c r="AG55" s="454" t="s">
        <v>546</v>
      </c>
      <c r="AH55" s="449" t="s">
        <v>544</v>
      </c>
      <c r="AI55" s="448" t="s">
        <v>544</v>
      </c>
      <c r="AJ55" s="448" t="s">
        <v>544</v>
      </c>
      <c r="AK55" s="449" t="s">
        <v>544</v>
      </c>
      <c r="AL55" s="448" t="s">
        <v>544</v>
      </c>
      <c r="AM55" s="448" t="s">
        <v>544</v>
      </c>
      <c r="AN55" s="448" t="s">
        <v>544</v>
      </c>
      <c r="AO55" s="448" t="s">
        <v>544</v>
      </c>
      <c r="AP55" s="448" t="s">
        <v>544</v>
      </c>
      <c r="AQ55" s="448" t="s">
        <v>544</v>
      </c>
      <c r="AR55" s="448" t="s">
        <v>544</v>
      </c>
      <c r="AS55" s="448" t="s">
        <v>544</v>
      </c>
      <c r="AT55" s="448" t="s">
        <v>544</v>
      </c>
      <c r="AU55" s="448" t="s">
        <v>544</v>
      </c>
      <c r="AV55" s="448" t="s">
        <v>544</v>
      </c>
      <c r="AW55" s="448" t="s">
        <v>544</v>
      </c>
      <c r="AX55" s="448" t="s">
        <v>544</v>
      </c>
      <c r="AY55" s="448" t="s">
        <v>544</v>
      </c>
      <c r="AZ55" s="448" t="s">
        <v>544</v>
      </c>
      <c r="BA55" s="448" t="s">
        <v>544</v>
      </c>
      <c r="BB55" s="448" t="s">
        <v>544</v>
      </c>
      <c r="BC55" s="448" t="s">
        <v>544</v>
      </c>
      <c r="BD55" s="448" t="s">
        <v>544</v>
      </c>
      <c r="BE55" s="448" t="s">
        <v>544</v>
      </c>
      <c r="BF55" s="448" t="s">
        <v>544</v>
      </c>
      <c r="BG55" s="448" t="s">
        <v>544</v>
      </c>
      <c r="BH55" s="448" t="s">
        <v>544</v>
      </c>
      <c r="BI55" s="448" t="s">
        <v>544</v>
      </c>
      <c r="BJ55" s="448" t="s">
        <v>544</v>
      </c>
      <c r="BK55" s="448" t="s">
        <v>544</v>
      </c>
      <c r="BL55" s="448" t="s">
        <v>549</v>
      </c>
      <c r="BM55" s="448" t="s">
        <v>544</v>
      </c>
      <c r="BN55" s="448" t="s">
        <v>544</v>
      </c>
      <c r="BO55" s="448" t="s">
        <v>544</v>
      </c>
      <c r="BP55" s="448" t="s">
        <v>549</v>
      </c>
      <c r="BQ55" s="448" t="s">
        <v>549</v>
      </c>
      <c r="BR55" s="448" t="s">
        <v>549</v>
      </c>
      <c r="BS55" s="449" t="s">
        <v>544</v>
      </c>
      <c r="BT55" s="448" t="s">
        <v>544</v>
      </c>
      <c r="BU55" s="448" t="s">
        <v>544</v>
      </c>
      <c r="BV55" s="448" t="s">
        <v>544</v>
      </c>
      <c r="BW55" s="448"/>
      <c r="BX55" s="448"/>
      <c r="BY55" s="448" t="s">
        <v>544</v>
      </c>
      <c r="BZ55" s="448" t="s">
        <v>544</v>
      </c>
    </row>
    <row r="56" spans="1:78" ht="15.75" thickBot="1">
      <c r="A56" s="560"/>
      <c r="B56" s="432" t="s">
        <v>671</v>
      </c>
      <c r="C56" s="427" t="s">
        <v>672</v>
      </c>
      <c r="D56" s="448" t="s">
        <v>544</v>
      </c>
      <c r="E56" s="452" t="s">
        <v>545</v>
      </c>
      <c r="F56" s="449" t="s">
        <v>544</v>
      </c>
      <c r="G56" s="449" t="s">
        <v>544</v>
      </c>
      <c r="H56" s="449" t="s">
        <v>544</v>
      </c>
      <c r="I56" s="448" t="s">
        <v>544</v>
      </c>
      <c r="J56" s="448" t="s">
        <v>544</v>
      </c>
      <c r="K56" s="448" t="s">
        <v>544</v>
      </c>
      <c r="L56" s="448" t="s">
        <v>544</v>
      </c>
      <c r="M56" s="452" t="s">
        <v>545</v>
      </c>
      <c r="N56" s="448" t="s">
        <v>544</v>
      </c>
      <c r="O56" s="452" t="s">
        <v>545</v>
      </c>
      <c r="P56" s="448" t="s">
        <v>544</v>
      </c>
      <c r="Q56" s="452" t="s">
        <v>545</v>
      </c>
      <c r="R56" s="448" t="s">
        <v>544</v>
      </c>
      <c r="S56" s="448" t="s">
        <v>544</v>
      </c>
      <c r="T56" s="448" t="s">
        <v>544</v>
      </c>
      <c r="U56" s="452" t="s">
        <v>545</v>
      </c>
      <c r="V56" s="452" t="s">
        <v>545</v>
      </c>
      <c r="W56" s="448" t="s">
        <v>544</v>
      </c>
      <c r="X56" s="448" t="s">
        <v>544</v>
      </c>
      <c r="Y56" s="448" t="s">
        <v>544</v>
      </c>
      <c r="Z56" s="449" t="s">
        <v>544</v>
      </c>
      <c r="AA56" s="449" t="s">
        <v>544</v>
      </c>
      <c r="AB56" s="449" t="s">
        <v>544</v>
      </c>
      <c r="AC56" s="449" t="s">
        <v>544</v>
      </c>
      <c r="AD56" s="449" t="s">
        <v>544</v>
      </c>
      <c r="AE56" s="449" t="s">
        <v>544</v>
      </c>
      <c r="AF56" s="448" t="s">
        <v>544</v>
      </c>
      <c r="AG56" s="452" t="s">
        <v>545</v>
      </c>
      <c r="AH56" s="449" t="s">
        <v>544</v>
      </c>
      <c r="AI56" s="448" t="s">
        <v>544</v>
      </c>
      <c r="AJ56" s="448" t="s">
        <v>544</v>
      </c>
      <c r="AK56" s="449" t="s">
        <v>544</v>
      </c>
      <c r="AL56" s="448" t="s">
        <v>544</v>
      </c>
      <c r="AM56" s="448" t="s">
        <v>544</v>
      </c>
      <c r="AN56" s="448" t="s">
        <v>544</v>
      </c>
      <c r="AO56" s="448" t="s">
        <v>544</v>
      </c>
      <c r="AP56" s="448" t="s">
        <v>544</v>
      </c>
      <c r="AQ56" s="448" t="s">
        <v>544</v>
      </c>
      <c r="AR56" s="448" t="s">
        <v>544</v>
      </c>
      <c r="AS56" s="448" t="s">
        <v>544</v>
      </c>
      <c r="AT56" s="448" t="s">
        <v>544</v>
      </c>
      <c r="AU56" s="448" t="s">
        <v>544</v>
      </c>
      <c r="AV56" s="448" t="s">
        <v>544</v>
      </c>
      <c r="AW56" s="448" t="s">
        <v>544</v>
      </c>
      <c r="AX56" s="448" t="s">
        <v>544</v>
      </c>
      <c r="AY56" s="448" t="s">
        <v>544</v>
      </c>
      <c r="AZ56" s="448" t="s">
        <v>544</v>
      </c>
      <c r="BA56" s="448" t="s">
        <v>544</v>
      </c>
      <c r="BB56" s="448" t="s">
        <v>544</v>
      </c>
      <c r="BC56" s="448" t="s">
        <v>544</v>
      </c>
      <c r="BD56" s="448" t="s">
        <v>544</v>
      </c>
      <c r="BE56" s="448" t="s">
        <v>544</v>
      </c>
      <c r="BF56" s="448" t="s">
        <v>544</v>
      </c>
      <c r="BG56" s="448" t="s">
        <v>544</v>
      </c>
      <c r="BH56" s="448" t="s">
        <v>544</v>
      </c>
      <c r="BI56" s="448" t="s">
        <v>544</v>
      </c>
      <c r="BJ56" s="448" t="s">
        <v>544</v>
      </c>
      <c r="BK56" s="448" t="s">
        <v>544</v>
      </c>
      <c r="BL56" s="448" t="s">
        <v>549</v>
      </c>
      <c r="BM56" s="448" t="s">
        <v>544</v>
      </c>
      <c r="BN56" s="448" t="s">
        <v>544</v>
      </c>
      <c r="BO56" s="448" t="s">
        <v>544</v>
      </c>
      <c r="BP56" s="448" t="s">
        <v>549</v>
      </c>
      <c r="BQ56" s="448" t="s">
        <v>549</v>
      </c>
      <c r="BR56" s="448" t="s">
        <v>549</v>
      </c>
      <c r="BS56" s="449" t="s">
        <v>544</v>
      </c>
      <c r="BT56" s="448" t="s">
        <v>544</v>
      </c>
      <c r="BU56" s="448" t="s">
        <v>544</v>
      </c>
      <c r="BV56" s="448" t="s">
        <v>544</v>
      </c>
      <c r="BW56" s="448"/>
      <c r="BX56" s="448"/>
      <c r="BY56" s="448" t="s">
        <v>544</v>
      </c>
      <c r="BZ56" s="448" t="s">
        <v>544</v>
      </c>
    </row>
    <row r="57" spans="1:78" ht="15.75" thickBot="1">
      <c r="A57" s="560"/>
      <c r="B57" s="432" t="s">
        <v>439</v>
      </c>
      <c r="C57" s="427" t="s">
        <v>673</v>
      </c>
      <c r="D57" s="448" t="s">
        <v>544</v>
      </c>
      <c r="E57" s="452" t="s">
        <v>545</v>
      </c>
      <c r="F57" s="450" t="s">
        <v>545</v>
      </c>
      <c r="G57" s="450" t="s">
        <v>545</v>
      </c>
      <c r="H57" s="449" t="s">
        <v>544</v>
      </c>
      <c r="I57" s="448" t="s">
        <v>544</v>
      </c>
      <c r="J57" s="452" t="s">
        <v>545</v>
      </c>
      <c r="K57" s="452" t="s">
        <v>545</v>
      </c>
      <c r="L57" s="452" t="s">
        <v>545</v>
      </c>
      <c r="M57" s="452" t="s">
        <v>545</v>
      </c>
      <c r="N57" s="452" t="s">
        <v>545</v>
      </c>
      <c r="O57" s="452" t="s">
        <v>545</v>
      </c>
      <c r="P57" s="452" t="s">
        <v>545</v>
      </c>
      <c r="Q57" s="452" t="s">
        <v>545</v>
      </c>
      <c r="R57" s="452" t="s">
        <v>545</v>
      </c>
      <c r="S57" s="448" t="s">
        <v>544</v>
      </c>
      <c r="T57" s="448" t="s">
        <v>544</v>
      </c>
      <c r="U57" s="452" t="s">
        <v>545</v>
      </c>
      <c r="V57" s="452" t="s">
        <v>545</v>
      </c>
      <c r="W57" s="448" t="s">
        <v>544</v>
      </c>
      <c r="X57" s="452" t="s">
        <v>545</v>
      </c>
      <c r="Y57" s="452" t="s">
        <v>545</v>
      </c>
      <c r="Z57" s="449" t="s">
        <v>544</v>
      </c>
      <c r="AA57" s="449" t="s">
        <v>544</v>
      </c>
      <c r="AB57" s="450" t="s">
        <v>545</v>
      </c>
      <c r="AC57" s="450" t="s">
        <v>545</v>
      </c>
      <c r="AD57" s="449" t="s">
        <v>544</v>
      </c>
      <c r="AE57" s="450" t="s">
        <v>545</v>
      </c>
      <c r="AF57" s="452" t="s">
        <v>545</v>
      </c>
      <c r="AG57" s="452" t="s">
        <v>545</v>
      </c>
      <c r="AH57" s="449" t="s">
        <v>544</v>
      </c>
      <c r="AI57" s="452" t="s">
        <v>545</v>
      </c>
      <c r="AJ57" s="454" t="s">
        <v>546</v>
      </c>
      <c r="AK57" s="449" t="s">
        <v>544</v>
      </c>
      <c r="AL57" s="452" t="s">
        <v>545</v>
      </c>
      <c r="AM57" s="452" t="s">
        <v>545</v>
      </c>
      <c r="AN57" s="452" t="s">
        <v>545</v>
      </c>
      <c r="AO57" s="454" t="s">
        <v>546</v>
      </c>
      <c r="AP57" s="448" t="s">
        <v>544</v>
      </c>
      <c r="AQ57" s="452" t="s">
        <v>545</v>
      </c>
      <c r="AR57" s="448" t="s">
        <v>544</v>
      </c>
      <c r="AS57" s="448" t="s">
        <v>544</v>
      </c>
      <c r="AT57" s="448" t="s">
        <v>544</v>
      </c>
      <c r="AU57" s="448" t="s">
        <v>544</v>
      </c>
      <c r="AV57" s="452" t="s">
        <v>545</v>
      </c>
      <c r="AW57" s="448" t="s">
        <v>544</v>
      </c>
      <c r="AX57" s="448" t="s">
        <v>544</v>
      </c>
      <c r="AY57" s="452" t="s">
        <v>545</v>
      </c>
      <c r="AZ57" s="452" t="s">
        <v>545</v>
      </c>
      <c r="BA57" s="452" t="s">
        <v>545</v>
      </c>
      <c r="BB57" s="452" t="s">
        <v>545</v>
      </c>
      <c r="BC57" s="452" t="s">
        <v>545</v>
      </c>
      <c r="BD57" s="452" t="s">
        <v>545</v>
      </c>
      <c r="BE57" s="452" t="s">
        <v>545</v>
      </c>
      <c r="BF57" s="448" t="s">
        <v>544</v>
      </c>
      <c r="BG57" s="452" t="s">
        <v>545</v>
      </c>
      <c r="BH57" s="448" t="s">
        <v>544</v>
      </c>
      <c r="BI57" s="452" t="s">
        <v>545</v>
      </c>
      <c r="BJ57" s="448" t="s">
        <v>544</v>
      </c>
      <c r="BK57" s="452" t="s">
        <v>545</v>
      </c>
      <c r="BL57" s="448" t="s">
        <v>549</v>
      </c>
      <c r="BM57" s="452" t="s">
        <v>545</v>
      </c>
      <c r="BN57" s="452" t="s">
        <v>545</v>
      </c>
      <c r="BO57" s="454" t="s">
        <v>546</v>
      </c>
      <c r="BP57" s="454" t="s">
        <v>549</v>
      </c>
      <c r="BQ57" s="454" t="s">
        <v>549</v>
      </c>
      <c r="BR57" s="452" t="s">
        <v>545</v>
      </c>
      <c r="BS57" s="449" t="s">
        <v>544</v>
      </c>
      <c r="BT57" s="452" t="s">
        <v>545</v>
      </c>
      <c r="BU57" s="452" t="s">
        <v>545</v>
      </c>
      <c r="BV57" s="452" t="s">
        <v>545</v>
      </c>
      <c r="BW57" s="452"/>
      <c r="BX57" s="452"/>
      <c r="BY57" s="452" t="s">
        <v>545</v>
      </c>
      <c r="BZ57" s="452" t="s">
        <v>545</v>
      </c>
    </row>
    <row r="58" spans="1:78" ht="15.75" thickBot="1">
      <c r="A58" s="560"/>
      <c r="B58" s="432" t="s">
        <v>674</v>
      </c>
      <c r="C58" s="427" t="s">
        <v>675</v>
      </c>
      <c r="D58" s="448" t="s">
        <v>544</v>
      </c>
      <c r="E58" s="452" t="s">
        <v>545</v>
      </c>
      <c r="F58" s="450" t="s">
        <v>545</v>
      </c>
      <c r="G58" s="450" t="s">
        <v>545</v>
      </c>
      <c r="H58" s="449" t="s">
        <v>544</v>
      </c>
      <c r="I58" s="448" t="s">
        <v>544</v>
      </c>
      <c r="J58" s="452" t="s">
        <v>545</v>
      </c>
      <c r="K58" s="452" t="s">
        <v>545</v>
      </c>
      <c r="L58" s="452" t="s">
        <v>545</v>
      </c>
      <c r="M58" s="452" t="s">
        <v>545</v>
      </c>
      <c r="N58" s="448" t="s">
        <v>544</v>
      </c>
      <c r="O58" s="448" t="s">
        <v>544</v>
      </c>
      <c r="P58" s="452" t="s">
        <v>545</v>
      </c>
      <c r="Q58" s="452" t="s">
        <v>545</v>
      </c>
      <c r="R58" s="448" t="s">
        <v>544</v>
      </c>
      <c r="S58" s="448" t="s">
        <v>544</v>
      </c>
      <c r="T58" s="448" t="s">
        <v>544</v>
      </c>
      <c r="U58" s="452" t="s">
        <v>545</v>
      </c>
      <c r="V58" s="452" t="s">
        <v>545</v>
      </c>
      <c r="W58" s="448" t="s">
        <v>544</v>
      </c>
      <c r="X58" s="448" t="s">
        <v>544</v>
      </c>
      <c r="Y58" s="452" t="s">
        <v>545</v>
      </c>
      <c r="Z58" s="449" t="s">
        <v>544</v>
      </c>
      <c r="AA58" s="449" t="s">
        <v>544</v>
      </c>
      <c r="AB58" s="449" t="s">
        <v>544</v>
      </c>
      <c r="AC58" s="450" t="s">
        <v>545</v>
      </c>
      <c r="AD58" s="449" t="s">
        <v>544</v>
      </c>
      <c r="AE58" s="449" t="s">
        <v>544</v>
      </c>
      <c r="AF58" s="452" t="s">
        <v>545</v>
      </c>
      <c r="AG58" s="448" t="s">
        <v>544</v>
      </c>
      <c r="AH58" s="449" t="s">
        <v>544</v>
      </c>
      <c r="AI58" s="448" t="s">
        <v>544</v>
      </c>
      <c r="AJ58" s="454" t="s">
        <v>546</v>
      </c>
      <c r="AK58" s="449" t="s">
        <v>544</v>
      </c>
      <c r="AL58" s="448" t="s">
        <v>544</v>
      </c>
      <c r="AM58" s="448" t="s">
        <v>544</v>
      </c>
      <c r="AN58" s="448" t="s">
        <v>544</v>
      </c>
      <c r="AO58" s="454" t="s">
        <v>546</v>
      </c>
      <c r="AP58" s="448" t="s">
        <v>544</v>
      </c>
      <c r="AQ58" s="448" t="s">
        <v>544</v>
      </c>
      <c r="AR58" s="448" t="s">
        <v>544</v>
      </c>
      <c r="AS58" s="452" t="s">
        <v>545</v>
      </c>
      <c r="AT58" s="448" t="s">
        <v>544</v>
      </c>
      <c r="AU58" s="448" t="s">
        <v>544</v>
      </c>
      <c r="AV58" s="448" t="s">
        <v>544</v>
      </c>
      <c r="AW58" s="448" t="s">
        <v>544</v>
      </c>
      <c r="AX58" s="452" t="s">
        <v>545</v>
      </c>
      <c r="AY58" s="452" t="s">
        <v>545</v>
      </c>
      <c r="AZ58" s="452" t="s">
        <v>545</v>
      </c>
      <c r="BA58" s="452" t="s">
        <v>545</v>
      </c>
      <c r="BB58" s="452" t="s">
        <v>545</v>
      </c>
      <c r="BC58" s="452" t="s">
        <v>545</v>
      </c>
      <c r="BD58" s="452" t="s">
        <v>545</v>
      </c>
      <c r="BE58" s="452" t="s">
        <v>545</v>
      </c>
      <c r="BF58" s="452" t="s">
        <v>545</v>
      </c>
      <c r="BG58" s="448" t="s">
        <v>544</v>
      </c>
      <c r="BH58" s="448" t="s">
        <v>544</v>
      </c>
      <c r="BI58" s="448" t="s">
        <v>544</v>
      </c>
      <c r="BJ58" s="448" t="s">
        <v>544</v>
      </c>
      <c r="BK58" s="452" t="s">
        <v>545</v>
      </c>
      <c r="BL58" s="448" t="s">
        <v>549</v>
      </c>
      <c r="BM58" s="452" t="s">
        <v>545</v>
      </c>
      <c r="BN58" s="448" t="s">
        <v>544</v>
      </c>
      <c r="BO58" s="454" t="s">
        <v>546</v>
      </c>
      <c r="BP58" s="454" t="s">
        <v>549</v>
      </c>
      <c r="BQ58" s="454" t="s">
        <v>549</v>
      </c>
      <c r="BR58" s="452" t="s">
        <v>545</v>
      </c>
      <c r="BS58" s="449" t="s">
        <v>544</v>
      </c>
      <c r="BT58" s="452" t="s">
        <v>545</v>
      </c>
      <c r="BU58" s="448" t="s">
        <v>544</v>
      </c>
      <c r="BV58" s="452" t="s">
        <v>545</v>
      </c>
      <c r="BW58" s="452"/>
      <c r="BX58" s="452"/>
      <c r="BY58" s="452" t="s">
        <v>545</v>
      </c>
      <c r="BZ58" s="452" t="s">
        <v>545</v>
      </c>
    </row>
    <row r="59" spans="1:78" ht="15.75" thickBot="1">
      <c r="A59" s="428"/>
      <c r="B59" s="432" t="s">
        <v>676</v>
      </c>
      <c r="C59" s="427" t="s">
        <v>677</v>
      </c>
      <c r="D59" s="448" t="s">
        <v>544</v>
      </c>
      <c r="E59" s="452" t="s">
        <v>545</v>
      </c>
      <c r="F59" s="450" t="s">
        <v>545</v>
      </c>
      <c r="G59" s="450" t="s">
        <v>545</v>
      </c>
      <c r="H59" s="449" t="s">
        <v>544</v>
      </c>
      <c r="I59" s="448" t="s">
        <v>544</v>
      </c>
      <c r="J59" s="448" t="s">
        <v>544</v>
      </c>
      <c r="K59" s="448" t="s">
        <v>544</v>
      </c>
      <c r="L59" s="452" t="s">
        <v>545</v>
      </c>
      <c r="M59" s="452" t="s">
        <v>545</v>
      </c>
      <c r="N59" s="448" t="s">
        <v>544</v>
      </c>
      <c r="O59" s="452" t="s">
        <v>545</v>
      </c>
      <c r="P59" s="448" t="s">
        <v>544</v>
      </c>
      <c r="Q59" s="452" t="s">
        <v>545</v>
      </c>
      <c r="R59" s="448" t="s">
        <v>544</v>
      </c>
      <c r="S59" s="448" t="s">
        <v>544</v>
      </c>
      <c r="T59" s="448" t="s">
        <v>544</v>
      </c>
      <c r="U59" s="452" t="s">
        <v>545</v>
      </c>
      <c r="V59" s="452" t="s">
        <v>545</v>
      </c>
      <c r="W59" s="448" t="s">
        <v>544</v>
      </c>
      <c r="X59" s="448" t="s">
        <v>544</v>
      </c>
      <c r="Y59" s="448" t="s">
        <v>544</v>
      </c>
      <c r="Z59" s="449" t="s">
        <v>544</v>
      </c>
      <c r="AA59" s="449" t="s">
        <v>544</v>
      </c>
      <c r="AB59" s="450" t="s">
        <v>545</v>
      </c>
      <c r="AC59" s="450" t="s">
        <v>545</v>
      </c>
      <c r="AD59" s="449" t="s">
        <v>544</v>
      </c>
      <c r="AE59" s="449" t="s">
        <v>544</v>
      </c>
      <c r="AF59" s="452" t="s">
        <v>545</v>
      </c>
      <c r="AG59" s="448" t="s">
        <v>544</v>
      </c>
      <c r="AH59" s="449" t="s">
        <v>544</v>
      </c>
      <c r="AI59" s="448" t="s">
        <v>544</v>
      </c>
      <c r="AJ59" s="454" t="s">
        <v>546</v>
      </c>
      <c r="AK59" s="449" t="s">
        <v>544</v>
      </c>
      <c r="AL59" s="448" t="s">
        <v>544</v>
      </c>
      <c r="AM59" s="448" t="s">
        <v>544</v>
      </c>
      <c r="AN59" s="448" t="s">
        <v>544</v>
      </c>
      <c r="AO59" s="454" t="s">
        <v>546</v>
      </c>
      <c r="AP59" s="448" t="s">
        <v>544</v>
      </c>
      <c r="AQ59" s="448" t="s">
        <v>544</v>
      </c>
      <c r="AR59" s="448" t="s">
        <v>544</v>
      </c>
      <c r="AS59" s="448" t="s">
        <v>544</v>
      </c>
      <c r="AT59" s="448" t="s">
        <v>544</v>
      </c>
      <c r="AU59" s="448" t="s">
        <v>544</v>
      </c>
      <c r="AV59" s="448" t="s">
        <v>544</v>
      </c>
      <c r="AW59" s="448" t="s">
        <v>544</v>
      </c>
      <c r="AX59" s="448" t="s">
        <v>544</v>
      </c>
      <c r="AY59" s="452" t="s">
        <v>545</v>
      </c>
      <c r="AZ59" s="448" t="s">
        <v>544</v>
      </c>
      <c r="BA59" s="452" t="s">
        <v>545</v>
      </c>
      <c r="BB59" s="452" t="s">
        <v>545</v>
      </c>
      <c r="BC59" s="452" t="s">
        <v>545</v>
      </c>
      <c r="BD59" s="452" t="s">
        <v>545</v>
      </c>
      <c r="BE59" s="452" t="s">
        <v>545</v>
      </c>
      <c r="BF59" s="448" t="s">
        <v>544</v>
      </c>
      <c r="BG59" s="452" t="s">
        <v>545</v>
      </c>
      <c r="BH59" s="448" t="s">
        <v>544</v>
      </c>
      <c r="BI59" s="448" t="s">
        <v>544</v>
      </c>
      <c r="BJ59" s="448" t="s">
        <v>544</v>
      </c>
      <c r="BK59" s="448" t="s">
        <v>544</v>
      </c>
      <c r="BL59" s="448" t="s">
        <v>549</v>
      </c>
      <c r="BM59" s="452" t="s">
        <v>545</v>
      </c>
      <c r="BN59" s="448" t="s">
        <v>544</v>
      </c>
      <c r="BO59" s="448" t="s">
        <v>544</v>
      </c>
      <c r="BP59" s="448" t="s">
        <v>549</v>
      </c>
      <c r="BQ59" s="448" t="s">
        <v>549</v>
      </c>
      <c r="BR59" s="448" t="s">
        <v>549</v>
      </c>
      <c r="BS59" s="449" t="s">
        <v>544</v>
      </c>
      <c r="BT59" s="452" t="s">
        <v>545</v>
      </c>
      <c r="BU59" s="448" t="s">
        <v>544</v>
      </c>
      <c r="BV59" s="452" t="s">
        <v>544</v>
      </c>
      <c r="BW59" s="452"/>
      <c r="BX59" s="452"/>
      <c r="BY59" s="452" t="s">
        <v>545</v>
      </c>
      <c r="BZ59" s="452" t="s">
        <v>545</v>
      </c>
    </row>
    <row r="60" spans="1:78" ht="15.75" thickBot="1">
      <c r="A60" s="428"/>
      <c r="B60" s="426" t="s">
        <v>666</v>
      </c>
      <c r="C60" s="427" t="s">
        <v>656</v>
      </c>
      <c r="D60" s="448" t="s">
        <v>544</v>
      </c>
      <c r="E60" s="448" t="s">
        <v>544</v>
      </c>
      <c r="F60" s="449" t="s">
        <v>544</v>
      </c>
      <c r="G60" s="449" t="s">
        <v>544</v>
      </c>
      <c r="H60" s="449" t="s">
        <v>544</v>
      </c>
      <c r="I60" s="448" t="s">
        <v>544</v>
      </c>
      <c r="J60" s="448" t="s">
        <v>544</v>
      </c>
      <c r="K60" s="448" t="s">
        <v>544</v>
      </c>
      <c r="L60" s="448" t="s">
        <v>544</v>
      </c>
      <c r="M60" s="448" t="s">
        <v>544</v>
      </c>
      <c r="N60" s="448" t="s">
        <v>544</v>
      </c>
      <c r="O60" s="448" t="s">
        <v>544</v>
      </c>
      <c r="P60" s="448" t="s">
        <v>544</v>
      </c>
      <c r="Q60" s="448" t="s">
        <v>544</v>
      </c>
      <c r="R60" s="448" t="s">
        <v>544</v>
      </c>
      <c r="S60" s="448" t="s">
        <v>544</v>
      </c>
      <c r="T60" s="448" t="s">
        <v>544</v>
      </c>
      <c r="U60" s="448" t="s">
        <v>544</v>
      </c>
      <c r="V60" s="448" t="s">
        <v>544</v>
      </c>
      <c r="W60" s="448" t="s">
        <v>544</v>
      </c>
      <c r="X60" s="448" t="s">
        <v>544</v>
      </c>
      <c r="Y60" s="448" t="s">
        <v>544</v>
      </c>
      <c r="Z60" s="450" t="s">
        <v>545</v>
      </c>
      <c r="AA60" s="449" t="s">
        <v>544</v>
      </c>
      <c r="AB60" s="449" t="s">
        <v>544</v>
      </c>
      <c r="AC60" s="449" t="s">
        <v>544</v>
      </c>
      <c r="AD60" s="449" t="s">
        <v>544</v>
      </c>
      <c r="AE60" s="450" t="s">
        <v>545</v>
      </c>
      <c r="AF60" s="448" t="s">
        <v>544</v>
      </c>
      <c r="AG60" s="448" t="s">
        <v>544</v>
      </c>
      <c r="AH60" s="449" t="s">
        <v>544</v>
      </c>
      <c r="AI60" s="448" t="s">
        <v>544</v>
      </c>
      <c r="AJ60" s="448" t="s">
        <v>544</v>
      </c>
      <c r="AK60" s="449" t="s">
        <v>544</v>
      </c>
      <c r="AL60" s="448" t="s">
        <v>544</v>
      </c>
      <c r="AM60" s="448" t="s">
        <v>544</v>
      </c>
      <c r="AN60" s="448" t="s">
        <v>544</v>
      </c>
      <c r="AO60" s="448" t="s">
        <v>544</v>
      </c>
      <c r="AP60" s="448" t="s">
        <v>544</v>
      </c>
      <c r="AQ60" s="448" t="s">
        <v>544</v>
      </c>
      <c r="AR60" s="448" t="s">
        <v>544</v>
      </c>
      <c r="AS60" s="448" t="s">
        <v>544</v>
      </c>
      <c r="AT60" s="448" t="s">
        <v>544</v>
      </c>
      <c r="AU60" s="448" t="s">
        <v>544</v>
      </c>
      <c r="AV60" s="448" t="s">
        <v>544</v>
      </c>
      <c r="AW60" s="448" t="s">
        <v>544</v>
      </c>
      <c r="AX60" s="448" t="s">
        <v>544</v>
      </c>
      <c r="AY60" s="448" t="s">
        <v>544</v>
      </c>
      <c r="AZ60" s="448" t="s">
        <v>544</v>
      </c>
      <c r="BA60" s="448" t="s">
        <v>544</v>
      </c>
      <c r="BB60" s="448" t="s">
        <v>544</v>
      </c>
      <c r="BC60" s="448" t="s">
        <v>544</v>
      </c>
      <c r="BD60" s="448" t="s">
        <v>544</v>
      </c>
      <c r="BE60" s="448" t="s">
        <v>544</v>
      </c>
      <c r="BF60" s="448" t="s">
        <v>544</v>
      </c>
      <c r="BG60" s="448" t="s">
        <v>544</v>
      </c>
      <c r="BH60" s="448" t="s">
        <v>544</v>
      </c>
      <c r="BI60" s="448" t="s">
        <v>544</v>
      </c>
      <c r="BJ60" s="448" t="s">
        <v>544</v>
      </c>
      <c r="BK60" s="448" t="s">
        <v>544</v>
      </c>
      <c r="BL60" s="448" t="s">
        <v>549</v>
      </c>
      <c r="BM60" s="448" t="s">
        <v>544</v>
      </c>
      <c r="BN60" s="448" t="s">
        <v>544</v>
      </c>
      <c r="BO60" s="448" t="s">
        <v>544</v>
      </c>
      <c r="BP60" s="448" t="s">
        <v>549</v>
      </c>
      <c r="BQ60" s="448" t="s">
        <v>549</v>
      </c>
      <c r="BR60" s="448" t="s">
        <v>549</v>
      </c>
      <c r="BS60" s="450" t="s">
        <v>545</v>
      </c>
      <c r="BT60" s="448" t="s">
        <v>544</v>
      </c>
      <c r="BU60" s="448" t="s">
        <v>544</v>
      </c>
      <c r="BV60" s="448" t="s">
        <v>544</v>
      </c>
      <c r="BW60" s="448"/>
      <c r="BX60" s="448"/>
      <c r="BY60" s="448" t="s">
        <v>544</v>
      </c>
      <c r="BZ60" s="448" t="s">
        <v>544</v>
      </c>
    </row>
    <row r="61" spans="1:78" ht="15.75" thickBot="1">
      <c r="A61" s="428"/>
      <c r="B61" s="426" t="s">
        <v>678</v>
      </c>
      <c r="C61" s="427" t="s">
        <v>679</v>
      </c>
      <c r="D61" s="448" t="s">
        <v>544</v>
      </c>
      <c r="E61" s="448" t="s">
        <v>544</v>
      </c>
      <c r="F61" s="449" t="s">
        <v>544</v>
      </c>
      <c r="G61" s="449" t="s">
        <v>544</v>
      </c>
      <c r="H61" s="449" t="s">
        <v>544</v>
      </c>
      <c r="I61" s="448" t="s">
        <v>544</v>
      </c>
      <c r="J61" s="448" t="s">
        <v>544</v>
      </c>
      <c r="K61" s="448" t="s">
        <v>544</v>
      </c>
      <c r="L61" s="448" t="s">
        <v>544</v>
      </c>
      <c r="M61" s="448" t="s">
        <v>544</v>
      </c>
      <c r="N61" s="448" t="s">
        <v>544</v>
      </c>
      <c r="O61" s="448" t="s">
        <v>544</v>
      </c>
      <c r="P61" s="452" t="s">
        <v>545</v>
      </c>
      <c r="Q61" s="448" t="s">
        <v>544</v>
      </c>
      <c r="R61" s="448" t="s">
        <v>544</v>
      </c>
      <c r="S61" s="448" t="s">
        <v>544</v>
      </c>
      <c r="T61" s="448" t="s">
        <v>544</v>
      </c>
      <c r="U61" s="448" t="s">
        <v>544</v>
      </c>
      <c r="V61" s="448" t="s">
        <v>544</v>
      </c>
      <c r="W61" s="451" t="s">
        <v>547</v>
      </c>
      <c r="X61" s="448" t="s">
        <v>544</v>
      </c>
      <c r="Y61" s="448" t="s">
        <v>544</v>
      </c>
      <c r="Z61" s="449" t="s">
        <v>544</v>
      </c>
      <c r="AA61" s="449" t="s">
        <v>544</v>
      </c>
      <c r="AB61" s="449" t="s">
        <v>544</v>
      </c>
      <c r="AC61" s="449" t="s">
        <v>544</v>
      </c>
      <c r="AD61" s="449" t="s">
        <v>544</v>
      </c>
      <c r="AE61" s="450" t="s">
        <v>545</v>
      </c>
      <c r="AF61" s="452" t="s">
        <v>545</v>
      </c>
      <c r="AG61" s="452" t="s">
        <v>545</v>
      </c>
      <c r="AH61" s="449" t="s">
        <v>544</v>
      </c>
      <c r="AI61" s="452" t="s">
        <v>545</v>
      </c>
      <c r="AJ61" s="452" t="s">
        <v>545</v>
      </c>
      <c r="AK61" s="450" t="s">
        <v>545</v>
      </c>
      <c r="AL61" s="448" t="s">
        <v>544</v>
      </c>
      <c r="AM61" s="452" t="s">
        <v>545</v>
      </c>
      <c r="AN61" s="448" t="s">
        <v>544</v>
      </c>
      <c r="AO61" s="448" t="s">
        <v>544</v>
      </c>
      <c r="AP61" s="448" t="s">
        <v>544</v>
      </c>
      <c r="AQ61" s="452" t="s">
        <v>545</v>
      </c>
      <c r="AR61" s="448" t="s">
        <v>544</v>
      </c>
      <c r="AS61" s="452" t="s">
        <v>545</v>
      </c>
      <c r="AT61" s="448" t="s">
        <v>544</v>
      </c>
      <c r="AU61" s="452" t="s">
        <v>545</v>
      </c>
      <c r="AV61" s="452" t="s">
        <v>545</v>
      </c>
      <c r="AW61" s="452" t="s">
        <v>545</v>
      </c>
      <c r="AX61" s="448" t="s">
        <v>544</v>
      </c>
      <c r="AY61" s="452" t="s">
        <v>545</v>
      </c>
      <c r="AZ61" s="452" t="s">
        <v>545</v>
      </c>
      <c r="BA61" s="452" t="s">
        <v>545</v>
      </c>
      <c r="BB61" s="452" t="s">
        <v>545</v>
      </c>
      <c r="BC61" s="452" t="s">
        <v>545</v>
      </c>
      <c r="BD61" s="452" t="s">
        <v>545</v>
      </c>
      <c r="BE61" s="452" t="s">
        <v>545</v>
      </c>
      <c r="BF61" s="452" t="s">
        <v>545</v>
      </c>
      <c r="BG61" s="448" t="s">
        <v>544</v>
      </c>
      <c r="BH61" s="448" t="s">
        <v>544</v>
      </c>
      <c r="BI61" s="452" t="s">
        <v>545</v>
      </c>
      <c r="BJ61" s="448" t="s">
        <v>544</v>
      </c>
      <c r="BK61" s="452" t="s">
        <v>545</v>
      </c>
      <c r="BL61" s="448" t="s">
        <v>549</v>
      </c>
      <c r="BM61" s="452" t="s">
        <v>545</v>
      </c>
      <c r="BN61" s="448" t="s">
        <v>544</v>
      </c>
      <c r="BO61" s="448" t="s">
        <v>544</v>
      </c>
      <c r="BP61" s="448" t="s">
        <v>549</v>
      </c>
      <c r="BQ61" s="448" t="s">
        <v>549</v>
      </c>
      <c r="BR61" s="448" t="s">
        <v>549</v>
      </c>
      <c r="BS61" s="449" t="s">
        <v>544</v>
      </c>
      <c r="BT61" s="448" t="s">
        <v>544</v>
      </c>
      <c r="BU61" s="448" t="s">
        <v>544</v>
      </c>
      <c r="BV61" s="452" t="s">
        <v>545</v>
      </c>
      <c r="BW61" s="452"/>
      <c r="BX61" s="452"/>
      <c r="BY61" s="452" t="s">
        <v>545</v>
      </c>
      <c r="BZ61" s="452" t="s">
        <v>545</v>
      </c>
    </row>
    <row r="62" spans="1:78" ht="15.75" thickBot="1">
      <c r="A62" s="428"/>
      <c r="B62" s="429" t="s">
        <v>680</v>
      </c>
      <c r="C62" s="427" t="s">
        <v>681</v>
      </c>
      <c r="D62" s="448" t="s">
        <v>544</v>
      </c>
      <c r="E62" s="448" t="s">
        <v>544</v>
      </c>
      <c r="F62" s="449" t="s">
        <v>544</v>
      </c>
      <c r="G62" s="449" t="s">
        <v>544</v>
      </c>
      <c r="H62" s="449" t="s">
        <v>544</v>
      </c>
      <c r="I62" s="448" t="s">
        <v>544</v>
      </c>
      <c r="J62" s="448" t="s">
        <v>544</v>
      </c>
      <c r="K62" s="448" t="s">
        <v>544</v>
      </c>
      <c r="L62" s="448" t="s">
        <v>544</v>
      </c>
      <c r="M62" s="448" t="s">
        <v>544</v>
      </c>
      <c r="N62" s="448" t="s">
        <v>544</v>
      </c>
      <c r="O62" s="448" t="s">
        <v>544</v>
      </c>
      <c r="P62" s="452" t="s">
        <v>545</v>
      </c>
      <c r="Q62" s="448" t="s">
        <v>544</v>
      </c>
      <c r="R62" s="448" t="s">
        <v>544</v>
      </c>
      <c r="S62" s="448" t="s">
        <v>544</v>
      </c>
      <c r="T62" s="448" t="s">
        <v>544</v>
      </c>
      <c r="U62" s="448" t="s">
        <v>544</v>
      </c>
      <c r="V62" s="448" t="s">
        <v>544</v>
      </c>
      <c r="W62" s="448" t="s">
        <v>544</v>
      </c>
      <c r="X62" s="448" t="s">
        <v>544</v>
      </c>
      <c r="Y62" s="452" t="s">
        <v>545</v>
      </c>
      <c r="Z62" s="450" t="s">
        <v>545</v>
      </c>
      <c r="AA62" s="449" t="s">
        <v>544</v>
      </c>
      <c r="AB62" s="449" t="s">
        <v>544</v>
      </c>
      <c r="AC62" s="450" t="s">
        <v>545</v>
      </c>
      <c r="AD62" s="450" t="s">
        <v>545</v>
      </c>
      <c r="AE62" s="449" t="s">
        <v>544</v>
      </c>
      <c r="AF62" s="448" t="s">
        <v>544</v>
      </c>
      <c r="AG62" s="448" t="s">
        <v>544</v>
      </c>
      <c r="AH62" s="449" t="s">
        <v>544</v>
      </c>
      <c r="AI62" s="448" t="s">
        <v>544</v>
      </c>
      <c r="AJ62" s="452" t="s">
        <v>545</v>
      </c>
      <c r="AK62" s="449" t="s">
        <v>544</v>
      </c>
      <c r="AL62" s="448" t="s">
        <v>544</v>
      </c>
      <c r="AM62" s="448" t="s">
        <v>544</v>
      </c>
      <c r="AN62" s="452" t="s">
        <v>545</v>
      </c>
      <c r="AO62" s="454" t="s">
        <v>546</v>
      </c>
      <c r="AP62" s="448" t="s">
        <v>544</v>
      </c>
      <c r="AQ62" s="448" t="s">
        <v>544</v>
      </c>
      <c r="AR62" s="448" t="s">
        <v>544</v>
      </c>
      <c r="AS62" s="448" t="s">
        <v>544</v>
      </c>
      <c r="AT62" s="448" t="s">
        <v>544</v>
      </c>
      <c r="AU62" s="452" t="s">
        <v>545</v>
      </c>
      <c r="AV62" s="452" t="s">
        <v>545</v>
      </c>
      <c r="AW62" s="448" t="s">
        <v>544</v>
      </c>
      <c r="AX62" s="448" t="s">
        <v>544</v>
      </c>
      <c r="AY62" s="452" t="s">
        <v>545</v>
      </c>
      <c r="AZ62" s="452" t="s">
        <v>545</v>
      </c>
      <c r="BA62" s="448" t="s">
        <v>544</v>
      </c>
      <c r="BB62" s="452" t="s">
        <v>545</v>
      </c>
      <c r="BC62" s="452" t="s">
        <v>545</v>
      </c>
      <c r="BD62" s="452" t="s">
        <v>545</v>
      </c>
      <c r="BE62" s="448" t="s">
        <v>544</v>
      </c>
      <c r="BF62" s="452" t="s">
        <v>545</v>
      </c>
      <c r="BG62" s="452" t="s">
        <v>545</v>
      </c>
      <c r="BH62" s="452" t="s">
        <v>545</v>
      </c>
      <c r="BI62" s="452" t="s">
        <v>545</v>
      </c>
      <c r="BJ62" s="452" t="s">
        <v>545</v>
      </c>
      <c r="BK62" s="448" t="s">
        <v>544</v>
      </c>
      <c r="BL62" s="448" t="s">
        <v>549</v>
      </c>
      <c r="BM62" s="452" t="s">
        <v>545</v>
      </c>
      <c r="BN62" s="452" t="s">
        <v>545</v>
      </c>
      <c r="BO62" s="452" t="s">
        <v>545</v>
      </c>
      <c r="BP62" s="452" t="s">
        <v>549</v>
      </c>
      <c r="BQ62" s="452" t="s">
        <v>549</v>
      </c>
      <c r="BR62" s="452" t="s">
        <v>549</v>
      </c>
      <c r="BS62" s="450" t="s">
        <v>545</v>
      </c>
      <c r="BT62" s="448" t="s">
        <v>544</v>
      </c>
      <c r="BU62" s="448" t="s">
        <v>544</v>
      </c>
      <c r="BV62" s="452" t="s">
        <v>545</v>
      </c>
      <c r="BW62" s="452"/>
      <c r="BX62" s="452"/>
      <c r="BY62" s="452" t="s">
        <v>545</v>
      </c>
      <c r="BZ62" s="452" t="s">
        <v>545</v>
      </c>
    </row>
    <row r="63" spans="1:78" ht="15.75" thickBot="1">
      <c r="A63" s="428"/>
      <c r="B63" s="429" t="s">
        <v>682</v>
      </c>
      <c r="C63" s="427" t="s">
        <v>683</v>
      </c>
      <c r="D63" s="448" t="s">
        <v>544</v>
      </c>
      <c r="E63" s="448" t="s">
        <v>544</v>
      </c>
      <c r="F63" s="449" t="s">
        <v>544</v>
      </c>
      <c r="G63" s="449" t="s">
        <v>544</v>
      </c>
      <c r="H63" s="449" t="s">
        <v>544</v>
      </c>
      <c r="I63" s="448" t="s">
        <v>544</v>
      </c>
      <c r="J63" s="448" t="s">
        <v>544</v>
      </c>
      <c r="K63" s="448" t="s">
        <v>544</v>
      </c>
      <c r="L63" s="448" t="s">
        <v>544</v>
      </c>
      <c r="M63" s="448" t="s">
        <v>544</v>
      </c>
      <c r="N63" s="448" t="s">
        <v>544</v>
      </c>
      <c r="O63" s="448" t="s">
        <v>544</v>
      </c>
      <c r="P63" s="448" t="s">
        <v>544</v>
      </c>
      <c r="Q63" s="448" t="s">
        <v>544</v>
      </c>
      <c r="R63" s="448" t="s">
        <v>544</v>
      </c>
      <c r="S63" s="448" t="s">
        <v>544</v>
      </c>
      <c r="T63" s="448" t="s">
        <v>544</v>
      </c>
      <c r="U63" s="448" t="s">
        <v>544</v>
      </c>
      <c r="V63" s="448" t="s">
        <v>544</v>
      </c>
      <c r="W63" s="448" t="s">
        <v>544</v>
      </c>
      <c r="X63" s="448" t="s">
        <v>544</v>
      </c>
      <c r="Y63" s="452" t="s">
        <v>545</v>
      </c>
      <c r="Z63" s="449" t="s">
        <v>544</v>
      </c>
      <c r="AA63" s="449" t="s">
        <v>544</v>
      </c>
      <c r="AB63" s="449" t="s">
        <v>544</v>
      </c>
      <c r="AC63" s="450" t="s">
        <v>545</v>
      </c>
      <c r="AD63" s="450" t="s">
        <v>545</v>
      </c>
      <c r="AE63" s="449" t="s">
        <v>544</v>
      </c>
      <c r="AF63" s="448" t="s">
        <v>544</v>
      </c>
      <c r="AG63" s="452" t="s">
        <v>545</v>
      </c>
      <c r="AH63" s="449" t="s">
        <v>544</v>
      </c>
      <c r="AI63" s="448" t="s">
        <v>544</v>
      </c>
      <c r="AJ63" s="452" t="s">
        <v>545</v>
      </c>
      <c r="AK63" s="450" t="s">
        <v>545</v>
      </c>
      <c r="AL63" s="448" t="s">
        <v>544</v>
      </c>
      <c r="AM63" s="448" t="s">
        <v>544</v>
      </c>
      <c r="AN63" s="452" t="s">
        <v>545</v>
      </c>
      <c r="AO63" s="448" t="s">
        <v>544</v>
      </c>
      <c r="AP63" s="454" t="s">
        <v>546</v>
      </c>
      <c r="AQ63" s="448" t="s">
        <v>544</v>
      </c>
      <c r="AR63" s="448" t="s">
        <v>544</v>
      </c>
      <c r="AS63" s="448" t="s">
        <v>544</v>
      </c>
      <c r="AT63" s="448" t="s">
        <v>544</v>
      </c>
      <c r="AU63" s="448" t="s">
        <v>544</v>
      </c>
      <c r="AV63" s="448" t="s">
        <v>544</v>
      </c>
      <c r="AW63" s="448" t="s">
        <v>544</v>
      </c>
      <c r="AX63" s="448" t="s">
        <v>544</v>
      </c>
      <c r="AY63" s="452" t="s">
        <v>545</v>
      </c>
      <c r="AZ63" s="452" t="s">
        <v>545</v>
      </c>
      <c r="BA63" s="448" t="s">
        <v>544</v>
      </c>
      <c r="BB63" s="452" t="s">
        <v>545</v>
      </c>
      <c r="BC63" s="452" t="s">
        <v>545</v>
      </c>
      <c r="BD63" s="452" t="s">
        <v>545</v>
      </c>
      <c r="BE63" s="448" t="s">
        <v>544</v>
      </c>
      <c r="BF63" s="448" t="s">
        <v>544</v>
      </c>
      <c r="BG63" s="452" t="s">
        <v>545</v>
      </c>
      <c r="BH63" s="448" t="s">
        <v>544</v>
      </c>
      <c r="BI63" s="452" t="s">
        <v>545</v>
      </c>
      <c r="BJ63" s="448" t="s">
        <v>544</v>
      </c>
      <c r="BK63" s="448" t="s">
        <v>544</v>
      </c>
      <c r="BL63" s="448" t="s">
        <v>549</v>
      </c>
      <c r="BM63" s="448" t="s">
        <v>544</v>
      </c>
      <c r="BN63" s="448" t="s">
        <v>544</v>
      </c>
      <c r="BO63" s="448" t="s">
        <v>544</v>
      </c>
      <c r="BP63" s="448" t="s">
        <v>549</v>
      </c>
      <c r="BQ63" s="448" t="s">
        <v>549</v>
      </c>
      <c r="BR63" s="448" t="s">
        <v>549</v>
      </c>
      <c r="BS63" s="449" t="s">
        <v>544</v>
      </c>
      <c r="BT63" s="448" t="s">
        <v>544</v>
      </c>
      <c r="BU63" s="448" t="s">
        <v>544</v>
      </c>
      <c r="BV63" s="451" t="s">
        <v>545</v>
      </c>
      <c r="BW63" s="451"/>
      <c r="BX63" s="451"/>
      <c r="BY63" s="451" t="s">
        <v>547</v>
      </c>
      <c r="BZ63" s="451" t="s">
        <v>547</v>
      </c>
    </row>
    <row r="64" spans="1:78" ht="15.75" thickBot="1">
      <c r="A64" s="428"/>
      <c r="B64" s="429" t="s">
        <v>684</v>
      </c>
      <c r="C64" s="427" t="s">
        <v>685</v>
      </c>
      <c r="D64" s="448" t="s">
        <v>544</v>
      </c>
      <c r="E64" s="448" t="s">
        <v>544</v>
      </c>
      <c r="F64" s="449" t="s">
        <v>544</v>
      </c>
      <c r="G64" s="449" t="s">
        <v>544</v>
      </c>
      <c r="H64" s="449" t="s">
        <v>544</v>
      </c>
      <c r="I64" s="448" t="s">
        <v>544</v>
      </c>
      <c r="J64" s="448" t="s">
        <v>544</v>
      </c>
      <c r="K64" s="448" t="s">
        <v>544</v>
      </c>
      <c r="L64" s="448" t="s">
        <v>544</v>
      </c>
      <c r="M64" s="448" t="s">
        <v>544</v>
      </c>
      <c r="N64" s="448" t="s">
        <v>544</v>
      </c>
      <c r="O64" s="448" t="s">
        <v>544</v>
      </c>
      <c r="P64" s="448" t="s">
        <v>544</v>
      </c>
      <c r="Q64" s="448" t="s">
        <v>544</v>
      </c>
      <c r="R64" s="448" t="s">
        <v>544</v>
      </c>
      <c r="S64" s="448" t="s">
        <v>544</v>
      </c>
      <c r="T64" s="448" t="s">
        <v>544</v>
      </c>
      <c r="U64" s="448" t="s">
        <v>544</v>
      </c>
      <c r="V64" s="448" t="s">
        <v>544</v>
      </c>
      <c r="W64" s="448" t="s">
        <v>544</v>
      </c>
      <c r="X64" s="448" t="s">
        <v>544</v>
      </c>
      <c r="Y64" s="452" t="s">
        <v>545</v>
      </c>
      <c r="Z64" s="449" t="s">
        <v>544</v>
      </c>
      <c r="AA64" s="449" t="s">
        <v>544</v>
      </c>
      <c r="AB64" s="449" t="s">
        <v>544</v>
      </c>
      <c r="AC64" s="450" t="s">
        <v>545</v>
      </c>
      <c r="AD64" s="450" t="s">
        <v>545</v>
      </c>
      <c r="AE64" s="449" t="s">
        <v>544</v>
      </c>
      <c r="AF64" s="448" t="s">
        <v>544</v>
      </c>
      <c r="AG64" s="452" t="s">
        <v>545</v>
      </c>
      <c r="AH64" s="449" t="s">
        <v>544</v>
      </c>
      <c r="AI64" s="448" t="s">
        <v>544</v>
      </c>
      <c r="AJ64" s="452" t="s">
        <v>545</v>
      </c>
      <c r="AK64" s="450" t="s">
        <v>545</v>
      </c>
      <c r="AL64" s="448" t="s">
        <v>544</v>
      </c>
      <c r="AM64" s="448" t="s">
        <v>544</v>
      </c>
      <c r="AN64" s="452" t="s">
        <v>545</v>
      </c>
      <c r="AO64" s="448" t="s">
        <v>544</v>
      </c>
      <c r="AP64" s="454" t="s">
        <v>546</v>
      </c>
      <c r="AQ64" s="448" t="s">
        <v>544</v>
      </c>
      <c r="AR64" s="448" t="s">
        <v>544</v>
      </c>
      <c r="AS64" s="448" t="s">
        <v>544</v>
      </c>
      <c r="AT64" s="448" t="s">
        <v>544</v>
      </c>
      <c r="AU64" s="448" t="s">
        <v>544</v>
      </c>
      <c r="AV64" s="448" t="s">
        <v>544</v>
      </c>
      <c r="AW64" s="448" t="s">
        <v>544</v>
      </c>
      <c r="AX64" s="448" t="s">
        <v>544</v>
      </c>
      <c r="AY64" s="452" t="s">
        <v>545</v>
      </c>
      <c r="AZ64" s="452" t="s">
        <v>545</v>
      </c>
      <c r="BA64" s="448" t="s">
        <v>544</v>
      </c>
      <c r="BB64" s="452" t="s">
        <v>545</v>
      </c>
      <c r="BC64" s="452" t="s">
        <v>545</v>
      </c>
      <c r="BD64" s="452" t="s">
        <v>545</v>
      </c>
      <c r="BE64" s="448" t="s">
        <v>544</v>
      </c>
      <c r="BF64" s="448" t="s">
        <v>544</v>
      </c>
      <c r="BG64" s="452" t="s">
        <v>545</v>
      </c>
      <c r="BH64" s="452" t="s">
        <v>545</v>
      </c>
      <c r="BI64" s="452" t="s">
        <v>545</v>
      </c>
      <c r="BJ64" s="452" t="s">
        <v>545</v>
      </c>
      <c r="BK64" s="448" t="s">
        <v>544</v>
      </c>
      <c r="BL64" s="448" t="s">
        <v>549</v>
      </c>
      <c r="BM64" s="452" t="s">
        <v>545</v>
      </c>
      <c r="BN64" s="448" t="s">
        <v>544</v>
      </c>
      <c r="BO64" s="448" t="s">
        <v>544</v>
      </c>
      <c r="BP64" s="448" t="s">
        <v>549</v>
      </c>
      <c r="BQ64" s="448" t="s">
        <v>549</v>
      </c>
      <c r="BR64" s="448" t="s">
        <v>549</v>
      </c>
      <c r="BS64" s="449" t="s">
        <v>544</v>
      </c>
      <c r="BT64" s="448" t="s">
        <v>544</v>
      </c>
      <c r="BU64" s="448" t="s">
        <v>544</v>
      </c>
      <c r="BV64" s="451" t="s">
        <v>545</v>
      </c>
      <c r="BW64" s="451"/>
      <c r="BX64" s="451"/>
      <c r="BY64" s="451" t="s">
        <v>547</v>
      </c>
      <c r="BZ64" s="451" t="s">
        <v>547</v>
      </c>
    </row>
    <row r="65" spans="1:78" ht="15.75" thickBot="1">
      <c r="A65" s="428"/>
      <c r="B65" s="430" t="s">
        <v>686</v>
      </c>
      <c r="C65" s="427" t="s">
        <v>687</v>
      </c>
      <c r="D65" s="449" t="s">
        <v>544</v>
      </c>
      <c r="E65" s="449" t="s">
        <v>544</v>
      </c>
      <c r="F65" s="449" t="s">
        <v>544</v>
      </c>
      <c r="G65" s="449" t="s">
        <v>544</v>
      </c>
      <c r="H65" s="449" t="s">
        <v>544</v>
      </c>
      <c r="I65" s="453" t="s">
        <v>549</v>
      </c>
      <c r="J65" s="453" t="s">
        <v>549</v>
      </c>
      <c r="K65" s="449" t="s">
        <v>544</v>
      </c>
      <c r="L65" s="449" t="s">
        <v>544</v>
      </c>
      <c r="M65" s="449" t="s">
        <v>544</v>
      </c>
      <c r="N65" s="453" t="s">
        <v>549</v>
      </c>
      <c r="O65" s="449" t="s">
        <v>544</v>
      </c>
      <c r="P65" s="449" t="s">
        <v>544</v>
      </c>
      <c r="Q65" s="453" t="s">
        <v>549</v>
      </c>
      <c r="R65" s="449" t="s">
        <v>544</v>
      </c>
      <c r="S65" s="453" t="s">
        <v>549</v>
      </c>
      <c r="T65" s="449" t="s">
        <v>544</v>
      </c>
      <c r="U65" s="449" t="s">
        <v>544</v>
      </c>
      <c r="V65" s="449" t="s">
        <v>544</v>
      </c>
      <c r="W65" s="449" t="s">
        <v>544</v>
      </c>
      <c r="X65" s="449" t="s">
        <v>544</v>
      </c>
      <c r="Y65" s="449" t="s">
        <v>544</v>
      </c>
      <c r="Z65" s="450" t="s">
        <v>545</v>
      </c>
      <c r="AA65" s="449" t="s">
        <v>544</v>
      </c>
      <c r="AB65" s="449" t="s">
        <v>544</v>
      </c>
      <c r="AC65" s="450" t="s">
        <v>545</v>
      </c>
      <c r="AD65" s="449" t="s">
        <v>544</v>
      </c>
      <c r="AE65" s="449" t="s">
        <v>544</v>
      </c>
      <c r="AF65" s="449" t="s">
        <v>544</v>
      </c>
      <c r="AG65" s="449" t="s">
        <v>544</v>
      </c>
      <c r="AH65" s="449" t="s">
        <v>544</v>
      </c>
      <c r="AI65" s="449" t="s">
        <v>544</v>
      </c>
      <c r="AJ65" s="449" t="s">
        <v>544</v>
      </c>
      <c r="AK65" s="449" t="s">
        <v>544</v>
      </c>
      <c r="AL65" s="449" t="s">
        <v>544</v>
      </c>
      <c r="AM65" s="449" t="s">
        <v>544</v>
      </c>
      <c r="AN65" s="449" t="s">
        <v>544</v>
      </c>
      <c r="AO65" s="449" t="s">
        <v>544</v>
      </c>
      <c r="AP65" s="449" t="s">
        <v>544</v>
      </c>
      <c r="AQ65" s="449" t="s">
        <v>544</v>
      </c>
      <c r="AR65" s="449" t="s">
        <v>544</v>
      </c>
      <c r="AS65" s="449" t="s">
        <v>544</v>
      </c>
      <c r="AT65" s="449" t="s">
        <v>544</v>
      </c>
      <c r="AU65" s="449" t="s">
        <v>544</v>
      </c>
      <c r="AV65" s="449" t="s">
        <v>544</v>
      </c>
      <c r="AW65" s="449" t="s">
        <v>544</v>
      </c>
      <c r="AX65" s="449" t="s">
        <v>544</v>
      </c>
      <c r="AY65" s="449" t="s">
        <v>544</v>
      </c>
      <c r="AZ65" s="449" t="s">
        <v>544</v>
      </c>
      <c r="BA65" s="449" t="s">
        <v>544</v>
      </c>
      <c r="BB65" s="449" t="s">
        <v>544</v>
      </c>
      <c r="BC65" s="449" t="s">
        <v>544</v>
      </c>
      <c r="BD65" s="449" t="s">
        <v>544</v>
      </c>
      <c r="BE65" s="449" t="s">
        <v>544</v>
      </c>
      <c r="BF65" s="449" t="s">
        <v>544</v>
      </c>
      <c r="BG65" s="449" t="s">
        <v>544</v>
      </c>
      <c r="BH65" s="449" t="s">
        <v>544</v>
      </c>
      <c r="BI65" s="448" t="s">
        <v>544</v>
      </c>
      <c r="BJ65" s="448" t="s">
        <v>544</v>
      </c>
      <c r="BK65" s="449" t="s">
        <v>544</v>
      </c>
      <c r="BL65" s="448" t="s">
        <v>549</v>
      </c>
      <c r="BM65" s="450" t="s">
        <v>545</v>
      </c>
      <c r="BN65" s="448" t="s">
        <v>544</v>
      </c>
      <c r="BO65" s="448" t="s">
        <v>544</v>
      </c>
      <c r="BP65" s="448" t="s">
        <v>549</v>
      </c>
      <c r="BQ65" s="448" t="s">
        <v>549</v>
      </c>
      <c r="BR65" s="448" t="s">
        <v>549</v>
      </c>
      <c r="BS65" s="450" t="s">
        <v>545</v>
      </c>
      <c r="BT65" s="449" t="s">
        <v>544</v>
      </c>
      <c r="BU65" s="448" t="s">
        <v>544</v>
      </c>
      <c r="BV65" s="449" t="s">
        <v>544</v>
      </c>
      <c r="BW65" s="449"/>
      <c r="BX65" s="449"/>
      <c r="BY65" s="449" t="s">
        <v>544</v>
      </c>
      <c r="BZ65" s="449" t="s">
        <v>544</v>
      </c>
    </row>
    <row r="66" spans="1:78" ht="15.75" thickBot="1">
      <c r="A66" s="428"/>
      <c r="B66" s="430" t="s">
        <v>688</v>
      </c>
      <c r="C66" s="427" t="s">
        <v>689</v>
      </c>
      <c r="D66" s="449" t="s">
        <v>544</v>
      </c>
      <c r="E66" s="449" t="s">
        <v>544</v>
      </c>
      <c r="F66" s="449" t="s">
        <v>544</v>
      </c>
      <c r="G66" s="449" t="s">
        <v>544</v>
      </c>
      <c r="H66" s="449" t="s">
        <v>544</v>
      </c>
      <c r="I66" s="453" t="s">
        <v>549</v>
      </c>
      <c r="J66" s="453" t="s">
        <v>549</v>
      </c>
      <c r="K66" s="449" t="s">
        <v>544</v>
      </c>
      <c r="L66" s="449" t="s">
        <v>544</v>
      </c>
      <c r="M66" s="449" t="s">
        <v>544</v>
      </c>
      <c r="N66" s="453" t="s">
        <v>549</v>
      </c>
      <c r="O66" s="449" t="s">
        <v>544</v>
      </c>
      <c r="P66" s="449" t="s">
        <v>544</v>
      </c>
      <c r="Q66" s="453" t="s">
        <v>549</v>
      </c>
      <c r="R66" s="449" t="s">
        <v>544</v>
      </c>
      <c r="S66" s="453" t="s">
        <v>549</v>
      </c>
      <c r="T66" s="449" t="s">
        <v>544</v>
      </c>
      <c r="U66" s="449" t="s">
        <v>544</v>
      </c>
      <c r="V66" s="449" t="s">
        <v>544</v>
      </c>
      <c r="W66" s="449" t="s">
        <v>544</v>
      </c>
      <c r="X66" s="449" t="s">
        <v>544</v>
      </c>
      <c r="Y66" s="449" t="s">
        <v>544</v>
      </c>
      <c r="Z66" s="449" t="s">
        <v>544</v>
      </c>
      <c r="AA66" s="449" t="s">
        <v>544</v>
      </c>
      <c r="AB66" s="449" t="s">
        <v>544</v>
      </c>
      <c r="AC66" s="450" t="s">
        <v>545</v>
      </c>
      <c r="AD66" s="449" t="s">
        <v>544</v>
      </c>
      <c r="AE66" s="449" t="s">
        <v>544</v>
      </c>
      <c r="AF66" s="449" t="s">
        <v>544</v>
      </c>
      <c r="AG66" s="449" t="s">
        <v>544</v>
      </c>
      <c r="AH66" s="449" t="s">
        <v>544</v>
      </c>
      <c r="AI66" s="449" t="s">
        <v>544</v>
      </c>
      <c r="AJ66" s="449" t="s">
        <v>544</v>
      </c>
      <c r="AK66" s="449" t="s">
        <v>544</v>
      </c>
      <c r="AL66" s="449" t="s">
        <v>544</v>
      </c>
      <c r="AM66" s="449" t="s">
        <v>544</v>
      </c>
      <c r="AN66" s="449" t="s">
        <v>544</v>
      </c>
      <c r="AO66" s="449" t="s">
        <v>544</v>
      </c>
      <c r="AP66" s="449" t="s">
        <v>544</v>
      </c>
      <c r="AQ66" s="449" t="s">
        <v>544</v>
      </c>
      <c r="AR66" s="449" t="s">
        <v>544</v>
      </c>
      <c r="AS66" s="449" t="s">
        <v>544</v>
      </c>
      <c r="AT66" s="449" t="s">
        <v>544</v>
      </c>
      <c r="AU66" s="449" t="s">
        <v>544</v>
      </c>
      <c r="AV66" s="449" t="s">
        <v>544</v>
      </c>
      <c r="AW66" s="449" t="s">
        <v>544</v>
      </c>
      <c r="AX66" s="449" t="s">
        <v>544</v>
      </c>
      <c r="AY66" s="449" t="s">
        <v>544</v>
      </c>
      <c r="AZ66" s="449" t="s">
        <v>544</v>
      </c>
      <c r="BA66" s="449" t="s">
        <v>544</v>
      </c>
      <c r="BB66" s="449" t="s">
        <v>544</v>
      </c>
      <c r="BC66" s="449" t="s">
        <v>544</v>
      </c>
      <c r="BD66" s="449" t="s">
        <v>544</v>
      </c>
      <c r="BE66" s="449" t="s">
        <v>544</v>
      </c>
      <c r="BF66" s="449" t="s">
        <v>544</v>
      </c>
      <c r="BG66" s="449" t="s">
        <v>544</v>
      </c>
      <c r="BH66" s="449" t="s">
        <v>544</v>
      </c>
      <c r="BI66" s="450" t="s">
        <v>545</v>
      </c>
      <c r="BJ66" s="448" t="s">
        <v>544</v>
      </c>
      <c r="BK66" s="449" t="s">
        <v>544</v>
      </c>
      <c r="BL66" s="448" t="s">
        <v>549</v>
      </c>
      <c r="BM66" s="448" t="s">
        <v>544</v>
      </c>
      <c r="BN66" s="448" t="s">
        <v>544</v>
      </c>
      <c r="BO66" s="448" t="s">
        <v>544</v>
      </c>
      <c r="BP66" s="448" t="s">
        <v>549</v>
      </c>
      <c r="BQ66" s="448" t="s">
        <v>549</v>
      </c>
      <c r="BR66" s="448" t="s">
        <v>549</v>
      </c>
      <c r="BS66" s="449" t="s">
        <v>544</v>
      </c>
      <c r="BT66" s="449" t="s">
        <v>544</v>
      </c>
      <c r="BU66" s="448" t="s">
        <v>544</v>
      </c>
      <c r="BV66" s="449" t="s">
        <v>544</v>
      </c>
      <c r="BW66" s="449"/>
      <c r="BX66" s="449"/>
      <c r="BY66" s="449" t="s">
        <v>544</v>
      </c>
      <c r="BZ66" s="449" t="s">
        <v>544</v>
      </c>
    </row>
    <row r="67" spans="1:78" ht="15.75" thickBot="1">
      <c r="A67" s="428"/>
      <c r="B67" s="430" t="s">
        <v>690</v>
      </c>
      <c r="C67" s="427" t="s">
        <v>691</v>
      </c>
      <c r="D67" s="449" t="s">
        <v>544</v>
      </c>
      <c r="E67" s="449" t="s">
        <v>544</v>
      </c>
      <c r="F67" s="449" t="s">
        <v>544</v>
      </c>
      <c r="G67" s="449" t="s">
        <v>544</v>
      </c>
      <c r="H67" s="449" t="s">
        <v>544</v>
      </c>
      <c r="I67" s="453" t="s">
        <v>549</v>
      </c>
      <c r="J67" s="453" t="s">
        <v>549</v>
      </c>
      <c r="K67" s="449" t="s">
        <v>544</v>
      </c>
      <c r="L67" s="449" t="s">
        <v>544</v>
      </c>
      <c r="M67" s="449" t="s">
        <v>544</v>
      </c>
      <c r="N67" s="453" t="s">
        <v>549</v>
      </c>
      <c r="O67" s="449" t="s">
        <v>544</v>
      </c>
      <c r="P67" s="449" t="s">
        <v>544</v>
      </c>
      <c r="Q67" s="453" t="s">
        <v>549</v>
      </c>
      <c r="R67" s="449" t="s">
        <v>544</v>
      </c>
      <c r="S67" s="453" t="s">
        <v>549</v>
      </c>
      <c r="T67" s="449" t="s">
        <v>544</v>
      </c>
      <c r="U67" s="449" t="s">
        <v>544</v>
      </c>
      <c r="V67" s="449" t="s">
        <v>544</v>
      </c>
      <c r="W67" s="449" t="s">
        <v>544</v>
      </c>
      <c r="X67" s="449" t="s">
        <v>544</v>
      </c>
      <c r="Y67" s="449" t="s">
        <v>544</v>
      </c>
      <c r="Z67" s="449" t="s">
        <v>544</v>
      </c>
      <c r="AA67" s="449" t="s">
        <v>544</v>
      </c>
      <c r="AB67" s="449" t="s">
        <v>544</v>
      </c>
      <c r="AC67" s="450" t="s">
        <v>545</v>
      </c>
      <c r="AD67" s="450" t="s">
        <v>545</v>
      </c>
      <c r="AE67" s="449" t="s">
        <v>544</v>
      </c>
      <c r="AF67" s="449" t="s">
        <v>544</v>
      </c>
      <c r="AG67" s="449" t="s">
        <v>544</v>
      </c>
      <c r="AH67" s="449" t="s">
        <v>544</v>
      </c>
      <c r="AI67" s="449" t="s">
        <v>544</v>
      </c>
      <c r="AJ67" s="449" t="s">
        <v>544</v>
      </c>
      <c r="AK67" s="449" t="s">
        <v>544</v>
      </c>
      <c r="AL67" s="449" t="s">
        <v>544</v>
      </c>
      <c r="AM67" s="449" t="s">
        <v>544</v>
      </c>
      <c r="AN67" s="449" t="s">
        <v>544</v>
      </c>
      <c r="AO67" s="449" t="s">
        <v>544</v>
      </c>
      <c r="AP67" s="449" t="s">
        <v>544</v>
      </c>
      <c r="AQ67" s="449" t="s">
        <v>544</v>
      </c>
      <c r="AR67" s="449" t="s">
        <v>544</v>
      </c>
      <c r="AS67" s="449" t="s">
        <v>544</v>
      </c>
      <c r="AT67" s="450" t="s">
        <v>545</v>
      </c>
      <c r="AU67" s="449" t="s">
        <v>544</v>
      </c>
      <c r="AV67" s="449" t="s">
        <v>544</v>
      </c>
      <c r="AW67" s="449" t="s">
        <v>544</v>
      </c>
      <c r="AX67" s="449" t="s">
        <v>544</v>
      </c>
      <c r="AY67" s="449" t="s">
        <v>544</v>
      </c>
      <c r="AZ67" s="449" t="s">
        <v>544</v>
      </c>
      <c r="BA67" s="449" t="s">
        <v>544</v>
      </c>
      <c r="BB67" s="449" t="s">
        <v>544</v>
      </c>
      <c r="BC67" s="449" t="s">
        <v>544</v>
      </c>
      <c r="BD67" s="449" t="s">
        <v>544</v>
      </c>
      <c r="BE67" s="449" t="s">
        <v>544</v>
      </c>
      <c r="BF67" s="449" t="s">
        <v>544</v>
      </c>
      <c r="BG67" s="449" t="s">
        <v>544</v>
      </c>
      <c r="BH67" s="449" t="s">
        <v>544</v>
      </c>
      <c r="BI67" s="450" t="s">
        <v>545</v>
      </c>
      <c r="BJ67" s="448" t="s">
        <v>544</v>
      </c>
      <c r="BK67" s="449" t="s">
        <v>544</v>
      </c>
      <c r="BL67" s="448" t="s">
        <v>549</v>
      </c>
      <c r="BM67" s="448" t="s">
        <v>544</v>
      </c>
      <c r="BN67" s="448" t="s">
        <v>544</v>
      </c>
      <c r="BO67" s="448" t="s">
        <v>544</v>
      </c>
      <c r="BP67" s="448" t="s">
        <v>549</v>
      </c>
      <c r="BQ67" s="448" t="s">
        <v>549</v>
      </c>
      <c r="BR67" s="448" t="s">
        <v>549</v>
      </c>
      <c r="BS67" s="449" t="s">
        <v>544</v>
      </c>
      <c r="BT67" s="449" t="s">
        <v>544</v>
      </c>
      <c r="BU67" s="448" t="s">
        <v>544</v>
      </c>
      <c r="BV67" s="449" t="s">
        <v>544</v>
      </c>
      <c r="BW67" s="449"/>
      <c r="BX67" s="449"/>
      <c r="BY67" s="449" t="s">
        <v>544</v>
      </c>
      <c r="BZ67" s="449" t="s">
        <v>544</v>
      </c>
    </row>
    <row r="68" spans="1:78" ht="15.75" thickBot="1">
      <c r="A68" s="428"/>
      <c r="B68" s="426" t="s">
        <v>692</v>
      </c>
      <c r="C68" s="427" t="s">
        <v>693</v>
      </c>
      <c r="D68" s="448" t="s">
        <v>544</v>
      </c>
      <c r="E68" s="448" t="s">
        <v>544</v>
      </c>
      <c r="F68" s="449" t="s">
        <v>544</v>
      </c>
      <c r="G68" s="449" t="s">
        <v>544</v>
      </c>
      <c r="H68" s="449" t="s">
        <v>544</v>
      </c>
      <c r="I68" s="452" t="s">
        <v>545</v>
      </c>
      <c r="J68" s="448" t="s">
        <v>544</v>
      </c>
      <c r="K68" s="448" t="s">
        <v>544</v>
      </c>
      <c r="L68" s="448" t="s">
        <v>544</v>
      </c>
      <c r="M68" s="454" t="s">
        <v>546</v>
      </c>
      <c r="N68" s="452" t="s">
        <v>545</v>
      </c>
      <c r="O68" s="448" t="s">
        <v>544</v>
      </c>
      <c r="P68" s="448" t="s">
        <v>544</v>
      </c>
      <c r="Q68" s="452" t="s">
        <v>545</v>
      </c>
      <c r="R68" s="452" t="s">
        <v>545</v>
      </c>
      <c r="S68" s="452" t="s">
        <v>545</v>
      </c>
      <c r="T68" s="448" t="s">
        <v>544</v>
      </c>
      <c r="U68" s="452" t="s">
        <v>545</v>
      </c>
      <c r="V68" s="452" t="s">
        <v>545</v>
      </c>
      <c r="W68" s="451" t="s">
        <v>547</v>
      </c>
      <c r="X68" s="452" t="s">
        <v>545</v>
      </c>
      <c r="Y68" s="452" t="s">
        <v>545</v>
      </c>
      <c r="Z68" s="450" t="s">
        <v>545</v>
      </c>
      <c r="AA68" s="450" t="s">
        <v>545</v>
      </c>
      <c r="AB68" s="450" t="s">
        <v>545</v>
      </c>
      <c r="AC68" s="450" t="s">
        <v>545</v>
      </c>
      <c r="AD68" s="449" t="s">
        <v>544</v>
      </c>
      <c r="AE68" s="449" t="s">
        <v>544</v>
      </c>
      <c r="AF68" s="448" t="s">
        <v>544</v>
      </c>
      <c r="AG68" s="448" t="s">
        <v>544</v>
      </c>
      <c r="AH68" s="450" t="s">
        <v>545</v>
      </c>
      <c r="AI68" s="452" t="s">
        <v>545</v>
      </c>
      <c r="AJ68" s="448" t="s">
        <v>544</v>
      </c>
      <c r="AK68" s="450" t="s">
        <v>545</v>
      </c>
      <c r="AL68" s="448" t="s">
        <v>544</v>
      </c>
      <c r="AM68" s="452" t="s">
        <v>545</v>
      </c>
      <c r="AN68" s="454" t="s">
        <v>546</v>
      </c>
      <c r="AO68" s="448" t="s">
        <v>544</v>
      </c>
      <c r="AP68" s="454" t="s">
        <v>546</v>
      </c>
      <c r="AQ68" s="452" t="s">
        <v>545</v>
      </c>
      <c r="AR68" s="448" t="s">
        <v>544</v>
      </c>
      <c r="AS68" s="452" t="s">
        <v>545</v>
      </c>
      <c r="AT68" s="448" t="s">
        <v>544</v>
      </c>
      <c r="AU68" s="452" t="s">
        <v>545</v>
      </c>
      <c r="AV68" s="452" t="s">
        <v>545</v>
      </c>
      <c r="AW68" s="448" t="s">
        <v>544</v>
      </c>
      <c r="AX68" s="452" t="s">
        <v>545</v>
      </c>
      <c r="AY68" s="452" t="s">
        <v>545</v>
      </c>
      <c r="AZ68" s="452" t="s">
        <v>545</v>
      </c>
      <c r="BA68" s="452" t="s">
        <v>545</v>
      </c>
      <c r="BB68" s="452" t="s">
        <v>545</v>
      </c>
      <c r="BC68" s="452" t="s">
        <v>545</v>
      </c>
      <c r="BD68" s="452" t="s">
        <v>545</v>
      </c>
      <c r="BE68" s="452" t="s">
        <v>545</v>
      </c>
      <c r="BF68" s="452" t="s">
        <v>545</v>
      </c>
      <c r="BG68" s="452" t="s">
        <v>545</v>
      </c>
      <c r="BH68" s="448" t="s">
        <v>544</v>
      </c>
      <c r="BI68" s="448" t="s">
        <v>544</v>
      </c>
      <c r="BJ68" s="448" t="s">
        <v>544</v>
      </c>
      <c r="BK68" s="452" t="s">
        <v>545</v>
      </c>
      <c r="BL68" s="448" t="s">
        <v>549</v>
      </c>
      <c r="BM68" s="448" t="s">
        <v>544</v>
      </c>
      <c r="BN68" s="452" t="s">
        <v>545</v>
      </c>
      <c r="BO68" s="454" t="s">
        <v>546</v>
      </c>
      <c r="BP68" s="454" t="s">
        <v>549</v>
      </c>
      <c r="BQ68" s="454" t="s">
        <v>549</v>
      </c>
      <c r="BR68" s="452" t="s">
        <v>545</v>
      </c>
      <c r="BS68" s="450" t="s">
        <v>545</v>
      </c>
      <c r="BT68" s="454" t="s">
        <v>546</v>
      </c>
      <c r="BU68" s="452" t="s">
        <v>545</v>
      </c>
      <c r="BV68" s="448" t="s">
        <v>545</v>
      </c>
      <c r="BW68" s="448"/>
      <c r="BX68" s="448"/>
      <c r="BY68" s="448" t="s">
        <v>544</v>
      </c>
      <c r="BZ68" s="448" t="s">
        <v>544</v>
      </c>
    </row>
    <row r="69" spans="1:78" ht="15.75" thickBot="1">
      <c r="A69" s="428"/>
      <c r="B69" s="426" t="s">
        <v>694</v>
      </c>
      <c r="C69" s="427" t="s">
        <v>693</v>
      </c>
      <c r="D69" s="448" t="s">
        <v>544</v>
      </c>
      <c r="E69" s="454" t="s">
        <v>546</v>
      </c>
      <c r="F69" s="449" t="s">
        <v>544</v>
      </c>
      <c r="G69" s="449" t="s">
        <v>544</v>
      </c>
      <c r="H69" s="449" t="s">
        <v>544</v>
      </c>
      <c r="I69" s="448" t="s">
        <v>544</v>
      </c>
      <c r="J69" s="448" t="s">
        <v>544</v>
      </c>
      <c r="K69" s="448" t="s">
        <v>544</v>
      </c>
      <c r="L69" s="448" t="s">
        <v>544</v>
      </c>
      <c r="M69" s="448" t="s">
        <v>544</v>
      </c>
      <c r="N69" s="448" t="s">
        <v>544</v>
      </c>
      <c r="O69" s="452" t="s">
        <v>545</v>
      </c>
      <c r="P69" s="452" t="s">
        <v>545</v>
      </c>
      <c r="Q69" s="448" t="s">
        <v>544</v>
      </c>
      <c r="R69" s="448" t="s">
        <v>544</v>
      </c>
      <c r="S69" s="448" t="s">
        <v>544</v>
      </c>
      <c r="T69" s="448" t="s">
        <v>544</v>
      </c>
      <c r="U69" s="448" t="s">
        <v>544</v>
      </c>
      <c r="V69" s="448" t="s">
        <v>544</v>
      </c>
      <c r="W69" s="448" t="s">
        <v>544</v>
      </c>
      <c r="X69" s="448" t="s">
        <v>544</v>
      </c>
      <c r="Y69" s="448" t="s">
        <v>544</v>
      </c>
      <c r="Z69" s="449" t="s">
        <v>544</v>
      </c>
      <c r="AA69" s="449" t="s">
        <v>544</v>
      </c>
      <c r="AB69" s="449" t="s">
        <v>544</v>
      </c>
      <c r="AC69" s="449" t="s">
        <v>544</v>
      </c>
      <c r="AD69" s="449" t="s">
        <v>544</v>
      </c>
      <c r="AE69" s="449" t="s">
        <v>544</v>
      </c>
      <c r="AF69" s="452" t="s">
        <v>545</v>
      </c>
      <c r="AG69" s="452" t="s">
        <v>545</v>
      </c>
      <c r="AH69" s="449" t="s">
        <v>544</v>
      </c>
      <c r="AI69" s="448" t="s">
        <v>544</v>
      </c>
      <c r="AJ69" s="452" t="s">
        <v>545</v>
      </c>
      <c r="AK69" s="449" t="s">
        <v>544</v>
      </c>
      <c r="AL69" s="452" t="s">
        <v>545</v>
      </c>
      <c r="AM69" s="448" t="s">
        <v>544</v>
      </c>
      <c r="AN69" s="448" t="s">
        <v>544</v>
      </c>
      <c r="AO69" s="454" t="s">
        <v>546</v>
      </c>
      <c r="AP69" s="448" t="s">
        <v>544</v>
      </c>
      <c r="AQ69" s="448" t="s">
        <v>544</v>
      </c>
      <c r="AR69" s="448" t="s">
        <v>544</v>
      </c>
      <c r="AS69" s="448" t="s">
        <v>544</v>
      </c>
      <c r="AT69" s="448" t="s">
        <v>544</v>
      </c>
      <c r="AU69" s="452" t="s">
        <v>545</v>
      </c>
      <c r="AV69" s="457" t="s">
        <v>549</v>
      </c>
      <c r="AW69" s="448" t="s">
        <v>544</v>
      </c>
      <c r="AX69" s="448" t="s">
        <v>544</v>
      </c>
      <c r="AY69" s="448" t="s">
        <v>544</v>
      </c>
      <c r="AZ69" s="448" t="s">
        <v>544</v>
      </c>
      <c r="BA69" s="448" t="s">
        <v>544</v>
      </c>
      <c r="BB69" s="448" t="s">
        <v>544</v>
      </c>
      <c r="BC69" s="448" t="s">
        <v>544</v>
      </c>
      <c r="BD69" s="448" t="s">
        <v>544</v>
      </c>
      <c r="BE69" s="448" t="s">
        <v>544</v>
      </c>
      <c r="BF69" s="448" t="s">
        <v>544</v>
      </c>
      <c r="BG69" s="448" t="s">
        <v>544</v>
      </c>
      <c r="BH69" s="448" t="s">
        <v>544</v>
      </c>
      <c r="BI69" s="448" t="s">
        <v>544</v>
      </c>
      <c r="BJ69" s="448" t="s">
        <v>544</v>
      </c>
      <c r="BK69" s="448" t="s">
        <v>544</v>
      </c>
      <c r="BL69" s="448" t="s">
        <v>549</v>
      </c>
      <c r="BM69" s="452" t="s">
        <v>545</v>
      </c>
      <c r="BN69" s="448" t="s">
        <v>544</v>
      </c>
      <c r="BO69" s="448" t="s">
        <v>544</v>
      </c>
      <c r="BP69" s="452" t="s">
        <v>545</v>
      </c>
      <c r="BQ69" s="448" t="s">
        <v>549</v>
      </c>
      <c r="BR69" s="448" t="s">
        <v>549</v>
      </c>
      <c r="BS69" s="449" t="s">
        <v>544</v>
      </c>
      <c r="BT69" s="448" t="s">
        <v>544</v>
      </c>
      <c r="BU69" s="448" t="s">
        <v>544</v>
      </c>
      <c r="BV69" s="452" t="s">
        <v>544</v>
      </c>
      <c r="BW69" s="452"/>
      <c r="BX69" s="452"/>
      <c r="BY69" s="452" t="s">
        <v>545</v>
      </c>
      <c r="BZ69" s="452" t="s">
        <v>545</v>
      </c>
    </row>
    <row r="70" spans="1:78" ht="15.75" thickBot="1">
      <c r="A70" s="428"/>
      <c r="B70" s="426" t="s">
        <v>695</v>
      </c>
      <c r="C70" s="430" t="s">
        <v>696</v>
      </c>
      <c r="D70" s="448" t="s">
        <v>544</v>
      </c>
      <c r="E70" s="454" t="s">
        <v>546</v>
      </c>
      <c r="F70" s="449" t="s">
        <v>544</v>
      </c>
      <c r="G70" s="449" t="s">
        <v>544</v>
      </c>
      <c r="H70" s="449" t="s">
        <v>544</v>
      </c>
      <c r="I70" s="448" t="s">
        <v>544</v>
      </c>
      <c r="J70" s="448" t="s">
        <v>544</v>
      </c>
      <c r="K70" s="448" t="s">
        <v>544</v>
      </c>
      <c r="L70" s="448" t="s">
        <v>544</v>
      </c>
      <c r="M70" s="448" t="s">
        <v>544</v>
      </c>
      <c r="N70" s="448" t="s">
        <v>544</v>
      </c>
      <c r="O70" s="448" t="s">
        <v>544</v>
      </c>
      <c r="P70" s="452" t="s">
        <v>545</v>
      </c>
      <c r="Q70" s="448" t="s">
        <v>544</v>
      </c>
      <c r="R70" s="448" t="s">
        <v>544</v>
      </c>
      <c r="S70" s="448" t="s">
        <v>544</v>
      </c>
      <c r="T70" s="448" t="s">
        <v>544</v>
      </c>
      <c r="U70" s="448" t="s">
        <v>544</v>
      </c>
      <c r="V70" s="454" t="s">
        <v>546</v>
      </c>
      <c r="W70" s="448" t="s">
        <v>544</v>
      </c>
      <c r="X70" s="448" t="s">
        <v>544</v>
      </c>
      <c r="Y70" s="448" t="s">
        <v>544</v>
      </c>
      <c r="Z70" s="449" t="s">
        <v>544</v>
      </c>
      <c r="AA70" s="449" t="s">
        <v>544</v>
      </c>
      <c r="AB70" s="449" t="s">
        <v>544</v>
      </c>
      <c r="AC70" s="450" t="s">
        <v>545</v>
      </c>
      <c r="AD70" s="449" t="s">
        <v>544</v>
      </c>
      <c r="AE70" s="449" t="s">
        <v>544</v>
      </c>
      <c r="AF70" s="448" t="s">
        <v>544</v>
      </c>
      <c r="AG70" s="452" t="s">
        <v>545</v>
      </c>
      <c r="AH70" s="449" t="s">
        <v>544</v>
      </c>
      <c r="AI70" s="448" t="s">
        <v>544</v>
      </c>
      <c r="AJ70" s="452" t="s">
        <v>545</v>
      </c>
      <c r="AK70" s="455" t="s">
        <v>546</v>
      </c>
      <c r="AL70" s="448" t="s">
        <v>544</v>
      </c>
      <c r="AM70" s="448" t="s">
        <v>544</v>
      </c>
      <c r="AN70" s="454" t="s">
        <v>546</v>
      </c>
      <c r="AO70" s="454" t="s">
        <v>546</v>
      </c>
      <c r="AP70" s="448" t="s">
        <v>544</v>
      </c>
      <c r="AQ70" s="448" t="s">
        <v>544</v>
      </c>
      <c r="AR70" s="448" t="s">
        <v>544</v>
      </c>
      <c r="AS70" s="448" t="s">
        <v>544</v>
      </c>
      <c r="AT70" s="448" t="s">
        <v>544</v>
      </c>
      <c r="AU70" s="448" t="s">
        <v>544</v>
      </c>
      <c r="AV70" s="457" t="s">
        <v>549</v>
      </c>
      <c r="AW70" s="448" t="s">
        <v>544</v>
      </c>
      <c r="AX70" s="448" t="s">
        <v>544</v>
      </c>
      <c r="AY70" s="448" t="s">
        <v>544</v>
      </c>
      <c r="AZ70" s="448" t="s">
        <v>544</v>
      </c>
      <c r="BA70" s="448" t="s">
        <v>544</v>
      </c>
      <c r="BB70" s="448" t="s">
        <v>544</v>
      </c>
      <c r="BC70" s="448" t="s">
        <v>544</v>
      </c>
      <c r="BD70" s="448" t="s">
        <v>544</v>
      </c>
      <c r="BE70" s="448" t="s">
        <v>544</v>
      </c>
      <c r="BF70" s="448" t="s">
        <v>544</v>
      </c>
      <c r="BG70" s="448" t="s">
        <v>544</v>
      </c>
      <c r="BH70" s="448" t="s">
        <v>544</v>
      </c>
      <c r="BI70" s="448" t="s">
        <v>544</v>
      </c>
      <c r="BJ70" s="448" t="s">
        <v>544</v>
      </c>
      <c r="BK70" s="448" t="s">
        <v>544</v>
      </c>
      <c r="BL70" s="448" t="s">
        <v>549</v>
      </c>
      <c r="BM70" s="448" t="s">
        <v>544</v>
      </c>
      <c r="BN70" s="448" t="s">
        <v>544</v>
      </c>
      <c r="BO70" s="448" t="s">
        <v>544</v>
      </c>
      <c r="BP70" s="448" t="s">
        <v>549</v>
      </c>
      <c r="BQ70" s="448" t="s">
        <v>549</v>
      </c>
      <c r="BR70" s="448" t="s">
        <v>549</v>
      </c>
      <c r="BS70" s="449" t="s">
        <v>544</v>
      </c>
      <c r="BT70" s="448" t="s">
        <v>544</v>
      </c>
      <c r="BU70" s="448" t="s">
        <v>544</v>
      </c>
      <c r="BV70" s="452" t="s">
        <v>544</v>
      </c>
      <c r="BW70" s="452"/>
      <c r="BX70" s="452"/>
      <c r="BY70" s="452" t="s">
        <v>545</v>
      </c>
      <c r="BZ70" s="452" t="s">
        <v>545</v>
      </c>
    </row>
    <row r="71" spans="1:78" ht="15.75" thickBot="1">
      <c r="A71" s="428"/>
      <c r="B71" s="426" t="s">
        <v>697</v>
      </c>
      <c r="C71" s="427" t="s">
        <v>698</v>
      </c>
      <c r="D71" s="448" t="s">
        <v>544</v>
      </c>
      <c r="E71" s="454" t="s">
        <v>546</v>
      </c>
      <c r="F71" s="449" t="s">
        <v>544</v>
      </c>
      <c r="G71" s="450" t="s">
        <v>545</v>
      </c>
      <c r="H71" s="449" t="s">
        <v>544</v>
      </c>
      <c r="I71" s="452" t="s">
        <v>545</v>
      </c>
      <c r="J71" s="448" t="s">
        <v>544</v>
      </c>
      <c r="K71" s="448" t="s">
        <v>544</v>
      </c>
      <c r="L71" s="448" t="s">
        <v>544</v>
      </c>
      <c r="M71" s="454" t="s">
        <v>546</v>
      </c>
      <c r="N71" s="452" t="s">
        <v>545</v>
      </c>
      <c r="O71" s="454" t="s">
        <v>546</v>
      </c>
      <c r="P71" s="454" t="s">
        <v>546</v>
      </c>
      <c r="Q71" s="452" t="s">
        <v>545</v>
      </c>
      <c r="R71" s="454" t="s">
        <v>546</v>
      </c>
      <c r="S71" s="452" t="s">
        <v>545</v>
      </c>
      <c r="T71" s="448" t="s">
        <v>544</v>
      </c>
      <c r="U71" s="454" t="s">
        <v>546</v>
      </c>
      <c r="V71" s="454" t="s">
        <v>546</v>
      </c>
      <c r="W71" s="451" t="s">
        <v>547</v>
      </c>
      <c r="X71" s="454" t="s">
        <v>546</v>
      </c>
      <c r="Y71" s="448" t="s">
        <v>544</v>
      </c>
      <c r="Z71" s="455" t="s">
        <v>546</v>
      </c>
      <c r="AA71" s="455" t="s">
        <v>546</v>
      </c>
      <c r="AB71" s="450" t="s">
        <v>545</v>
      </c>
      <c r="AC71" s="450" t="s">
        <v>545</v>
      </c>
      <c r="AD71" s="449" t="s">
        <v>544</v>
      </c>
      <c r="AE71" s="450" t="s">
        <v>545</v>
      </c>
      <c r="AF71" s="452" t="s">
        <v>545</v>
      </c>
      <c r="AG71" s="452" t="s">
        <v>545</v>
      </c>
      <c r="AH71" s="455" t="s">
        <v>546</v>
      </c>
      <c r="AI71" s="452" t="s">
        <v>545</v>
      </c>
      <c r="AJ71" s="448" t="s">
        <v>544</v>
      </c>
      <c r="AK71" s="450" t="s">
        <v>545</v>
      </c>
      <c r="AL71" s="452" t="s">
        <v>545</v>
      </c>
      <c r="AM71" s="448" t="s">
        <v>544</v>
      </c>
      <c r="AN71" s="454" t="s">
        <v>546</v>
      </c>
      <c r="AO71" s="454" t="s">
        <v>546</v>
      </c>
      <c r="AP71" s="454" t="s">
        <v>546</v>
      </c>
      <c r="AQ71" s="452" t="s">
        <v>545</v>
      </c>
      <c r="AR71" s="448" t="s">
        <v>544</v>
      </c>
      <c r="AS71" s="448" t="s">
        <v>544</v>
      </c>
      <c r="AT71" s="448" t="s">
        <v>544</v>
      </c>
      <c r="AU71" s="448" t="s">
        <v>544</v>
      </c>
      <c r="AV71" s="457" t="s">
        <v>549</v>
      </c>
      <c r="AW71" s="448" t="s">
        <v>544</v>
      </c>
      <c r="AX71" s="448" t="s">
        <v>544</v>
      </c>
      <c r="AY71" s="448" t="s">
        <v>544</v>
      </c>
      <c r="AZ71" s="448" t="s">
        <v>544</v>
      </c>
      <c r="BA71" s="448" t="s">
        <v>544</v>
      </c>
      <c r="BB71" s="448" t="s">
        <v>544</v>
      </c>
      <c r="BC71" s="448" t="s">
        <v>544</v>
      </c>
      <c r="BD71" s="448" t="s">
        <v>544</v>
      </c>
      <c r="BE71" s="448" t="s">
        <v>544</v>
      </c>
      <c r="BF71" s="448" t="s">
        <v>544</v>
      </c>
      <c r="BG71" s="452" t="s">
        <v>545</v>
      </c>
      <c r="BH71" s="448" t="s">
        <v>544</v>
      </c>
      <c r="BI71" s="452" t="s">
        <v>545</v>
      </c>
      <c r="BJ71" s="452" t="s">
        <v>545</v>
      </c>
      <c r="BK71" s="452" t="s">
        <v>545</v>
      </c>
      <c r="BL71" s="448" t="s">
        <v>549</v>
      </c>
      <c r="BM71" s="448" t="s">
        <v>544</v>
      </c>
      <c r="BN71" s="452" t="s">
        <v>545</v>
      </c>
      <c r="BO71" s="448" t="s">
        <v>544</v>
      </c>
      <c r="BP71" s="448" t="s">
        <v>549</v>
      </c>
      <c r="BQ71" s="448" t="s">
        <v>549</v>
      </c>
      <c r="BR71" s="448" t="s">
        <v>549</v>
      </c>
      <c r="BS71" s="455" t="s">
        <v>546</v>
      </c>
      <c r="BT71" s="454" t="s">
        <v>546</v>
      </c>
      <c r="BU71" s="452" t="s">
        <v>545</v>
      </c>
      <c r="BV71" s="452" t="s">
        <v>545</v>
      </c>
      <c r="BW71" s="452"/>
      <c r="BX71" s="452"/>
      <c r="BY71" s="452" t="s">
        <v>545</v>
      </c>
      <c r="BZ71" s="452" t="s">
        <v>545</v>
      </c>
    </row>
    <row r="72" spans="1:78" ht="15.75" thickBot="1">
      <c r="A72" s="428"/>
      <c r="B72" s="426" t="s">
        <v>636</v>
      </c>
      <c r="C72" s="427" t="s">
        <v>699</v>
      </c>
      <c r="D72" s="448" t="s">
        <v>544</v>
      </c>
      <c r="E72" s="448" t="s">
        <v>544</v>
      </c>
      <c r="F72" s="449" t="s">
        <v>544</v>
      </c>
      <c r="G72" s="449" t="s">
        <v>544</v>
      </c>
      <c r="H72" s="449" t="s">
        <v>544</v>
      </c>
      <c r="I72" s="448" t="s">
        <v>544</v>
      </c>
      <c r="J72" s="448" t="s">
        <v>544</v>
      </c>
      <c r="K72" s="448" t="s">
        <v>544</v>
      </c>
      <c r="L72" s="448" t="s">
        <v>544</v>
      </c>
      <c r="M72" s="448" t="s">
        <v>544</v>
      </c>
      <c r="N72" s="448" t="s">
        <v>544</v>
      </c>
      <c r="O72" s="448" t="s">
        <v>544</v>
      </c>
      <c r="P72" s="448" t="s">
        <v>544</v>
      </c>
      <c r="Q72" s="448" t="s">
        <v>544</v>
      </c>
      <c r="R72" s="448" t="s">
        <v>544</v>
      </c>
      <c r="S72" s="448" t="s">
        <v>544</v>
      </c>
      <c r="T72" s="448" t="s">
        <v>544</v>
      </c>
      <c r="U72" s="448" t="s">
        <v>544</v>
      </c>
      <c r="V72" s="452" t="s">
        <v>545</v>
      </c>
      <c r="W72" s="448" t="s">
        <v>544</v>
      </c>
      <c r="X72" s="448" t="s">
        <v>544</v>
      </c>
      <c r="Y72" s="448" t="s">
        <v>544</v>
      </c>
      <c r="Z72" s="450" t="s">
        <v>545</v>
      </c>
      <c r="AA72" s="450" t="s">
        <v>545</v>
      </c>
      <c r="AB72" s="449" t="s">
        <v>544</v>
      </c>
      <c r="AC72" s="450" t="s">
        <v>545</v>
      </c>
      <c r="AD72" s="455" t="s">
        <v>546</v>
      </c>
      <c r="AE72" s="449" t="s">
        <v>544</v>
      </c>
      <c r="AF72" s="448" t="s">
        <v>544</v>
      </c>
      <c r="AG72" s="448" t="s">
        <v>544</v>
      </c>
      <c r="AH72" s="450" t="s">
        <v>545</v>
      </c>
      <c r="AI72" s="448" t="s">
        <v>544</v>
      </c>
      <c r="AJ72" s="452" t="s">
        <v>545</v>
      </c>
      <c r="AK72" s="450" t="s">
        <v>545</v>
      </c>
      <c r="AL72" s="448" t="s">
        <v>544</v>
      </c>
      <c r="AM72" s="448" t="s">
        <v>544</v>
      </c>
      <c r="AN72" s="448" t="s">
        <v>544</v>
      </c>
      <c r="AO72" s="452" t="s">
        <v>545</v>
      </c>
      <c r="AP72" s="452" t="s">
        <v>545</v>
      </c>
      <c r="AQ72" s="448" t="s">
        <v>544</v>
      </c>
      <c r="AR72" s="448" t="s">
        <v>544</v>
      </c>
      <c r="AS72" s="448" t="s">
        <v>544</v>
      </c>
      <c r="AT72" s="448" t="s">
        <v>544</v>
      </c>
      <c r="AU72" s="448" t="s">
        <v>544</v>
      </c>
      <c r="AV72" s="448" t="s">
        <v>544</v>
      </c>
      <c r="AW72" s="452" t="s">
        <v>545</v>
      </c>
      <c r="AX72" s="448" t="s">
        <v>544</v>
      </c>
      <c r="AY72" s="448" t="s">
        <v>544</v>
      </c>
      <c r="AZ72" s="448" t="s">
        <v>544</v>
      </c>
      <c r="BA72" s="448" t="s">
        <v>544</v>
      </c>
      <c r="BB72" s="448" t="s">
        <v>544</v>
      </c>
      <c r="BC72" s="448" t="s">
        <v>544</v>
      </c>
      <c r="BD72" s="448" t="s">
        <v>544</v>
      </c>
      <c r="BE72" s="448" t="s">
        <v>544</v>
      </c>
      <c r="BF72" s="448" t="s">
        <v>544</v>
      </c>
      <c r="BG72" s="448" t="s">
        <v>544</v>
      </c>
      <c r="BH72" s="448" t="s">
        <v>544</v>
      </c>
      <c r="BI72" s="452" t="s">
        <v>545</v>
      </c>
      <c r="BJ72" s="452" t="s">
        <v>545</v>
      </c>
      <c r="BK72" s="448" t="s">
        <v>544</v>
      </c>
      <c r="BL72" s="448" t="s">
        <v>549</v>
      </c>
      <c r="BM72" s="452" t="s">
        <v>545</v>
      </c>
      <c r="BN72" s="448" t="s">
        <v>544</v>
      </c>
      <c r="BO72" s="448" t="s">
        <v>544</v>
      </c>
      <c r="BP72" s="448" t="s">
        <v>549</v>
      </c>
      <c r="BQ72" s="448" t="s">
        <v>549</v>
      </c>
      <c r="BR72" s="448" t="s">
        <v>549</v>
      </c>
      <c r="BS72" s="450" t="s">
        <v>545</v>
      </c>
      <c r="BT72" s="448" t="s">
        <v>544</v>
      </c>
      <c r="BU72" s="448" t="s">
        <v>544</v>
      </c>
      <c r="BV72" s="448" t="s">
        <v>544</v>
      </c>
      <c r="BW72" s="448"/>
      <c r="BX72" s="448"/>
      <c r="BY72" s="448" t="s">
        <v>544</v>
      </c>
      <c r="BZ72" s="448" t="s">
        <v>544</v>
      </c>
    </row>
    <row r="73" spans="1:78" ht="15.75" thickBot="1">
      <c r="A73" s="428"/>
      <c r="B73" s="426" t="s">
        <v>700</v>
      </c>
      <c r="C73" s="427" t="s">
        <v>701</v>
      </c>
      <c r="D73" s="448" t="s">
        <v>544</v>
      </c>
      <c r="E73" s="448" t="s">
        <v>544</v>
      </c>
      <c r="F73" s="449" t="s">
        <v>544</v>
      </c>
      <c r="G73" s="449" t="s">
        <v>544</v>
      </c>
      <c r="H73" s="449" t="s">
        <v>544</v>
      </c>
      <c r="I73" s="448" t="s">
        <v>544</v>
      </c>
      <c r="J73" s="452" t="s">
        <v>545</v>
      </c>
      <c r="K73" s="448" t="s">
        <v>544</v>
      </c>
      <c r="L73" s="448" t="s">
        <v>544</v>
      </c>
      <c r="M73" s="448" t="s">
        <v>544</v>
      </c>
      <c r="N73" s="448" t="s">
        <v>544</v>
      </c>
      <c r="O73" s="452" t="s">
        <v>545</v>
      </c>
      <c r="P73" s="448" t="s">
        <v>544</v>
      </c>
      <c r="Q73" s="452" t="s">
        <v>545</v>
      </c>
      <c r="R73" s="452" t="s">
        <v>545</v>
      </c>
      <c r="S73" s="452" t="s">
        <v>545</v>
      </c>
      <c r="T73" s="448" t="s">
        <v>544</v>
      </c>
      <c r="U73" s="448" t="s">
        <v>544</v>
      </c>
      <c r="V73" s="454" t="s">
        <v>546</v>
      </c>
      <c r="W73" s="448" t="s">
        <v>544</v>
      </c>
      <c r="X73" s="452" t="s">
        <v>545</v>
      </c>
      <c r="Y73" s="452" t="s">
        <v>545</v>
      </c>
      <c r="Z73" s="449" t="s">
        <v>544</v>
      </c>
      <c r="AA73" s="449" t="s">
        <v>544</v>
      </c>
      <c r="AB73" s="449" t="s">
        <v>544</v>
      </c>
      <c r="AC73" s="449" t="s">
        <v>544</v>
      </c>
      <c r="AD73" s="449" t="s">
        <v>544</v>
      </c>
      <c r="AE73" s="450" t="s">
        <v>545</v>
      </c>
      <c r="AF73" s="452" t="s">
        <v>545</v>
      </c>
      <c r="AG73" s="452" t="s">
        <v>545</v>
      </c>
      <c r="AH73" s="449" t="s">
        <v>544</v>
      </c>
      <c r="AI73" s="452" t="s">
        <v>545</v>
      </c>
      <c r="AJ73" s="448" t="s">
        <v>544</v>
      </c>
      <c r="AK73" s="450" t="s">
        <v>545</v>
      </c>
      <c r="AL73" s="452" t="s">
        <v>545</v>
      </c>
      <c r="AM73" s="448" t="s">
        <v>544</v>
      </c>
      <c r="AN73" s="452" t="s">
        <v>545</v>
      </c>
      <c r="AO73" s="448" t="s">
        <v>544</v>
      </c>
      <c r="AP73" s="448" t="s">
        <v>544</v>
      </c>
      <c r="AQ73" s="452" t="s">
        <v>545</v>
      </c>
      <c r="AR73" s="448" t="s">
        <v>544</v>
      </c>
      <c r="AS73" s="448" t="s">
        <v>544</v>
      </c>
      <c r="AT73" s="448" t="s">
        <v>544</v>
      </c>
      <c r="AU73" s="448" t="s">
        <v>544</v>
      </c>
      <c r="AV73" s="457" t="s">
        <v>549</v>
      </c>
      <c r="AW73" s="448" t="s">
        <v>544</v>
      </c>
      <c r="AX73" s="448" t="s">
        <v>544</v>
      </c>
      <c r="AY73" s="448" t="s">
        <v>544</v>
      </c>
      <c r="AZ73" s="452" t="s">
        <v>545</v>
      </c>
      <c r="BA73" s="452" t="s">
        <v>545</v>
      </c>
      <c r="BB73" s="448" t="s">
        <v>544</v>
      </c>
      <c r="BC73" s="448" t="s">
        <v>544</v>
      </c>
      <c r="BD73" s="448" t="s">
        <v>544</v>
      </c>
      <c r="BE73" s="448" t="s">
        <v>544</v>
      </c>
      <c r="BF73" s="452" t="s">
        <v>545</v>
      </c>
      <c r="BG73" s="452" t="s">
        <v>545</v>
      </c>
      <c r="BH73" s="448" t="s">
        <v>544</v>
      </c>
      <c r="BI73" s="452" t="s">
        <v>545</v>
      </c>
      <c r="BJ73" s="448" t="s">
        <v>544</v>
      </c>
      <c r="BK73" s="452" t="s">
        <v>545</v>
      </c>
      <c r="BL73" s="448" t="s">
        <v>549</v>
      </c>
      <c r="BM73" s="448" t="s">
        <v>544</v>
      </c>
      <c r="BN73" s="452" t="s">
        <v>545</v>
      </c>
      <c r="BO73" s="448" t="s">
        <v>544</v>
      </c>
      <c r="BP73" s="452" t="s">
        <v>545</v>
      </c>
      <c r="BQ73" s="448" t="s">
        <v>549</v>
      </c>
      <c r="BR73" s="452" t="s">
        <v>545</v>
      </c>
      <c r="BS73" s="449" t="s">
        <v>544</v>
      </c>
      <c r="BT73" s="448" t="s">
        <v>544</v>
      </c>
      <c r="BU73" s="452" t="s">
        <v>545</v>
      </c>
      <c r="BV73" s="448" t="s">
        <v>545</v>
      </c>
      <c r="BW73" s="448"/>
      <c r="BX73" s="448"/>
      <c r="BY73" s="448" t="s">
        <v>544</v>
      </c>
      <c r="BZ73" s="448" t="s">
        <v>544</v>
      </c>
    </row>
    <row r="74" spans="1:78" ht="15.75" thickBot="1">
      <c r="A74" s="428"/>
      <c r="B74" s="426" t="s">
        <v>702</v>
      </c>
      <c r="C74" s="427" t="s">
        <v>703</v>
      </c>
      <c r="D74" s="448" t="s">
        <v>544</v>
      </c>
      <c r="E74" s="448" t="s">
        <v>544</v>
      </c>
      <c r="F74" s="450" t="s">
        <v>545</v>
      </c>
      <c r="G74" s="449" t="s">
        <v>544</v>
      </c>
      <c r="H74" s="449" t="s">
        <v>544</v>
      </c>
      <c r="I74" s="448" t="s">
        <v>544</v>
      </c>
      <c r="J74" s="452" t="s">
        <v>545</v>
      </c>
      <c r="K74" s="448" t="s">
        <v>544</v>
      </c>
      <c r="L74" s="448" t="s">
        <v>544</v>
      </c>
      <c r="M74" s="448" t="s">
        <v>544</v>
      </c>
      <c r="N74" s="452" t="s">
        <v>545</v>
      </c>
      <c r="O74" s="448" t="s">
        <v>544</v>
      </c>
      <c r="P74" s="448" t="s">
        <v>544</v>
      </c>
      <c r="Q74" s="448" t="s">
        <v>544</v>
      </c>
      <c r="R74" s="448" t="s">
        <v>544</v>
      </c>
      <c r="S74" s="448" t="s">
        <v>544</v>
      </c>
      <c r="T74" s="448" t="s">
        <v>544</v>
      </c>
      <c r="U74" s="448" t="s">
        <v>544</v>
      </c>
      <c r="V74" s="454" t="s">
        <v>546</v>
      </c>
      <c r="W74" s="448" t="s">
        <v>544</v>
      </c>
      <c r="X74" s="448" t="s">
        <v>544</v>
      </c>
      <c r="Y74" s="452" t="s">
        <v>545</v>
      </c>
      <c r="Z74" s="449" t="s">
        <v>544</v>
      </c>
      <c r="AA74" s="449" t="s">
        <v>544</v>
      </c>
      <c r="AB74" s="449" t="s">
        <v>544</v>
      </c>
      <c r="AC74" s="450" t="s">
        <v>545</v>
      </c>
      <c r="AD74" s="449" t="s">
        <v>544</v>
      </c>
      <c r="AE74" s="449" t="s">
        <v>544</v>
      </c>
      <c r="AF74" s="452" t="s">
        <v>545</v>
      </c>
      <c r="AG74" s="448" t="s">
        <v>544</v>
      </c>
      <c r="AH74" s="449" t="s">
        <v>544</v>
      </c>
      <c r="AI74" s="452" t="s">
        <v>545</v>
      </c>
      <c r="AJ74" s="448" t="s">
        <v>544</v>
      </c>
      <c r="AK74" s="450" t="s">
        <v>545</v>
      </c>
      <c r="AL74" s="448" t="s">
        <v>544</v>
      </c>
      <c r="AM74" s="452" t="s">
        <v>545</v>
      </c>
      <c r="AN74" s="448" t="s">
        <v>544</v>
      </c>
      <c r="AO74" s="448" t="s">
        <v>544</v>
      </c>
      <c r="AP74" s="448" t="s">
        <v>544</v>
      </c>
      <c r="AQ74" s="452" t="s">
        <v>545</v>
      </c>
      <c r="AR74" s="448" t="s">
        <v>544</v>
      </c>
      <c r="AS74" s="448" t="s">
        <v>544</v>
      </c>
      <c r="AT74" s="448" t="s">
        <v>544</v>
      </c>
      <c r="AU74" s="448" t="s">
        <v>544</v>
      </c>
      <c r="AV74" s="457" t="s">
        <v>549</v>
      </c>
      <c r="AW74" s="448" t="s">
        <v>544</v>
      </c>
      <c r="AX74" s="448" t="s">
        <v>544</v>
      </c>
      <c r="AY74" s="448" t="s">
        <v>544</v>
      </c>
      <c r="AZ74" s="452" t="s">
        <v>545</v>
      </c>
      <c r="BA74" s="448" t="s">
        <v>544</v>
      </c>
      <c r="BB74" s="448" t="s">
        <v>544</v>
      </c>
      <c r="BC74" s="448" t="s">
        <v>544</v>
      </c>
      <c r="BD74" s="448" t="s">
        <v>544</v>
      </c>
      <c r="BE74" s="448" t="s">
        <v>544</v>
      </c>
      <c r="BF74" s="452" t="s">
        <v>545</v>
      </c>
      <c r="BG74" s="448" t="s">
        <v>544</v>
      </c>
      <c r="BH74" s="448" t="s">
        <v>544</v>
      </c>
      <c r="BI74" s="448" t="s">
        <v>544</v>
      </c>
      <c r="BJ74" s="448" t="s">
        <v>544</v>
      </c>
      <c r="BK74" s="452" t="s">
        <v>545</v>
      </c>
      <c r="BL74" s="448" t="s">
        <v>549</v>
      </c>
      <c r="BM74" s="448" t="s">
        <v>544</v>
      </c>
      <c r="BN74" s="448" t="s">
        <v>544</v>
      </c>
      <c r="BO74" s="448" t="s">
        <v>544</v>
      </c>
      <c r="BP74" s="448" t="s">
        <v>549</v>
      </c>
      <c r="BQ74" s="448" t="s">
        <v>549</v>
      </c>
      <c r="BR74" s="452" t="s">
        <v>545</v>
      </c>
      <c r="BS74" s="449" t="s">
        <v>544</v>
      </c>
      <c r="BT74" s="448" t="s">
        <v>544</v>
      </c>
      <c r="BU74" s="454" t="s">
        <v>546</v>
      </c>
      <c r="BV74" s="448" t="s">
        <v>545</v>
      </c>
      <c r="BW74" s="448"/>
      <c r="BX74" s="448"/>
      <c r="BY74" s="448" t="s">
        <v>544</v>
      </c>
      <c r="BZ74" s="448" t="s">
        <v>544</v>
      </c>
    </row>
    <row r="75" spans="1:78" ht="15.75" thickBot="1">
      <c r="A75" s="428"/>
      <c r="B75" s="426" t="s">
        <v>704</v>
      </c>
      <c r="C75" s="427" t="s">
        <v>705</v>
      </c>
      <c r="D75" s="448" t="s">
        <v>544</v>
      </c>
      <c r="E75" s="448" t="s">
        <v>544</v>
      </c>
      <c r="F75" s="449" t="s">
        <v>544</v>
      </c>
      <c r="G75" s="449" t="s">
        <v>544</v>
      </c>
      <c r="H75" s="450" t="s">
        <v>545</v>
      </c>
      <c r="I75" s="448" t="s">
        <v>544</v>
      </c>
      <c r="J75" s="448" t="s">
        <v>544</v>
      </c>
      <c r="K75" s="448" t="s">
        <v>544</v>
      </c>
      <c r="L75" s="448" t="s">
        <v>544</v>
      </c>
      <c r="M75" s="448" t="s">
        <v>544</v>
      </c>
      <c r="N75" s="448" t="s">
        <v>544</v>
      </c>
      <c r="O75" s="448" t="s">
        <v>544</v>
      </c>
      <c r="P75" s="448" t="s">
        <v>544</v>
      </c>
      <c r="Q75" s="448" t="s">
        <v>544</v>
      </c>
      <c r="R75" s="448" t="s">
        <v>544</v>
      </c>
      <c r="S75" s="448" t="s">
        <v>544</v>
      </c>
      <c r="T75" s="448" t="s">
        <v>544</v>
      </c>
      <c r="U75" s="454" t="s">
        <v>546</v>
      </c>
      <c r="V75" s="454" t="s">
        <v>546</v>
      </c>
      <c r="W75" s="448" t="s">
        <v>544</v>
      </c>
      <c r="X75" s="448" t="s">
        <v>544</v>
      </c>
      <c r="Y75" s="452" t="s">
        <v>545</v>
      </c>
      <c r="Z75" s="449" t="s">
        <v>544</v>
      </c>
      <c r="AA75" s="449" t="s">
        <v>544</v>
      </c>
      <c r="AB75" s="449" t="s">
        <v>544</v>
      </c>
      <c r="AC75" s="449" t="s">
        <v>544</v>
      </c>
      <c r="AD75" s="449" t="s">
        <v>544</v>
      </c>
      <c r="AE75" s="450" t="s">
        <v>545</v>
      </c>
      <c r="AF75" s="452" t="s">
        <v>545</v>
      </c>
      <c r="AG75" s="448" t="s">
        <v>544</v>
      </c>
      <c r="AH75" s="449" t="s">
        <v>544</v>
      </c>
      <c r="AI75" s="452" t="s">
        <v>545</v>
      </c>
      <c r="AJ75" s="448" t="s">
        <v>544</v>
      </c>
      <c r="AK75" s="449" t="s">
        <v>544</v>
      </c>
      <c r="AL75" s="452" t="s">
        <v>545</v>
      </c>
      <c r="AM75" s="448" t="s">
        <v>544</v>
      </c>
      <c r="AN75" s="452" t="s">
        <v>545</v>
      </c>
      <c r="AO75" s="448" t="s">
        <v>544</v>
      </c>
      <c r="AP75" s="448" t="s">
        <v>544</v>
      </c>
      <c r="AQ75" s="452" t="s">
        <v>545</v>
      </c>
      <c r="AR75" s="448" t="s">
        <v>544</v>
      </c>
      <c r="AS75" s="448" t="s">
        <v>544</v>
      </c>
      <c r="AT75" s="448" t="s">
        <v>544</v>
      </c>
      <c r="AU75" s="448" t="s">
        <v>544</v>
      </c>
      <c r="AV75" s="457" t="s">
        <v>549</v>
      </c>
      <c r="AW75" s="448" t="s">
        <v>544</v>
      </c>
      <c r="AX75" s="448" t="s">
        <v>544</v>
      </c>
      <c r="AY75" s="448" t="s">
        <v>544</v>
      </c>
      <c r="AZ75" s="452" t="s">
        <v>545</v>
      </c>
      <c r="BA75" s="452" t="s">
        <v>545</v>
      </c>
      <c r="BB75" s="452" t="s">
        <v>545</v>
      </c>
      <c r="BC75" s="452" t="s">
        <v>545</v>
      </c>
      <c r="BD75" s="452" t="s">
        <v>545</v>
      </c>
      <c r="BE75" s="448" t="s">
        <v>544</v>
      </c>
      <c r="BF75" s="452" t="s">
        <v>545</v>
      </c>
      <c r="BG75" s="452" t="s">
        <v>545</v>
      </c>
      <c r="BH75" s="448" t="s">
        <v>544</v>
      </c>
      <c r="BI75" s="452" t="s">
        <v>545</v>
      </c>
      <c r="BJ75" s="448" t="s">
        <v>544</v>
      </c>
      <c r="BK75" s="452" t="s">
        <v>545</v>
      </c>
      <c r="BL75" s="448" t="s">
        <v>549</v>
      </c>
      <c r="BM75" s="452" t="s">
        <v>545</v>
      </c>
      <c r="BN75" s="452" t="s">
        <v>545</v>
      </c>
      <c r="BO75" s="448" t="s">
        <v>544</v>
      </c>
      <c r="BP75" s="452" t="s">
        <v>545</v>
      </c>
      <c r="BQ75" s="448" t="s">
        <v>549</v>
      </c>
      <c r="BR75" s="452" t="s">
        <v>545</v>
      </c>
      <c r="BS75" s="449" t="s">
        <v>544</v>
      </c>
      <c r="BT75" s="448" t="s">
        <v>544</v>
      </c>
      <c r="BU75" s="452" t="s">
        <v>545</v>
      </c>
      <c r="BV75" s="448" t="s">
        <v>545</v>
      </c>
      <c r="BW75" s="448"/>
      <c r="BX75" s="448"/>
      <c r="BY75" s="448" t="s">
        <v>544</v>
      </c>
      <c r="BZ75" s="448" t="s">
        <v>544</v>
      </c>
    </row>
    <row r="76" spans="1:78" ht="15.75" thickBot="1">
      <c r="A76" s="428"/>
      <c r="B76" s="426" t="s">
        <v>706</v>
      </c>
      <c r="C76" s="427" t="s">
        <v>707</v>
      </c>
      <c r="D76" s="449" t="s">
        <v>544</v>
      </c>
      <c r="E76" s="449" t="s">
        <v>544</v>
      </c>
      <c r="F76" s="449" t="s">
        <v>544</v>
      </c>
      <c r="G76" s="449" t="s">
        <v>544</v>
      </c>
      <c r="H76" s="449" t="s">
        <v>544</v>
      </c>
      <c r="I76" s="448" t="s">
        <v>544</v>
      </c>
      <c r="J76" s="448" t="s">
        <v>544</v>
      </c>
      <c r="K76" s="449" t="s">
        <v>544</v>
      </c>
      <c r="L76" s="449" t="s">
        <v>544</v>
      </c>
      <c r="M76" s="449" t="s">
        <v>544</v>
      </c>
      <c r="N76" s="448" t="s">
        <v>544</v>
      </c>
      <c r="O76" s="449" t="s">
        <v>544</v>
      </c>
      <c r="P76" s="449" t="s">
        <v>544</v>
      </c>
      <c r="Q76" s="448" t="s">
        <v>544</v>
      </c>
      <c r="R76" s="449" t="s">
        <v>544</v>
      </c>
      <c r="S76" s="448" t="s">
        <v>544</v>
      </c>
      <c r="T76" s="449" t="s">
        <v>544</v>
      </c>
      <c r="U76" s="449" t="s">
        <v>544</v>
      </c>
      <c r="V76" s="449" t="s">
        <v>544</v>
      </c>
      <c r="W76" s="449" t="s">
        <v>544</v>
      </c>
      <c r="X76" s="449" t="s">
        <v>544</v>
      </c>
      <c r="Y76" s="449" t="s">
        <v>544</v>
      </c>
      <c r="Z76" s="449" t="s">
        <v>544</v>
      </c>
      <c r="AA76" s="449" t="s">
        <v>544</v>
      </c>
      <c r="AB76" s="449" t="s">
        <v>544</v>
      </c>
      <c r="AC76" s="450" t="s">
        <v>545</v>
      </c>
      <c r="AD76" s="449" t="s">
        <v>544</v>
      </c>
      <c r="AE76" s="449" t="s">
        <v>544</v>
      </c>
      <c r="AF76" s="449" t="s">
        <v>544</v>
      </c>
      <c r="AG76" s="449" t="s">
        <v>544</v>
      </c>
      <c r="AH76" s="449" t="s">
        <v>544</v>
      </c>
      <c r="AI76" s="449" t="s">
        <v>544</v>
      </c>
      <c r="AJ76" s="450" t="s">
        <v>545</v>
      </c>
      <c r="AK76" s="449" t="s">
        <v>544</v>
      </c>
      <c r="AL76" s="449" t="s">
        <v>544</v>
      </c>
      <c r="AM76" s="449" t="s">
        <v>544</v>
      </c>
      <c r="AN76" s="449" t="s">
        <v>544</v>
      </c>
      <c r="AO76" s="449" t="s">
        <v>544</v>
      </c>
      <c r="AP76" s="449" t="s">
        <v>544</v>
      </c>
      <c r="AQ76" s="449" t="s">
        <v>544</v>
      </c>
      <c r="AR76" s="449" t="s">
        <v>544</v>
      </c>
      <c r="AS76" s="449" t="s">
        <v>544</v>
      </c>
      <c r="AT76" s="449" t="s">
        <v>544</v>
      </c>
      <c r="AU76" s="449" t="s">
        <v>544</v>
      </c>
      <c r="AV76" s="449" t="s">
        <v>544</v>
      </c>
      <c r="AW76" s="449" t="s">
        <v>544</v>
      </c>
      <c r="AX76" s="449" t="s">
        <v>544</v>
      </c>
      <c r="AY76" s="449" t="s">
        <v>544</v>
      </c>
      <c r="AZ76" s="449" t="s">
        <v>544</v>
      </c>
      <c r="BA76" s="449" t="s">
        <v>544</v>
      </c>
      <c r="BB76" s="449" t="s">
        <v>544</v>
      </c>
      <c r="BC76" s="449" t="s">
        <v>544</v>
      </c>
      <c r="BD76" s="449" t="s">
        <v>544</v>
      </c>
      <c r="BE76" s="449" t="s">
        <v>544</v>
      </c>
      <c r="BF76" s="449" t="s">
        <v>544</v>
      </c>
      <c r="BG76" s="449" t="s">
        <v>544</v>
      </c>
      <c r="BH76" s="450" t="s">
        <v>545</v>
      </c>
      <c r="BI76" s="450" t="s">
        <v>545</v>
      </c>
      <c r="BJ76" s="448" t="s">
        <v>544</v>
      </c>
      <c r="BK76" s="449" t="s">
        <v>544</v>
      </c>
      <c r="BL76" s="448" t="s">
        <v>549</v>
      </c>
      <c r="BM76" s="452" t="s">
        <v>545</v>
      </c>
      <c r="BN76" s="448" t="s">
        <v>544</v>
      </c>
      <c r="BO76" s="448" t="s">
        <v>544</v>
      </c>
      <c r="BP76" s="448" t="s">
        <v>549</v>
      </c>
      <c r="BQ76" s="448" t="s">
        <v>549</v>
      </c>
      <c r="BR76" s="448" t="s">
        <v>549</v>
      </c>
      <c r="BS76" s="449" t="s">
        <v>544</v>
      </c>
      <c r="BT76" s="449" t="s">
        <v>544</v>
      </c>
      <c r="BU76" s="448" t="s">
        <v>544</v>
      </c>
      <c r="BV76" s="449" t="s">
        <v>544</v>
      </c>
      <c r="BW76" s="449"/>
      <c r="BX76" s="449"/>
      <c r="BY76" s="449" t="s">
        <v>544</v>
      </c>
      <c r="BZ76" s="449" t="s">
        <v>544</v>
      </c>
    </row>
    <row r="77" spans="1:78" ht="15.75" thickBot="1">
      <c r="A77" s="428"/>
      <c r="B77" s="426" t="s">
        <v>708</v>
      </c>
      <c r="C77" s="427" t="s">
        <v>709</v>
      </c>
      <c r="D77" s="448" t="s">
        <v>544</v>
      </c>
      <c r="E77" s="448" t="s">
        <v>544</v>
      </c>
      <c r="F77" s="449" t="s">
        <v>544</v>
      </c>
      <c r="G77" s="449" t="s">
        <v>544</v>
      </c>
      <c r="H77" s="449" t="s">
        <v>544</v>
      </c>
      <c r="I77" s="448" t="s">
        <v>544</v>
      </c>
      <c r="J77" s="448" t="s">
        <v>544</v>
      </c>
      <c r="K77" s="448" t="s">
        <v>544</v>
      </c>
      <c r="L77" s="448" t="s">
        <v>544</v>
      </c>
      <c r="M77" s="448" t="s">
        <v>544</v>
      </c>
      <c r="N77" s="448" t="s">
        <v>544</v>
      </c>
      <c r="O77" s="448" t="s">
        <v>544</v>
      </c>
      <c r="P77" s="448" t="s">
        <v>544</v>
      </c>
      <c r="Q77" s="448" t="s">
        <v>544</v>
      </c>
      <c r="R77" s="448" t="s">
        <v>544</v>
      </c>
      <c r="S77" s="448" t="s">
        <v>544</v>
      </c>
      <c r="T77" s="448" t="s">
        <v>544</v>
      </c>
      <c r="U77" s="448" t="s">
        <v>544</v>
      </c>
      <c r="V77" s="448" t="s">
        <v>544</v>
      </c>
      <c r="W77" s="448" t="s">
        <v>544</v>
      </c>
      <c r="X77" s="448" t="s">
        <v>544</v>
      </c>
      <c r="Y77" s="448" t="s">
        <v>544</v>
      </c>
      <c r="Z77" s="449" t="s">
        <v>544</v>
      </c>
      <c r="AA77" s="449" t="s">
        <v>544</v>
      </c>
      <c r="AB77" s="449" t="s">
        <v>544</v>
      </c>
      <c r="AC77" s="449" t="s">
        <v>544</v>
      </c>
      <c r="AD77" s="449" t="s">
        <v>544</v>
      </c>
      <c r="AE77" s="449" t="s">
        <v>544</v>
      </c>
      <c r="AF77" s="448" t="s">
        <v>544</v>
      </c>
      <c r="AG77" s="448" t="s">
        <v>544</v>
      </c>
      <c r="AH77" s="449" t="s">
        <v>544</v>
      </c>
      <c r="AI77" s="448" t="s">
        <v>544</v>
      </c>
      <c r="AJ77" s="452" t="s">
        <v>545</v>
      </c>
      <c r="AK77" s="450" t="s">
        <v>545</v>
      </c>
      <c r="AL77" s="448" t="s">
        <v>544</v>
      </c>
      <c r="AM77" s="448" t="s">
        <v>544</v>
      </c>
      <c r="AN77" s="452" t="s">
        <v>545</v>
      </c>
      <c r="AO77" s="448" t="s">
        <v>544</v>
      </c>
      <c r="AP77" s="448" t="s">
        <v>544</v>
      </c>
      <c r="AQ77" s="448" t="s">
        <v>544</v>
      </c>
      <c r="AR77" s="448" t="s">
        <v>544</v>
      </c>
      <c r="AS77" s="448" t="s">
        <v>544</v>
      </c>
      <c r="AT77" s="448" t="s">
        <v>544</v>
      </c>
      <c r="AU77" s="448" t="s">
        <v>544</v>
      </c>
      <c r="AV77" s="448" t="s">
        <v>544</v>
      </c>
      <c r="AW77" s="448" t="s">
        <v>544</v>
      </c>
      <c r="AX77" s="448" t="s">
        <v>544</v>
      </c>
      <c r="AY77" s="448" t="s">
        <v>544</v>
      </c>
      <c r="AZ77" s="448" t="s">
        <v>544</v>
      </c>
      <c r="BA77" s="448" t="s">
        <v>544</v>
      </c>
      <c r="BB77" s="448" t="s">
        <v>544</v>
      </c>
      <c r="BC77" s="448" t="s">
        <v>544</v>
      </c>
      <c r="BD77" s="448" t="s">
        <v>544</v>
      </c>
      <c r="BE77" s="448" t="s">
        <v>544</v>
      </c>
      <c r="BF77" s="448" t="s">
        <v>544</v>
      </c>
      <c r="BG77" s="448" t="s">
        <v>544</v>
      </c>
      <c r="BH77" s="452" t="s">
        <v>545</v>
      </c>
      <c r="BI77" s="452" t="s">
        <v>545</v>
      </c>
      <c r="BJ77" s="448" t="s">
        <v>544</v>
      </c>
      <c r="BK77" s="448" t="s">
        <v>544</v>
      </c>
      <c r="BL77" s="448" t="s">
        <v>549</v>
      </c>
      <c r="BM77" s="452" t="s">
        <v>545</v>
      </c>
      <c r="BN77" s="448" t="s">
        <v>544</v>
      </c>
      <c r="BO77" s="448" t="s">
        <v>544</v>
      </c>
      <c r="BP77" s="448" t="s">
        <v>549</v>
      </c>
      <c r="BQ77" s="448" t="s">
        <v>549</v>
      </c>
      <c r="BR77" s="448" t="s">
        <v>549</v>
      </c>
      <c r="BS77" s="449" t="s">
        <v>544</v>
      </c>
      <c r="BT77" s="448" t="s">
        <v>544</v>
      </c>
      <c r="BU77" s="448" t="s">
        <v>544</v>
      </c>
      <c r="BV77" s="451" t="s">
        <v>547</v>
      </c>
      <c r="BW77" s="449"/>
      <c r="BX77" s="451"/>
      <c r="BY77" s="451" t="s">
        <v>547</v>
      </c>
      <c r="BZ77" s="451" t="s">
        <v>547</v>
      </c>
    </row>
    <row r="78" spans="1:78" ht="15.75" thickBot="1">
      <c r="A78" s="428"/>
      <c r="B78" s="426" t="s">
        <v>710</v>
      </c>
      <c r="C78" s="427" t="s">
        <v>711</v>
      </c>
      <c r="D78" s="448" t="s">
        <v>544</v>
      </c>
      <c r="E78" s="452" t="s">
        <v>545</v>
      </c>
      <c r="F78" s="449" t="s">
        <v>544</v>
      </c>
      <c r="G78" s="449" t="s">
        <v>544</v>
      </c>
      <c r="H78" s="449" t="s">
        <v>544</v>
      </c>
      <c r="I78" s="448" t="s">
        <v>544</v>
      </c>
      <c r="J78" s="452" t="s">
        <v>545</v>
      </c>
      <c r="K78" s="452" t="s">
        <v>545</v>
      </c>
      <c r="L78" s="448" t="s">
        <v>544</v>
      </c>
      <c r="M78" s="448" t="s">
        <v>544</v>
      </c>
      <c r="N78" s="448" t="s">
        <v>544</v>
      </c>
      <c r="O78" s="448" t="s">
        <v>544</v>
      </c>
      <c r="P78" s="452" t="s">
        <v>545</v>
      </c>
      <c r="Q78" s="448" t="s">
        <v>544</v>
      </c>
      <c r="R78" s="448" t="s">
        <v>544</v>
      </c>
      <c r="S78" s="448" t="s">
        <v>544</v>
      </c>
      <c r="T78" s="448" t="s">
        <v>544</v>
      </c>
      <c r="U78" s="452" t="s">
        <v>545</v>
      </c>
      <c r="V78" s="452" t="s">
        <v>545</v>
      </c>
      <c r="W78" s="448" t="s">
        <v>544</v>
      </c>
      <c r="X78" s="448" t="s">
        <v>544</v>
      </c>
      <c r="Y78" s="448" t="s">
        <v>544</v>
      </c>
      <c r="Z78" s="449" t="s">
        <v>544</v>
      </c>
      <c r="AA78" s="449" t="s">
        <v>544</v>
      </c>
      <c r="AB78" s="449" t="s">
        <v>544</v>
      </c>
      <c r="AC78" s="450" t="s">
        <v>545</v>
      </c>
      <c r="AD78" s="449" t="s">
        <v>544</v>
      </c>
      <c r="AE78" s="449" t="s">
        <v>544</v>
      </c>
      <c r="AF78" s="448" t="s">
        <v>544</v>
      </c>
      <c r="AG78" s="448" t="s">
        <v>544</v>
      </c>
      <c r="AH78" s="449" t="s">
        <v>544</v>
      </c>
      <c r="AI78" s="452" t="s">
        <v>545</v>
      </c>
      <c r="AJ78" s="452" t="s">
        <v>545</v>
      </c>
      <c r="AK78" s="449" t="s">
        <v>544</v>
      </c>
      <c r="AL78" s="448" t="s">
        <v>544</v>
      </c>
      <c r="AM78" s="452" t="s">
        <v>545</v>
      </c>
      <c r="AN78" s="448" t="s">
        <v>544</v>
      </c>
      <c r="AO78" s="448" t="s">
        <v>544</v>
      </c>
      <c r="AP78" s="448" t="s">
        <v>544</v>
      </c>
      <c r="AQ78" s="448" t="s">
        <v>544</v>
      </c>
      <c r="AR78" s="448" t="s">
        <v>544</v>
      </c>
      <c r="AS78" s="452" t="s">
        <v>545</v>
      </c>
      <c r="AT78" s="448" t="s">
        <v>544</v>
      </c>
      <c r="AU78" s="452" t="s">
        <v>545</v>
      </c>
      <c r="AV78" s="452" t="s">
        <v>545</v>
      </c>
      <c r="AW78" s="448" t="s">
        <v>544</v>
      </c>
      <c r="AX78" s="452" t="s">
        <v>545</v>
      </c>
      <c r="AY78" s="448" t="s">
        <v>544</v>
      </c>
      <c r="AZ78" s="448" t="s">
        <v>544</v>
      </c>
      <c r="BA78" s="448" t="s">
        <v>544</v>
      </c>
      <c r="BB78" s="448" t="s">
        <v>544</v>
      </c>
      <c r="BC78" s="448" t="s">
        <v>544</v>
      </c>
      <c r="BD78" s="448" t="s">
        <v>544</v>
      </c>
      <c r="BE78" s="448" t="s">
        <v>544</v>
      </c>
      <c r="BF78" s="448" t="s">
        <v>544</v>
      </c>
      <c r="BG78" s="452" t="s">
        <v>545</v>
      </c>
      <c r="BH78" s="448" t="s">
        <v>544</v>
      </c>
      <c r="BI78" s="452" t="s">
        <v>545</v>
      </c>
      <c r="BJ78" s="448" t="s">
        <v>544</v>
      </c>
      <c r="BK78" s="454" t="s">
        <v>546</v>
      </c>
      <c r="BL78" s="448" t="s">
        <v>549</v>
      </c>
      <c r="BM78" s="448" t="s">
        <v>544</v>
      </c>
      <c r="BN78" s="452" t="s">
        <v>545</v>
      </c>
      <c r="BO78" s="448" t="s">
        <v>544</v>
      </c>
      <c r="BP78" s="448" t="s">
        <v>549</v>
      </c>
      <c r="BQ78" s="448" t="s">
        <v>549</v>
      </c>
      <c r="BR78" s="448" t="s">
        <v>549</v>
      </c>
      <c r="BS78" s="449" t="s">
        <v>544</v>
      </c>
      <c r="BT78" s="448" t="s">
        <v>544</v>
      </c>
      <c r="BU78" s="452" t="s">
        <v>545</v>
      </c>
      <c r="BV78" s="452" t="s">
        <v>545</v>
      </c>
      <c r="BW78" s="449"/>
      <c r="BX78" s="452"/>
      <c r="BY78" s="452" t="s">
        <v>545</v>
      </c>
      <c r="BZ78" s="452" t="s">
        <v>545</v>
      </c>
    </row>
    <row r="79" spans="1:78" ht="15.75" thickBot="1">
      <c r="A79" s="428"/>
      <c r="B79" s="426" t="s">
        <v>461</v>
      </c>
      <c r="C79" s="427" t="s">
        <v>712</v>
      </c>
      <c r="D79" s="448" t="s">
        <v>544</v>
      </c>
      <c r="E79" s="448" t="s">
        <v>544</v>
      </c>
      <c r="F79" s="449" t="s">
        <v>544</v>
      </c>
      <c r="G79" s="449" t="s">
        <v>544</v>
      </c>
      <c r="H79" s="449" t="s">
        <v>544</v>
      </c>
      <c r="I79" s="448" t="s">
        <v>544</v>
      </c>
      <c r="J79" s="448" t="s">
        <v>544</v>
      </c>
      <c r="K79" s="448" t="s">
        <v>544</v>
      </c>
      <c r="L79" s="448" t="s">
        <v>544</v>
      </c>
      <c r="M79" s="448" t="s">
        <v>544</v>
      </c>
      <c r="N79" s="448" t="s">
        <v>544</v>
      </c>
      <c r="O79" s="448" t="s">
        <v>544</v>
      </c>
      <c r="P79" s="452" t="s">
        <v>545</v>
      </c>
      <c r="Q79" s="448" t="s">
        <v>544</v>
      </c>
      <c r="R79" s="448" t="s">
        <v>544</v>
      </c>
      <c r="S79" s="448" t="s">
        <v>544</v>
      </c>
      <c r="T79" s="448" t="s">
        <v>544</v>
      </c>
      <c r="U79" s="448" t="s">
        <v>544</v>
      </c>
      <c r="V79" s="452" t="s">
        <v>545</v>
      </c>
      <c r="W79" s="448" t="s">
        <v>544</v>
      </c>
      <c r="X79" s="448" t="s">
        <v>544</v>
      </c>
      <c r="Y79" s="448" t="s">
        <v>544</v>
      </c>
      <c r="Z79" s="450" t="s">
        <v>545</v>
      </c>
      <c r="AA79" s="449" t="s">
        <v>544</v>
      </c>
      <c r="AB79" s="450" t="s">
        <v>545</v>
      </c>
      <c r="AC79" s="450" t="s">
        <v>545</v>
      </c>
      <c r="AD79" s="449" t="s">
        <v>544</v>
      </c>
      <c r="AE79" s="449" t="s">
        <v>544</v>
      </c>
      <c r="AF79" s="452" t="s">
        <v>545</v>
      </c>
      <c r="AG79" s="448" t="s">
        <v>544</v>
      </c>
      <c r="AH79" s="449" t="s">
        <v>544</v>
      </c>
      <c r="AI79" s="448" t="s">
        <v>544</v>
      </c>
      <c r="AJ79" s="452" t="s">
        <v>545</v>
      </c>
      <c r="AK79" s="449" t="s">
        <v>544</v>
      </c>
      <c r="AL79" s="448" t="s">
        <v>544</v>
      </c>
      <c r="AM79" s="448" t="s">
        <v>544</v>
      </c>
      <c r="AN79" s="452" t="s">
        <v>545</v>
      </c>
      <c r="AO79" s="448" t="s">
        <v>544</v>
      </c>
      <c r="AP79" s="448" t="s">
        <v>544</v>
      </c>
      <c r="AQ79" s="448" t="s">
        <v>544</v>
      </c>
      <c r="AR79" s="448" t="s">
        <v>544</v>
      </c>
      <c r="AS79" s="448" t="s">
        <v>544</v>
      </c>
      <c r="AT79" s="448" t="s">
        <v>544</v>
      </c>
      <c r="AU79" s="452" t="s">
        <v>545</v>
      </c>
      <c r="AV79" s="448" t="s">
        <v>544</v>
      </c>
      <c r="AW79" s="452" t="s">
        <v>545</v>
      </c>
      <c r="AX79" s="448" t="s">
        <v>544</v>
      </c>
      <c r="AY79" s="452" t="s">
        <v>545</v>
      </c>
      <c r="AZ79" s="452" t="s">
        <v>545</v>
      </c>
      <c r="BA79" s="452" t="s">
        <v>545</v>
      </c>
      <c r="BB79" s="448" t="s">
        <v>544</v>
      </c>
      <c r="BC79" s="448" t="s">
        <v>544</v>
      </c>
      <c r="BD79" s="448" t="s">
        <v>544</v>
      </c>
      <c r="BE79" s="448" t="s">
        <v>544</v>
      </c>
      <c r="BF79" s="448" t="s">
        <v>544</v>
      </c>
      <c r="BG79" s="448" t="s">
        <v>544</v>
      </c>
      <c r="BH79" s="448" t="s">
        <v>544</v>
      </c>
      <c r="BI79" s="452" t="s">
        <v>545</v>
      </c>
      <c r="BJ79" s="448" t="s">
        <v>544</v>
      </c>
      <c r="BK79" s="448" t="s">
        <v>544</v>
      </c>
      <c r="BL79" s="448" t="s">
        <v>549</v>
      </c>
      <c r="BM79" s="452" t="s">
        <v>545</v>
      </c>
      <c r="BN79" s="448" t="s">
        <v>544</v>
      </c>
      <c r="BO79" s="448" t="s">
        <v>544</v>
      </c>
      <c r="BP79" s="452" t="s">
        <v>545</v>
      </c>
      <c r="BQ79" s="448" t="s">
        <v>549</v>
      </c>
      <c r="BR79" s="448" t="s">
        <v>549</v>
      </c>
      <c r="BS79" s="450" t="s">
        <v>545</v>
      </c>
      <c r="BT79" s="448" t="s">
        <v>544</v>
      </c>
      <c r="BU79" s="448" t="s">
        <v>544</v>
      </c>
      <c r="BV79" s="452" t="s">
        <v>544</v>
      </c>
      <c r="BW79" s="449"/>
      <c r="BX79" s="452"/>
      <c r="BY79" s="452" t="s">
        <v>545</v>
      </c>
      <c r="BZ79" s="452" t="s">
        <v>545</v>
      </c>
    </row>
    <row r="80" spans="1:78" ht="15.75" thickBot="1">
      <c r="A80" s="428"/>
      <c r="B80" s="426" t="s">
        <v>432</v>
      </c>
      <c r="C80" s="427" t="s">
        <v>713</v>
      </c>
      <c r="D80" s="448" t="s">
        <v>544</v>
      </c>
      <c r="E80" s="448" t="s">
        <v>544</v>
      </c>
      <c r="F80" s="449" t="s">
        <v>544</v>
      </c>
      <c r="G80" s="449" t="s">
        <v>544</v>
      </c>
      <c r="H80" s="449" t="s">
        <v>544</v>
      </c>
      <c r="I80" s="448" t="s">
        <v>544</v>
      </c>
      <c r="J80" s="448" t="s">
        <v>544</v>
      </c>
      <c r="K80" s="448" t="s">
        <v>544</v>
      </c>
      <c r="L80" s="452" t="s">
        <v>545</v>
      </c>
      <c r="M80" s="448" t="s">
        <v>544</v>
      </c>
      <c r="N80" s="448" t="s">
        <v>544</v>
      </c>
      <c r="O80" s="452" t="s">
        <v>545</v>
      </c>
      <c r="P80" s="448" t="s">
        <v>544</v>
      </c>
      <c r="Q80" s="452" t="s">
        <v>545</v>
      </c>
      <c r="R80" s="448" t="s">
        <v>544</v>
      </c>
      <c r="S80" s="448" t="s">
        <v>544</v>
      </c>
      <c r="T80" s="448" t="s">
        <v>544</v>
      </c>
      <c r="U80" s="452" t="s">
        <v>545</v>
      </c>
      <c r="V80" s="448" t="s">
        <v>544</v>
      </c>
      <c r="W80" s="448" t="s">
        <v>544</v>
      </c>
      <c r="X80" s="448" t="s">
        <v>544</v>
      </c>
      <c r="Y80" s="448" t="s">
        <v>544</v>
      </c>
      <c r="Z80" s="449" t="s">
        <v>544</v>
      </c>
      <c r="AA80" s="449" t="s">
        <v>544</v>
      </c>
      <c r="AB80" s="450" t="s">
        <v>545</v>
      </c>
      <c r="AC80" s="449" t="s">
        <v>544</v>
      </c>
      <c r="AD80" s="449" t="s">
        <v>544</v>
      </c>
      <c r="AE80" s="450" t="s">
        <v>545</v>
      </c>
      <c r="AF80" s="448" t="s">
        <v>544</v>
      </c>
      <c r="AG80" s="448" t="s">
        <v>544</v>
      </c>
      <c r="AH80" s="449" t="s">
        <v>544</v>
      </c>
      <c r="AI80" s="454" t="s">
        <v>546</v>
      </c>
      <c r="AJ80" s="448" t="s">
        <v>544</v>
      </c>
      <c r="AK80" s="450" t="s">
        <v>545</v>
      </c>
      <c r="AL80" s="448" t="s">
        <v>544</v>
      </c>
      <c r="AM80" s="448" t="s">
        <v>544</v>
      </c>
      <c r="AN80" s="448" t="s">
        <v>544</v>
      </c>
      <c r="AO80" s="448" t="s">
        <v>544</v>
      </c>
      <c r="AP80" s="452" t="s">
        <v>545</v>
      </c>
      <c r="AQ80" s="448" t="s">
        <v>544</v>
      </c>
      <c r="AR80" s="448" t="s">
        <v>544</v>
      </c>
      <c r="AS80" s="448" t="s">
        <v>544</v>
      </c>
      <c r="AT80" s="448" t="s">
        <v>544</v>
      </c>
      <c r="AU80" s="448" t="s">
        <v>544</v>
      </c>
      <c r="AV80" s="452" t="s">
        <v>545</v>
      </c>
      <c r="AW80" s="448" t="s">
        <v>544</v>
      </c>
      <c r="AX80" s="448" t="s">
        <v>544</v>
      </c>
      <c r="AY80" s="448" t="s">
        <v>544</v>
      </c>
      <c r="AZ80" s="452" t="s">
        <v>545</v>
      </c>
      <c r="BA80" s="452" t="s">
        <v>545</v>
      </c>
      <c r="BB80" s="452" t="s">
        <v>545</v>
      </c>
      <c r="BC80" s="452" t="s">
        <v>545</v>
      </c>
      <c r="BD80" s="452" t="s">
        <v>545</v>
      </c>
      <c r="BE80" s="448" t="s">
        <v>544</v>
      </c>
      <c r="BF80" s="452" t="s">
        <v>545</v>
      </c>
      <c r="BG80" s="448" t="s">
        <v>544</v>
      </c>
      <c r="BH80" s="448" t="s">
        <v>544</v>
      </c>
      <c r="BI80" s="448" t="s">
        <v>544</v>
      </c>
      <c r="BJ80" s="448" t="s">
        <v>544</v>
      </c>
      <c r="BK80" s="448" t="s">
        <v>544</v>
      </c>
      <c r="BL80" s="448" t="s">
        <v>549</v>
      </c>
      <c r="BM80" s="448" t="s">
        <v>544</v>
      </c>
      <c r="BN80" s="448" t="s">
        <v>544</v>
      </c>
      <c r="BO80" s="448" t="s">
        <v>544</v>
      </c>
      <c r="BP80" s="448" t="s">
        <v>549</v>
      </c>
      <c r="BQ80" s="448" t="s">
        <v>549</v>
      </c>
      <c r="BR80" s="448" t="s">
        <v>549</v>
      </c>
      <c r="BS80" s="449" t="s">
        <v>544</v>
      </c>
      <c r="BT80" s="448" t="s">
        <v>544</v>
      </c>
      <c r="BU80" s="448" t="s">
        <v>544</v>
      </c>
      <c r="BV80" s="454" t="s">
        <v>544</v>
      </c>
      <c r="BW80" s="449"/>
      <c r="BX80" s="454"/>
      <c r="BY80" s="454" t="s">
        <v>546</v>
      </c>
      <c r="BZ80" s="454" t="s">
        <v>546</v>
      </c>
    </row>
    <row r="81" spans="1:78" ht="15.75" thickBot="1">
      <c r="A81" s="428"/>
      <c r="B81" s="426" t="s">
        <v>714</v>
      </c>
      <c r="C81" s="427" t="s">
        <v>715</v>
      </c>
      <c r="D81" s="454" t="s">
        <v>546</v>
      </c>
      <c r="E81" s="454" t="s">
        <v>546</v>
      </c>
      <c r="F81" s="449" t="s">
        <v>544</v>
      </c>
      <c r="G81" s="449" t="s">
        <v>544</v>
      </c>
      <c r="H81" s="449" t="s">
        <v>544</v>
      </c>
      <c r="I81" s="448" t="s">
        <v>544</v>
      </c>
      <c r="J81" s="448" t="s">
        <v>544</v>
      </c>
      <c r="K81" s="448" t="s">
        <v>544</v>
      </c>
      <c r="L81" s="448" t="s">
        <v>544</v>
      </c>
      <c r="M81" s="448" t="s">
        <v>544</v>
      </c>
      <c r="N81" s="448" t="s">
        <v>544</v>
      </c>
      <c r="O81" s="454" t="s">
        <v>546</v>
      </c>
      <c r="P81" s="452" t="s">
        <v>545</v>
      </c>
      <c r="Q81" s="448" t="s">
        <v>544</v>
      </c>
      <c r="R81" s="448" t="s">
        <v>544</v>
      </c>
      <c r="S81" s="448" t="s">
        <v>544</v>
      </c>
      <c r="T81" s="448" t="s">
        <v>544</v>
      </c>
      <c r="U81" s="454" t="s">
        <v>546</v>
      </c>
      <c r="V81" s="454" t="s">
        <v>546</v>
      </c>
      <c r="W81" s="451" t="s">
        <v>547</v>
      </c>
      <c r="X81" s="454" t="s">
        <v>546</v>
      </c>
      <c r="Y81" s="448" t="s">
        <v>544</v>
      </c>
      <c r="Z81" s="455" t="s">
        <v>546</v>
      </c>
      <c r="AA81" s="455" t="s">
        <v>546</v>
      </c>
      <c r="AB81" s="449" t="s">
        <v>544</v>
      </c>
      <c r="AC81" s="455" t="s">
        <v>546</v>
      </c>
      <c r="AD81" s="450" t="s">
        <v>545</v>
      </c>
      <c r="AE81" s="455" t="s">
        <v>546</v>
      </c>
      <c r="AF81" s="448" t="s">
        <v>544</v>
      </c>
      <c r="AG81" s="454" t="s">
        <v>546</v>
      </c>
      <c r="AH81" s="455" t="s">
        <v>546</v>
      </c>
      <c r="AI81" s="454" t="s">
        <v>546</v>
      </c>
      <c r="AJ81" s="454" t="s">
        <v>546</v>
      </c>
      <c r="AK81" s="455" t="s">
        <v>546</v>
      </c>
      <c r="AL81" s="448" t="s">
        <v>544</v>
      </c>
      <c r="AM81" s="448" t="s">
        <v>544</v>
      </c>
      <c r="AN81" s="454" t="s">
        <v>546</v>
      </c>
      <c r="AO81" s="454" t="s">
        <v>546</v>
      </c>
      <c r="AP81" s="448" t="s">
        <v>544</v>
      </c>
      <c r="AQ81" s="448" t="s">
        <v>544</v>
      </c>
      <c r="AR81" s="448" t="s">
        <v>544</v>
      </c>
      <c r="AS81" s="448" t="s">
        <v>544</v>
      </c>
      <c r="AT81" s="448" t="s">
        <v>544</v>
      </c>
      <c r="AU81" s="448" t="s">
        <v>544</v>
      </c>
      <c r="AV81" s="457" t="s">
        <v>549</v>
      </c>
      <c r="AW81" s="452" t="s">
        <v>545</v>
      </c>
      <c r="AX81" s="448" t="s">
        <v>544</v>
      </c>
      <c r="AY81" s="448" t="s">
        <v>544</v>
      </c>
      <c r="AZ81" s="448" t="s">
        <v>544</v>
      </c>
      <c r="BA81" s="448" t="s">
        <v>544</v>
      </c>
      <c r="BB81" s="448" t="s">
        <v>544</v>
      </c>
      <c r="BC81" s="448" t="s">
        <v>544</v>
      </c>
      <c r="BD81" s="448" t="s">
        <v>544</v>
      </c>
      <c r="BE81" s="448" t="s">
        <v>544</v>
      </c>
      <c r="BF81" s="448" t="s">
        <v>544</v>
      </c>
      <c r="BG81" s="448" t="s">
        <v>544</v>
      </c>
      <c r="BH81" s="448" t="s">
        <v>544</v>
      </c>
      <c r="BI81" s="452" t="s">
        <v>545</v>
      </c>
      <c r="BJ81" s="448" t="s">
        <v>544</v>
      </c>
      <c r="BK81" s="448" t="s">
        <v>544</v>
      </c>
      <c r="BL81" s="448" t="s">
        <v>549</v>
      </c>
      <c r="BM81" s="448" t="s">
        <v>544</v>
      </c>
      <c r="BN81" s="448" t="s">
        <v>544</v>
      </c>
      <c r="BO81" s="448" t="s">
        <v>544</v>
      </c>
      <c r="BP81" s="448" t="s">
        <v>549</v>
      </c>
      <c r="BQ81" s="448" t="s">
        <v>549</v>
      </c>
      <c r="BR81" s="448" t="s">
        <v>549</v>
      </c>
      <c r="BS81" s="455" t="s">
        <v>546</v>
      </c>
      <c r="BT81" s="454" t="s">
        <v>546</v>
      </c>
      <c r="BU81" s="448" t="s">
        <v>544</v>
      </c>
      <c r="BV81" s="454" t="s">
        <v>544</v>
      </c>
      <c r="BW81" s="449"/>
      <c r="BX81" s="454"/>
      <c r="BY81" s="454" t="s">
        <v>546</v>
      </c>
      <c r="BZ81" s="454" t="s">
        <v>546</v>
      </c>
    </row>
    <row r="82" spans="1:78" ht="15.75" thickBot="1">
      <c r="A82" s="428"/>
      <c r="B82" s="430" t="s">
        <v>716</v>
      </c>
      <c r="C82" s="427" t="s">
        <v>717</v>
      </c>
      <c r="D82" s="449" t="s">
        <v>544</v>
      </c>
      <c r="E82" s="449" t="s">
        <v>544</v>
      </c>
      <c r="F82" s="449" t="s">
        <v>544</v>
      </c>
      <c r="G82" s="449" t="s">
        <v>544</v>
      </c>
      <c r="H82" s="449" t="s">
        <v>544</v>
      </c>
      <c r="I82" s="453" t="s">
        <v>549</v>
      </c>
      <c r="J82" s="453" t="s">
        <v>549</v>
      </c>
      <c r="K82" s="449" t="s">
        <v>544</v>
      </c>
      <c r="L82" s="449" t="s">
        <v>544</v>
      </c>
      <c r="M82" s="449" t="s">
        <v>544</v>
      </c>
      <c r="N82" s="453" t="s">
        <v>549</v>
      </c>
      <c r="O82" s="449" t="s">
        <v>544</v>
      </c>
      <c r="P82" s="449" t="s">
        <v>544</v>
      </c>
      <c r="Q82" s="453" t="s">
        <v>549</v>
      </c>
      <c r="R82" s="449" t="s">
        <v>544</v>
      </c>
      <c r="S82" s="453" t="s">
        <v>549</v>
      </c>
      <c r="T82" s="449" t="s">
        <v>544</v>
      </c>
      <c r="U82" s="449" t="s">
        <v>544</v>
      </c>
      <c r="V82" s="449" t="s">
        <v>544</v>
      </c>
      <c r="W82" s="449" t="s">
        <v>544</v>
      </c>
      <c r="X82" s="449" t="s">
        <v>544</v>
      </c>
      <c r="Y82" s="449" t="s">
        <v>544</v>
      </c>
      <c r="Z82" s="449" t="s">
        <v>544</v>
      </c>
      <c r="AA82" s="449" t="s">
        <v>544</v>
      </c>
      <c r="AB82" s="449" t="s">
        <v>544</v>
      </c>
      <c r="AC82" s="450" t="s">
        <v>545</v>
      </c>
      <c r="AD82" s="450" t="s">
        <v>545</v>
      </c>
      <c r="AE82" s="449" t="s">
        <v>544</v>
      </c>
      <c r="AF82" s="449" t="s">
        <v>544</v>
      </c>
      <c r="AG82" s="449" t="s">
        <v>544</v>
      </c>
      <c r="AH82" s="449" t="s">
        <v>544</v>
      </c>
      <c r="AI82" s="449" t="s">
        <v>544</v>
      </c>
      <c r="AJ82" s="449" t="s">
        <v>544</v>
      </c>
      <c r="AK82" s="449" t="s">
        <v>544</v>
      </c>
      <c r="AL82" s="449" t="s">
        <v>544</v>
      </c>
      <c r="AM82" s="449" t="s">
        <v>544</v>
      </c>
      <c r="AN82" s="449" t="s">
        <v>544</v>
      </c>
      <c r="AO82" s="449" t="s">
        <v>544</v>
      </c>
      <c r="AP82" s="449" t="s">
        <v>544</v>
      </c>
      <c r="AQ82" s="449" t="s">
        <v>544</v>
      </c>
      <c r="AR82" s="449" t="s">
        <v>544</v>
      </c>
      <c r="AS82" s="449" t="s">
        <v>544</v>
      </c>
      <c r="AT82" s="449" t="s">
        <v>544</v>
      </c>
      <c r="AU82" s="449" t="s">
        <v>544</v>
      </c>
      <c r="AV82" s="449" t="s">
        <v>544</v>
      </c>
      <c r="AW82" s="449" t="s">
        <v>544</v>
      </c>
      <c r="AX82" s="449" t="s">
        <v>544</v>
      </c>
      <c r="AY82" s="449" t="s">
        <v>545</v>
      </c>
      <c r="AZ82" s="449" t="s">
        <v>544</v>
      </c>
      <c r="BA82" s="449" t="s">
        <v>544</v>
      </c>
      <c r="BB82" s="449" t="s">
        <v>544</v>
      </c>
      <c r="BC82" s="449" t="s">
        <v>544</v>
      </c>
      <c r="BD82" s="449" t="s">
        <v>544</v>
      </c>
      <c r="BE82" s="449" t="s">
        <v>544</v>
      </c>
      <c r="BF82" s="450" t="s">
        <v>545</v>
      </c>
      <c r="BG82" s="449" t="s">
        <v>544</v>
      </c>
      <c r="BH82" s="449" t="s">
        <v>544</v>
      </c>
      <c r="BI82" s="448" t="s">
        <v>544</v>
      </c>
      <c r="BJ82" s="448" t="s">
        <v>544</v>
      </c>
      <c r="BK82" s="449" t="s">
        <v>544</v>
      </c>
      <c r="BL82" s="448" t="s">
        <v>549</v>
      </c>
      <c r="BM82" s="448" t="s">
        <v>544</v>
      </c>
      <c r="BN82" s="448" t="s">
        <v>544</v>
      </c>
      <c r="BO82" s="450" t="s">
        <v>545</v>
      </c>
      <c r="BP82" s="450" t="s">
        <v>549</v>
      </c>
      <c r="BQ82" s="450" t="s">
        <v>549</v>
      </c>
      <c r="BR82" s="450" t="s">
        <v>549</v>
      </c>
      <c r="BS82" s="449" t="s">
        <v>544</v>
      </c>
      <c r="BT82" s="449" t="s">
        <v>544</v>
      </c>
      <c r="BU82" s="448" t="s">
        <v>544</v>
      </c>
      <c r="BV82" s="449" t="s">
        <v>544</v>
      </c>
      <c r="BW82" s="449"/>
      <c r="BX82" s="449"/>
      <c r="BY82" s="449" t="s">
        <v>544</v>
      </c>
      <c r="BZ82" s="449" t="s">
        <v>544</v>
      </c>
    </row>
    <row r="83" spans="1:78" ht="15.75" thickBot="1">
      <c r="A83" s="428"/>
      <c r="B83" s="426" t="s">
        <v>718</v>
      </c>
      <c r="C83" s="427" t="s">
        <v>719</v>
      </c>
      <c r="D83" s="454" t="s">
        <v>546</v>
      </c>
      <c r="E83" s="454" t="s">
        <v>546</v>
      </c>
      <c r="F83" s="449" t="s">
        <v>544</v>
      </c>
      <c r="G83" s="449" t="s">
        <v>544</v>
      </c>
      <c r="H83" s="449" t="s">
        <v>544</v>
      </c>
      <c r="I83" s="448" t="s">
        <v>544</v>
      </c>
      <c r="J83" s="448" t="s">
        <v>544</v>
      </c>
      <c r="K83" s="448" t="s">
        <v>544</v>
      </c>
      <c r="L83" s="448" t="s">
        <v>544</v>
      </c>
      <c r="M83" s="448" t="s">
        <v>544</v>
      </c>
      <c r="N83" s="448" t="s">
        <v>544</v>
      </c>
      <c r="O83" s="454" t="s">
        <v>546</v>
      </c>
      <c r="P83" s="452" t="s">
        <v>545</v>
      </c>
      <c r="Q83" s="448" t="s">
        <v>544</v>
      </c>
      <c r="R83" s="448" t="s">
        <v>544</v>
      </c>
      <c r="S83" s="448" t="s">
        <v>544</v>
      </c>
      <c r="T83" s="448" t="s">
        <v>544</v>
      </c>
      <c r="U83" s="454" t="s">
        <v>546</v>
      </c>
      <c r="V83" s="454" t="s">
        <v>546</v>
      </c>
      <c r="W83" s="451" t="s">
        <v>547</v>
      </c>
      <c r="X83" s="454" t="s">
        <v>546</v>
      </c>
      <c r="Y83" s="448" t="s">
        <v>544</v>
      </c>
      <c r="Z83" s="455" t="s">
        <v>546</v>
      </c>
      <c r="AA83" s="455" t="s">
        <v>546</v>
      </c>
      <c r="AB83" s="449" t="s">
        <v>544</v>
      </c>
      <c r="AC83" s="450" t="s">
        <v>545</v>
      </c>
      <c r="AD83" s="450" t="s">
        <v>545</v>
      </c>
      <c r="AE83" s="455" t="s">
        <v>546</v>
      </c>
      <c r="AF83" s="448" t="s">
        <v>544</v>
      </c>
      <c r="AG83" s="454" t="s">
        <v>546</v>
      </c>
      <c r="AH83" s="455" t="s">
        <v>546</v>
      </c>
      <c r="AI83" s="454" t="s">
        <v>546</v>
      </c>
      <c r="AJ83" s="454" t="s">
        <v>546</v>
      </c>
      <c r="AK83" s="455" t="s">
        <v>546</v>
      </c>
      <c r="AL83" s="448" t="s">
        <v>544</v>
      </c>
      <c r="AM83" s="452" t="s">
        <v>545</v>
      </c>
      <c r="AN83" s="454" t="s">
        <v>546</v>
      </c>
      <c r="AO83" s="454" t="s">
        <v>546</v>
      </c>
      <c r="AP83" s="448" t="s">
        <v>544</v>
      </c>
      <c r="AQ83" s="448" t="s">
        <v>544</v>
      </c>
      <c r="AR83" s="448" t="s">
        <v>544</v>
      </c>
      <c r="AS83" s="448" t="s">
        <v>544</v>
      </c>
      <c r="AT83" s="448" t="s">
        <v>544</v>
      </c>
      <c r="AU83" s="448" t="s">
        <v>544</v>
      </c>
      <c r="AV83" s="457" t="s">
        <v>549</v>
      </c>
      <c r="AW83" s="452" t="s">
        <v>545</v>
      </c>
      <c r="AX83" s="448" t="s">
        <v>544</v>
      </c>
      <c r="AY83" s="452" t="s">
        <v>545</v>
      </c>
      <c r="AZ83" s="452" t="s">
        <v>545</v>
      </c>
      <c r="BA83" s="452" t="s">
        <v>545</v>
      </c>
      <c r="BB83" s="452" t="s">
        <v>545</v>
      </c>
      <c r="BC83" s="452" t="s">
        <v>545</v>
      </c>
      <c r="BD83" s="452" t="s">
        <v>545</v>
      </c>
      <c r="BE83" s="448" t="s">
        <v>544</v>
      </c>
      <c r="BF83" s="448" t="s">
        <v>544</v>
      </c>
      <c r="BG83" s="448" t="s">
        <v>544</v>
      </c>
      <c r="BH83" s="448" t="s">
        <v>544</v>
      </c>
      <c r="BI83" s="452" t="s">
        <v>545</v>
      </c>
      <c r="BJ83" s="448" t="s">
        <v>544</v>
      </c>
      <c r="BK83" s="448" t="s">
        <v>544</v>
      </c>
      <c r="BL83" s="448" t="s">
        <v>549</v>
      </c>
      <c r="BM83" s="452" t="s">
        <v>545</v>
      </c>
      <c r="BN83" s="448" t="s">
        <v>544</v>
      </c>
      <c r="BO83" s="448" t="s">
        <v>544</v>
      </c>
      <c r="BP83" s="452" t="s">
        <v>545</v>
      </c>
      <c r="BQ83" s="448" t="s">
        <v>549</v>
      </c>
      <c r="BR83" s="448" t="s">
        <v>549</v>
      </c>
      <c r="BS83" s="455" t="s">
        <v>546</v>
      </c>
      <c r="BT83" s="454" t="s">
        <v>546</v>
      </c>
      <c r="BU83" s="448" t="s">
        <v>544</v>
      </c>
      <c r="BV83" s="454" t="s">
        <v>544</v>
      </c>
      <c r="BW83" s="449"/>
      <c r="BX83" s="454"/>
      <c r="BY83" s="454" t="s">
        <v>546</v>
      </c>
      <c r="BZ83" s="454" t="s">
        <v>546</v>
      </c>
    </row>
    <row r="84" spans="1:78" ht="15.75" thickBot="1">
      <c r="A84" s="428"/>
      <c r="B84" s="426" t="s">
        <v>720</v>
      </c>
      <c r="C84" s="427" t="s">
        <v>721</v>
      </c>
      <c r="D84" s="454" t="s">
        <v>546</v>
      </c>
      <c r="E84" s="454" t="s">
        <v>546</v>
      </c>
      <c r="F84" s="449" t="s">
        <v>544</v>
      </c>
      <c r="G84" s="449" t="s">
        <v>544</v>
      </c>
      <c r="H84" s="449" t="s">
        <v>544</v>
      </c>
      <c r="I84" s="448" t="s">
        <v>544</v>
      </c>
      <c r="J84" s="448" t="s">
        <v>544</v>
      </c>
      <c r="K84" s="448" t="s">
        <v>544</v>
      </c>
      <c r="L84" s="448" t="s">
        <v>544</v>
      </c>
      <c r="M84" s="448" t="s">
        <v>544</v>
      </c>
      <c r="N84" s="448" t="s">
        <v>544</v>
      </c>
      <c r="O84" s="454" t="s">
        <v>546</v>
      </c>
      <c r="P84" s="452" t="s">
        <v>545</v>
      </c>
      <c r="Q84" s="448" t="s">
        <v>544</v>
      </c>
      <c r="R84" s="448" t="s">
        <v>544</v>
      </c>
      <c r="S84" s="448" t="s">
        <v>544</v>
      </c>
      <c r="T84" s="448" t="s">
        <v>544</v>
      </c>
      <c r="U84" s="454" t="s">
        <v>546</v>
      </c>
      <c r="V84" s="454" t="s">
        <v>546</v>
      </c>
      <c r="W84" s="451" t="s">
        <v>547</v>
      </c>
      <c r="X84" s="454" t="s">
        <v>546</v>
      </c>
      <c r="Y84" s="448" t="s">
        <v>544</v>
      </c>
      <c r="Z84" s="455" t="s">
        <v>546</v>
      </c>
      <c r="AA84" s="455" t="s">
        <v>546</v>
      </c>
      <c r="AB84" s="449" t="s">
        <v>544</v>
      </c>
      <c r="AC84" s="455" t="s">
        <v>546</v>
      </c>
      <c r="AD84" s="450" t="s">
        <v>545</v>
      </c>
      <c r="AE84" s="455" t="s">
        <v>546</v>
      </c>
      <c r="AF84" s="448" t="s">
        <v>544</v>
      </c>
      <c r="AG84" s="454" t="s">
        <v>546</v>
      </c>
      <c r="AH84" s="455" t="s">
        <v>546</v>
      </c>
      <c r="AI84" s="454" t="s">
        <v>546</v>
      </c>
      <c r="AJ84" s="454" t="s">
        <v>546</v>
      </c>
      <c r="AK84" s="455" t="s">
        <v>546</v>
      </c>
      <c r="AL84" s="448" t="s">
        <v>544</v>
      </c>
      <c r="AM84" s="448" t="s">
        <v>544</v>
      </c>
      <c r="AN84" s="454" t="s">
        <v>546</v>
      </c>
      <c r="AO84" s="454" t="s">
        <v>546</v>
      </c>
      <c r="AP84" s="448" t="s">
        <v>544</v>
      </c>
      <c r="AQ84" s="448" t="s">
        <v>544</v>
      </c>
      <c r="AR84" s="448" t="s">
        <v>544</v>
      </c>
      <c r="AS84" s="448" t="s">
        <v>544</v>
      </c>
      <c r="AT84" s="448" t="s">
        <v>544</v>
      </c>
      <c r="AU84" s="448" t="s">
        <v>544</v>
      </c>
      <c r="AV84" s="457" t="s">
        <v>549</v>
      </c>
      <c r="AW84" s="452" t="s">
        <v>545</v>
      </c>
      <c r="AX84" s="448" t="s">
        <v>544</v>
      </c>
      <c r="AY84" s="448" t="s">
        <v>544</v>
      </c>
      <c r="AZ84" s="448" t="s">
        <v>544</v>
      </c>
      <c r="BA84" s="448" t="s">
        <v>544</v>
      </c>
      <c r="BB84" s="448" t="s">
        <v>544</v>
      </c>
      <c r="BC84" s="448" t="s">
        <v>544</v>
      </c>
      <c r="BD84" s="448" t="s">
        <v>544</v>
      </c>
      <c r="BE84" s="448" t="s">
        <v>544</v>
      </c>
      <c r="BF84" s="448" t="s">
        <v>544</v>
      </c>
      <c r="BG84" s="448" t="s">
        <v>544</v>
      </c>
      <c r="BH84" s="448" t="s">
        <v>544</v>
      </c>
      <c r="BI84" s="452" t="s">
        <v>545</v>
      </c>
      <c r="BJ84" s="448" t="s">
        <v>544</v>
      </c>
      <c r="BK84" s="448" t="s">
        <v>544</v>
      </c>
      <c r="BL84" s="448" t="s">
        <v>549</v>
      </c>
      <c r="BM84" s="448" t="s">
        <v>544</v>
      </c>
      <c r="BN84" s="448" t="s">
        <v>544</v>
      </c>
      <c r="BO84" s="448" t="s">
        <v>544</v>
      </c>
      <c r="BP84" s="448" t="s">
        <v>549</v>
      </c>
      <c r="BQ84" s="448" t="s">
        <v>549</v>
      </c>
      <c r="BR84" s="448" t="s">
        <v>549</v>
      </c>
      <c r="BS84" s="455" t="s">
        <v>546</v>
      </c>
      <c r="BT84" s="454" t="s">
        <v>546</v>
      </c>
      <c r="BU84" s="448" t="s">
        <v>544</v>
      </c>
      <c r="BV84" s="454" t="s">
        <v>544</v>
      </c>
      <c r="BW84" s="449"/>
      <c r="BX84" s="454"/>
      <c r="BY84" s="454" t="s">
        <v>546</v>
      </c>
      <c r="BZ84" s="454" t="s">
        <v>546</v>
      </c>
    </row>
    <row r="85" spans="1:78" ht="15.75" thickBot="1">
      <c r="A85" s="428"/>
      <c r="B85" s="426" t="s">
        <v>722</v>
      </c>
      <c r="C85" s="427" t="s">
        <v>723</v>
      </c>
      <c r="D85" s="454" t="s">
        <v>546</v>
      </c>
      <c r="E85" s="454" t="s">
        <v>546</v>
      </c>
      <c r="F85" s="449" t="s">
        <v>544</v>
      </c>
      <c r="G85" s="449" t="s">
        <v>544</v>
      </c>
      <c r="H85" s="449" t="s">
        <v>544</v>
      </c>
      <c r="I85" s="448" t="s">
        <v>544</v>
      </c>
      <c r="J85" s="448" t="s">
        <v>544</v>
      </c>
      <c r="K85" s="448" t="s">
        <v>544</v>
      </c>
      <c r="L85" s="448" t="s">
        <v>544</v>
      </c>
      <c r="M85" s="448" t="s">
        <v>544</v>
      </c>
      <c r="N85" s="448" t="s">
        <v>544</v>
      </c>
      <c r="O85" s="454" t="s">
        <v>546</v>
      </c>
      <c r="P85" s="452" t="s">
        <v>545</v>
      </c>
      <c r="Q85" s="448" t="s">
        <v>544</v>
      </c>
      <c r="R85" s="448" t="s">
        <v>544</v>
      </c>
      <c r="S85" s="448" t="s">
        <v>544</v>
      </c>
      <c r="T85" s="448" t="s">
        <v>544</v>
      </c>
      <c r="U85" s="454" t="s">
        <v>546</v>
      </c>
      <c r="V85" s="454" t="s">
        <v>546</v>
      </c>
      <c r="W85" s="451" t="s">
        <v>547</v>
      </c>
      <c r="X85" s="454" t="s">
        <v>546</v>
      </c>
      <c r="Y85" s="448" t="s">
        <v>544</v>
      </c>
      <c r="Z85" s="455" t="s">
        <v>546</v>
      </c>
      <c r="AA85" s="455" t="s">
        <v>546</v>
      </c>
      <c r="AB85" s="449" t="s">
        <v>544</v>
      </c>
      <c r="AC85" s="450" t="s">
        <v>545</v>
      </c>
      <c r="AD85" s="450" t="s">
        <v>545</v>
      </c>
      <c r="AE85" s="455" t="s">
        <v>546</v>
      </c>
      <c r="AF85" s="452" t="s">
        <v>545</v>
      </c>
      <c r="AG85" s="454" t="s">
        <v>546</v>
      </c>
      <c r="AH85" s="455" t="s">
        <v>546</v>
      </c>
      <c r="AI85" s="454" t="s">
        <v>546</v>
      </c>
      <c r="AJ85" s="452" t="s">
        <v>545</v>
      </c>
      <c r="AK85" s="455" t="s">
        <v>546</v>
      </c>
      <c r="AL85" s="448" t="s">
        <v>544</v>
      </c>
      <c r="AM85" s="448" t="s">
        <v>544</v>
      </c>
      <c r="AN85" s="454" t="s">
        <v>546</v>
      </c>
      <c r="AO85" s="454" t="s">
        <v>546</v>
      </c>
      <c r="AP85" s="448" t="s">
        <v>544</v>
      </c>
      <c r="AQ85" s="448" t="s">
        <v>544</v>
      </c>
      <c r="AR85" s="448" t="s">
        <v>544</v>
      </c>
      <c r="AS85" s="448" t="s">
        <v>544</v>
      </c>
      <c r="AT85" s="448" t="s">
        <v>544</v>
      </c>
      <c r="AU85" s="448" t="s">
        <v>544</v>
      </c>
      <c r="AV85" s="457" t="s">
        <v>549</v>
      </c>
      <c r="AW85" s="452" t="s">
        <v>545</v>
      </c>
      <c r="AX85" s="448" t="s">
        <v>544</v>
      </c>
      <c r="AY85" s="452" t="s">
        <v>545</v>
      </c>
      <c r="AZ85" s="452" t="s">
        <v>545</v>
      </c>
      <c r="BA85" s="452" t="s">
        <v>545</v>
      </c>
      <c r="BB85" s="452" t="s">
        <v>545</v>
      </c>
      <c r="BC85" s="452" t="s">
        <v>545</v>
      </c>
      <c r="BD85" s="452" t="s">
        <v>545</v>
      </c>
      <c r="BE85" s="448" t="s">
        <v>544</v>
      </c>
      <c r="BF85" s="452" t="s">
        <v>545</v>
      </c>
      <c r="BG85" s="448" t="s">
        <v>544</v>
      </c>
      <c r="BH85" s="448" t="s">
        <v>544</v>
      </c>
      <c r="BI85" s="452" t="s">
        <v>545</v>
      </c>
      <c r="BJ85" s="448" t="s">
        <v>544</v>
      </c>
      <c r="BK85" s="448" t="s">
        <v>544</v>
      </c>
      <c r="BL85" s="448" t="s">
        <v>549</v>
      </c>
      <c r="BM85" s="452" t="s">
        <v>545</v>
      </c>
      <c r="BN85" s="448" t="s">
        <v>544</v>
      </c>
      <c r="BO85" s="452" t="s">
        <v>545</v>
      </c>
      <c r="BP85" s="452" t="s">
        <v>545</v>
      </c>
      <c r="BQ85" s="452" t="s">
        <v>549</v>
      </c>
      <c r="BR85" s="452" t="s">
        <v>549</v>
      </c>
      <c r="BS85" s="455" t="s">
        <v>546</v>
      </c>
      <c r="BT85" s="454" t="s">
        <v>546</v>
      </c>
      <c r="BU85" s="448" t="s">
        <v>544</v>
      </c>
      <c r="BV85" s="452" t="s">
        <v>544</v>
      </c>
      <c r="BW85" s="449"/>
      <c r="BX85" s="452"/>
      <c r="BY85" s="452" t="s">
        <v>545</v>
      </c>
      <c r="BZ85" s="452" t="s">
        <v>545</v>
      </c>
    </row>
    <row r="86" spans="1:78" ht="15.75" thickBot="1">
      <c r="A86" s="428"/>
      <c r="B86" s="430" t="s">
        <v>724</v>
      </c>
      <c r="C86" s="427" t="s">
        <v>725</v>
      </c>
      <c r="D86" s="449" t="s">
        <v>544</v>
      </c>
      <c r="E86" s="449" t="s">
        <v>544</v>
      </c>
      <c r="F86" s="449" t="s">
        <v>544</v>
      </c>
      <c r="G86" s="449" t="s">
        <v>544</v>
      </c>
      <c r="H86" s="449" t="s">
        <v>544</v>
      </c>
      <c r="I86" s="453" t="s">
        <v>549</v>
      </c>
      <c r="J86" s="453" t="s">
        <v>549</v>
      </c>
      <c r="K86" s="449" t="s">
        <v>544</v>
      </c>
      <c r="L86" s="449" t="s">
        <v>544</v>
      </c>
      <c r="M86" s="449" t="s">
        <v>544</v>
      </c>
      <c r="N86" s="453" t="s">
        <v>549</v>
      </c>
      <c r="O86" s="449" t="s">
        <v>544</v>
      </c>
      <c r="P86" s="449" t="s">
        <v>544</v>
      </c>
      <c r="Q86" s="453" t="s">
        <v>549</v>
      </c>
      <c r="R86" s="449" t="s">
        <v>544</v>
      </c>
      <c r="S86" s="453" t="s">
        <v>549</v>
      </c>
      <c r="T86" s="449" t="s">
        <v>544</v>
      </c>
      <c r="U86" s="449" t="s">
        <v>544</v>
      </c>
      <c r="V86" s="449" t="s">
        <v>544</v>
      </c>
      <c r="W86" s="449" t="s">
        <v>544</v>
      </c>
      <c r="X86" s="449" t="s">
        <v>544</v>
      </c>
      <c r="Y86" s="449" t="s">
        <v>544</v>
      </c>
      <c r="Z86" s="449" t="s">
        <v>544</v>
      </c>
      <c r="AA86" s="449" t="s">
        <v>544</v>
      </c>
      <c r="AB86" s="449" t="s">
        <v>544</v>
      </c>
      <c r="AC86" s="449" t="s">
        <v>544</v>
      </c>
      <c r="AD86" s="449" t="s">
        <v>544</v>
      </c>
      <c r="AE86" s="449" t="s">
        <v>544</v>
      </c>
      <c r="AF86" s="449" t="s">
        <v>544</v>
      </c>
      <c r="AG86" s="449" t="s">
        <v>544</v>
      </c>
      <c r="AH86" s="449" t="s">
        <v>544</v>
      </c>
      <c r="AI86" s="449" t="s">
        <v>544</v>
      </c>
      <c r="AJ86" s="449" t="s">
        <v>544</v>
      </c>
      <c r="AK86" s="449" t="s">
        <v>544</v>
      </c>
      <c r="AL86" s="449" t="s">
        <v>544</v>
      </c>
      <c r="AM86" s="449" t="s">
        <v>544</v>
      </c>
      <c r="AN86" s="449" t="s">
        <v>544</v>
      </c>
      <c r="AO86" s="449" t="s">
        <v>544</v>
      </c>
      <c r="AP86" s="449" t="s">
        <v>544</v>
      </c>
      <c r="AQ86" s="449" t="s">
        <v>544</v>
      </c>
      <c r="AR86" s="449" t="s">
        <v>544</v>
      </c>
      <c r="AS86" s="449" t="s">
        <v>544</v>
      </c>
      <c r="AT86" s="449" t="s">
        <v>544</v>
      </c>
      <c r="AU86" s="449" t="s">
        <v>544</v>
      </c>
      <c r="AV86" s="449" t="s">
        <v>544</v>
      </c>
      <c r="AW86" s="449" t="s">
        <v>544</v>
      </c>
      <c r="AX86" s="449" t="s">
        <v>544</v>
      </c>
      <c r="AY86" s="449" t="s">
        <v>544</v>
      </c>
      <c r="AZ86" s="449" t="s">
        <v>544</v>
      </c>
      <c r="BA86" s="449" t="s">
        <v>544</v>
      </c>
      <c r="BB86" s="449" t="s">
        <v>544</v>
      </c>
      <c r="BC86" s="449" t="s">
        <v>544</v>
      </c>
      <c r="BD86" s="449" t="s">
        <v>544</v>
      </c>
      <c r="BE86" s="449" t="s">
        <v>544</v>
      </c>
      <c r="BF86" s="449" t="s">
        <v>544</v>
      </c>
      <c r="BG86" s="449" t="s">
        <v>544</v>
      </c>
      <c r="BH86" s="449" t="s">
        <v>544</v>
      </c>
      <c r="BI86" s="450" t="s">
        <v>545</v>
      </c>
      <c r="BJ86" s="448" t="s">
        <v>544</v>
      </c>
      <c r="BK86" s="449" t="s">
        <v>544</v>
      </c>
      <c r="BL86" s="448" t="s">
        <v>549</v>
      </c>
      <c r="BM86" s="448" t="s">
        <v>544</v>
      </c>
      <c r="BN86" s="448" t="s">
        <v>544</v>
      </c>
      <c r="BO86" s="448" t="s">
        <v>544</v>
      </c>
      <c r="BP86" s="448" t="s">
        <v>549</v>
      </c>
      <c r="BQ86" s="448" t="s">
        <v>549</v>
      </c>
      <c r="BR86" s="448" t="s">
        <v>549</v>
      </c>
      <c r="BS86" s="449" t="s">
        <v>544</v>
      </c>
      <c r="BT86" s="449" t="s">
        <v>544</v>
      </c>
      <c r="BU86" s="448" t="s">
        <v>544</v>
      </c>
      <c r="BV86" s="449" t="s">
        <v>544</v>
      </c>
      <c r="BW86" s="449"/>
      <c r="BX86" s="449"/>
      <c r="BY86" s="449" t="s">
        <v>544</v>
      </c>
      <c r="BZ86" s="449" t="s">
        <v>544</v>
      </c>
    </row>
    <row r="87" spans="1:78" ht="15.75" thickBot="1">
      <c r="A87" s="428"/>
      <c r="B87" s="426" t="s">
        <v>726</v>
      </c>
      <c r="C87" s="427" t="s">
        <v>727</v>
      </c>
      <c r="D87" s="454" t="s">
        <v>546</v>
      </c>
      <c r="E87" s="454" t="s">
        <v>546</v>
      </c>
      <c r="F87" s="449" t="s">
        <v>544</v>
      </c>
      <c r="G87" s="449" t="s">
        <v>544</v>
      </c>
      <c r="H87" s="449" t="s">
        <v>544</v>
      </c>
      <c r="I87" s="448" t="s">
        <v>544</v>
      </c>
      <c r="J87" s="448" t="s">
        <v>544</v>
      </c>
      <c r="K87" s="448" t="s">
        <v>544</v>
      </c>
      <c r="L87" s="448" t="s">
        <v>544</v>
      </c>
      <c r="M87" s="454" t="s">
        <v>546</v>
      </c>
      <c r="N87" s="448" t="s">
        <v>544</v>
      </c>
      <c r="O87" s="448" t="s">
        <v>544</v>
      </c>
      <c r="P87" s="452" t="s">
        <v>545</v>
      </c>
      <c r="Q87" s="448" t="s">
        <v>544</v>
      </c>
      <c r="R87" s="448" t="s">
        <v>544</v>
      </c>
      <c r="S87" s="448" t="s">
        <v>544</v>
      </c>
      <c r="T87" s="454" t="s">
        <v>546</v>
      </c>
      <c r="U87" s="454" t="s">
        <v>546</v>
      </c>
      <c r="V87" s="454" t="s">
        <v>546</v>
      </c>
      <c r="W87" s="451" t="s">
        <v>547</v>
      </c>
      <c r="X87" s="454" t="s">
        <v>546</v>
      </c>
      <c r="Y87" s="452" t="s">
        <v>545</v>
      </c>
      <c r="Z87" s="455" t="s">
        <v>546</v>
      </c>
      <c r="AA87" s="455" t="s">
        <v>546</v>
      </c>
      <c r="AB87" s="449" t="s">
        <v>544</v>
      </c>
      <c r="AC87" s="455" t="s">
        <v>546</v>
      </c>
      <c r="AD87" s="450" t="s">
        <v>545</v>
      </c>
      <c r="AE87" s="455" t="s">
        <v>546</v>
      </c>
      <c r="AF87" s="452" t="s">
        <v>545</v>
      </c>
      <c r="AG87" s="452" t="s">
        <v>545</v>
      </c>
      <c r="AH87" s="455" t="s">
        <v>546</v>
      </c>
      <c r="AI87" s="452" t="s">
        <v>545</v>
      </c>
      <c r="AJ87" s="454" t="s">
        <v>546</v>
      </c>
      <c r="AK87" s="450" t="s">
        <v>545</v>
      </c>
      <c r="AL87" s="448" t="s">
        <v>544</v>
      </c>
      <c r="AM87" s="448" t="s">
        <v>544</v>
      </c>
      <c r="AN87" s="454" t="s">
        <v>546</v>
      </c>
      <c r="AO87" s="454" t="s">
        <v>546</v>
      </c>
      <c r="AP87" s="448" t="s">
        <v>544</v>
      </c>
      <c r="AQ87" s="452" t="s">
        <v>545</v>
      </c>
      <c r="AR87" s="448" t="s">
        <v>544</v>
      </c>
      <c r="AS87" s="448" t="s">
        <v>544</v>
      </c>
      <c r="AT87" s="448" t="s">
        <v>544</v>
      </c>
      <c r="AU87" s="452" t="s">
        <v>545</v>
      </c>
      <c r="AV87" s="452" t="s">
        <v>545</v>
      </c>
      <c r="AW87" s="452" t="s">
        <v>545</v>
      </c>
      <c r="AX87" s="448" t="s">
        <v>544</v>
      </c>
      <c r="AY87" s="452" t="s">
        <v>545</v>
      </c>
      <c r="AZ87" s="452" t="s">
        <v>545</v>
      </c>
      <c r="BA87" s="452" t="s">
        <v>545</v>
      </c>
      <c r="BB87" s="452" t="s">
        <v>545</v>
      </c>
      <c r="BC87" s="452" t="s">
        <v>545</v>
      </c>
      <c r="BD87" s="452" t="s">
        <v>545</v>
      </c>
      <c r="BE87" s="452" t="s">
        <v>545</v>
      </c>
      <c r="BF87" s="452" t="s">
        <v>545</v>
      </c>
      <c r="BG87" s="448" t="s">
        <v>544</v>
      </c>
      <c r="BH87" s="448" t="s">
        <v>544</v>
      </c>
      <c r="BI87" s="452" t="s">
        <v>545</v>
      </c>
      <c r="BJ87" s="448" t="s">
        <v>544</v>
      </c>
      <c r="BK87" s="452" t="s">
        <v>545</v>
      </c>
      <c r="BL87" s="448" t="s">
        <v>549</v>
      </c>
      <c r="BM87" s="452" t="s">
        <v>545</v>
      </c>
      <c r="BN87" s="448" t="s">
        <v>544</v>
      </c>
      <c r="BO87" s="448" t="s">
        <v>544</v>
      </c>
      <c r="BP87" s="452" t="s">
        <v>545</v>
      </c>
      <c r="BQ87" s="448" t="s">
        <v>549</v>
      </c>
      <c r="BR87" s="448" t="s">
        <v>549</v>
      </c>
      <c r="BS87" s="455" t="s">
        <v>546</v>
      </c>
      <c r="BT87" s="454" t="s">
        <v>546</v>
      </c>
      <c r="BU87" s="448" t="s">
        <v>544</v>
      </c>
      <c r="BV87" s="454" t="s">
        <v>545</v>
      </c>
      <c r="BW87" s="449"/>
      <c r="BX87" s="454"/>
      <c r="BY87" s="454" t="s">
        <v>546</v>
      </c>
      <c r="BZ87" s="454" t="s">
        <v>546</v>
      </c>
    </row>
    <row r="88" spans="1:78" ht="15.75" thickBot="1">
      <c r="A88" s="428"/>
      <c r="B88" s="426" t="s">
        <v>457</v>
      </c>
      <c r="C88" s="427" t="s">
        <v>728</v>
      </c>
      <c r="D88" s="448" t="s">
        <v>544</v>
      </c>
      <c r="E88" s="448" t="s">
        <v>544</v>
      </c>
      <c r="F88" s="449" t="s">
        <v>544</v>
      </c>
      <c r="G88" s="449" t="s">
        <v>544</v>
      </c>
      <c r="H88" s="449" t="s">
        <v>544</v>
      </c>
      <c r="I88" s="448" t="s">
        <v>544</v>
      </c>
      <c r="J88" s="448" t="s">
        <v>544</v>
      </c>
      <c r="K88" s="452" t="s">
        <v>545</v>
      </c>
      <c r="L88" s="448" t="s">
        <v>544</v>
      </c>
      <c r="M88" s="448" t="s">
        <v>544</v>
      </c>
      <c r="N88" s="448" t="s">
        <v>544</v>
      </c>
      <c r="O88" s="448" t="s">
        <v>544</v>
      </c>
      <c r="P88" s="452" t="s">
        <v>545</v>
      </c>
      <c r="Q88" s="448" t="s">
        <v>544</v>
      </c>
      <c r="R88" s="448" t="s">
        <v>544</v>
      </c>
      <c r="S88" s="448" t="s">
        <v>544</v>
      </c>
      <c r="T88" s="448" t="s">
        <v>544</v>
      </c>
      <c r="U88" s="452" t="s">
        <v>545</v>
      </c>
      <c r="V88" s="452" t="s">
        <v>545</v>
      </c>
      <c r="W88" s="448" t="s">
        <v>544</v>
      </c>
      <c r="X88" s="448" t="s">
        <v>544</v>
      </c>
      <c r="Y88" s="452" t="s">
        <v>545</v>
      </c>
      <c r="Z88" s="449" t="s">
        <v>544</v>
      </c>
      <c r="AA88" s="449" t="s">
        <v>544</v>
      </c>
      <c r="AB88" s="449" t="s">
        <v>544</v>
      </c>
      <c r="AC88" s="450" t="s">
        <v>545</v>
      </c>
      <c r="AD88" s="450" t="s">
        <v>545</v>
      </c>
      <c r="AE88" s="450" t="s">
        <v>545</v>
      </c>
      <c r="AF88" s="452" t="s">
        <v>545</v>
      </c>
      <c r="AG88" s="452" t="s">
        <v>545</v>
      </c>
      <c r="AH88" s="449" t="s">
        <v>544</v>
      </c>
      <c r="AI88" s="452" t="s">
        <v>545</v>
      </c>
      <c r="AJ88" s="452" t="s">
        <v>545</v>
      </c>
      <c r="AK88" s="450" t="s">
        <v>545</v>
      </c>
      <c r="AL88" s="448" t="s">
        <v>544</v>
      </c>
      <c r="AM88" s="452" t="s">
        <v>545</v>
      </c>
      <c r="AN88" s="452" t="s">
        <v>545</v>
      </c>
      <c r="AO88" s="454" t="s">
        <v>546</v>
      </c>
      <c r="AP88" s="452" t="s">
        <v>545</v>
      </c>
      <c r="AQ88" s="452" t="s">
        <v>545</v>
      </c>
      <c r="AR88" s="448" t="s">
        <v>544</v>
      </c>
      <c r="AS88" s="448" t="s">
        <v>544</v>
      </c>
      <c r="AT88" s="448" t="s">
        <v>544</v>
      </c>
      <c r="AU88" s="452" t="s">
        <v>545</v>
      </c>
      <c r="AV88" s="452" t="s">
        <v>545</v>
      </c>
      <c r="AW88" s="452" t="s">
        <v>545</v>
      </c>
      <c r="AX88" s="448" t="s">
        <v>544</v>
      </c>
      <c r="AY88" s="452" t="s">
        <v>545</v>
      </c>
      <c r="AZ88" s="452" t="s">
        <v>545</v>
      </c>
      <c r="BA88" s="452" t="s">
        <v>545</v>
      </c>
      <c r="BB88" s="452" t="s">
        <v>545</v>
      </c>
      <c r="BC88" s="452" t="s">
        <v>545</v>
      </c>
      <c r="BD88" s="452" t="s">
        <v>545</v>
      </c>
      <c r="BE88" s="452" t="s">
        <v>545</v>
      </c>
      <c r="BF88" s="452" t="s">
        <v>545</v>
      </c>
      <c r="BG88" s="452" t="s">
        <v>545</v>
      </c>
      <c r="BH88" s="452" t="s">
        <v>545</v>
      </c>
      <c r="BI88" s="452" t="s">
        <v>545</v>
      </c>
      <c r="BJ88" s="454" t="s">
        <v>546</v>
      </c>
      <c r="BK88" s="452" t="s">
        <v>545</v>
      </c>
      <c r="BL88" s="448" t="s">
        <v>549</v>
      </c>
      <c r="BM88" s="452" t="s">
        <v>545</v>
      </c>
      <c r="BN88" s="448" t="s">
        <v>544</v>
      </c>
      <c r="BO88" s="452" t="s">
        <v>545</v>
      </c>
      <c r="BP88" s="452" t="s">
        <v>545</v>
      </c>
      <c r="BQ88" s="452" t="s">
        <v>549</v>
      </c>
      <c r="BR88" s="452" t="s">
        <v>549</v>
      </c>
      <c r="BS88" s="449" t="s">
        <v>544</v>
      </c>
      <c r="BT88" s="448" t="s">
        <v>544</v>
      </c>
      <c r="BU88" s="448" t="s">
        <v>544</v>
      </c>
      <c r="BV88" s="452" t="s">
        <v>545</v>
      </c>
      <c r="BW88" s="449"/>
      <c r="BX88" s="452"/>
      <c r="BY88" s="452" t="s">
        <v>545</v>
      </c>
      <c r="BZ88" s="452" t="s">
        <v>545</v>
      </c>
    </row>
    <row r="89" spans="1:78" ht="15.75" thickBot="1">
      <c r="A89" s="428"/>
      <c r="B89" s="426" t="s">
        <v>456</v>
      </c>
      <c r="C89" s="427" t="s">
        <v>729</v>
      </c>
      <c r="D89" s="448" t="s">
        <v>544</v>
      </c>
      <c r="E89" s="448" t="s">
        <v>544</v>
      </c>
      <c r="F89" s="449" t="s">
        <v>544</v>
      </c>
      <c r="G89" s="449" t="s">
        <v>544</v>
      </c>
      <c r="H89" s="449" t="s">
        <v>544</v>
      </c>
      <c r="I89" s="448" t="s">
        <v>544</v>
      </c>
      <c r="J89" s="448" t="s">
        <v>544</v>
      </c>
      <c r="K89" s="448" t="s">
        <v>544</v>
      </c>
      <c r="L89" s="448" t="s">
        <v>544</v>
      </c>
      <c r="M89" s="448" t="s">
        <v>544</v>
      </c>
      <c r="N89" s="448" t="s">
        <v>544</v>
      </c>
      <c r="O89" s="448" t="s">
        <v>544</v>
      </c>
      <c r="P89" s="452" t="s">
        <v>545</v>
      </c>
      <c r="Q89" s="448" t="s">
        <v>544</v>
      </c>
      <c r="R89" s="448" t="s">
        <v>544</v>
      </c>
      <c r="S89" s="448" t="s">
        <v>544</v>
      </c>
      <c r="T89" s="448" t="s">
        <v>544</v>
      </c>
      <c r="U89" s="452" t="s">
        <v>545</v>
      </c>
      <c r="V89" s="452" t="s">
        <v>545</v>
      </c>
      <c r="W89" s="448" t="s">
        <v>544</v>
      </c>
      <c r="X89" s="448" t="s">
        <v>544</v>
      </c>
      <c r="Y89" s="452" t="s">
        <v>545</v>
      </c>
      <c r="Z89" s="449" t="s">
        <v>544</v>
      </c>
      <c r="AA89" s="449" t="s">
        <v>544</v>
      </c>
      <c r="AB89" s="449" t="s">
        <v>544</v>
      </c>
      <c r="AC89" s="450" t="s">
        <v>545</v>
      </c>
      <c r="AD89" s="450" t="s">
        <v>545</v>
      </c>
      <c r="AE89" s="450" t="s">
        <v>545</v>
      </c>
      <c r="AF89" s="452" t="s">
        <v>545</v>
      </c>
      <c r="AG89" s="452" t="s">
        <v>545</v>
      </c>
      <c r="AH89" s="449" t="s">
        <v>544</v>
      </c>
      <c r="AI89" s="452" t="s">
        <v>545</v>
      </c>
      <c r="AJ89" s="452" t="s">
        <v>545</v>
      </c>
      <c r="AK89" s="450" t="s">
        <v>545</v>
      </c>
      <c r="AL89" s="448" t="s">
        <v>544</v>
      </c>
      <c r="AM89" s="452" t="s">
        <v>545</v>
      </c>
      <c r="AN89" s="452" t="s">
        <v>545</v>
      </c>
      <c r="AO89" s="454" t="s">
        <v>546</v>
      </c>
      <c r="AP89" s="452" t="s">
        <v>545</v>
      </c>
      <c r="AQ89" s="452" t="s">
        <v>545</v>
      </c>
      <c r="AR89" s="448" t="s">
        <v>544</v>
      </c>
      <c r="AS89" s="448" t="s">
        <v>544</v>
      </c>
      <c r="AT89" s="448" t="s">
        <v>544</v>
      </c>
      <c r="AU89" s="452" t="s">
        <v>545</v>
      </c>
      <c r="AV89" s="452" t="s">
        <v>545</v>
      </c>
      <c r="AW89" s="452" t="s">
        <v>545</v>
      </c>
      <c r="AX89" s="448" t="s">
        <v>544</v>
      </c>
      <c r="AY89" s="452" t="s">
        <v>545</v>
      </c>
      <c r="AZ89" s="452" t="s">
        <v>545</v>
      </c>
      <c r="BA89" s="452" t="s">
        <v>545</v>
      </c>
      <c r="BB89" s="452" t="s">
        <v>545</v>
      </c>
      <c r="BC89" s="452" t="s">
        <v>545</v>
      </c>
      <c r="BD89" s="452" t="s">
        <v>545</v>
      </c>
      <c r="BE89" s="452" t="s">
        <v>545</v>
      </c>
      <c r="BF89" s="452" t="s">
        <v>545</v>
      </c>
      <c r="BG89" s="452" t="s">
        <v>545</v>
      </c>
      <c r="BH89" s="448" t="s">
        <v>544</v>
      </c>
      <c r="BI89" s="452" t="s">
        <v>545</v>
      </c>
      <c r="BJ89" s="452" t="s">
        <v>545</v>
      </c>
      <c r="BK89" s="452" t="s">
        <v>545</v>
      </c>
      <c r="BL89" s="448" t="s">
        <v>549</v>
      </c>
      <c r="BM89" s="452" t="s">
        <v>545</v>
      </c>
      <c r="BN89" s="448" t="s">
        <v>544</v>
      </c>
      <c r="BO89" s="452" t="s">
        <v>545</v>
      </c>
      <c r="BP89" s="452" t="s">
        <v>545</v>
      </c>
      <c r="BQ89" s="452" t="s">
        <v>549</v>
      </c>
      <c r="BR89" s="452" t="s">
        <v>549</v>
      </c>
      <c r="BS89" s="449" t="s">
        <v>544</v>
      </c>
      <c r="BT89" s="448" t="s">
        <v>544</v>
      </c>
      <c r="BU89" s="448" t="s">
        <v>544</v>
      </c>
      <c r="BV89" s="452" t="s">
        <v>545</v>
      </c>
      <c r="BW89" s="449"/>
      <c r="BX89" s="452"/>
      <c r="BY89" s="452" t="s">
        <v>545</v>
      </c>
      <c r="BZ89" s="452" t="s">
        <v>545</v>
      </c>
    </row>
    <row r="90" spans="1:78" ht="15.75" thickBot="1">
      <c r="A90" s="428"/>
      <c r="B90" s="426" t="s">
        <v>730</v>
      </c>
      <c r="C90" s="427" t="s">
        <v>731</v>
      </c>
      <c r="D90" s="448" t="s">
        <v>544</v>
      </c>
      <c r="E90" s="448" t="s">
        <v>544</v>
      </c>
      <c r="F90" s="449" t="s">
        <v>544</v>
      </c>
      <c r="G90" s="449" t="s">
        <v>544</v>
      </c>
      <c r="H90" s="449" t="s">
        <v>544</v>
      </c>
      <c r="I90" s="448" t="s">
        <v>544</v>
      </c>
      <c r="J90" s="448" t="s">
        <v>544</v>
      </c>
      <c r="K90" s="448" t="s">
        <v>544</v>
      </c>
      <c r="L90" s="448" t="s">
        <v>544</v>
      </c>
      <c r="M90" s="448" t="s">
        <v>544</v>
      </c>
      <c r="N90" s="448" t="s">
        <v>544</v>
      </c>
      <c r="O90" s="448" t="s">
        <v>544</v>
      </c>
      <c r="P90" s="452" t="s">
        <v>545</v>
      </c>
      <c r="Q90" s="448" t="s">
        <v>544</v>
      </c>
      <c r="R90" s="448" t="s">
        <v>544</v>
      </c>
      <c r="S90" s="448" t="s">
        <v>544</v>
      </c>
      <c r="T90" s="448" t="s">
        <v>544</v>
      </c>
      <c r="U90" s="448" t="s">
        <v>544</v>
      </c>
      <c r="V90" s="448" t="s">
        <v>544</v>
      </c>
      <c r="W90" s="448" t="s">
        <v>544</v>
      </c>
      <c r="X90" s="448" t="s">
        <v>544</v>
      </c>
      <c r="Y90" s="452" t="s">
        <v>545</v>
      </c>
      <c r="Z90" s="450" t="s">
        <v>545</v>
      </c>
      <c r="AA90" s="449" t="s">
        <v>544</v>
      </c>
      <c r="AB90" s="449" t="s">
        <v>544</v>
      </c>
      <c r="AC90" s="450" t="s">
        <v>545</v>
      </c>
      <c r="AD90" s="450" t="s">
        <v>545</v>
      </c>
      <c r="AE90" s="449" t="s">
        <v>544</v>
      </c>
      <c r="AF90" s="448" t="s">
        <v>544</v>
      </c>
      <c r="AG90" s="448" t="s">
        <v>544</v>
      </c>
      <c r="AH90" s="449" t="s">
        <v>544</v>
      </c>
      <c r="AI90" s="448" t="s">
        <v>544</v>
      </c>
      <c r="AJ90" s="452" t="s">
        <v>545</v>
      </c>
      <c r="AK90" s="450" t="s">
        <v>545</v>
      </c>
      <c r="AL90" s="448" t="s">
        <v>544</v>
      </c>
      <c r="AM90" s="448" t="s">
        <v>544</v>
      </c>
      <c r="AN90" s="448" t="s">
        <v>544</v>
      </c>
      <c r="AO90" s="448" t="s">
        <v>544</v>
      </c>
      <c r="AP90" s="448" t="s">
        <v>544</v>
      </c>
      <c r="AQ90" s="448" t="s">
        <v>544</v>
      </c>
      <c r="AR90" s="452" t="s">
        <v>545</v>
      </c>
      <c r="AS90" s="452" t="s">
        <v>545</v>
      </c>
      <c r="AT90" s="452" t="s">
        <v>545</v>
      </c>
      <c r="AU90" s="452" t="s">
        <v>545</v>
      </c>
      <c r="AV90" s="452" t="s">
        <v>545</v>
      </c>
      <c r="AW90" s="448" t="s">
        <v>544</v>
      </c>
      <c r="AX90" s="448" t="s">
        <v>544</v>
      </c>
      <c r="AY90" s="448" t="s">
        <v>544</v>
      </c>
      <c r="AZ90" s="452" t="s">
        <v>545</v>
      </c>
      <c r="BA90" s="448" t="s">
        <v>544</v>
      </c>
      <c r="BB90" s="448" t="s">
        <v>544</v>
      </c>
      <c r="BC90" s="448" t="s">
        <v>544</v>
      </c>
      <c r="BD90" s="448" t="s">
        <v>544</v>
      </c>
      <c r="BE90" s="448" t="s">
        <v>544</v>
      </c>
      <c r="BF90" s="452" t="s">
        <v>545</v>
      </c>
      <c r="BG90" s="452" t="s">
        <v>545</v>
      </c>
      <c r="BH90" s="448" t="s">
        <v>544</v>
      </c>
      <c r="BI90" s="452" t="s">
        <v>545</v>
      </c>
      <c r="BJ90" s="448" t="s">
        <v>544</v>
      </c>
      <c r="BK90" s="448" t="s">
        <v>544</v>
      </c>
      <c r="BL90" s="448" t="s">
        <v>549</v>
      </c>
      <c r="BM90" s="452" t="s">
        <v>545</v>
      </c>
      <c r="BN90" s="448" t="s">
        <v>544</v>
      </c>
      <c r="BO90" s="452" t="s">
        <v>545</v>
      </c>
      <c r="BP90" s="452" t="s">
        <v>549</v>
      </c>
      <c r="BQ90" s="452" t="s">
        <v>549</v>
      </c>
      <c r="BR90" s="452" t="s">
        <v>549</v>
      </c>
      <c r="BS90" s="450" t="s">
        <v>545</v>
      </c>
      <c r="BT90" s="448" t="s">
        <v>544</v>
      </c>
      <c r="BU90" s="448" t="s">
        <v>544</v>
      </c>
      <c r="BV90" s="448" t="s">
        <v>545</v>
      </c>
      <c r="BW90" s="449"/>
      <c r="BX90" s="448"/>
      <c r="BY90" s="448" t="s">
        <v>544</v>
      </c>
      <c r="BZ90" s="448" t="s">
        <v>544</v>
      </c>
    </row>
    <row r="91" spans="1:78" ht="15.75" thickBot="1">
      <c r="A91" s="428"/>
      <c r="B91" s="426" t="s">
        <v>732</v>
      </c>
      <c r="C91" s="427" t="s">
        <v>733</v>
      </c>
      <c r="D91" s="448" t="s">
        <v>544</v>
      </c>
      <c r="E91" s="448" t="s">
        <v>544</v>
      </c>
      <c r="F91" s="449" t="s">
        <v>544</v>
      </c>
      <c r="G91" s="449" t="s">
        <v>544</v>
      </c>
      <c r="H91" s="449" t="s">
        <v>544</v>
      </c>
      <c r="I91" s="448" t="s">
        <v>544</v>
      </c>
      <c r="J91" s="448" t="s">
        <v>544</v>
      </c>
      <c r="K91" s="448" t="s">
        <v>544</v>
      </c>
      <c r="L91" s="448" t="s">
        <v>544</v>
      </c>
      <c r="M91" s="448" t="s">
        <v>544</v>
      </c>
      <c r="N91" s="448" t="s">
        <v>544</v>
      </c>
      <c r="O91" s="448" t="s">
        <v>544</v>
      </c>
      <c r="P91" s="452" t="s">
        <v>545</v>
      </c>
      <c r="Q91" s="448" t="s">
        <v>544</v>
      </c>
      <c r="R91" s="448" t="s">
        <v>544</v>
      </c>
      <c r="S91" s="448" t="s">
        <v>544</v>
      </c>
      <c r="T91" s="448" t="s">
        <v>544</v>
      </c>
      <c r="U91" s="448" t="s">
        <v>544</v>
      </c>
      <c r="V91" s="448" t="s">
        <v>544</v>
      </c>
      <c r="W91" s="448" t="s">
        <v>544</v>
      </c>
      <c r="X91" s="448" t="s">
        <v>544</v>
      </c>
      <c r="Y91" s="452" t="s">
        <v>545</v>
      </c>
      <c r="Z91" s="449" t="s">
        <v>544</v>
      </c>
      <c r="AA91" s="449" t="s">
        <v>544</v>
      </c>
      <c r="AB91" s="449" t="s">
        <v>544</v>
      </c>
      <c r="AC91" s="450" t="s">
        <v>545</v>
      </c>
      <c r="AD91" s="449" t="s">
        <v>544</v>
      </c>
      <c r="AE91" s="449" t="s">
        <v>544</v>
      </c>
      <c r="AF91" s="452" t="s">
        <v>545</v>
      </c>
      <c r="AG91" s="448" t="s">
        <v>544</v>
      </c>
      <c r="AH91" s="449" t="s">
        <v>544</v>
      </c>
      <c r="AI91" s="448" t="s">
        <v>544</v>
      </c>
      <c r="AJ91" s="452" t="s">
        <v>545</v>
      </c>
      <c r="AK91" s="450" t="s">
        <v>545</v>
      </c>
      <c r="AL91" s="448" t="s">
        <v>544</v>
      </c>
      <c r="AM91" s="448" t="s">
        <v>544</v>
      </c>
      <c r="AN91" s="452" t="s">
        <v>545</v>
      </c>
      <c r="AO91" s="448" t="s">
        <v>544</v>
      </c>
      <c r="AP91" s="448" t="s">
        <v>544</v>
      </c>
      <c r="AQ91" s="448" t="s">
        <v>544</v>
      </c>
      <c r="AR91" s="452" t="s">
        <v>545</v>
      </c>
      <c r="AS91" s="452" t="s">
        <v>545</v>
      </c>
      <c r="AT91" s="448" t="s">
        <v>544</v>
      </c>
      <c r="AU91" s="452" t="s">
        <v>545</v>
      </c>
      <c r="AV91" s="452" t="s">
        <v>545</v>
      </c>
      <c r="AW91" s="452" t="s">
        <v>545</v>
      </c>
      <c r="AX91" s="448" t="s">
        <v>544</v>
      </c>
      <c r="AY91" s="448" t="s">
        <v>544</v>
      </c>
      <c r="AZ91" s="452" t="s">
        <v>545</v>
      </c>
      <c r="BA91" s="448" t="s">
        <v>544</v>
      </c>
      <c r="BB91" s="448" t="s">
        <v>544</v>
      </c>
      <c r="BC91" s="448" t="s">
        <v>544</v>
      </c>
      <c r="BD91" s="448" t="s">
        <v>544</v>
      </c>
      <c r="BE91" s="448" t="s">
        <v>544</v>
      </c>
      <c r="BF91" s="452" t="s">
        <v>545</v>
      </c>
      <c r="BG91" s="452" t="s">
        <v>545</v>
      </c>
      <c r="BH91" s="448" t="s">
        <v>544</v>
      </c>
      <c r="BI91" s="452" t="s">
        <v>545</v>
      </c>
      <c r="BJ91" s="452" t="s">
        <v>545</v>
      </c>
      <c r="BK91" s="448" t="s">
        <v>544</v>
      </c>
      <c r="BL91" s="448" t="s">
        <v>549</v>
      </c>
      <c r="BM91" s="452" t="s">
        <v>545</v>
      </c>
      <c r="BN91" s="452" t="s">
        <v>545</v>
      </c>
      <c r="BO91" s="448" t="s">
        <v>544</v>
      </c>
      <c r="BP91" s="452" t="s">
        <v>545</v>
      </c>
      <c r="BQ91" s="448" t="s">
        <v>549</v>
      </c>
      <c r="BR91" s="448" t="s">
        <v>549</v>
      </c>
      <c r="BS91" s="449" t="s">
        <v>544</v>
      </c>
      <c r="BT91" s="448" t="s">
        <v>544</v>
      </c>
      <c r="BU91" s="448" t="s">
        <v>544</v>
      </c>
      <c r="BV91" s="452" t="s">
        <v>545</v>
      </c>
      <c r="BW91" s="449"/>
      <c r="BX91" s="452"/>
      <c r="BY91" s="452" t="s">
        <v>545</v>
      </c>
      <c r="BZ91" s="452" t="s">
        <v>545</v>
      </c>
    </row>
    <row r="92" spans="1:78" ht="15.75" thickBot="1">
      <c r="A92" s="428"/>
      <c r="B92" s="426" t="s">
        <v>734</v>
      </c>
      <c r="C92" s="427" t="s">
        <v>735</v>
      </c>
      <c r="D92" s="448" t="s">
        <v>544</v>
      </c>
      <c r="E92" s="448" t="s">
        <v>544</v>
      </c>
      <c r="F92" s="449" t="s">
        <v>544</v>
      </c>
      <c r="G92" s="449" t="s">
        <v>544</v>
      </c>
      <c r="H92" s="449" t="s">
        <v>544</v>
      </c>
      <c r="I92" s="448" t="s">
        <v>544</v>
      </c>
      <c r="J92" s="448" t="s">
        <v>544</v>
      </c>
      <c r="K92" s="448" t="s">
        <v>544</v>
      </c>
      <c r="L92" s="448" t="s">
        <v>544</v>
      </c>
      <c r="M92" s="448" t="s">
        <v>544</v>
      </c>
      <c r="N92" s="448" t="s">
        <v>544</v>
      </c>
      <c r="O92" s="448" t="s">
        <v>544</v>
      </c>
      <c r="P92" s="448" t="s">
        <v>544</v>
      </c>
      <c r="Q92" s="448" t="s">
        <v>544</v>
      </c>
      <c r="R92" s="448" t="s">
        <v>544</v>
      </c>
      <c r="S92" s="448" t="s">
        <v>544</v>
      </c>
      <c r="T92" s="448" t="s">
        <v>544</v>
      </c>
      <c r="U92" s="448" t="s">
        <v>544</v>
      </c>
      <c r="V92" s="448" t="s">
        <v>544</v>
      </c>
      <c r="W92" s="448" t="s">
        <v>544</v>
      </c>
      <c r="X92" s="448" t="s">
        <v>544</v>
      </c>
      <c r="Y92" s="448" t="s">
        <v>544</v>
      </c>
      <c r="Z92" s="449" t="s">
        <v>544</v>
      </c>
      <c r="AA92" s="449" t="s">
        <v>544</v>
      </c>
      <c r="AB92" s="449" t="s">
        <v>544</v>
      </c>
      <c r="AC92" s="450" t="s">
        <v>545</v>
      </c>
      <c r="AD92" s="450" t="s">
        <v>545</v>
      </c>
      <c r="AE92" s="449" t="s">
        <v>544</v>
      </c>
      <c r="AF92" s="448" t="s">
        <v>544</v>
      </c>
      <c r="AG92" s="448" t="s">
        <v>544</v>
      </c>
      <c r="AH92" s="449" t="s">
        <v>544</v>
      </c>
      <c r="AI92" s="448" t="s">
        <v>544</v>
      </c>
      <c r="AJ92" s="452" t="s">
        <v>545</v>
      </c>
      <c r="AK92" s="450" t="s">
        <v>545</v>
      </c>
      <c r="AL92" s="448" t="s">
        <v>544</v>
      </c>
      <c r="AM92" s="448" t="s">
        <v>544</v>
      </c>
      <c r="AN92" s="448" t="s">
        <v>544</v>
      </c>
      <c r="AO92" s="448" t="s">
        <v>544</v>
      </c>
      <c r="AP92" s="448" t="s">
        <v>544</v>
      </c>
      <c r="AQ92" s="448" t="s">
        <v>544</v>
      </c>
      <c r="AR92" s="452" t="s">
        <v>545</v>
      </c>
      <c r="AS92" s="452" t="s">
        <v>545</v>
      </c>
      <c r="AT92" s="452" t="s">
        <v>545</v>
      </c>
      <c r="AU92" s="448" t="s">
        <v>544</v>
      </c>
      <c r="AV92" s="448" t="s">
        <v>544</v>
      </c>
      <c r="AW92" s="448" t="s">
        <v>544</v>
      </c>
      <c r="AX92" s="448" t="s">
        <v>544</v>
      </c>
      <c r="AY92" s="448" t="s">
        <v>544</v>
      </c>
      <c r="AZ92" s="448" t="s">
        <v>544</v>
      </c>
      <c r="BA92" s="448" t="s">
        <v>544</v>
      </c>
      <c r="BB92" s="452" t="s">
        <v>545</v>
      </c>
      <c r="BC92" s="452" t="s">
        <v>545</v>
      </c>
      <c r="BD92" s="452" t="s">
        <v>545</v>
      </c>
      <c r="BE92" s="448" t="s">
        <v>544</v>
      </c>
      <c r="BF92" s="452" t="s">
        <v>545</v>
      </c>
      <c r="BG92" s="448" t="s">
        <v>544</v>
      </c>
      <c r="BH92" s="448" t="s">
        <v>544</v>
      </c>
      <c r="BI92" s="452" t="s">
        <v>545</v>
      </c>
      <c r="BJ92" s="448" t="s">
        <v>544</v>
      </c>
      <c r="BK92" s="448" t="s">
        <v>544</v>
      </c>
      <c r="BL92" s="448" t="s">
        <v>549</v>
      </c>
      <c r="BM92" s="452" t="s">
        <v>545</v>
      </c>
      <c r="BN92" s="448" t="s">
        <v>544</v>
      </c>
      <c r="BO92" s="448" t="s">
        <v>544</v>
      </c>
      <c r="BP92" s="448" t="s">
        <v>549</v>
      </c>
      <c r="BQ92" s="448" t="s">
        <v>549</v>
      </c>
      <c r="BR92" s="448" t="s">
        <v>549</v>
      </c>
      <c r="BS92" s="449" t="s">
        <v>544</v>
      </c>
      <c r="BT92" s="448" t="s">
        <v>544</v>
      </c>
      <c r="BU92" s="448" t="s">
        <v>544</v>
      </c>
      <c r="BV92" s="448" t="s">
        <v>544</v>
      </c>
      <c r="BW92" s="449"/>
      <c r="BX92" s="448"/>
      <c r="BY92" s="448" t="s">
        <v>544</v>
      </c>
      <c r="BZ92" s="448" t="s">
        <v>544</v>
      </c>
    </row>
    <row r="93" spans="1:78" ht="15.75" thickBot="1">
      <c r="A93" s="428"/>
      <c r="B93" s="430" t="s">
        <v>736</v>
      </c>
      <c r="C93" s="427" t="s">
        <v>737</v>
      </c>
      <c r="D93" s="449" t="s">
        <v>544</v>
      </c>
      <c r="E93" s="449" t="s">
        <v>544</v>
      </c>
      <c r="F93" s="449" t="s">
        <v>544</v>
      </c>
      <c r="G93" s="449" t="s">
        <v>544</v>
      </c>
      <c r="H93" s="449" t="s">
        <v>544</v>
      </c>
      <c r="I93" s="453" t="s">
        <v>549</v>
      </c>
      <c r="J93" s="453" t="s">
        <v>549</v>
      </c>
      <c r="K93" s="449" t="s">
        <v>544</v>
      </c>
      <c r="L93" s="449" t="s">
        <v>544</v>
      </c>
      <c r="M93" s="449" t="s">
        <v>544</v>
      </c>
      <c r="N93" s="453" t="s">
        <v>549</v>
      </c>
      <c r="O93" s="449" t="s">
        <v>544</v>
      </c>
      <c r="P93" s="449" t="s">
        <v>544</v>
      </c>
      <c r="Q93" s="453" t="s">
        <v>549</v>
      </c>
      <c r="R93" s="449" t="s">
        <v>544</v>
      </c>
      <c r="S93" s="453" t="s">
        <v>549</v>
      </c>
      <c r="T93" s="449" t="s">
        <v>544</v>
      </c>
      <c r="U93" s="449" t="s">
        <v>544</v>
      </c>
      <c r="V93" s="449" t="s">
        <v>544</v>
      </c>
      <c r="W93" s="449" t="s">
        <v>544</v>
      </c>
      <c r="X93" s="449" t="s">
        <v>544</v>
      </c>
      <c r="Y93" s="449" t="s">
        <v>544</v>
      </c>
      <c r="Z93" s="449" t="s">
        <v>544</v>
      </c>
      <c r="AA93" s="449" t="s">
        <v>544</v>
      </c>
      <c r="AB93" s="449" t="s">
        <v>544</v>
      </c>
      <c r="AC93" s="450" t="s">
        <v>545</v>
      </c>
      <c r="AD93" s="449" t="s">
        <v>544</v>
      </c>
      <c r="AE93" s="449" t="s">
        <v>544</v>
      </c>
      <c r="AF93" s="449" t="s">
        <v>544</v>
      </c>
      <c r="AG93" s="449" t="s">
        <v>544</v>
      </c>
      <c r="AH93" s="449" t="s">
        <v>544</v>
      </c>
      <c r="AI93" s="449" t="s">
        <v>544</v>
      </c>
      <c r="AJ93" s="449" t="s">
        <v>544</v>
      </c>
      <c r="AK93" s="449" t="s">
        <v>544</v>
      </c>
      <c r="AL93" s="449" t="s">
        <v>544</v>
      </c>
      <c r="AM93" s="449" t="s">
        <v>544</v>
      </c>
      <c r="AN93" s="449" t="s">
        <v>544</v>
      </c>
      <c r="AO93" s="449" t="s">
        <v>544</v>
      </c>
      <c r="AP93" s="449" t="s">
        <v>544</v>
      </c>
      <c r="AQ93" s="449" t="s">
        <v>544</v>
      </c>
      <c r="AR93" s="449" t="s">
        <v>544</v>
      </c>
      <c r="AS93" s="449" t="s">
        <v>544</v>
      </c>
      <c r="AT93" s="449" t="s">
        <v>544</v>
      </c>
      <c r="AU93" s="449" t="s">
        <v>544</v>
      </c>
      <c r="AV93" s="449" t="s">
        <v>544</v>
      </c>
      <c r="AW93" s="449" t="s">
        <v>544</v>
      </c>
      <c r="AX93" s="449" t="s">
        <v>544</v>
      </c>
      <c r="AY93" s="449" t="s">
        <v>544</v>
      </c>
      <c r="AZ93" s="449" t="s">
        <v>544</v>
      </c>
      <c r="BA93" s="449" t="s">
        <v>544</v>
      </c>
      <c r="BB93" s="449" t="s">
        <v>544</v>
      </c>
      <c r="BC93" s="449" t="s">
        <v>544</v>
      </c>
      <c r="BD93" s="449" t="s">
        <v>544</v>
      </c>
      <c r="BE93" s="449" t="s">
        <v>544</v>
      </c>
      <c r="BF93" s="449" t="s">
        <v>544</v>
      </c>
      <c r="BG93" s="449" t="s">
        <v>544</v>
      </c>
      <c r="BH93" s="449" t="s">
        <v>544</v>
      </c>
      <c r="BI93" s="450" t="s">
        <v>545</v>
      </c>
      <c r="BJ93" s="448" t="s">
        <v>544</v>
      </c>
      <c r="BK93" s="449" t="s">
        <v>544</v>
      </c>
      <c r="BL93" s="448" t="s">
        <v>549</v>
      </c>
      <c r="BM93" s="448" t="s">
        <v>544</v>
      </c>
      <c r="BN93" s="448" t="s">
        <v>544</v>
      </c>
      <c r="BO93" s="448" t="s">
        <v>544</v>
      </c>
      <c r="BP93" s="448" t="s">
        <v>549</v>
      </c>
      <c r="BQ93" s="448" t="s">
        <v>549</v>
      </c>
      <c r="BR93" s="448" t="s">
        <v>549</v>
      </c>
      <c r="BS93" s="449" t="s">
        <v>544</v>
      </c>
      <c r="BT93" s="449" t="s">
        <v>544</v>
      </c>
      <c r="BU93" s="448" t="s">
        <v>544</v>
      </c>
      <c r="BV93" s="449" t="s">
        <v>544</v>
      </c>
      <c r="BW93" s="449"/>
      <c r="BX93" s="449"/>
      <c r="BY93" s="449" t="s">
        <v>544</v>
      </c>
      <c r="BZ93" s="449" t="s">
        <v>544</v>
      </c>
    </row>
    <row r="94" spans="1:78" ht="15.75" thickBot="1">
      <c r="A94" s="428"/>
      <c r="B94" s="430" t="s">
        <v>738</v>
      </c>
      <c r="C94" s="427" t="s">
        <v>739</v>
      </c>
      <c r="D94" s="449" t="s">
        <v>544</v>
      </c>
      <c r="E94" s="449" t="s">
        <v>544</v>
      </c>
      <c r="F94" s="449" t="s">
        <v>544</v>
      </c>
      <c r="G94" s="450" t="s">
        <v>545</v>
      </c>
      <c r="H94" s="449" t="s">
        <v>544</v>
      </c>
      <c r="I94" s="453" t="s">
        <v>549</v>
      </c>
      <c r="J94" s="453" t="s">
        <v>549</v>
      </c>
      <c r="K94" s="449" t="s">
        <v>544</v>
      </c>
      <c r="L94" s="449" t="s">
        <v>544</v>
      </c>
      <c r="M94" s="449" t="s">
        <v>544</v>
      </c>
      <c r="N94" s="453" t="s">
        <v>549</v>
      </c>
      <c r="O94" s="449" t="s">
        <v>544</v>
      </c>
      <c r="P94" s="449" t="s">
        <v>544</v>
      </c>
      <c r="Q94" s="453" t="s">
        <v>549</v>
      </c>
      <c r="R94" s="449" t="s">
        <v>544</v>
      </c>
      <c r="S94" s="453" t="s">
        <v>549</v>
      </c>
      <c r="T94" s="449" t="s">
        <v>544</v>
      </c>
      <c r="U94" s="449" t="s">
        <v>544</v>
      </c>
      <c r="V94" s="449" t="s">
        <v>544</v>
      </c>
      <c r="W94" s="449" t="s">
        <v>544</v>
      </c>
      <c r="X94" s="449" t="s">
        <v>544</v>
      </c>
      <c r="Y94" s="449" t="s">
        <v>544</v>
      </c>
      <c r="Z94" s="449" t="s">
        <v>544</v>
      </c>
      <c r="AA94" s="449" t="s">
        <v>544</v>
      </c>
      <c r="AB94" s="449" t="s">
        <v>544</v>
      </c>
      <c r="AC94" s="449" t="s">
        <v>544</v>
      </c>
      <c r="AD94" s="450" t="s">
        <v>545</v>
      </c>
      <c r="AE94" s="449" t="s">
        <v>544</v>
      </c>
      <c r="AF94" s="449" t="s">
        <v>544</v>
      </c>
      <c r="AG94" s="449" t="s">
        <v>544</v>
      </c>
      <c r="AH94" s="449" t="s">
        <v>544</v>
      </c>
      <c r="AI94" s="449" t="s">
        <v>544</v>
      </c>
      <c r="AJ94" s="449" t="s">
        <v>544</v>
      </c>
      <c r="AK94" s="449" t="s">
        <v>544</v>
      </c>
      <c r="AL94" s="449" t="s">
        <v>544</v>
      </c>
      <c r="AM94" s="449" t="s">
        <v>544</v>
      </c>
      <c r="AN94" s="449" t="s">
        <v>544</v>
      </c>
      <c r="AO94" s="449" t="s">
        <v>544</v>
      </c>
      <c r="AP94" s="449" t="s">
        <v>544</v>
      </c>
      <c r="AQ94" s="449" t="s">
        <v>544</v>
      </c>
      <c r="AR94" s="449" t="s">
        <v>544</v>
      </c>
      <c r="AS94" s="449" t="s">
        <v>544</v>
      </c>
      <c r="AT94" s="449" t="s">
        <v>544</v>
      </c>
      <c r="AU94" s="449" t="s">
        <v>544</v>
      </c>
      <c r="AV94" s="449" t="s">
        <v>544</v>
      </c>
      <c r="AW94" s="449" t="s">
        <v>544</v>
      </c>
      <c r="AX94" s="449" t="s">
        <v>544</v>
      </c>
      <c r="AY94" s="449" t="s">
        <v>544</v>
      </c>
      <c r="AZ94" s="449" t="s">
        <v>544</v>
      </c>
      <c r="BA94" s="449" t="s">
        <v>544</v>
      </c>
      <c r="BB94" s="449" t="s">
        <v>544</v>
      </c>
      <c r="BC94" s="449" t="s">
        <v>544</v>
      </c>
      <c r="BD94" s="449" t="s">
        <v>544</v>
      </c>
      <c r="BE94" s="449" t="s">
        <v>544</v>
      </c>
      <c r="BF94" s="449" t="s">
        <v>544</v>
      </c>
      <c r="BG94" s="449" t="s">
        <v>544</v>
      </c>
      <c r="BH94" s="450" t="s">
        <v>545</v>
      </c>
      <c r="BI94" s="448" t="s">
        <v>544</v>
      </c>
      <c r="BJ94" s="448" t="s">
        <v>544</v>
      </c>
      <c r="BK94" s="449" t="s">
        <v>544</v>
      </c>
      <c r="BL94" s="448" t="s">
        <v>549</v>
      </c>
      <c r="BM94" s="448" t="s">
        <v>544</v>
      </c>
      <c r="BN94" s="448" t="s">
        <v>544</v>
      </c>
      <c r="BO94" s="448" t="s">
        <v>544</v>
      </c>
      <c r="BP94" s="448" t="s">
        <v>549</v>
      </c>
      <c r="BQ94" s="448" t="s">
        <v>549</v>
      </c>
      <c r="BR94" s="448" t="s">
        <v>549</v>
      </c>
      <c r="BS94" s="449" t="s">
        <v>544</v>
      </c>
      <c r="BT94" s="449" t="s">
        <v>544</v>
      </c>
      <c r="BU94" s="448" t="s">
        <v>544</v>
      </c>
      <c r="BV94" s="449" t="s">
        <v>544</v>
      </c>
      <c r="BW94" s="449"/>
      <c r="BX94" s="449"/>
      <c r="BY94" s="449" t="s">
        <v>544</v>
      </c>
      <c r="BZ94" s="449" t="s">
        <v>544</v>
      </c>
    </row>
    <row r="95" spans="1:78" ht="15.75" thickBot="1">
      <c r="A95" s="428"/>
      <c r="B95" s="426" t="s">
        <v>740</v>
      </c>
      <c r="C95" s="427" t="s">
        <v>741</v>
      </c>
      <c r="D95" s="448" t="s">
        <v>544</v>
      </c>
      <c r="E95" s="448" t="s">
        <v>544</v>
      </c>
      <c r="F95" s="449" t="s">
        <v>544</v>
      </c>
      <c r="G95" s="449" t="s">
        <v>544</v>
      </c>
      <c r="H95" s="449" t="s">
        <v>544</v>
      </c>
      <c r="I95" s="448" t="s">
        <v>544</v>
      </c>
      <c r="J95" s="448" t="s">
        <v>544</v>
      </c>
      <c r="K95" s="448" t="s">
        <v>544</v>
      </c>
      <c r="L95" s="448" t="s">
        <v>544</v>
      </c>
      <c r="M95" s="448" t="s">
        <v>544</v>
      </c>
      <c r="N95" s="448" t="s">
        <v>544</v>
      </c>
      <c r="O95" s="448" t="s">
        <v>544</v>
      </c>
      <c r="P95" s="457" t="s">
        <v>549</v>
      </c>
      <c r="Q95" s="448" t="s">
        <v>544</v>
      </c>
      <c r="R95" s="448" t="s">
        <v>544</v>
      </c>
      <c r="S95" s="448" t="s">
        <v>544</v>
      </c>
      <c r="T95" s="448" t="s">
        <v>544</v>
      </c>
      <c r="U95" s="448" t="s">
        <v>544</v>
      </c>
      <c r="V95" s="448" t="s">
        <v>544</v>
      </c>
      <c r="W95" s="448" t="s">
        <v>544</v>
      </c>
      <c r="X95" s="448" t="s">
        <v>544</v>
      </c>
      <c r="Y95" s="452" t="s">
        <v>545</v>
      </c>
      <c r="Z95" s="450" t="s">
        <v>545</v>
      </c>
      <c r="AA95" s="449" t="s">
        <v>544</v>
      </c>
      <c r="AB95" s="449" t="s">
        <v>544</v>
      </c>
      <c r="AC95" s="450" t="s">
        <v>545</v>
      </c>
      <c r="AD95" s="450" t="s">
        <v>545</v>
      </c>
      <c r="AE95" s="449" t="s">
        <v>544</v>
      </c>
      <c r="AF95" s="452" t="s">
        <v>545</v>
      </c>
      <c r="AG95" s="448" t="s">
        <v>544</v>
      </c>
      <c r="AH95" s="449" t="s">
        <v>544</v>
      </c>
      <c r="AI95" s="448" t="s">
        <v>544</v>
      </c>
      <c r="AJ95" s="452" t="s">
        <v>545</v>
      </c>
      <c r="AK95" s="450" t="s">
        <v>545</v>
      </c>
      <c r="AL95" s="448" t="s">
        <v>544</v>
      </c>
      <c r="AM95" s="448" t="s">
        <v>544</v>
      </c>
      <c r="AN95" s="452" t="s">
        <v>545</v>
      </c>
      <c r="AO95" s="448" t="s">
        <v>544</v>
      </c>
      <c r="AP95" s="448" t="s">
        <v>544</v>
      </c>
      <c r="AQ95" s="448" t="s">
        <v>544</v>
      </c>
      <c r="AR95" s="452" t="s">
        <v>545</v>
      </c>
      <c r="AS95" s="452" t="s">
        <v>545</v>
      </c>
      <c r="AT95" s="448" t="s">
        <v>544</v>
      </c>
      <c r="AU95" s="452" t="s">
        <v>545</v>
      </c>
      <c r="AV95" s="457" t="s">
        <v>549</v>
      </c>
      <c r="AW95" s="452" t="s">
        <v>545</v>
      </c>
      <c r="AX95" s="448" t="s">
        <v>544</v>
      </c>
      <c r="AY95" s="448" t="s">
        <v>544</v>
      </c>
      <c r="AZ95" s="452" t="s">
        <v>545</v>
      </c>
      <c r="BA95" s="448" t="s">
        <v>544</v>
      </c>
      <c r="BB95" s="448" t="s">
        <v>544</v>
      </c>
      <c r="BC95" s="448" t="s">
        <v>544</v>
      </c>
      <c r="BD95" s="448" t="s">
        <v>544</v>
      </c>
      <c r="BE95" s="448" t="s">
        <v>544</v>
      </c>
      <c r="BF95" s="452" t="s">
        <v>545</v>
      </c>
      <c r="BG95" s="452" t="s">
        <v>545</v>
      </c>
      <c r="BH95" s="452" t="s">
        <v>545</v>
      </c>
      <c r="BI95" s="452" t="s">
        <v>545</v>
      </c>
      <c r="BJ95" s="452" t="s">
        <v>545</v>
      </c>
      <c r="BK95" s="448" t="s">
        <v>544</v>
      </c>
      <c r="BL95" s="448" t="s">
        <v>549</v>
      </c>
      <c r="BM95" s="452" t="s">
        <v>545</v>
      </c>
      <c r="BN95" s="452" t="s">
        <v>545</v>
      </c>
      <c r="BO95" s="452" t="s">
        <v>545</v>
      </c>
      <c r="BP95" s="452" t="s">
        <v>545</v>
      </c>
      <c r="BQ95" s="452" t="s">
        <v>549</v>
      </c>
      <c r="BR95" s="452" t="s">
        <v>549</v>
      </c>
      <c r="BS95" s="450" t="s">
        <v>545</v>
      </c>
      <c r="BT95" s="448" t="s">
        <v>544</v>
      </c>
      <c r="BU95" s="448" t="s">
        <v>544</v>
      </c>
      <c r="BV95" s="448" t="s">
        <v>545</v>
      </c>
      <c r="BW95" s="449"/>
      <c r="BX95" s="448"/>
      <c r="BY95" s="448" t="s">
        <v>544</v>
      </c>
      <c r="BZ95" s="448" t="s">
        <v>544</v>
      </c>
    </row>
    <row r="96" spans="1:78" ht="15.75" thickBot="1">
      <c r="A96" s="428"/>
      <c r="B96" s="430" t="s">
        <v>742</v>
      </c>
      <c r="C96" s="427" t="s">
        <v>743</v>
      </c>
      <c r="D96" s="449" t="s">
        <v>544</v>
      </c>
      <c r="E96" s="449" t="s">
        <v>544</v>
      </c>
      <c r="F96" s="449" t="s">
        <v>544</v>
      </c>
      <c r="G96" s="449" t="s">
        <v>544</v>
      </c>
      <c r="H96" s="449" t="s">
        <v>544</v>
      </c>
      <c r="I96" s="453" t="s">
        <v>549</v>
      </c>
      <c r="J96" s="453" t="s">
        <v>549</v>
      </c>
      <c r="K96" s="449" t="s">
        <v>544</v>
      </c>
      <c r="L96" s="449" t="s">
        <v>544</v>
      </c>
      <c r="M96" s="449" t="s">
        <v>544</v>
      </c>
      <c r="N96" s="453" t="s">
        <v>549</v>
      </c>
      <c r="O96" s="449" t="s">
        <v>544</v>
      </c>
      <c r="P96" s="449" t="s">
        <v>544</v>
      </c>
      <c r="Q96" s="453" t="s">
        <v>549</v>
      </c>
      <c r="R96" s="449" t="s">
        <v>544</v>
      </c>
      <c r="S96" s="453" t="s">
        <v>549</v>
      </c>
      <c r="T96" s="449" t="s">
        <v>544</v>
      </c>
      <c r="U96" s="449" t="s">
        <v>544</v>
      </c>
      <c r="V96" s="449" t="s">
        <v>544</v>
      </c>
      <c r="W96" s="449" t="s">
        <v>544</v>
      </c>
      <c r="X96" s="449" t="s">
        <v>544</v>
      </c>
      <c r="Y96" s="449" t="s">
        <v>544</v>
      </c>
      <c r="Z96" s="449" t="s">
        <v>544</v>
      </c>
      <c r="AA96" s="449" t="s">
        <v>544</v>
      </c>
      <c r="AB96" s="449" t="s">
        <v>544</v>
      </c>
      <c r="AC96" s="450" t="s">
        <v>545</v>
      </c>
      <c r="AD96" s="449" t="s">
        <v>544</v>
      </c>
      <c r="AE96" s="449" t="s">
        <v>544</v>
      </c>
      <c r="AF96" s="449" t="s">
        <v>544</v>
      </c>
      <c r="AG96" s="449" t="s">
        <v>544</v>
      </c>
      <c r="AH96" s="449" t="s">
        <v>544</v>
      </c>
      <c r="AI96" s="449" t="s">
        <v>544</v>
      </c>
      <c r="AJ96" s="450" t="s">
        <v>545</v>
      </c>
      <c r="AK96" s="449" t="s">
        <v>544</v>
      </c>
      <c r="AL96" s="449" t="s">
        <v>544</v>
      </c>
      <c r="AM96" s="449" t="s">
        <v>544</v>
      </c>
      <c r="AN96" s="449" t="s">
        <v>544</v>
      </c>
      <c r="AO96" s="449" t="s">
        <v>544</v>
      </c>
      <c r="AP96" s="449" t="s">
        <v>544</v>
      </c>
      <c r="AQ96" s="449" t="s">
        <v>544</v>
      </c>
      <c r="AR96" s="449" t="s">
        <v>544</v>
      </c>
      <c r="AS96" s="449" t="s">
        <v>544</v>
      </c>
      <c r="AT96" s="449" t="s">
        <v>544</v>
      </c>
      <c r="AU96" s="449" t="s">
        <v>544</v>
      </c>
      <c r="AV96" s="449" t="s">
        <v>544</v>
      </c>
      <c r="AW96" s="449" t="s">
        <v>544</v>
      </c>
      <c r="AX96" s="449" t="s">
        <v>544</v>
      </c>
      <c r="AY96" s="449" t="s">
        <v>544</v>
      </c>
      <c r="AZ96" s="449" t="s">
        <v>544</v>
      </c>
      <c r="BA96" s="449" t="s">
        <v>544</v>
      </c>
      <c r="BB96" s="449" t="s">
        <v>544</v>
      </c>
      <c r="BC96" s="449" t="s">
        <v>544</v>
      </c>
      <c r="BD96" s="449" t="s">
        <v>544</v>
      </c>
      <c r="BE96" s="449" t="s">
        <v>544</v>
      </c>
      <c r="BF96" s="450" t="s">
        <v>545</v>
      </c>
      <c r="BG96" s="449" t="s">
        <v>544</v>
      </c>
      <c r="BH96" s="449" t="s">
        <v>544</v>
      </c>
      <c r="BI96" s="450" t="s">
        <v>545</v>
      </c>
      <c r="BJ96" s="448" t="s">
        <v>544</v>
      </c>
      <c r="BK96" s="449" t="s">
        <v>544</v>
      </c>
      <c r="BL96" s="448" t="s">
        <v>549</v>
      </c>
      <c r="BM96" s="448" t="s">
        <v>544</v>
      </c>
      <c r="BN96" s="448" t="s">
        <v>544</v>
      </c>
      <c r="BO96" s="448" t="s">
        <v>544</v>
      </c>
      <c r="BP96" s="448" t="s">
        <v>549</v>
      </c>
      <c r="BQ96" s="448" t="s">
        <v>549</v>
      </c>
      <c r="BR96" s="448" t="s">
        <v>549</v>
      </c>
      <c r="BS96" s="449" t="s">
        <v>544</v>
      </c>
      <c r="BT96" s="449" t="s">
        <v>544</v>
      </c>
      <c r="BU96" s="448" t="s">
        <v>544</v>
      </c>
      <c r="BV96" s="449" t="s">
        <v>544</v>
      </c>
      <c r="BW96" s="449"/>
      <c r="BX96" s="449"/>
      <c r="BY96" s="449" t="s">
        <v>544</v>
      </c>
      <c r="BZ96" s="449" t="s">
        <v>544</v>
      </c>
    </row>
    <row r="97" spans="1:78" ht="15.75" thickBot="1">
      <c r="A97" s="428"/>
      <c r="B97" s="426" t="s">
        <v>744</v>
      </c>
      <c r="C97" s="427" t="s">
        <v>745</v>
      </c>
      <c r="D97" s="448" t="s">
        <v>544</v>
      </c>
      <c r="E97" s="448" t="s">
        <v>544</v>
      </c>
      <c r="F97" s="449" t="s">
        <v>544</v>
      </c>
      <c r="G97" s="448" t="s">
        <v>544</v>
      </c>
      <c r="H97" s="448" t="s">
        <v>544</v>
      </c>
      <c r="I97" s="448" t="s">
        <v>544</v>
      </c>
      <c r="J97" s="448" t="s">
        <v>544</v>
      </c>
      <c r="K97" s="448" t="s">
        <v>544</v>
      </c>
      <c r="L97" s="448" t="s">
        <v>544</v>
      </c>
      <c r="M97" s="448" t="s">
        <v>544</v>
      </c>
      <c r="N97" s="448" t="s">
        <v>544</v>
      </c>
      <c r="O97" s="448" t="s">
        <v>544</v>
      </c>
      <c r="P97" s="448" t="s">
        <v>544</v>
      </c>
      <c r="Q97" s="448" t="s">
        <v>544</v>
      </c>
      <c r="R97" s="448" t="s">
        <v>544</v>
      </c>
      <c r="S97" s="448" t="s">
        <v>544</v>
      </c>
      <c r="T97" s="448" t="s">
        <v>544</v>
      </c>
      <c r="U97" s="448" t="s">
        <v>544</v>
      </c>
      <c r="V97" s="448" t="s">
        <v>544</v>
      </c>
      <c r="W97" s="448" t="s">
        <v>544</v>
      </c>
      <c r="X97" s="448" t="s">
        <v>544</v>
      </c>
      <c r="Y97" s="448" t="s">
        <v>544</v>
      </c>
      <c r="Z97" s="448" t="s">
        <v>544</v>
      </c>
      <c r="AA97" s="448" t="s">
        <v>544</v>
      </c>
      <c r="AB97" s="448" t="s">
        <v>544</v>
      </c>
      <c r="AC97" s="448" t="s">
        <v>544</v>
      </c>
      <c r="AD97" s="448" t="s">
        <v>544</v>
      </c>
      <c r="AE97" s="448" t="s">
        <v>544</v>
      </c>
      <c r="AF97" s="448" t="s">
        <v>544</v>
      </c>
      <c r="AG97" s="448" t="s">
        <v>544</v>
      </c>
      <c r="AH97" s="448" t="s">
        <v>544</v>
      </c>
      <c r="AI97" s="448" t="s">
        <v>544</v>
      </c>
      <c r="AJ97" s="448" t="s">
        <v>544</v>
      </c>
      <c r="AK97" s="448" t="s">
        <v>544</v>
      </c>
      <c r="AL97" s="448" t="s">
        <v>544</v>
      </c>
      <c r="AM97" s="448" t="s">
        <v>544</v>
      </c>
      <c r="AN97" s="448" t="s">
        <v>544</v>
      </c>
      <c r="AO97" s="448" t="s">
        <v>544</v>
      </c>
      <c r="AP97" s="448" t="s">
        <v>544</v>
      </c>
      <c r="AQ97" s="448" t="s">
        <v>544</v>
      </c>
      <c r="AR97" s="448" t="s">
        <v>544</v>
      </c>
      <c r="AS97" s="448" t="s">
        <v>544</v>
      </c>
      <c r="AT97" s="448" t="s">
        <v>544</v>
      </c>
      <c r="AU97" s="448" t="s">
        <v>544</v>
      </c>
      <c r="AV97" s="448" t="s">
        <v>544</v>
      </c>
      <c r="AW97" s="448" t="s">
        <v>544</v>
      </c>
      <c r="AX97" s="448" t="s">
        <v>544</v>
      </c>
      <c r="AY97" s="448" t="s">
        <v>544</v>
      </c>
      <c r="AZ97" s="448" t="s">
        <v>544</v>
      </c>
      <c r="BA97" s="448" t="s">
        <v>544</v>
      </c>
      <c r="BB97" s="448" t="s">
        <v>544</v>
      </c>
      <c r="BC97" s="448" t="s">
        <v>544</v>
      </c>
      <c r="BD97" s="448" t="s">
        <v>544</v>
      </c>
      <c r="BE97" s="448" t="s">
        <v>544</v>
      </c>
      <c r="BF97" s="448" t="s">
        <v>544</v>
      </c>
      <c r="BG97" s="448" t="s">
        <v>544</v>
      </c>
      <c r="BH97" s="452" t="s">
        <v>545</v>
      </c>
      <c r="BI97" s="452" t="s">
        <v>545</v>
      </c>
      <c r="BJ97" s="452" t="s">
        <v>545</v>
      </c>
      <c r="BK97" s="448" t="s">
        <v>544</v>
      </c>
      <c r="BL97" s="448" t="s">
        <v>549</v>
      </c>
      <c r="BM97" s="452" t="s">
        <v>545</v>
      </c>
      <c r="BN97" s="452" t="s">
        <v>545</v>
      </c>
      <c r="BO97" s="452" t="s">
        <v>545</v>
      </c>
      <c r="BP97" s="452" t="s">
        <v>545</v>
      </c>
      <c r="BQ97" s="452" t="s">
        <v>549</v>
      </c>
      <c r="BR97" s="452" t="s">
        <v>549</v>
      </c>
      <c r="BS97" s="448" t="s">
        <v>544</v>
      </c>
      <c r="BT97" s="448" t="s">
        <v>544</v>
      </c>
      <c r="BU97" s="448" t="s">
        <v>544</v>
      </c>
      <c r="BV97" s="448" t="s">
        <v>545</v>
      </c>
      <c r="BW97" s="449"/>
      <c r="BX97" s="448"/>
      <c r="BY97" s="448" t="s">
        <v>544</v>
      </c>
      <c r="BZ97" s="448" t="s">
        <v>544</v>
      </c>
    </row>
    <row r="98" spans="1:78" ht="15.75" thickBot="1">
      <c r="A98" s="428"/>
      <c r="B98" s="426" t="s">
        <v>746</v>
      </c>
      <c r="C98" s="427" t="s">
        <v>747</v>
      </c>
      <c r="D98" s="448" t="s">
        <v>544</v>
      </c>
      <c r="E98" s="452" t="s">
        <v>545</v>
      </c>
      <c r="F98" s="449" t="s">
        <v>544</v>
      </c>
      <c r="G98" s="450" t="s">
        <v>545</v>
      </c>
      <c r="H98" s="449" t="s">
        <v>544</v>
      </c>
      <c r="I98" s="448" t="s">
        <v>544</v>
      </c>
      <c r="J98" s="448" t="s">
        <v>544</v>
      </c>
      <c r="K98" s="448" t="s">
        <v>544</v>
      </c>
      <c r="L98" s="452" t="s">
        <v>545</v>
      </c>
      <c r="M98" s="448" t="s">
        <v>544</v>
      </c>
      <c r="N98" s="448" t="s">
        <v>544</v>
      </c>
      <c r="O98" s="452" t="s">
        <v>545</v>
      </c>
      <c r="P98" s="452" t="s">
        <v>545</v>
      </c>
      <c r="Q98" s="448" t="s">
        <v>544</v>
      </c>
      <c r="R98" s="448" t="s">
        <v>544</v>
      </c>
      <c r="S98" s="448" t="s">
        <v>544</v>
      </c>
      <c r="T98" s="448" t="s">
        <v>544</v>
      </c>
      <c r="U98" s="448" t="s">
        <v>544</v>
      </c>
      <c r="V98" s="448" t="s">
        <v>544</v>
      </c>
      <c r="W98" s="451" t="s">
        <v>547</v>
      </c>
      <c r="X98" s="452" t="s">
        <v>545</v>
      </c>
      <c r="Y98" s="452" t="s">
        <v>545</v>
      </c>
      <c r="Z98" s="450" t="s">
        <v>545</v>
      </c>
      <c r="AA98" s="449" t="s">
        <v>544</v>
      </c>
      <c r="AB98" s="449" t="s">
        <v>544</v>
      </c>
      <c r="AC98" s="450" t="s">
        <v>545</v>
      </c>
      <c r="AD98" s="450" t="s">
        <v>545</v>
      </c>
      <c r="AE98" s="449" t="s">
        <v>544</v>
      </c>
      <c r="AF98" s="452" t="s">
        <v>545</v>
      </c>
      <c r="AG98" s="448" t="s">
        <v>544</v>
      </c>
      <c r="AH98" s="449" t="s">
        <v>544</v>
      </c>
      <c r="AI98" s="452" t="s">
        <v>545</v>
      </c>
      <c r="AJ98" s="452" t="s">
        <v>545</v>
      </c>
      <c r="AK98" s="450" t="s">
        <v>545</v>
      </c>
      <c r="AL98" s="448" t="s">
        <v>544</v>
      </c>
      <c r="AM98" s="452" t="s">
        <v>545</v>
      </c>
      <c r="AN98" s="452" t="s">
        <v>545</v>
      </c>
      <c r="AO98" s="448" t="s">
        <v>544</v>
      </c>
      <c r="AP98" s="448" t="s">
        <v>544</v>
      </c>
      <c r="AQ98" s="448" t="s">
        <v>544</v>
      </c>
      <c r="AR98" s="452" t="s">
        <v>545</v>
      </c>
      <c r="AS98" s="452" t="s">
        <v>545</v>
      </c>
      <c r="AT98" s="448" t="s">
        <v>544</v>
      </c>
      <c r="AU98" s="452" t="s">
        <v>545</v>
      </c>
      <c r="AV98" s="452" t="s">
        <v>545</v>
      </c>
      <c r="AW98" s="452" t="s">
        <v>545</v>
      </c>
      <c r="AX98" s="448" t="s">
        <v>544</v>
      </c>
      <c r="AY98" s="452" t="s">
        <v>545</v>
      </c>
      <c r="AZ98" s="452" t="s">
        <v>545</v>
      </c>
      <c r="BA98" s="448" t="s">
        <v>544</v>
      </c>
      <c r="BB98" s="448" t="s">
        <v>544</v>
      </c>
      <c r="BC98" s="448" t="s">
        <v>544</v>
      </c>
      <c r="BD98" s="448" t="s">
        <v>544</v>
      </c>
      <c r="BE98" s="448" t="s">
        <v>544</v>
      </c>
      <c r="BF98" s="452" t="s">
        <v>545</v>
      </c>
      <c r="BG98" s="452" t="s">
        <v>545</v>
      </c>
      <c r="BH98" s="448" t="s">
        <v>544</v>
      </c>
      <c r="BI98" s="448" t="s">
        <v>544</v>
      </c>
      <c r="BJ98" s="448" t="s">
        <v>544</v>
      </c>
      <c r="BK98" s="448" t="s">
        <v>544</v>
      </c>
      <c r="BL98" s="448" t="s">
        <v>549</v>
      </c>
      <c r="BM98" s="448" t="s">
        <v>544</v>
      </c>
      <c r="BN98" s="448" t="s">
        <v>544</v>
      </c>
      <c r="BO98" s="448" t="s">
        <v>544</v>
      </c>
      <c r="BP98" s="448" t="s">
        <v>549</v>
      </c>
      <c r="BQ98" s="448" t="s">
        <v>549</v>
      </c>
      <c r="BR98" s="448" t="s">
        <v>549</v>
      </c>
      <c r="BS98" s="450" t="s">
        <v>545</v>
      </c>
      <c r="BT98" s="448" t="s">
        <v>544</v>
      </c>
      <c r="BU98" s="448" t="s">
        <v>544</v>
      </c>
      <c r="BV98" s="452" t="s">
        <v>545</v>
      </c>
      <c r="BW98" s="449"/>
      <c r="BX98" s="452"/>
      <c r="BY98" s="452" t="s">
        <v>545</v>
      </c>
      <c r="BZ98" s="452" t="s">
        <v>545</v>
      </c>
    </row>
    <row r="99" spans="1:78" ht="15.75" thickBot="1">
      <c r="A99" s="428"/>
      <c r="B99" s="426" t="s">
        <v>748</v>
      </c>
      <c r="C99" s="427" t="s">
        <v>749</v>
      </c>
      <c r="D99" s="448" t="s">
        <v>544</v>
      </c>
      <c r="E99" s="448" t="s">
        <v>544</v>
      </c>
      <c r="F99" s="449" t="s">
        <v>544</v>
      </c>
      <c r="G99" s="449" t="s">
        <v>544</v>
      </c>
      <c r="H99" s="449" t="s">
        <v>544</v>
      </c>
      <c r="I99" s="448" t="s">
        <v>544</v>
      </c>
      <c r="J99" s="448" t="s">
        <v>544</v>
      </c>
      <c r="K99" s="448" t="s">
        <v>544</v>
      </c>
      <c r="L99" s="448" t="s">
        <v>544</v>
      </c>
      <c r="M99" s="448" t="s">
        <v>544</v>
      </c>
      <c r="N99" s="448" t="s">
        <v>544</v>
      </c>
      <c r="O99" s="448" t="s">
        <v>544</v>
      </c>
      <c r="P99" s="452" t="s">
        <v>545</v>
      </c>
      <c r="Q99" s="448" t="s">
        <v>544</v>
      </c>
      <c r="R99" s="448" t="s">
        <v>544</v>
      </c>
      <c r="S99" s="448" t="s">
        <v>544</v>
      </c>
      <c r="T99" s="448" t="s">
        <v>544</v>
      </c>
      <c r="U99" s="452" t="s">
        <v>545</v>
      </c>
      <c r="V99" s="452" t="s">
        <v>545</v>
      </c>
      <c r="W99" s="448" t="s">
        <v>544</v>
      </c>
      <c r="X99" s="448" t="s">
        <v>544</v>
      </c>
      <c r="Y99" s="452" t="s">
        <v>545</v>
      </c>
      <c r="Z99" s="449" t="s">
        <v>544</v>
      </c>
      <c r="AA99" s="449" t="s">
        <v>544</v>
      </c>
      <c r="AB99" s="449" t="s">
        <v>544</v>
      </c>
      <c r="AC99" s="450" t="s">
        <v>545</v>
      </c>
      <c r="AD99" s="449" t="s">
        <v>544</v>
      </c>
      <c r="AE99" s="449" t="s">
        <v>544</v>
      </c>
      <c r="AF99" s="452" t="s">
        <v>545</v>
      </c>
      <c r="AG99" s="448" t="s">
        <v>544</v>
      </c>
      <c r="AH99" s="449" t="s">
        <v>544</v>
      </c>
      <c r="AI99" s="448" t="s">
        <v>544</v>
      </c>
      <c r="AJ99" s="448" t="s">
        <v>544</v>
      </c>
      <c r="AK99" s="450" t="s">
        <v>545</v>
      </c>
      <c r="AL99" s="448" t="s">
        <v>544</v>
      </c>
      <c r="AM99" s="448" t="s">
        <v>544</v>
      </c>
      <c r="AN99" s="452" t="s">
        <v>545</v>
      </c>
      <c r="AO99" s="448" t="s">
        <v>544</v>
      </c>
      <c r="AP99" s="448" t="s">
        <v>544</v>
      </c>
      <c r="AQ99" s="448" t="s">
        <v>544</v>
      </c>
      <c r="AR99" s="452" t="s">
        <v>545</v>
      </c>
      <c r="AS99" s="452" t="s">
        <v>545</v>
      </c>
      <c r="AT99" s="448" t="s">
        <v>544</v>
      </c>
      <c r="AU99" s="452" t="s">
        <v>545</v>
      </c>
      <c r="AV99" s="452" t="s">
        <v>545</v>
      </c>
      <c r="AW99" s="452" t="s">
        <v>545</v>
      </c>
      <c r="AX99" s="448" t="s">
        <v>544</v>
      </c>
      <c r="AY99" s="452" t="s">
        <v>545</v>
      </c>
      <c r="AZ99" s="452" t="s">
        <v>545</v>
      </c>
      <c r="BA99" s="448" t="s">
        <v>544</v>
      </c>
      <c r="BB99" s="448" t="s">
        <v>544</v>
      </c>
      <c r="BC99" s="448" t="s">
        <v>544</v>
      </c>
      <c r="BD99" s="448" t="s">
        <v>544</v>
      </c>
      <c r="BE99" s="448" t="s">
        <v>544</v>
      </c>
      <c r="BF99" s="452" t="s">
        <v>545</v>
      </c>
      <c r="BG99" s="452" t="s">
        <v>545</v>
      </c>
      <c r="BH99" s="452" t="s">
        <v>545</v>
      </c>
      <c r="BI99" s="452" t="s">
        <v>545</v>
      </c>
      <c r="BJ99" s="452" t="s">
        <v>545</v>
      </c>
      <c r="BK99" s="448" t="s">
        <v>544</v>
      </c>
      <c r="BL99" s="448" t="s">
        <v>549</v>
      </c>
      <c r="BM99" s="452" t="s">
        <v>545</v>
      </c>
      <c r="BN99" s="452" t="s">
        <v>545</v>
      </c>
      <c r="BO99" s="452" t="s">
        <v>545</v>
      </c>
      <c r="BP99" s="452" t="s">
        <v>545</v>
      </c>
      <c r="BQ99" s="452" t="s">
        <v>549</v>
      </c>
      <c r="BR99" s="452" t="s">
        <v>549</v>
      </c>
      <c r="BS99" s="449" t="s">
        <v>544</v>
      </c>
      <c r="BT99" s="448" t="s">
        <v>544</v>
      </c>
      <c r="BU99" s="448" t="s">
        <v>544</v>
      </c>
      <c r="BV99" s="458" t="s">
        <v>545</v>
      </c>
      <c r="BW99" s="449"/>
      <c r="BX99" s="448"/>
      <c r="BY99" s="448" t="s">
        <v>544</v>
      </c>
      <c r="BZ99" s="458" t="s">
        <v>548</v>
      </c>
    </row>
    <row r="100" spans="1:78" ht="15.75" thickBot="1">
      <c r="A100" s="428"/>
      <c r="B100" s="426" t="s">
        <v>750</v>
      </c>
      <c r="C100" s="427" t="s">
        <v>751</v>
      </c>
      <c r="D100" s="448" t="s">
        <v>544</v>
      </c>
      <c r="E100" s="448" t="s">
        <v>544</v>
      </c>
      <c r="F100" s="449" t="s">
        <v>544</v>
      </c>
      <c r="G100" s="449" t="s">
        <v>544</v>
      </c>
      <c r="H100" s="449" t="s">
        <v>544</v>
      </c>
      <c r="I100" s="448" t="s">
        <v>544</v>
      </c>
      <c r="J100" s="448" t="s">
        <v>544</v>
      </c>
      <c r="K100" s="448" t="s">
        <v>544</v>
      </c>
      <c r="L100" s="448" t="s">
        <v>544</v>
      </c>
      <c r="M100" s="448" t="s">
        <v>544</v>
      </c>
      <c r="N100" s="448" t="s">
        <v>544</v>
      </c>
      <c r="O100" s="448" t="s">
        <v>544</v>
      </c>
      <c r="P100" s="457" t="s">
        <v>549</v>
      </c>
      <c r="Q100" s="448" t="s">
        <v>544</v>
      </c>
      <c r="R100" s="448" t="s">
        <v>544</v>
      </c>
      <c r="S100" s="448" t="s">
        <v>544</v>
      </c>
      <c r="T100" s="448" t="s">
        <v>544</v>
      </c>
      <c r="U100" s="448" t="s">
        <v>544</v>
      </c>
      <c r="V100" s="448" t="s">
        <v>544</v>
      </c>
      <c r="W100" s="448" t="s">
        <v>544</v>
      </c>
      <c r="X100" s="448" t="s">
        <v>544</v>
      </c>
      <c r="Y100" s="452" t="s">
        <v>545</v>
      </c>
      <c r="Z100" s="450" t="s">
        <v>545</v>
      </c>
      <c r="AA100" s="449" t="s">
        <v>544</v>
      </c>
      <c r="AB100" s="449" t="s">
        <v>544</v>
      </c>
      <c r="AC100" s="450" t="s">
        <v>545</v>
      </c>
      <c r="AD100" s="450" t="s">
        <v>545</v>
      </c>
      <c r="AE100" s="449" t="s">
        <v>544</v>
      </c>
      <c r="AF100" s="452" t="s">
        <v>545</v>
      </c>
      <c r="AG100" s="448" t="s">
        <v>544</v>
      </c>
      <c r="AH100" s="449" t="s">
        <v>544</v>
      </c>
      <c r="AI100" s="448" t="s">
        <v>544</v>
      </c>
      <c r="AJ100" s="452" t="s">
        <v>545</v>
      </c>
      <c r="AK100" s="450" t="s">
        <v>545</v>
      </c>
      <c r="AL100" s="448" t="s">
        <v>544</v>
      </c>
      <c r="AM100" s="448" t="s">
        <v>544</v>
      </c>
      <c r="AN100" s="452" t="s">
        <v>545</v>
      </c>
      <c r="AO100" s="448" t="s">
        <v>544</v>
      </c>
      <c r="AP100" s="448" t="s">
        <v>544</v>
      </c>
      <c r="AQ100" s="448" t="s">
        <v>544</v>
      </c>
      <c r="AR100" s="452" t="s">
        <v>545</v>
      </c>
      <c r="AS100" s="452" t="s">
        <v>545</v>
      </c>
      <c r="AT100" s="448" t="s">
        <v>544</v>
      </c>
      <c r="AU100" s="452" t="s">
        <v>545</v>
      </c>
      <c r="AV100" s="457" t="s">
        <v>549</v>
      </c>
      <c r="AW100" s="452" t="s">
        <v>545</v>
      </c>
      <c r="AX100" s="448" t="s">
        <v>544</v>
      </c>
      <c r="AY100" s="448" t="s">
        <v>544</v>
      </c>
      <c r="AZ100" s="452" t="s">
        <v>545</v>
      </c>
      <c r="BA100" s="448" t="s">
        <v>544</v>
      </c>
      <c r="BB100" s="448" t="s">
        <v>544</v>
      </c>
      <c r="BC100" s="448" t="s">
        <v>544</v>
      </c>
      <c r="BD100" s="448" t="s">
        <v>544</v>
      </c>
      <c r="BE100" s="448" t="s">
        <v>544</v>
      </c>
      <c r="BF100" s="452" t="s">
        <v>545</v>
      </c>
      <c r="BG100" s="452" t="s">
        <v>545</v>
      </c>
      <c r="BH100" s="452" t="s">
        <v>545</v>
      </c>
      <c r="BI100" s="452" t="s">
        <v>545</v>
      </c>
      <c r="BJ100" s="452" t="s">
        <v>545</v>
      </c>
      <c r="BK100" s="448" t="s">
        <v>544</v>
      </c>
      <c r="BL100" s="448" t="s">
        <v>549</v>
      </c>
      <c r="BM100" s="452" t="s">
        <v>545</v>
      </c>
      <c r="BN100" s="452" t="s">
        <v>545</v>
      </c>
      <c r="BO100" s="452" t="s">
        <v>545</v>
      </c>
      <c r="BP100" s="452" t="s">
        <v>545</v>
      </c>
      <c r="BQ100" s="452" t="s">
        <v>549</v>
      </c>
      <c r="BR100" s="452" t="s">
        <v>549</v>
      </c>
      <c r="BS100" s="450" t="s">
        <v>545</v>
      </c>
      <c r="BT100" s="448" t="s">
        <v>544</v>
      </c>
      <c r="BU100" s="448" t="s">
        <v>544</v>
      </c>
      <c r="BV100" s="448" t="s">
        <v>545</v>
      </c>
      <c r="BW100" s="449"/>
      <c r="BX100" s="448"/>
      <c r="BY100" s="448" t="s">
        <v>544</v>
      </c>
      <c r="BZ100" s="448" t="s">
        <v>544</v>
      </c>
    </row>
    <row r="101" spans="1:78" ht="15.75" thickBot="1">
      <c r="A101" s="428"/>
      <c r="B101" s="426" t="s">
        <v>460</v>
      </c>
      <c r="C101" s="427" t="s">
        <v>752</v>
      </c>
      <c r="D101" s="448" t="s">
        <v>544</v>
      </c>
      <c r="E101" s="448" t="s">
        <v>544</v>
      </c>
      <c r="F101" s="449" t="s">
        <v>544</v>
      </c>
      <c r="G101" s="449" t="s">
        <v>544</v>
      </c>
      <c r="H101" s="449" t="s">
        <v>544</v>
      </c>
      <c r="I101" s="448" t="s">
        <v>544</v>
      </c>
      <c r="J101" s="448" t="s">
        <v>544</v>
      </c>
      <c r="K101" s="448" t="s">
        <v>544</v>
      </c>
      <c r="L101" s="448" t="s">
        <v>544</v>
      </c>
      <c r="M101" s="448" t="s">
        <v>544</v>
      </c>
      <c r="N101" s="448" t="s">
        <v>544</v>
      </c>
      <c r="O101" s="452" t="s">
        <v>545</v>
      </c>
      <c r="P101" s="452" t="s">
        <v>545</v>
      </c>
      <c r="Q101" s="452" t="s">
        <v>545</v>
      </c>
      <c r="R101" s="452" t="s">
        <v>545</v>
      </c>
      <c r="S101" s="448" t="s">
        <v>544</v>
      </c>
      <c r="T101" s="448" t="s">
        <v>544</v>
      </c>
      <c r="U101" s="448" t="s">
        <v>544</v>
      </c>
      <c r="V101" s="454" t="s">
        <v>546</v>
      </c>
      <c r="W101" s="448" t="s">
        <v>544</v>
      </c>
      <c r="X101" s="452" t="s">
        <v>545</v>
      </c>
      <c r="Y101" s="452" t="s">
        <v>545</v>
      </c>
      <c r="Z101" s="455" t="s">
        <v>546</v>
      </c>
      <c r="AA101" s="449" t="s">
        <v>544</v>
      </c>
      <c r="AB101" s="450" t="s">
        <v>545</v>
      </c>
      <c r="AC101" s="450" t="s">
        <v>545</v>
      </c>
      <c r="AD101" s="449" t="s">
        <v>544</v>
      </c>
      <c r="AE101" s="449" t="s">
        <v>544</v>
      </c>
      <c r="AF101" s="452" t="s">
        <v>545</v>
      </c>
      <c r="AG101" s="448" t="s">
        <v>544</v>
      </c>
      <c r="AH101" s="449" t="s">
        <v>544</v>
      </c>
      <c r="AI101" s="452" t="s">
        <v>545</v>
      </c>
      <c r="AJ101" s="452" t="s">
        <v>545</v>
      </c>
      <c r="AK101" s="455" t="s">
        <v>546</v>
      </c>
      <c r="AL101" s="452" t="s">
        <v>545</v>
      </c>
      <c r="AM101" s="452" t="s">
        <v>545</v>
      </c>
      <c r="AN101" s="454" t="s">
        <v>546</v>
      </c>
      <c r="AO101" s="448" t="s">
        <v>544</v>
      </c>
      <c r="AP101" s="448" t="s">
        <v>544</v>
      </c>
      <c r="AQ101" s="452" t="s">
        <v>545</v>
      </c>
      <c r="AR101" s="448" t="s">
        <v>544</v>
      </c>
      <c r="AS101" s="452" t="s">
        <v>545</v>
      </c>
      <c r="AT101" s="448" t="s">
        <v>544</v>
      </c>
      <c r="AU101" s="452" t="s">
        <v>545</v>
      </c>
      <c r="AV101" s="452" t="s">
        <v>545</v>
      </c>
      <c r="AW101" s="448" t="s">
        <v>544</v>
      </c>
      <c r="AX101" s="452" t="s">
        <v>545</v>
      </c>
      <c r="AY101" s="448" t="s">
        <v>544</v>
      </c>
      <c r="AZ101" s="452" t="s">
        <v>545</v>
      </c>
      <c r="BA101" s="452" t="s">
        <v>545</v>
      </c>
      <c r="BB101" s="448" t="s">
        <v>544</v>
      </c>
      <c r="BC101" s="448" t="s">
        <v>544</v>
      </c>
      <c r="BD101" s="448" t="s">
        <v>544</v>
      </c>
      <c r="BE101" s="448" t="s">
        <v>544</v>
      </c>
      <c r="BF101" s="452" t="s">
        <v>545</v>
      </c>
      <c r="BG101" s="452" t="s">
        <v>545</v>
      </c>
      <c r="BH101" s="448" t="s">
        <v>544</v>
      </c>
      <c r="BI101" s="452" t="s">
        <v>545</v>
      </c>
      <c r="BJ101" s="448" t="s">
        <v>544</v>
      </c>
      <c r="BK101" s="452" t="s">
        <v>545</v>
      </c>
      <c r="BL101" s="448" t="s">
        <v>549</v>
      </c>
      <c r="BM101" s="452" t="s">
        <v>545</v>
      </c>
      <c r="BN101" s="452" t="s">
        <v>545</v>
      </c>
      <c r="BO101" s="452" t="s">
        <v>545</v>
      </c>
      <c r="BP101" s="452" t="s">
        <v>545</v>
      </c>
      <c r="BQ101" s="452" t="s">
        <v>549</v>
      </c>
      <c r="BR101" s="452" t="s">
        <v>545</v>
      </c>
      <c r="BS101" s="449" t="s">
        <v>544</v>
      </c>
      <c r="BT101" s="448" t="s">
        <v>544</v>
      </c>
      <c r="BU101" s="452" t="s">
        <v>545</v>
      </c>
      <c r="BV101" s="452" t="s">
        <v>545</v>
      </c>
      <c r="BW101" s="449"/>
      <c r="BX101" s="452"/>
      <c r="BY101" s="452" t="s">
        <v>545</v>
      </c>
      <c r="BZ101" s="452" t="s">
        <v>545</v>
      </c>
    </row>
  </sheetData>
  <sortState xmlns:xlrd2="http://schemas.microsoft.com/office/spreadsheetml/2017/richdata2" ref="B2:BZ101">
    <sortCondition ref="B2:B101"/>
  </sortState>
  <mergeCells count="14">
    <mergeCell ref="A2:A4"/>
    <mergeCell ref="A5:A7"/>
    <mergeCell ref="A8:A9"/>
    <mergeCell ref="A10:A13"/>
    <mergeCell ref="A14:A19"/>
    <mergeCell ref="A55:A58"/>
    <mergeCell ref="A44:A45"/>
    <mergeCell ref="A46:A47"/>
    <mergeCell ref="A52:A53"/>
    <mergeCell ref="A22:A25"/>
    <mergeCell ref="A26:A28"/>
    <mergeCell ref="A29:A36"/>
    <mergeCell ref="A37:A39"/>
    <mergeCell ref="A42:A43"/>
  </mergeCells>
  <phoneticPr fontId="22" type="noConversion"/>
  <conditionalFormatting sqref="D2:BU101 BW2:BZ101">
    <cfRule type="cellIs" dxfId="60" priority="6" operator="equal">
      <formula>"DEP"</formula>
    </cfRule>
    <cfRule type="cellIs" dxfId="59" priority="7" operator="equal">
      <formula>"YES"</formula>
    </cfRule>
  </conditionalFormatting>
  <conditionalFormatting sqref="BV2:BV101">
    <cfRule type="cellIs" dxfId="58" priority="2" operator="equal">
      <formula>"DEP"</formula>
    </cfRule>
    <cfRule type="cellIs" dxfId="57" priority="3" operator="equal">
      <formula>"YES"</formula>
    </cfRule>
  </conditionalFormatting>
  <conditionalFormatting sqref="D2:BZ101">
    <cfRule type="cellIs" dxfId="56" priority="1" operator="equal">
      <formula>"N/A"</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1FEE0-7E81-4567-B820-035865C6C06D}">
  <sheetPr codeName="Sheet17"/>
  <dimension ref="A1:CO20"/>
  <sheetViews>
    <sheetView topLeftCell="V1" zoomScale="115" zoomScaleNormal="115" workbookViewId="0">
      <selection activeCell="AD25" sqref="AD25"/>
    </sheetView>
  </sheetViews>
  <sheetFormatPr defaultRowHeight="15"/>
  <cols>
    <col min="3" max="4" width="3.140625" customWidth="1"/>
    <col min="5" max="5" width="8" customWidth="1"/>
    <col min="6" max="6" width="10.5703125" bestFit="1" customWidth="1"/>
    <col min="7" max="11" width="3.140625" customWidth="1"/>
    <col min="12" max="12" width="8" customWidth="1"/>
    <col min="13" max="13" width="10.5703125" bestFit="1" customWidth="1"/>
    <col min="14" max="19" width="3.140625" customWidth="1"/>
    <col min="20" max="20" width="8" customWidth="1"/>
    <col min="21" max="21" width="16.140625" bestFit="1" customWidth="1"/>
    <col min="22" max="25" width="3.140625" customWidth="1"/>
    <col min="26" max="26" width="8" customWidth="1"/>
    <col min="27" max="27" width="16.140625" bestFit="1" customWidth="1"/>
    <col min="28" max="35" width="3.140625" customWidth="1"/>
    <col min="37" max="37" width="18.5703125" bestFit="1" customWidth="1"/>
    <col min="38" max="46" width="3.7109375" customWidth="1"/>
    <col min="47" max="47" width="7.140625" customWidth="1"/>
    <col min="49" max="68" width="3.5703125" customWidth="1"/>
    <col min="78" max="93" width="3.140625" customWidth="1"/>
  </cols>
  <sheetData>
    <row r="1" spans="1:93" ht="123.75">
      <c r="C1" s="433" t="s">
        <v>131</v>
      </c>
      <c r="D1" s="433" t="s">
        <v>132</v>
      </c>
      <c r="E1" s="433"/>
      <c r="G1" s="433" t="s">
        <v>133</v>
      </c>
      <c r="H1" s="433" t="s">
        <v>134</v>
      </c>
      <c r="I1" s="433" t="s">
        <v>135</v>
      </c>
      <c r="J1" s="433" t="s">
        <v>136</v>
      </c>
      <c r="K1" s="433" t="s">
        <v>137</v>
      </c>
      <c r="L1" s="433"/>
      <c r="N1" s="433" t="s">
        <v>138</v>
      </c>
      <c r="O1" s="433" t="s">
        <v>139</v>
      </c>
      <c r="P1" s="433" t="s">
        <v>140</v>
      </c>
      <c r="Q1" s="433" t="s">
        <v>141</v>
      </c>
      <c r="R1" s="433" t="s">
        <v>142</v>
      </c>
      <c r="S1" s="433" t="s">
        <v>144</v>
      </c>
      <c r="T1" s="433"/>
      <c r="V1" s="433" t="s">
        <v>145</v>
      </c>
      <c r="W1" s="433" t="s">
        <v>146</v>
      </c>
      <c r="X1" s="433" t="s">
        <v>147</v>
      </c>
      <c r="Y1" s="433" t="s">
        <v>148</v>
      </c>
      <c r="Z1" s="433"/>
      <c r="AB1" s="433" t="s">
        <v>151</v>
      </c>
      <c r="AC1" s="433" t="s">
        <v>152</v>
      </c>
      <c r="AD1" s="433" t="s">
        <v>153</v>
      </c>
      <c r="AE1" s="433" t="s">
        <v>154</v>
      </c>
      <c r="AF1" s="433" t="s">
        <v>155</v>
      </c>
      <c r="AG1" s="433" t="s">
        <v>156</v>
      </c>
      <c r="AH1" s="433" t="s">
        <v>157</v>
      </c>
      <c r="AI1" s="433" t="s">
        <v>158</v>
      </c>
      <c r="AK1" s="433" t="s">
        <v>753</v>
      </c>
      <c r="AL1" s="433" t="s">
        <v>754</v>
      </c>
      <c r="AM1" s="433" t="s">
        <v>755</v>
      </c>
      <c r="AN1" s="433" t="s">
        <v>756</v>
      </c>
      <c r="AO1" s="433" t="s">
        <v>757</v>
      </c>
      <c r="AP1" s="433" t="s">
        <v>758</v>
      </c>
      <c r="AQ1" s="433" t="s">
        <v>759</v>
      </c>
      <c r="AR1" s="433" t="s">
        <v>760</v>
      </c>
      <c r="AS1" s="433" t="s">
        <v>761</v>
      </c>
      <c r="AT1" s="433" t="s">
        <v>762</v>
      </c>
      <c r="AW1" s="521" t="s">
        <v>763</v>
      </c>
      <c r="AX1" s="522" t="s">
        <v>161</v>
      </c>
      <c r="AY1" s="522" t="s">
        <v>162</v>
      </c>
      <c r="AZ1" s="522" t="s">
        <v>163</v>
      </c>
      <c r="BA1" s="522" t="s">
        <v>164</v>
      </c>
      <c r="BB1" s="522" t="s">
        <v>165</v>
      </c>
      <c r="BC1" s="522" t="s">
        <v>166</v>
      </c>
      <c r="BD1" s="522" t="s">
        <v>167</v>
      </c>
      <c r="BE1" s="522" t="s">
        <v>168</v>
      </c>
      <c r="BF1" s="522" t="s">
        <v>169</v>
      </c>
      <c r="BG1" s="522" t="s">
        <v>170</v>
      </c>
      <c r="BH1" s="522" t="s">
        <v>171</v>
      </c>
      <c r="BI1" s="522" t="s">
        <v>172</v>
      </c>
      <c r="BJ1" s="522" t="s">
        <v>173</v>
      </c>
      <c r="BK1" s="522" t="s">
        <v>174</v>
      </c>
      <c r="BL1" s="522" t="s">
        <v>175</v>
      </c>
      <c r="BM1" s="522" t="s">
        <v>176</v>
      </c>
      <c r="BN1" s="522" t="s">
        <v>177</v>
      </c>
      <c r="BO1" s="522" t="s">
        <v>178</v>
      </c>
      <c r="BP1" s="522" t="s">
        <v>179</v>
      </c>
      <c r="BZ1" s="433"/>
      <c r="CA1" s="433"/>
      <c r="CB1" s="433"/>
      <c r="CC1" s="433"/>
      <c r="CD1" s="433"/>
      <c r="CE1" s="433"/>
      <c r="CF1" s="433"/>
      <c r="CG1" s="433"/>
      <c r="CH1" s="433"/>
      <c r="CI1" s="433"/>
      <c r="CJ1" s="433"/>
      <c r="CK1" s="433"/>
      <c r="CL1" s="433"/>
      <c r="CM1" s="433"/>
      <c r="CN1" s="433"/>
      <c r="CO1" s="433"/>
    </row>
    <row r="2" spans="1:93">
      <c r="A2" s="562" t="s">
        <v>764</v>
      </c>
      <c r="B2" s="523" cm="1">
        <f t="array" ref="B2:B3">ASPICEVersions</f>
        <v>3.1</v>
      </c>
      <c r="C2" s="434">
        <f>COUNTIF(INDEX('Project Configurations'!$DB$1:$FG$220, 0, MATCH(C$1, 'Project Configurations'!$DB$1:$FG$1, 0)), $B2)</f>
        <v>0</v>
      </c>
      <c r="D2" s="434">
        <f>COUNTIF(INDEX('Project Configurations'!$DB$1:$FG$220, 0, MATCH(D$1, 'Project Configurations'!$DB$1:$FG$1, 0)), $B2)</f>
        <v>19</v>
      </c>
      <c r="E2" s="434"/>
      <c r="F2" s="523" t="str" cm="1">
        <f t="array" ref="F2:F3">ISO26262Versions</f>
        <v>'11</v>
      </c>
      <c r="G2" s="434">
        <f>COUNTIF(INDEX('Project Configurations'!$DB$1:$FG$220, 0, MATCH(G$1, 'Project Configurations'!$DB$1:$FG$1, 0)), $F2)</f>
        <v>0</v>
      </c>
      <c r="H2" s="434">
        <f>COUNTIF(INDEX('Project Configurations'!$DB$1:$FG$220, 0, MATCH(H$1, 'Project Configurations'!$DB$1:$FG$1, 0)), $F2)</f>
        <v>2</v>
      </c>
      <c r="I2" s="434">
        <f>COUNTIF(INDEX('Project Configurations'!$DB$1:$FG$220, 0, MATCH(I$1, 'Project Configurations'!$DB$1:$FG$1, 0)), $F2)</f>
        <v>0</v>
      </c>
      <c r="J2" s="434">
        <f>COUNTIF(INDEX('Project Configurations'!$DB$1:$FG$220, 0, MATCH(J$1, 'Project Configurations'!$DB$1:$FG$1, 0)), $F2)</f>
        <v>0</v>
      </c>
      <c r="K2" s="434">
        <f>COUNTIF(INDEX('Project Configurations'!$DB$1:$FG$220, 0, MATCH(K$1, 'Project Configurations'!$DB$1:$FG$1, 0)), $F2)</f>
        <v>0</v>
      </c>
      <c r="L2" s="434"/>
      <c r="M2" s="523" t="s">
        <v>765</v>
      </c>
      <c r="N2" s="434">
        <f xml:space="preserve"> COUNTIF(INDEX('Project Configurations'!$DB$1:$FG$220, 0, MATCH(N$1, 'Project Configurations'!$DB$1:$FG$1, 0)),"x")</f>
        <v>0</v>
      </c>
      <c r="O2" s="434">
        <f xml:space="preserve"> COUNTIF(INDEX('Project Configurations'!$DB$1:$FG$220, 0, MATCH(O$1, 'Project Configurations'!$DB$1:$FG$1, 0)),"x")</f>
        <v>0</v>
      </c>
      <c r="P2" s="434">
        <f xml:space="preserve"> COUNTIF(INDEX('Project Configurations'!$DB$1:$FG$220, 0, MATCH(P$1, 'Project Configurations'!$DB$1:$FG$1, 0)),"x")</f>
        <v>0</v>
      </c>
      <c r="Q2" s="434">
        <f xml:space="preserve"> COUNTIF(INDEX('Project Configurations'!$DB$1:$FG$220, 0, MATCH(Q$1, 'Project Configurations'!$DB$1:$FG$1, 0)),"x")</f>
        <v>1</v>
      </c>
      <c r="R2" s="434">
        <f xml:space="preserve"> COUNTIF(INDEX('Project Configurations'!$DB$1:$FG$220, 0, MATCH(R$1, 'Project Configurations'!$DB$1:$FG$1, 0)),"x")</f>
        <v>3</v>
      </c>
      <c r="S2" s="434">
        <f xml:space="preserve"> COUNTIF(INDEX('Project Configurations'!$DB$1:$FG$220, 0, MATCH(S$1, 'Project Configurations'!$DB$1:$FG$1, 0)),"x")</f>
        <v>17</v>
      </c>
      <c r="T2" s="434"/>
      <c r="U2" s="523" t="s">
        <v>766</v>
      </c>
      <c r="V2" s="434">
        <f xml:space="preserve"> COUNTIF(INDEX('Project Configurations'!$DB$1:$FG$220, 0, MATCH(V$1, 'Project Configurations'!$DB$1:$FG$1, 0)),"x")</f>
        <v>10</v>
      </c>
      <c r="W2" s="434">
        <f xml:space="preserve"> COUNTIF(INDEX('Project Configurations'!$DB$1:$FG$220, 0, MATCH(W$1, 'Project Configurations'!$DB$1:$FG$1, 0)),"x")</f>
        <v>2</v>
      </c>
      <c r="X2" s="434">
        <f xml:space="preserve"> COUNTIF(INDEX('Project Configurations'!$DB$1:$FG$220, 0, MATCH(X$1, 'Project Configurations'!$DB$1:$FG$1, 0)),"x")</f>
        <v>11</v>
      </c>
      <c r="Y2" s="434">
        <f xml:space="preserve"> COUNTIF(INDEX('Project Configurations'!$DB$1:$FG$220, 0, MATCH(Y$1, 'Project Configurations'!$DB$1:$FG$1, 0)),"x")</f>
        <v>13</v>
      </c>
      <c r="Z2" s="434"/>
      <c r="AA2" s="523" t="s">
        <v>767</v>
      </c>
      <c r="AB2" s="434">
        <f xml:space="preserve"> COUNTIF(INDEX('Project Configurations'!$DB$1:$FG$220, 0, MATCH(AB$1, 'Project Configurations'!$DB$1:$FG$1, 0)),"x")</f>
        <v>1</v>
      </c>
      <c r="AC2" s="434">
        <f xml:space="preserve"> COUNTIF(INDEX('Project Configurations'!$DB$1:$FG$220, 0, MATCH(AC$1, 'Project Configurations'!$DB$1:$FG$1, 0)),"x")</f>
        <v>1</v>
      </c>
      <c r="AD2" s="434">
        <f xml:space="preserve"> COUNTIF(INDEX('Project Configurations'!$DB$1:$FG$220, 0, MATCH(AD$1, 'Project Configurations'!$DB$1:$FG$1, 0)),"x")</f>
        <v>1</v>
      </c>
      <c r="AE2" s="434">
        <f xml:space="preserve"> COUNTIF(INDEX('Project Configurations'!$DB$1:$FG$220, 0, MATCH(AE$1, 'Project Configurations'!$DB$1:$FG$1, 0)),"x")</f>
        <v>0</v>
      </c>
      <c r="AF2" s="434">
        <f xml:space="preserve"> COUNTIF(INDEX('Project Configurations'!$DB$1:$FG$220, 0, MATCH(AF$1, 'Project Configurations'!$DB$1:$FG$1, 0)),"x")</f>
        <v>1</v>
      </c>
      <c r="AG2" s="434">
        <f xml:space="preserve"> COUNTIF(INDEX('Project Configurations'!$DB$1:$FG$220, 0, MATCH(AG$1, 'Project Configurations'!$DB$1:$FG$1, 0)),"x")</f>
        <v>1</v>
      </c>
      <c r="AH2" s="434">
        <f xml:space="preserve"> COUNTIF(INDEX('Project Configurations'!$DB$1:$FG$220, 0, MATCH(AH$1, 'Project Configurations'!$DB$1:$FG$1, 0)),"x")</f>
        <v>3</v>
      </c>
      <c r="AI2" s="434">
        <f xml:space="preserve"> COUNTIF(INDEX('Project Configurations'!$DB$1:$FG$220, 0, MATCH(AI$1, 'Project Configurations'!$DB$1:$FG$1, 0)),"x")</f>
        <v>3</v>
      </c>
      <c r="AK2" s="519" t="s">
        <v>159</v>
      </c>
      <c r="AL2" s="434" cm="1">
        <f t="array" ref="AL2">SUMPRODUCT(--(_xlfn.BITAND(INDEX(ProductConfigurations[], 0, MATCH($AK$2, ProductConfigurations[#Headers], 0)), _xlfn.XLOOKUP(AL$1, SeatPosEncodingName, SeatPosEncoding)) &gt; 0))</f>
        <v>16</v>
      </c>
      <c r="AM2" s="434" cm="1">
        <f t="array" ref="AM2">SUMPRODUCT(--(_xlfn.BITAND(INDEX(ProductConfigurations[], 0, MATCH($AK$2, ProductConfigurations[#Headers], 0)), _xlfn.XLOOKUP(AM$1, SeatPosEncodingName, SeatPosEncoding)) &gt; 0))</f>
        <v>13</v>
      </c>
      <c r="AN2" s="434" cm="1">
        <f t="array" ref="AN2">SUMPRODUCT(--(_xlfn.BITAND(INDEX(ProductConfigurations[], 0, MATCH($AK$2, ProductConfigurations[#Headers], 0)), _xlfn.XLOOKUP(AN$1, SeatPosEncodingName, SeatPosEncoding)) &gt; 0))</f>
        <v>2</v>
      </c>
      <c r="AO2" s="434" cm="1">
        <f t="array" ref="AO2">SUMPRODUCT(--(_xlfn.BITAND(INDEX(ProductConfigurations[], 0, MATCH($AK$2, ProductConfigurations[#Headers], 0)), _xlfn.XLOOKUP(AO$1, SeatPosEncodingName, SeatPosEncoding)) &gt; 0))</f>
        <v>11</v>
      </c>
      <c r="AP2" s="434" cm="1">
        <f t="array" ref="AP2">SUMPRODUCT(--(_xlfn.BITAND(INDEX(ProductConfigurations[], 0, MATCH($AK$2, ProductConfigurations[#Headers], 0)), _xlfn.XLOOKUP(AP$1, SeatPosEncodingName, SeatPosEncoding)) &gt; 0))</f>
        <v>11</v>
      </c>
      <c r="AQ2" s="434" cm="1">
        <f t="array" ref="AQ2">SUMPRODUCT(--(_xlfn.BITAND(INDEX(ProductConfigurations[], 0, MATCH($AK$2, ProductConfigurations[#Headers], 0)), _xlfn.XLOOKUP(AQ$1, SeatPosEncodingName, SeatPosEncoding)) &gt; 0))</f>
        <v>11</v>
      </c>
      <c r="AR2" s="434" cm="1">
        <f t="array" ref="AR2">SUMPRODUCT(--(_xlfn.BITAND(INDEX(ProductConfigurations[], 0, MATCH($AK$2, ProductConfigurations[#Headers], 0)), _xlfn.XLOOKUP(AR$1, SeatPosEncodingName, SeatPosEncoding)) &gt; 0))</f>
        <v>0</v>
      </c>
      <c r="AS2" s="434" cm="1">
        <f t="array" ref="AS2">SUMPRODUCT(--(_xlfn.BITAND(INDEX(ProductConfigurations[], 0, MATCH($AK$2, ProductConfigurations[#Headers], 0)), _xlfn.XLOOKUP(AS$1, SeatPosEncodingName, SeatPosEncoding)) &gt; 0))</f>
        <v>0</v>
      </c>
      <c r="AT2" s="434" cm="1">
        <f t="array" ref="AT2">SUMPRODUCT(--(_xlfn.BITAND(INDEX(ProductConfigurations[], 0, MATCH($AK$2, ProductConfigurations[#Headers], 0)), _xlfn.XLOOKUP(AT$1, SeatPosEncodingName, SeatPosEncoding)) &gt; 0))</f>
        <v>0</v>
      </c>
      <c r="AW2" s="435" t="s">
        <v>339</v>
      </c>
      <c r="AX2" s="434">
        <f>COUNTIF(INDEX('Project Configurations'!$DB$1:$FG$220, 0, MATCH(AX$1, 'Project Configurations'!$DB$1:$FG$1, 0)), $AW2)</f>
        <v>3</v>
      </c>
      <c r="AY2" s="434">
        <f>COUNTIF(INDEX('Project Configurations'!$DB$1:$FG$220, 0, MATCH(AY$1, 'Project Configurations'!$DB$1:$FG$1, 0)), $AW2)</f>
        <v>0</v>
      </c>
      <c r="AZ2" s="434">
        <f>COUNTIF(INDEX('Project Configurations'!$DB$1:$FG$220, 0, MATCH(AZ$1, 'Project Configurations'!$DB$1:$FG$1, 0)), $AW2)</f>
        <v>5</v>
      </c>
      <c r="BA2" s="434">
        <f>COUNTIF(INDEX('Project Configurations'!$DB$1:$FG$220, 0, MATCH(BA$1, 'Project Configurations'!$DB$1:$FG$1, 0)), $AW2)</f>
        <v>0</v>
      </c>
      <c r="BB2" s="434">
        <f>COUNTIF(INDEX('Project Configurations'!$DB$1:$FG$220, 0, MATCH(BB$1, 'Project Configurations'!$DB$1:$FG$1, 0)), $AW2)</f>
        <v>0</v>
      </c>
      <c r="BC2" s="434">
        <f>COUNTIF(INDEX('Project Configurations'!$DB$1:$FG$220, 0, MATCH(BC$1, 'Project Configurations'!$DB$1:$FG$1, 0)), $AW2)</f>
        <v>4</v>
      </c>
      <c r="BD2" s="434">
        <f>COUNTIF(INDEX('Project Configurations'!$DB$1:$FG$220, 0, MATCH(BD$1, 'Project Configurations'!$DB$1:$FG$1, 0)), $AW2)</f>
        <v>0</v>
      </c>
      <c r="BE2" s="434">
        <f>COUNTIF(INDEX('Project Configurations'!$DB$1:$FG$220, 0, MATCH(BE$1, 'Project Configurations'!$DB$1:$FG$1, 0)), $AW2)</f>
        <v>1</v>
      </c>
      <c r="BF2" s="434">
        <f>COUNTIF(INDEX('Project Configurations'!$DB$1:$FG$220, 0, MATCH(BF$1, 'Project Configurations'!$DB$1:$FG$1, 0)), $AW2)</f>
        <v>8</v>
      </c>
      <c r="BG2" s="434">
        <f>COUNTIF(INDEX('Project Configurations'!$DB$1:$FG$220, 0, MATCH(BG$1, 'Project Configurations'!$DB$1:$FG$1, 0)), $AW2)</f>
        <v>1</v>
      </c>
      <c r="BH2" s="434">
        <f>COUNTIF(INDEX('Project Configurations'!$DB$1:$FG$220, 0, MATCH(BH$1, 'Project Configurations'!$DB$1:$FG$1, 0)), $AW2)</f>
        <v>1</v>
      </c>
      <c r="BI2" s="434">
        <f>COUNTIF(INDEX('Project Configurations'!$DB$1:$FG$220, 0, MATCH(BI$1, 'Project Configurations'!$DB$1:$FG$1, 0)), $AW2)</f>
        <v>0</v>
      </c>
      <c r="BJ2" s="434">
        <f>COUNTIF(INDEX('Project Configurations'!$DB$1:$FG$220, 0, MATCH(BJ$1, 'Project Configurations'!$DB$1:$FG$1, 0)), $AW2)</f>
        <v>0</v>
      </c>
      <c r="BK2" s="434">
        <f>COUNTIF(INDEX('Project Configurations'!$DB$1:$FG$220, 0, MATCH(BK$1, 'Project Configurations'!$DB$1:$FG$1, 0)), $AW2)</f>
        <v>0</v>
      </c>
      <c r="BL2" s="434">
        <f>COUNTIF(INDEX('Project Configurations'!$DB$1:$FG$220, 0, MATCH(BL$1, 'Project Configurations'!$DB$1:$FG$1, 0)), $AW2)</f>
        <v>0</v>
      </c>
      <c r="BM2" s="434">
        <f>COUNTIF(INDEX('Project Configurations'!$DB$1:$FG$220, 0, MATCH(BM$1, 'Project Configurations'!$DB$1:$FG$1, 0)), $AW2)</f>
        <v>1</v>
      </c>
      <c r="BN2" s="434">
        <f>COUNTIF(INDEX('Project Configurations'!$DB$1:$FG$220, 0, MATCH(BN$1, 'Project Configurations'!$DB$1:$FG$1, 0)), $AW2)</f>
        <v>0</v>
      </c>
      <c r="BO2" s="434">
        <f>COUNTIF(INDEX('Project Configurations'!$DB$1:$FG$220, 0, MATCH(BO$1, 'Project Configurations'!$DB$1:$FG$1, 0)), $AW2)</f>
        <v>1</v>
      </c>
      <c r="BP2" s="434">
        <f>COUNTIF(INDEX('Project Configurations'!$DB$1:$FG$220, 0, MATCH(BP$1, 'Project Configurations'!$DB$1:$FG$1, 0)), $AW2)</f>
        <v>0</v>
      </c>
      <c r="BZ2" s="434"/>
      <c r="CA2" s="434"/>
      <c r="CB2" s="434"/>
      <c r="CC2" s="434"/>
      <c r="CD2" s="434"/>
      <c r="CE2" s="434"/>
      <c r="CF2" s="434"/>
      <c r="CG2" s="434"/>
      <c r="CH2" s="434"/>
      <c r="CI2" s="434"/>
      <c r="CJ2" s="434"/>
      <c r="CK2" s="434"/>
      <c r="CL2" s="434"/>
      <c r="CM2" s="434"/>
      <c r="CN2" s="434"/>
      <c r="CO2" s="434"/>
    </row>
    <row r="3" spans="1:93">
      <c r="A3" s="562"/>
      <c r="B3" s="523" t="str">
        <v>4.0</v>
      </c>
      <c r="C3" s="434">
        <f>COUNTIF(INDEX('Project Configurations'!$DB$1:$FG$220, 0, MATCH(C$1, 'Project Configurations'!$DB$1:$FG$1, 0)), $B3)</f>
        <v>0</v>
      </c>
      <c r="D3" s="434">
        <f>COUNTIF(INDEX('Project Configurations'!$DB$1:$FG$220, 0, MATCH(D$1, 'Project Configurations'!$DB$1:$FG$1, 0)), $B3)</f>
        <v>0</v>
      </c>
      <c r="E3" s="434"/>
      <c r="F3" s="523" t="str">
        <v>'18</v>
      </c>
      <c r="G3" s="434">
        <f>COUNTIF(INDEX('Project Configurations'!$DB$1:$FG$220, 0, MATCH(G$1, 'Project Configurations'!$DB$1:$FG$1, 0)), $F3)</f>
        <v>0</v>
      </c>
      <c r="H3" s="434">
        <f>COUNTIF(INDEX('Project Configurations'!$DB$1:$FG$220, 0, MATCH(H$1, 'Project Configurations'!$DB$1:$FG$1, 0)), $F3)</f>
        <v>9</v>
      </c>
      <c r="I3" s="434">
        <f>COUNTIF(INDEX('Project Configurations'!$DB$1:$FG$220, 0, MATCH(I$1, 'Project Configurations'!$DB$1:$FG$1, 0)), $F3)</f>
        <v>0</v>
      </c>
      <c r="J3" s="434">
        <f>COUNTIF(INDEX('Project Configurations'!$DB$1:$FG$220, 0, MATCH(J$1, 'Project Configurations'!$DB$1:$FG$1, 0)), $F3)</f>
        <v>0</v>
      </c>
      <c r="K3" s="434">
        <f>COUNTIF(INDEX('Project Configurations'!$DB$1:$FG$220, 0, MATCH(K$1, 'Project Configurations'!$DB$1:$FG$1, 0)), $F3)</f>
        <v>0</v>
      </c>
      <c r="L3" s="434"/>
      <c r="M3" s="434"/>
      <c r="N3" s="434"/>
      <c r="O3" s="434"/>
      <c r="P3" s="434"/>
      <c r="Q3" s="434"/>
      <c r="R3" s="434"/>
      <c r="S3" s="434"/>
      <c r="T3" s="434"/>
      <c r="AL3" s="434"/>
      <c r="AM3" s="434"/>
      <c r="AN3" s="434"/>
      <c r="AO3" s="434"/>
      <c r="AP3" s="434"/>
      <c r="AQ3" s="434"/>
      <c r="AR3" s="434"/>
      <c r="AS3" s="434"/>
      <c r="AT3" s="434"/>
      <c r="AV3" s="15"/>
    </row>
    <row r="4" spans="1:93">
      <c r="A4" s="562"/>
      <c r="B4" s="523" cm="1">
        <f t="array" ref="B4:B9">ASPICELevels</f>
        <v>0</v>
      </c>
      <c r="C4" s="434">
        <f>COUNTIF(INDEX('Project Configurations'!$DB$1:$FG$220, 0, MATCH(C$1, 'Project Configurations'!$DB$1:$FG$1, 0)), $B4)</f>
        <v>0</v>
      </c>
      <c r="D4" s="434">
        <f>COUNTIF(INDEX('Project Configurations'!$DB$1:$FG$220, 0, MATCH(D$1, 'Project Configurations'!$DB$1:$FG$1, 0)), $B4)</f>
        <v>0</v>
      </c>
      <c r="E4" s="434"/>
      <c r="F4" s="523" t="str" cm="1">
        <f t="array" ref="F4:F8">ASILLevels</f>
        <v>QM</v>
      </c>
      <c r="G4" s="434">
        <f>COUNTIF(INDEX('Project Configurations'!$DB$1:$FG$220, 0, MATCH(G$1, 'Project Configurations'!$DB$1:$FG$1, 0)), $F4)</f>
        <v>4</v>
      </c>
      <c r="H4" s="434">
        <f>COUNTIF(INDEX('Project Configurations'!$DB$1:$FG$220, 0, MATCH(H$1, 'Project Configurations'!$DB$1:$FG$1, 0)), $F4)</f>
        <v>0</v>
      </c>
      <c r="I4" s="434">
        <f>COUNTIF(INDEX('Project Configurations'!$DB$1:$FG$220, 0, MATCH(I$1, 'Project Configurations'!$DB$1:$FG$1, 0)), $F4)</f>
        <v>0</v>
      </c>
      <c r="J4" s="434">
        <f>COUNTIF(INDEX('Project Configurations'!$DB$1:$FG$220, 0, MATCH(J$1, 'Project Configurations'!$DB$1:$FG$1, 0)), $F4)</f>
        <v>0</v>
      </c>
      <c r="K4" s="434">
        <f>COUNTIF(INDEX('Project Configurations'!$DB$1:$FG$220, 0, MATCH(K$1, 'Project Configurations'!$DB$1:$FG$1, 0)), $F4)</f>
        <v>0</v>
      </c>
      <c r="L4" s="434"/>
      <c r="M4" s="434"/>
      <c r="N4" s="434"/>
      <c r="O4" s="434"/>
      <c r="P4" s="434"/>
      <c r="Q4" s="434"/>
      <c r="R4" s="434"/>
      <c r="S4" s="434"/>
      <c r="T4" s="434"/>
      <c r="AL4" s="434"/>
      <c r="AM4" s="434"/>
      <c r="AN4" s="434"/>
      <c r="AO4" s="434"/>
      <c r="AP4" s="434"/>
      <c r="AQ4" s="434"/>
      <c r="AR4" s="434"/>
      <c r="AS4" s="434"/>
      <c r="AT4" s="434"/>
      <c r="AV4" s="15"/>
    </row>
    <row r="5" spans="1:93">
      <c r="A5" s="562"/>
      <c r="B5" s="523">
        <v>1</v>
      </c>
      <c r="C5" s="434">
        <f>COUNTIF(INDEX('Project Configurations'!$DB$1:$FG$220, 0, MATCH(C$1, 'Project Configurations'!$DB$1:$FG$1, 0)), $B5)</f>
        <v>2</v>
      </c>
      <c r="D5" s="434">
        <f>COUNTIF(INDEX('Project Configurations'!$DB$1:$FG$220, 0, MATCH(D$1, 'Project Configurations'!$DB$1:$FG$1, 0)), $B5)</f>
        <v>0</v>
      </c>
      <c r="E5" s="434"/>
      <c r="F5" s="523" t="str">
        <v>A</v>
      </c>
      <c r="G5" s="434">
        <f>COUNTIF(INDEX('Project Configurations'!$DB$1:$FG$220, 0, MATCH(G$1, 'Project Configurations'!$DB$1:$FG$1, 0)), $F5)</f>
        <v>0</v>
      </c>
      <c r="H5" s="434">
        <f>COUNTIF(INDEX('Project Configurations'!$DB$1:$FG$220, 0, MATCH(H$1, 'Project Configurations'!$DB$1:$FG$1, 0)), $F5)</f>
        <v>0</v>
      </c>
      <c r="I5" s="434">
        <f>COUNTIF(INDEX('Project Configurations'!$DB$1:$FG$220, 0, MATCH(I$1, 'Project Configurations'!$DB$1:$FG$1, 0)), $F5)</f>
        <v>0</v>
      </c>
      <c r="J5" s="434">
        <f>COUNTIF(INDEX('Project Configurations'!$DB$1:$FG$220, 0, MATCH(J$1, 'Project Configurations'!$DB$1:$FG$1, 0)), $F5)</f>
        <v>0</v>
      </c>
      <c r="K5" s="434">
        <f>COUNTIF(INDEX('Project Configurations'!$DB$1:$FG$220, 0, MATCH(K$1, 'Project Configurations'!$DB$1:$FG$1, 0)), $F5)</f>
        <v>0</v>
      </c>
      <c r="L5" s="434"/>
      <c r="M5" s="434"/>
      <c r="N5" s="434"/>
      <c r="O5" s="434"/>
      <c r="P5" s="434"/>
      <c r="Q5" s="434"/>
      <c r="R5" s="434"/>
      <c r="S5" s="434"/>
      <c r="T5" s="434"/>
      <c r="AL5" s="434"/>
      <c r="AM5" s="434"/>
      <c r="AN5" s="434"/>
      <c r="AO5" s="434"/>
      <c r="AP5" s="434"/>
      <c r="AQ5" s="434"/>
      <c r="AR5" s="434"/>
      <c r="AS5" s="434"/>
      <c r="AT5" s="434"/>
      <c r="AV5" s="15"/>
    </row>
    <row r="6" spans="1:93">
      <c r="A6" s="562"/>
      <c r="B6" s="523">
        <v>2</v>
      </c>
      <c r="C6" s="434">
        <f>COUNTIF(INDEX('Project Configurations'!$DB$1:$FG$220, 0, MATCH(C$1, 'Project Configurations'!$DB$1:$FG$1, 0)), $B6)</f>
        <v>17</v>
      </c>
      <c r="D6" s="434">
        <f>COUNTIF(INDEX('Project Configurations'!$DB$1:$FG$220, 0, MATCH(D$1, 'Project Configurations'!$DB$1:$FG$1, 0)), $B6)</f>
        <v>0</v>
      </c>
      <c r="E6" s="434"/>
      <c r="F6" s="523" t="str">
        <v>B</v>
      </c>
      <c r="G6" s="434">
        <f>COUNTIF(INDEX('Project Configurations'!$DB$1:$FG$220, 0, MATCH(G$1, 'Project Configurations'!$DB$1:$FG$1, 0)), $F6)</f>
        <v>7</v>
      </c>
      <c r="H6" s="434">
        <f>COUNTIF(INDEX('Project Configurations'!$DB$1:$FG$220, 0, MATCH(H$1, 'Project Configurations'!$DB$1:$FG$1, 0)), $F6)</f>
        <v>0</v>
      </c>
      <c r="I6" s="434">
        <f>COUNTIF(INDEX('Project Configurations'!$DB$1:$FG$220, 0, MATCH(I$1, 'Project Configurations'!$DB$1:$FG$1, 0)), $F6)</f>
        <v>0</v>
      </c>
      <c r="J6" s="434">
        <f>COUNTIF(INDEX('Project Configurations'!$DB$1:$FG$220, 0, MATCH(J$1, 'Project Configurations'!$DB$1:$FG$1, 0)), $F6)</f>
        <v>0</v>
      </c>
      <c r="K6" s="434">
        <f>COUNTIF(INDEX('Project Configurations'!$DB$1:$FG$220, 0, MATCH(K$1, 'Project Configurations'!$DB$1:$FG$1, 0)), $F6)</f>
        <v>0</v>
      </c>
      <c r="L6" s="434"/>
      <c r="M6" s="434"/>
      <c r="N6" s="434"/>
      <c r="O6" s="434"/>
      <c r="P6" s="434"/>
      <c r="Q6" s="434"/>
      <c r="R6" s="434"/>
      <c r="S6" s="434"/>
      <c r="T6" s="434"/>
      <c r="AL6" s="434"/>
      <c r="AM6" s="434"/>
      <c r="AN6" s="434"/>
      <c r="AO6" s="434"/>
      <c r="AP6" s="434"/>
      <c r="AQ6" s="434"/>
      <c r="AR6" s="434"/>
      <c r="AS6" s="434"/>
      <c r="AT6" s="434"/>
      <c r="AV6" s="15"/>
    </row>
    <row r="7" spans="1:93">
      <c r="A7" s="562"/>
      <c r="B7" s="523">
        <v>3</v>
      </c>
      <c r="C7" s="434">
        <f>COUNTIF(INDEX('Project Configurations'!$DB$1:$FG$220, 0, MATCH(C$1, 'Project Configurations'!$DB$1:$FG$1, 0)), $B7)</f>
        <v>0</v>
      </c>
      <c r="D7" s="434">
        <f>COUNTIF(INDEX('Project Configurations'!$DB$1:$FG$220, 0, MATCH(D$1, 'Project Configurations'!$DB$1:$FG$1, 0)), $B7)</f>
        <v>0</v>
      </c>
      <c r="E7" s="434"/>
      <c r="F7" s="523" t="str">
        <v>C</v>
      </c>
      <c r="G7" s="434">
        <f>COUNTIF(INDEX('Project Configurations'!$DB$1:$FG$220, 0, MATCH(G$1, 'Project Configurations'!$DB$1:$FG$1, 0)), $F7)</f>
        <v>0</v>
      </c>
      <c r="H7" s="434">
        <f>COUNTIF(INDEX('Project Configurations'!$DB$1:$FG$220, 0, MATCH(H$1, 'Project Configurations'!$DB$1:$FG$1, 0)), $F7)</f>
        <v>0</v>
      </c>
      <c r="I7" s="434">
        <f>COUNTIF(INDEX('Project Configurations'!$DB$1:$FG$220, 0, MATCH(I$1, 'Project Configurations'!$DB$1:$FG$1, 0)), $F7)</f>
        <v>0</v>
      </c>
      <c r="J7" s="434">
        <f>COUNTIF(INDEX('Project Configurations'!$DB$1:$FG$220, 0, MATCH(J$1, 'Project Configurations'!$DB$1:$FG$1, 0)), $F7)</f>
        <v>0</v>
      </c>
      <c r="K7" s="434">
        <f>COUNTIF(INDEX('Project Configurations'!$DB$1:$FG$220, 0, MATCH(K$1, 'Project Configurations'!$DB$1:$FG$1, 0)), $F7)</f>
        <v>0</v>
      </c>
      <c r="L7" s="434"/>
      <c r="M7" s="434"/>
      <c r="N7" s="434"/>
      <c r="O7" s="434"/>
      <c r="P7" s="434"/>
      <c r="Q7" s="434"/>
      <c r="R7" s="434"/>
      <c r="S7" s="434"/>
      <c r="T7" s="434"/>
      <c r="AL7" s="434"/>
      <c r="AM7" s="434"/>
      <c r="AN7" s="434"/>
      <c r="AO7" s="434"/>
      <c r="AP7" s="434"/>
      <c r="AQ7" s="434"/>
      <c r="AR7" s="434"/>
      <c r="AS7" s="434"/>
      <c r="AT7" s="434"/>
      <c r="AV7" s="15"/>
    </row>
    <row r="8" spans="1:93">
      <c r="A8" s="562"/>
      <c r="B8" s="523">
        <v>4</v>
      </c>
      <c r="C8" s="434">
        <f>COUNTIF(INDEX('Project Configurations'!$DB$1:$FG$220, 0, MATCH(C$1, 'Project Configurations'!$DB$1:$FG$1, 0)), $B8)</f>
        <v>0</v>
      </c>
      <c r="D8" s="434">
        <f>COUNTIF(INDEX('Project Configurations'!$DB$1:$FG$220, 0, MATCH(D$1, 'Project Configurations'!$DB$1:$FG$1, 0)), $B8)</f>
        <v>0</v>
      </c>
      <c r="E8" s="434"/>
      <c r="F8" s="523" t="str">
        <v>D</v>
      </c>
      <c r="G8" s="434">
        <f>COUNTIF(INDEX('Project Configurations'!$DB$1:$FG$220, 0, MATCH(G$1, 'Project Configurations'!$DB$1:$FG$1, 0)), $F8)</f>
        <v>0</v>
      </c>
      <c r="H8" s="434">
        <f>COUNTIF(INDEX('Project Configurations'!$DB$1:$FG$220, 0, MATCH(H$1, 'Project Configurations'!$DB$1:$FG$1, 0)), $F8)</f>
        <v>0</v>
      </c>
      <c r="I8" s="434">
        <f>COUNTIF(INDEX('Project Configurations'!$DB$1:$FG$220, 0, MATCH(I$1, 'Project Configurations'!$DB$1:$FG$1, 0)), $F8)</f>
        <v>0</v>
      </c>
      <c r="J8" s="434">
        <f>COUNTIF(INDEX('Project Configurations'!$DB$1:$FG$220, 0, MATCH(J$1, 'Project Configurations'!$DB$1:$FG$1, 0)), $F8)</f>
        <v>0</v>
      </c>
      <c r="K8" s="434">
        <f>COUNTIF(INDEX('Project Configurations'!$DB$1:$FG$220, 0, MATCH(K$1, 'Project Configurations'!$DB$1:$FG$1, 0)), $F8)</f>
        <v>0</v>
      </c>
      <c r="L8" s="434"/>
      <c r="M8" s="434"/>
      <c r="N8" s="434"/>
      <c r="O8" s="434"/>
      <c r="P8" s="434"/>
      <c r="Q8" s="434"/>
      <c r="R8" s="434"/>
      <c r="S8" s="434"/>
      <c r="T8" s="434"/>
      <c r="AL8" s="434"/>
      <c r="AM8" s="434"/>
      <c r="AN8" s="434"/>
      <c r="AO8" s="434"/>
      <c r="AP8" s="434"/>
      <c r="AQ8" s="434"/>
      <c r="AR8" s="434"/>
      <c r="AS8" s="434"/>
      <c r="AT8" s="434"/>
      <c r="AV8" s="15"/>
    </row>
    <row r="9" spans="1:93">
      <c r="A9" s="563"/>
      <c r="B9" s="523">
        <v>5</v>
      </c>
      <c r="C9" s="434">
        <f>COUNTIF(INDEX('Project Configurations'!$DB$1:$FG$220, 0, MATCH(C$1, 'Project Configurations'!$DB$1:$FG$1, 0)), $B9)</f>
        <v>0</v>
      </c>
      <c r="D9" s="434">
        <f>COUNTIF(INDEX('Project Configurations'!$DB$1:$FG$220, 0, MATCH(D$1, 'Project Configurations'!$DB$1:$FG$1, 0)), $B9)</f>
        <v>0</v>
      </c>
      <c r="E9" s="434"/>
      <c r="L9" s="434"/>
      <c r="M9" s="434"/>
      <c r="N9" s="434"/>
      <c r="O9" s="434"/>
      <c r="P9" s="434"/>
      <c r="Q9" s="434"/>
      <c r="R9" s="434"/>
      <c r="S9" s="434"/>
      <c r="T9" s="434"/>
      <c r="AL9" s="434"/>
      <c r="AM9" s="434"/>
      <c r="AN9" s="434"/>
      <c r="AO9" s="434"/>
      <c r="AP9" s="434"/>
      <c r="AQ9" s="434"/>
      <c r="AR9" s="434"/>
      <c r="AS9" s="434"/>
      <c r="AT9" s="434"/>
      <c r="AV9" s="15"/>
    </row>
    <row r="10" spans="1:93">
      <c r="E10" s="434"/>
      <c r="L10" s="434"/>
      <c r="M10" s="434"/>
      <c r="N10" s="434"/>
      <c r="O10" s="434"/>
      <c r="P10" s="434"/>
      <c r="Q10" s="434"/>
      <c r="R10" s="434"/>
      <c r="S10" s="434"/>
      <c r="T10" s="434"/>
      <c r="AL10" s="434"/>
      <c r="AM10" s="434"/>
      <c r="AN10" s="434"/>
      <c r="AO10" s="434"/>
      <c r="AP10" s="434"/>
      <c r="AQ10" s="434"/>
      <c r="AR10" s="434"/>
      <c r="AS10" s="434"/>
      <c r="AT10" s="434"/>
      <c r="AV10" s="15"/>
    </row>
    <row r="11" spans="1:93">
      <c r="A11" s="15"/>
      <c r="L11" s="434"/>
      <c r="M11" s="434"/>
      <c r="N11" s="434"/>
      <c r="O11" s="434"/>
      <c r="P11" s="434"/>
      <c r="Q11" s="434"/>
      <c r="R11" s="434"/>
      <c r="S11" s="434"/>
      <c r="T11" s="434"/>
      <c r="AL11" s="434"/>
      <c r="AM11" s="434"/>
      <c r="AN11" s="434"/>
      <c r="AO11" s="434"/>
      <c r="AP11" s="434"/>
      <c r="AQ11" s="434"/>
      <c r="AR11" s="434"/>
      <c r="AS11" s="434"/>
      <c r="AT11" s="434"/>
    </row>
    <row r="12" spans="1:93">
      <c r="A12" s="15"/>
      <c r="L12" s="434"/>
      <c r="M12" s="434"/>
      <c r="N12" s="434"/>
      <c r="O12" s="434"/>
      <c r="P12" s="434"/>
      <c r="Q12" s="434"/>
      <c r="R12" s="434"/>
      <c r="S12" s="434"/>
      <c r="T12" s="434"/>
      <c r="AL12" s="434"/>
      <c r="AM12" s="434"/>
      <c r="AN12" s="434"/>
      <c r="AO12" s="434"/>
      <c r="AP12" s="434"/>
      <c r="AQ12" s="434"/>
      <c r="AR12" s="434"/>
      <c r="AS12" s="434"/>
      <c r="AT12" s="434"/>
    </row>
    <row r="13" spans="1:93">
      <c r="A13" s="15"/>
      <c r="L13" s="434"/>
      <c r="M13" s="434"/>
      <c r="N13" s="434"/>
      <c r="O13" s="434"/>
      <c r="P13" s="434"/>
      <c r="Q13" s="434"/>
      <c r="R13" s="434"/>
      <c r="S13" s="434"/>
      <c r="T13" s="434"/>
      <c r="AL13" s="434"/>
      <c r="AM13" s="434"/>
      <c r="AN13" s="434"/>
      <c r="AO13" s="434"/>
      <c r="AP13" s="434"/>
      <c r="AQ13" s="434"/>
      <c r="AR13" s="434"/>
      <c r="AS13" s="434"/>
      <c r="AT13" s="434"/>
    </row>
    <row r="14" spans="1:93">
      <c r="A14" s="15"/>
      <c r="L14" s="434"/>
      <c r="M14" s="434"/>
      <c r="N14" s="434"/>
      <c r="O14" s="434"/>
      <c r="P14" s="434"/>
      <c r="Q14" s="434"/>
      <c r="R14" s="434"/>
      <c r="S14" s="434"/>
      <c r="T14" s="434"/>
      <c r="AL14" s="434"/>
      <c r="AM14" s="434"/>
      <c r="AN14" s="434"/>
      <c r="AO14" s="434"/>
      <c r="AP14" s="434"/>
      <c r="AQ14" s="434"/>
      <c r="AR14" s="434"/>
      <c r="AS14" s="434"/>
      <c r="AT14" s="434"/>
    </row>
    <row r="15" spans="1:93">
      <c r="A15" s="15"/>
      <c r="L15" s="434"/>
      <c r="M15" s="434"/>
      <c r="N15" s="434"/>
      <c r="O15" s="434"/>
      <c r="P15" s="434"/>
      <c r="Q15" s="434"/>
      <c r="R15" s="434"/>
      <c r="S15" s="434"/>
      <c r="T15" s="434"/>
      <c r="AL15" s="434"/>
      <c r="AM15" s="434"/>
      <c r="AN15" s="434"/>
      <c r="AO15" s="434"/>
      <c r="AP15" s="434"/>
      <c r="AQ15" s="434"/>
      <c r="AR15" s="434"/>
      <c r="AS15" s="434"/>
      <c r="AT15" s="434"/>
    </row>
    <row r="16" spans="1:93">
      <c r="A16" s="15"/>
      <c r="L16" s="434"/>
      <c r="M16" s="434"/>
      <c r="N16" s="434"/>
      <c r="O16" s="434"/>
      <c r="P16" s="434"/>
      <c r="Q16" s="434"/>
      <c r="R16" s="434"/>
      <c r="S16" s="434"/>
      <c r="T16" s="434"/>
      <c r="AL16" s="434"/>
      <c r="AM16" s="434"/>
      <c r="AN16" s="434"/>
      <c r="AO16" s="434"/>
      <c r="AP16" s="434"/>
      <c r="AQ16" s="434"/>
      <c r="AR16" s="434"/>
      <c r="AS16" s="434"/>
      <c r="AT16" s="434"/>
    </row>
    <row r="17" spans="1:46">
      <c r="A17" s="15"/>
      <c r="L17" s="434"/>
      <c r="M17" s="434"/>
      <c r="N17" s="434"/>
      <c r="O17" s="434"/>
      <c r="P17" s="434"/>
      <c r="Q17" s="434"/>
      <c r="R17" s="434"/>
      <c r="S17" s="434"/>
      <c r="T17" s="434"/>
      <c r="AL17" s="434"/>
      <c r="AM17" s="434"/>
      <c r="AN17" s="434"/>
      <c r="AO17" s="434"/>
      <c r="AP17" s="434"/>
      <c r="AQ17" s="434"/>
      <c r="AR17" s="434"/>
      <c r="AS17" s="434"/>
      <c r="AT17" s="434"/>
    </row>
    <row r="18" spans="1:46">
      <c r="A18" s="18"/>
      <c r="B18" s="434"/>
      <c r="C18" s="434"/>
      <c r="D18" s="434"/>
      <c r="E18" s="434"/>
      <c r="G18" s="434"/>
      <c r="H18" s="434"/>
      <c r="I18" s="434"/>
      <c r="J18" s="434"/>
      <c r="K18" s="434"/>
      <c r="L18" s="434"/>
      <c r="N18" s="434"/>
      <c r="O18" s="434"/>
      <c r="P18" s="434"/>
      <c r="Q18" s="434"/>
      <c r="R18" s="434"/>
      <c r="S18" s="434"/>
      <c r="T18" s="434"/>
      <c r="AB18" s="434"/>
      <c r="AC18" s="434"/>
      <c r="AD18" s="434"/>
      <c r="AE18" s="434"/>
      <c r="AF18" s="434"/>
      <c r="AG18" s="434"/>
      <c r="AH18" s="434"/>
      <c r="AI18" s="434"/>
      <c r="AL18" s="434"/>
      <c r="AM18" s="434"/>
      <c r="AN18" s="434"/>
      <c r="AO18" s="434"/>
      <c r="AP18" s="434"/>
      <c r="AQ18" s="434"/>
      <c r="AR18" s="434"/>
      <c r="AS18" s="434"/>
      <c r="AT18" s="434"/>
    </row>
    <row r="19" spans="1:46">
      <c r="P19" s="433"/>
      <c r="Q19" s="433"/>
      <c r="R19" s="433"/>
      <c r="S19" s="433"/>
      <c r="V19" s="433"/>
      <c r="W19" s="433"/>
      <c r="X19" s="433"/>
      <c r="Y19" s="433"/>
      <c r="AB19" s="433"/>
      <c r="AC19" s="433"/>
      <c r="AD19" s="433"/>
      <c r="AE19" s="433"/>
      <c r="AF19" s="433"/>
      <c r="AG19" s="433"/>
      <c r="AH19" s="433"/>
      <c r="AI19" s="433"/>
    </row>
    <row r="20" spans="1:46">
      <c r="P20" s="434"/>
      <c r="Q20" s="434"/>
      <c r="R20" s="434"/>
      <c r="S20" s="434"/>
      <c r="V20" s="434"/>
      <c r="W20" s="434"/>
      <c r="X20" s="434"/>
      <c r="Y20" s="434"/>
      <c r="AB20" s="434"/>
      <c r="AC20" s="434"/>
      <c r="AD20" s="434"/>
      <c r="AE20" s="434"/>
      <c r="AF20" s="434"/>
      <c r="AG20" s="434"/>
      <c r="AH20" s="434"/>
      <c r="AI20" s="434"/>
    </row>
  </sheetData>
  <mergeCells count="1">
    <mergeCell ref="A2:A9"/>
  </mergeCells>
  <conditionalFormatting sqref="B18">
    <cfRule type="colorScale" priority="2">
      <colorScale>
        <cfvo type="min"/>
        <cfvo type="percentile" val="50"/>
        <cfvo type="max"/>
        <color rgb="FF63BE7B"/>
        <color rgb="FFFFEB84"/>
        <color rgb="FFF8696B"/>
      </colorScale>
    </cfRule>
  </conditionalFormatting>
  <conditionalFormatting sqref="BZ2:CO2 AX2:BP2">
    <cfRule type="colorScale" priority="1">
      <colorScale>
        <cfvo type="min"/>
        <cfvo type="percentile" val="50"/>
        <cfvo type="max"/>
        <color rgb="FF63BE7B"/>
        <color rgb="FFFFEB84"/>
        <color rgb="FFF8696B"/>
      </colorScale>
    </cfRule>
  </conditionalFormatting>
  <conditionalFormatting sqref="AL2:AT18 P20:S20 V20:Y20 AB20:AI20 M3:T17 AB18:AI18 G18:L18 G2:L8 E2:E10 C2:D9 L9:L17 C18:E18 N2:T18 V2:Z18 AB2:AI2">
    <cfRule type="colorScale" priority="534">
      <colorScale>
        <cfvo type="min"/>
        <cfvo type="percentile" val="50"/>
        <cfvo type="max"/>
        <color rgb="FF63BE7B"/>
        <color rgb="FFFFEB84"/>
        <color rgb="FFF8696B"/>
      </colorScale>
    </cfRule>
  </conditionalFormatting>
  <pageMargins left="0.7" right="0.7" top="0.75" bottom="0.75" header="0.3" footer="0.3"/>
  <drawing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30AB9-7489-4E79-AC71-AF2B4A2E327E}">
  <dimension ref="A1"/>
  <sheetViews>
    <sheetView workbookViewId="0"/>
  </sheetViews>
  <sheetFormatPr defaultRowHeight="1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BFC9A-AFE3-4BEB-8802-5FCBBE92AF51}">
  <sheetPr codeName="Sheet21">
    <tabColor theme="1" tint="4.9989318521683403E-2"/>
  </sheetPr>
  <dimension ref="A1"/>
  <sheetViews>
    <sheetView workbookViewId="0">
      <selection activeCell="H18" sqref="H18"/>
    </sheetView>
  </sheetViews>
  <sheetFormatPr defaultRowHeight="1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1E1E9-0B9E-484C-80E8-3EAD9D357409}">
  <sheetPr codeName="Sheet8">
    <pageSetUpPr fitToPage="1"/>
  </sheetPr>
  <dimension ref="A1:T28"/>
  <sheetViews>
    <sheetView workbookViewId="0">
      <selection activeCell="I5" sqref="I5:M9"/>
    </sheetView>
  </sheetViews>
  <sheetFormatPr defaultRowHeight="15"/>
  <cols>
    <col min="2" max="2" width="20" customWidth="1"/>
    <col min="3" max="3" width="92.7109375" customWidth="1"/>
    <col min="4" max="4" width="44.5703125" customWidth="1"/>
    <col min="9" max="13" width="22" customWidth="1"/>
  </cols>
  <sheetData>
    <row r="1" spans="1:20" ht="26.25">
      <c r="A1" s="351"/>
      <c r="B1" s="352" t="str">
        <f>Cover!$B$2</f>
        <v>Project Configuration Database</v>
      </c>
      <c r="C1" s="353"/>
      <c r="D1" s="353"/>
      <c r="E1" s="353"/>
      <c r="F1" s="353"/>
      <c r="G1" s="353"/>
    </row>
    <row r="2" spans="1:20">
      <c r="A2" s="351"/>
      <c r="B2" s="57" t="s">
        <v>768</v>
      </c>
      <c r="C2" s="57"/>
      <c r="D2" s="57"/>
      <c r="E2" s="57"/>
      <c r="F2" s="57"/>
      <c r="G2" s="351"/>
      <c r="H2" s="351"/>
      <c r="I2" s="351"/>
      <c r="J2" s="351"/>
      <c r="K2" s="351"/>
      <c r="L2" s="351"/>
      <c r="M2" s="351"/>
    </row>
    <row r="3" spans="1:20">
      <c r="A3" s="351"/>
      <c r="B3" s="57"/>
      <c r="C3" s="57"/>
      <c r="D3" s="57"/>
      <c r="E3" s="351"/>
      <c r="F3" s="351"/>
      <c r="G3" s="351"/>
      <c r="H3" s="351"/>
      <c r="I3" s="351"/>
      <c r="J3" s="351"/>
      <c r="K3" s="351"/>
      <c r="L3" s="351"/>
      <c r="M3" s="351"/>
    </row>
    <row r="4" spans="1:20">
      <c r="A4" s="351"/>
      <c r="B4" s="354" t="s">
        <v>769</v>
      </c>
      <c r="C4" s="354" t="s">
        <v>770</v>
      </c>
      <c r="D4" s="354" t="s">
        <v>768</v>
      </c>
      <c r="E4" s="351"/>
      <c r="F4" s="351"/>
      <c r="G4" s="351"/>
      <c r="H4" s="351"/>
      <c r="I4" s="351"/>
      <c r="J4" s="351"/>
      <c r="K4" s="351"/>
      <c r="L4" s="351"/>
      <c r="M4" s="351"/>
    </row>
    <row r="5" spans="1:20" ht="60" customHeight="1">
      <c r="A5" s="351"/>
      <c r="B5" s="438" t="s">
        <v>771</v>
      </c>
      <c r="C5" s="440" t="s">
        <v>772</v>
      </c>
      <c r="D5" s="355"/>
      <c r="E5" s="351"/>
      <c r="F5" s="351"/>
      <c r="G5" s="351"/>
      <c r="H5" s="351"/>
      <c r="I5" s="351"/>
      <c r="J5" s="351"/>
      <c r="K5" s="351"/>
      <c r="L5" s="351"/>
      <c r="M5" s="351"/>
    </row>
    <row r="6" spans="1:20" ht="60" customHeight="1">
      <c r="A6" s="351"/>
      <c r="B6" s="439" t="s">
        <v>773</v>
      </c>
      <c r="C6" s="441" t="s">
        <v>774</v>
      </c>
      <c r="D6" s="355"/>
      <c r="E6" s="351"/>
      <c r="F6" s="351"/>
      <c r="G6" s="351"/>
      <c r="H6" s="351"/>
      <c r="I6" s="351"/>
      <c r="J6" s="351"/>
      <c r="K6" s="351"/>
      <c r="L6" s="351"/>
      <c r="M6" s="351"/>
    </row>
    <row r="7" spans="1:20" ht="60" customHeight="1">
      <c r="A7" s="351"/>
      <c r="B7" s="565" t="s">
        <v>775</v>
      </c>
      <c r="C7" s="566"/>
      <c r="D7" s="567"/>
      <c r="E7" s="351"/>
      <c r="F7" s="351"/>
      <c r="G7" s="351"/>
      <c r="H7" s="351"/>
      <c r="I7" s="351"/>
      <c r="J7" s="351"/>
      <c r="K7" s="351"/>
      <c r="L7" s="351"/>
      <c r="M7" s="351"/>
    </row>
    <row r="8" spans="1:20" ht="60" customHeight="1">
      <c r="A8" s="351"/>
      <c r="B8" s="437" t="str">
        <f>TEXT(ROW(A1),"0")</f>
        <v>1</v>
      </c>
      <c r="C8" s="357"/>
      <c r="D8" s="355"/>
      <c r="E8" s="351"/>
      <c r="F8" s="351"/>
      <c r="G8" s="351"/>
      <c r="H8" s="351"/>
      <c r="I8" s="351"/>
      <c r="J8" s="351"/>
      <c r="K8" s="351"/>
      <c r="L8" s="351"/>
      <c r="M8" s="351"/>
      <c r="N8" s="423"/>
      <c r="O8" s="423"/>
      <c r="P8" s="423"/>
      <c r="Q8" s="423"/>
      <c r="R8" s="423"/>
      <c r="S8" s="423"/>
      <c r="T8" s="423"/>
    </row>
    <row r="9" spans="1:20" ht="60" customHeight="1">
      <c r="A9" s="351"/>
      <c r="B9" s="437" t="str">
        <f>TEXT(ROW(A2),"0")</f>
        <v>2</v>
      </c>
      <c r="C9" s="356"/>
      <c r="D9" s="355"/>
      <c r="E9" s="351"/>
      <c r="F9" s="351"/>
      <c r="G9" s="351"/>
      <c r="H9" s="351"/>
      <c r="I9" s="351"/>
      <c r="J9" s="351"/>
      <c r="K9" s="351"/>
      <c r="L9" s="351"/>
      <c r="M9" s="351"/>
      <c r="N9" s="424"/>
      <c r="O9" s="424"/>
      <c r="P9" s="424"/>
      <c r="Q9" s="424"/>
      <c r="R9" s="424"/>
      <c r="S9" s="424"/>
      <c r="T9" s="424"/>
    </row>
    <row r="10" spans="1:20">
      <c r="A10" s="351"/>
      <c r="B10" s="437" t="str">
        <f>TEXT(ROW(A3),"0")</f>
        <v>3</v>
      </c>
      <c r="C10" s="356"/>
      <c r="D10" s="355"/>
      <c r="E10" s="351"/>
      <c r="F10" s="351"/>
      <c r="G10" s="351"/>
      <c r="H10" s="351"/>
      <c r="I10" s="351"/>
      <c r="J10" s="351"/>
      <c r="K10" s="351"/>
      <c r="L10" s="351"/>
      <c r="M10" s="351"/>
      <c r="N10" s="424"/>
      <c r="O10" s="424"/>
      <c r="P10" s="424"/>
      <c r="Q10" s="424"/>
      <c r="R10" s="424"/>
      <c r="S10" s="424"/>
      <c r="T10" s="424"/>
    </row>
    <row r="11" spans="1:20">
      <c r="A11" s="351"/>
      <c r="B11" s="437" t="str">
        <f t="shared" ref="B11:B18" si="0">TEXT(ROW(A4),"0")</f>
        <v>4</v>
      </c>
      <c r="C11" s="356"/>
      <c r="D11" s="355"/>
      <c r="E11" s="351"/>
      <c r="F11" s="351"/>
      <c r="G11" s="351"/>
      <c r="H11" s="568"/>
      <c r="I11" s="568"/>
      <c r="J11" s="568"/>
      <c r="K11" s="568"/>
      <c r="L11" s="568"/>
      <c r="M11" s="568"/>
      <c r="N11" s="568"/>
      <c r="O11" s="568"/>
      <c r="P11" s="568"/>
      <c r="Q11" s="568"/>
      <c r="R11" s="568"/>
      <c r="S11" s="425"/>
      <c r="T11" s="425"/>
    </row>
    <row r="12" spans="1:20">
      <c r="A12" s="351"/>
      <c r="B12" s="437" t="str">
        <f t="shared" si="0"/>
        <v>5</v>
      </c>
      <c r="C12" s="358"/>
      <c r="D12" s="355"/>
      <c r="E12" s="351"/>
      <c r="F12" s="351"/>
      <c r="G12" s="351"/>
      <c r="N12" s="422"/>
      <c r="O12" s="422"/>
      <c r="P12" s="422"/>
      <c r="Q12" s="422"/>
      <c r="R12" s="422"/>
      <c r="S12" s="422"/>
      <c r="T12" s="422"/>
    </row>
    <row r="13" spans="1:20">
      <c r="A13" s="351"/>
      <c r="B13" s="437" t="str">
        <f t="shared" si="0"/>
        <v>6</v>
      </c>
      <c r="C13" s="356"/>
      <c r="D13" s="355"/>
      <c r="E13" s="351"/>
    </row>
    <row r="14" spans="1:20">
      <c r="A14" s="351"/>
      <c r="B14" s="437" t="str">
        <f t="shared" si="0"/>
        <v>7</v>
      </c>
      <c r="C14" s="356"/>
      <c r="D14" s="355"/>
      <c r="E14" s="351"/>
    </row>
    <row r="15" spans="1:20">
      <c r="A15" s="351"/>
      <c r="B15" s="437" t="str">
        <f t="shared" si="0"/>
        <v>8</v>
      </c>
      <c r="C15" s="356"/>
      <c r="D15" s="359"/>
      <c r="E15" s="351"/>
    </row>
    <row r="16" spans="1:20">
      <c r="A16" s="351"/>
      <c r="B16" s="437" t="str">
        <f t="shared" si="0"/>
        <v>9</v>
      </c>
      <c r="C16" s="356"/>
      <c r="D16" s="359"/>
      <c r="E16" s="351"/>
    </row>
    <row r="17" spans="1:9">
      <c r="A17" s="351"/>
      <c r="B17" s="437" t="str">
        <f t="shared" si="0"/>
        <v>10</v>
      </c>
      <c r="C17" s="356"/>
      <c r="D17" s="359"/>
      <c r="E17" s="351"/>
    </row>
    <row r="18" spans="1:9">
      <c r="A18" s="351"/>
      <c r="B18" s="437" t="str">
        <f t="shared" si="0"/>
        <v>11</v>
      </c>
      <c r="C18" s="356"/>
      <c r="D18" s="355"/>
      <c r="E18" s="351"/>
    </row>
    <row r="19" spans="1:9">
      <c r="A19" s="351"/>
      <c r="B19" s="437" t="s">
        <v>776</v>
      </c>
      <c r="C19" s="358"/>
      <c r="D19" s="355"/>
      <c r="E19" s="351"/>
      <c r="F19" s="351"/>
      <c r="G19" s="351"/>
      <c r="I19" s="421"/>
    </row>
    <row r="20" spans="1:9">
      <c r="A20" s="351"/>
      <c r="B20" s="564" t="s">
        <v>777</v>
      </c>
      <c r="C20" s="564"/>
      <c r="D20" s="564"/>
      <c r="E20" s="351"/>
      <c r="F20" s="351"/>
      <c r="G20" s="351"/>
    </row>
    <row r="21" spans="1:9">
      <c r="A21" s="351"/>
      <c r="B21" s="345"/>
      <c r="C21" s="59"/>
      <c r="D21" s="59"/>
      <c r="E21" s="351"/>
      <c r="F21" s="351"/>
      <c r="G21" s="351"/>
    </row>
    <row r="22" spans="1:9">
      <c r="A22" s="351"/>
      <c r="B22" s="345"/>
      <c r="C22" s="59"/>
      <c r="D22" s="59"/>
      <c r="E22" s="351"/>
      <c r="F22" s="351"/>
      <c r="G22" s="351"/>
    </row>
    <row r="23" spans="1:9">
      <c r="A23" s="351"/>
      <c r="B23" s="345"/>
      <c r="C23" s="59"/>
      <c r="D23" s="59"/>
      <c r="E23" s="351"/>
      <c r="F23" s="351"/>
      <c r="G23" s="351"/>
    </row>
    <row r="24" spans="1:9">
      <c r="A24" s="351"/>
      <c r="B24" s="351"/>
      <c r="C24" s="360"/>
      <c r="D24" s="360"/>
      <c r="E24" s="351"/>
      <c r="F24" s="351"/>
      <c r="G24" s="351"/>
    </row>
    <row r="25" spans="1:9">
      <c r="A25" s="351"/>
      <c r="B25" s="351"/>
      <c r="C25" s="360"/>
      <c r="D25" s="360"/>
      <c r="E25" s="351"/>
      <c r="F25" s="351"/>
      <c r="G25" s="351"/>
    </row>
    <row r="26" spans="1:9">
      <c r="A26" s="351"/>
      <c r="B26" s="351"/>
      <c r="C26" s="360"/>
      <c r="D26" s="360"/>
      <c r="E26" s="351"/>
      <c r="F26" s="351"/>
      <c r="G26" s="351"/>
    </row>
    <row r="27" spans="1:9">
      <c r="A27" s="351"/>
      <c r="B27" s="351"/>
      <c r="C27" s="360"/>
      <c r="D27" s="360"/>
      <c r="E27" s="351"/>
      <c r="F27" s="351"/>
      <c r="G27" s="351"/>
    </row>
    <row r="28" spans="1:9">
      <c r="C28" s="361"/>
      <c r="D28" s="361"/>
    </row>
  </sheetData>
  <mergeCells count="3">
    <mergeCell ref="B20:D20"/>
    <mergeCell ref="B7:D7"/>
    <mergeCell ref="H11:R11"/>
  </mergeCells>
  <conditionalFormatting sqref="H5:I9 H11">
    <cfRule type="cellIs" dxfId="32" priority="1" operator="equal">
      <formula>"F"</formula>
    </cfRule>
    <cfRule type="cellIs" dxfId="31" priority="2" operator="equal">
      <formula>"L"</formula>
    </cfRule>
    <cfRule type="cellIs" dxfId="30" priority="3" operator="equal">
      <formula>"P"</formula>
    </cfRule>
    <cfRule type="cellIs" dxfId="29" priority="4" operator="equal">
      <formula>"ST"</formula>
    </cfRule>
    <cfRule type="cellIs" dxfId="28" priority="5" operator="equal">
      <formula>"N/A"</formula>
    </cfRule>
    <cfRule type="cellIs" dxfId="27" priority="6" operator="equal">
      <formula>"N"</formula>
    </cfRule>
  </conditionalFormatting>
  <pageMargins left="0.70866141732283505" right="0.70866141732283505" top="0.74803149606299202" bottom="0.74803149606299202" header="0.31496062992126" footer="0.31496062992126"/>
  <pageSetup paperSize="9" scale="49" fitToHeight="0" orientation="portrait" r:id="rId1"/>
  <headerFooter>
    <oddFooter>&amp;CPrinted out on &amp;D, &amp;T, Page &amp;P of &amp;N&amp;R&amp;G</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D23C9-4BB0-468A-AE35-6D3AA7272DE7}">
  <sheetPr codeName="Sheet9">
    <outlinePr summaryBelow="0" summaryRight="0"/>
  </sheetPr>
  <dimension ref="A1:AB306"/>
  <sheetViews>
    <sheetView topLeftCell="I2" workbookViewId="0">
      <selection activeCell="V37" sqref="V37"/>
    </sheetView>
  </sheetViews>
  <sheetFormatPr defaultColWidth="8.85546875" defaultRowHeight="15" outlineLevelCol="1"/>
  <cols>
    <col min="1" max="1" width="9" style="18" bestFit="1" customWidth="1"/>
    <col min="2" max="2" width="7.140625" style="18" bestFit="1" customWidth="1"/>
    <col min="3" max="3" width="15.42578125" style="18" bestFit="1" customWidth="1"/>
    <col min="4" max="4" width="7.140625" style="18" bestFit="1" customWidth="1"/>
    <col min="5" max="5" width="16.85546875" style="18" bestFit="1" customWidth="1"/>
    <col min="6" max="6" width="23.7109375" style="18" bestFit="1" customWidth="1"/>
    <col min="7" max="7" width="18.140625" style="18" customWidth="1"/>
    <col min="8" max="8" width="4" style="18" bestFit="1" customWidth="1"/>
    <col min="9" max="9" width="59.42578125" style="18" bestFit="1" customWidth="1"/>
    <col min="10" max="10" width="11.7109375" style="18" customWidth="1"/>
    <col min="11" max="11" width="12.28515625" style="18" customWidth="1"/>
    <col min="12" max="12" width="12.7109375" style="18" bestFit="1" customWidth="1"/>
    <col min="13" max="13" width="40" style="18" bestFit="1" customWidth="1"/>
    <col min="14" max="14" width="16.140625" style="18" bestFit="1" customWidth="1"/>
    <col min="15" max="17" width="17" style="18" bestFit="1" customWidth="1"/>
    <col min="18" max="18" width="16.5703125" style="18" bestFit="1" customWidth="1"/>
    <col min="19" max="20" width="13.28515625" style="18" bestFit="1" customWidth="1"/>
    <col min="21" max="21" width="12.42578125" style="18" bestFit="1" customWidth="1"/>
    <col min="22" max="24" width="23.7109375" style="18" bestFit="1" customWidth="1"/>
    <col min="25" max="25" width="18.5703125" style="436" customWidth="1"/>
    <col min="26" max="26" width="20.5703125" style="18" customWidth="1" outlineLevel="1"/>
    <col min="27" max="27" width="59.85546875" style="18" customWidth="1" outlineLevel="1"/>
    <col min="28" max="28" width="35.140625" style="18" bestFit="1" customWidth="1"/>
    <col min="29" max="16384" width="8.85546875" style="18"/>
  </cols>
  <sheetData>
    <row r="1" spans="1:28" s="420" customFormat="1" ht="30.75" customHeight="1">
      <c r="A1" s="476" t="s">
        <v>778</v>
      </c>
      <c r="B1" s="476" t="s">
        <v>779</v>
      </c>
      <c r="C1" s="476" t="s">
        <v>780</v>
      </c>
      <c r="D1" s="476" t="s">
        <v>764</v>
      </c>
      <c r="E1" s="476" t="s">
        <v>781</v>
      </c>
      <c r="F1" s="476" t="s">
        <v>782</v>
      </c>
      <c r="G1" s="569" t="s">
        <v>783</v>
      </c>
      <c r="H1" s="570"/>
      <c r="I1" s="476" t="s">
        <v>784</v>
      </c>
      <c r="J1" s="476" t="s">
        <v>785</v>
      </c>
      <c r="K1" s="476" t="s">
        <v>786</v>
      </c>
      <c r="L1" s="476" t="s">
        <v>787</v>
      </c>
      <c r="M1" s="476" t="s">
        <v>788</v>
      </c>
      <c r="N1" s="476" t="s">
        <v>766</v>
      </c>
      <c r="O1" s="476" t="s">
        <v>789</v>
      </c>
      <c r="P1" s="476" t="s">
        <v>767</v>
      </c>
      <c r="Q1" s="476" t="s">
        <v>790</v>
      </c>
      <c r="R1" s="476" t="s">
        <v>791</v>
      </c>
      <c r="S1" s="476" t="s">
        <v>792</v>
      </c>
      <c r="T1" s="476" t="s">
        <v>793</v>
      </c>
      <c r="U1" s="476" t="s">
        <v>753</v>
      </c>
      <c r="V1" s="476" t="s">
        <v>794</v>
      </c>
      <c r="W1" s="476" t="s">
        <v>795</v>
      </c>
      <c r="X1" s="476" t="s">
        <v>796</v>
      </c>
      <c r="Y1" s="477" t="s">
        <v>797</v>
      </c>
      <c r="Z1" s="476" t="s">
        <v>798</v>
      </c>
      <c r="AA1" s="476" t="s">
        <v>799</v>
      </c>
      <c r="AB1" s="476" t="s">
        <v>800</v>
      </c>
    </row>
    <row r="2" spans="1:28" ht="16.5" customHeight="1">
      <c r="A2" s="18" t="s">
        <v>394</v>
      </c>
      <c r="B2" s="18" t="s">
        <v>346</v>
      </c>
      <c r="C2" s="18">
        <v>3.1</v>
      </c>
      <c r="D2" s="18">
        <v>0</v>
      </c>
      <c r="E2" s="14" t="s">
        <v>801</v>
      </c>
      <c r="F2" s="14" t="str" cm="1">
        <f t="array" ref="F2:F20">TRANSPOSE('Project Configurations'!EF1:EX1)</f>
        <v xml:space="preserve">     Ti Sitara</v>
      </c>
      <c r="G2" s="14" t="s">
        <v>754</v>
      </c>
      <c r="H2" s="14">
        <v>1</v>
      </c>
      <c r="I2" s="14" t="s">
        <v>802</v>
      </c>
      <c r="J2" s="14" t="s">
        <v>803</v>
      </c>
      <c r="K2" s="14" t="s">
        <v>804</v>
      </c>
      <c r="L2" s="14" t="s">
        <v>389</v>
      </c>
      <c r="M2" s="14" t="s">
        <v>805</v>
      </c>
      <c r="N2" s="14" t="s">
        <v>806</v>
      </c>
      <c r="O2" s="14" t="s">
        <v>807</v>
      </c>
      <c r="P2" s="14" t="s">
        <v>808</v>
      </c>
      <c r="Q2" s="14" t="s">
        <v>809</v>
      </c>
      <c r="R2" s="14" t="s">
        <v>544</v>
      </c>
      <c r="S2" s="14" t="s">
        <v>549</v>
      </c>
      <c r="T2" s="14" t="s">
        <v>810</v>
      </c>
      <c r="U2" t="s">
        <v>451</v>
      </c>
      <c r="V2" t="s">
        <v>560</v>
      </c>
      <c r="W2" t="s">
        <v>406</v>
      </c>
      <c r="X2" t="s">
        <v>390</v>
      </c>
      <c r="Y2" t="str">
        <f>_xlfn.CONCAT('Pulldown Data'!Z2, " (", 'Pulldown Data'!AA2, ")")</f>
        <v>SML0001 (DAT3.0)</v>
      </c>
      <c r="Z2" t="s">
        <v>190</v>
      </c>
      <c r="AA2" t="s">
        <v>811</v>
      </c>
      <c r="AB2" t="str" cm="1">
        <f t="array" ref="AB2:AB213">_xlfn._xlws.SORT(_xlfn.VSTACK(
    IFERROR(_xlfn._xlws.FILTER('Pulldown Data'!W2:W188, 'Pulldown Data'!W2:W188&lt;&gt;""), ""),
    IFERROR(_xlfn._xlws.FILTER('Pulldown Data'!X2:X188, 'Pulldown Data'!X2:X188&lt;&gt;""), ""),
    IFERROR(_xlfn._xlws.FILTER('Pulldown Data'!Z2:Z188, 'Pulldown Data'!Z2:Z188&lt;&gt;""), "")
))</f>
        <v>AAV001</v>
      </c>
    </row>
    <row r="3" spans="1:28" ht="16.5" customHeight="1">
      <c r="A3" s="18" t="s">
        <v>338</v>
      </c>
      <c r="B3" s="18" t="s">
        <v>812</v>
      </c>
      <c r="C3" s="18" t="s">
        <v>813</v>
      </c>
      <c r="D3" s="18">
        <v>1</v>
      </c>
      <c r="E3" s="14" t="s">
        <v>814</v>
      </c>
      <c r="F3" s="14" t="str">
        <v xml:space="preserve">     Ti TDA4 Entry</v>
      </c>
      <c r="G3" s="14" t="s">
        <v>755</v>
      </c>
      <c r="H3" s="14">
        <v>4</v>
      </c>
      <c r="I3" s="14" t="s">
        <v>815</v>
      </c>
      <c r="J3" s="14" t="s">
        <v>816</v>
      </c>
      <c r="K3" s="14" t="s">
        <v>817</v>
      </c>
      <c r="L3" s="14" t="s">
        <v>402</v>
      </c>
      <c r="M3" s="14" t="s">
        <v>818</v>
      </c>
      <c r="N3" s="14" t="s">
        <v>819</v>
      </c>
      <c r="O3" s="14" t="s">
        <v>820</v>
      </c>
      <c r="P3" s="14" t="s">
        <v>821</v>
      </c>
      <c r="Q3" s="14" t="s">
        <v>822</v>
      </c>
      <c r="R3" s="14" t="s">
        <v>545</v>
      </c>
      <c r="S3" s="14" t="s">
        <v>823</v>
      </c>
      <c r="T3" s="14" t="s">
        <v>824</v>
      </c>
      <c r="U3" t="s">
        <v>562</v>
      </c>
      <c r="V3" t="s">
        <v>556</v>
      </c>
      <c r="W3" t="s">
        <v>408</v>
      </c>
      <c r="X3" t="s">
        <v>396</v>
      </c>
      <c r="Y3" t="str">
        <f>_xlfn.CONCAT('Pulldown Data'!Z3, " (", 'Pulldown Data'!AA3, ")")</f>
        <v>SML0002 (DAT3.0)</v>
      </c>
      <c r="Z3" t="s">
        <v>191</v>
      </c>
      <c r="AA3" t="s">
        <v>811</v>
      </c>
      <c r="AB3" t="str">
        <v>APVXX2</v>
      </c>
    </row>
    <row r="4" spans="1:28" ht="16.5" customHeight="1">
      <c r="B4" s="18" t="s">
        <v>337</v>
      </c>
      <c r="D4" s="18">
        <v>2</v>
      </c>
      <c r="E4" s="14" t="s">
        <v>825</v>
      </c>
      <c r="F4" s="14" t="str">
        <v xml:space="preserve">     Ti TDA4 Low</v>
      </c>
      <c r="G4" s="14" t="s">
        <v>756</v>
      </c>
      <c r="H4" s="14">
        <v>2</v>
      </c>
      <c r="I4" s="14" t="s">
        <v>826</v>
      </c>
      <c r="J4" s="14" t="s">
        <v>827</v>
      </c>
      <c r="K4" s="14" t="s">
        <v>828</v>
      </c>
      <c r="L4" s="14" t="s">
        <v>829</v>
      </c>
      <c r="M4" s="14" t="s">
        <v>830</v>
      </c>
      <c r="N4" s="14" t="s">
        <v>831</v>
      </c>
      <c r="O4" s="14" t="s">
        <v>832</v>
      </c>
      <c r="P4" s="14" t="s">
        <v>833</v>
      </c>
      <c r="Q4" s="14" t="s">
        <v>834</v>
      </c>
      <c r="R4" s="14" t="s">
        <v>546</v>
      </c>
      <c r="S4" s="14" t="s">
        <v>835</v>
      </c>
      <c r="T4" s="14" t="s">
        <v>836</v>
      </c>
      <c r="U4" t="s">
        <v>569</v>
      </c>
      <c r="V4" t="s">
        <v>558</v>
      </c>
      <c r="W4" t="s">
        <v>407</v>
      </c>
      <c r="X4" t="s">
        <v>392</v>
      </c>
      <c r="Y4" t="str">
        <f>_xlfn.CONCAT('Pulldown Data'!Z4, " (", 'Pulldown Data'!AA4, ")")</f>
        <v>SML0003 (IPMS)</v>
      </c>
      <c r="Z4" t="s">
        <v>192</v>
      </c>
      <c r="AA4" t="s">
        <v>837</v>
      </c>
      <c r="AB4" t="str">
        <v>AVP003</v>
      </c>
    </row>
    <row r="5" spans="1:28" ht="16.5" customHeight="1">
      <c r="B5" s="18" t="s">
        <v>838</v>
      </c>
      <c r="D5" s="18">
        <v>3</v>
      </c>
      <c r="E5" s="14" t="s">
        <v>839</v>
      </c>
      <c r="F5" s="14" t="str">
        <v xml:space="preserve">     Ti TDA4 Mid</v>
      </c>
      <c r="G5" s="14" t="s">
        <v>757</v>
      </c>
      <c r="H5" s="14">
        <v>16</v>
      </c>
      <c r="I5" s="14" t="s">
        <v>840</v>
      </c>
      <c r="J5" s="14" t="s">
        <v>841</v>
      </c>
      <c r="K5" s="14" t="s">
        <v>842</v>
      </c>
      <c r="L5" s="14" t="s">
        <v>843</v>
      </c>
      <c r="M5" s="14" t="s">
        <v>844</v>
      </c>
      <c r="N5" s="14" t="s">
        <v>845</v>
      </c>
      <c r="O5" s="14" t="s">
        <v>846</v>
      </c>
      <c r="P5" s="14"/>
      <c r="Q5" s="14"/>
      <c r="R5" s="14" t="s">
        <v>547</v>
      </c>
      <c r="S5" s="14" t="s">
        <v>847</v>
      </c>
      <c r="T5" s="14"/>
      <c r="U5" t="s">
        <v>574</v>
      </c>
      <c r="V5" t="s">
        <v>563</v>
      </c>
      <c r="W5" t="s">
        <v>415</v>
      </c>
      <c r="X5" t="s">
        <v>393</v>
      </c>
      <c r="Y5" t="str">
        <f>_xlfn.CONCAT('Pulldown Data'!Z5, " (", 'Pulldown Data'!AA5, ")")</f>
        <v>SML0004 (VW MIK (Tranche 1 - 2 Box))</v>
      </c>
      <c r="Z5" t="s">
        <v>193</v>
      </c>
      <c r="AA5" t="s">
        <v>848</v>
      </c>
      <c r="AB5" t="str">
        <v>AVP008</v>
      </c>
    </row>
    <row r="6" spans="1:28" ht="16.5" customHeight="1">
      <c r="B6" s="18" t="s">
        <v>849</v>
      </c>
      <c r="D6" s="18">
        <v>4</v>
      </c>
      <c r="E6" s="14" t="s">
        <v>549</v>
      </c>
      <c r="F6" s="14" t="str">
        <v xml:space="preserve">     Ti TDA4 High</v>
      </c>
      <c r="G6" s="14" t="s">
        <v>758</v>
      </c>
      <c r="H6" s="14">
        <v>32</v>
      </c>
      <c r="I6" s="14" t="s">
        <v>850</v>
      </c>
      <c r="J6" s="14" t="s">
        <v>851</v>
      </c>
      <c r="K6" s="14" t="s">
        <v>852</v>
      </c>
      <c r="L6" s="14" t="s">
        <v>413</v>
      </c>
      <c r="M6" s="14" t="s">
        <v>853</v>
      </c>
      <c r="N6" s="14"/>
      <c r="O6" s="14"/>
      <c r="P6" s="14"/>
      <c r="Q6" s="14"/>
      <c r="R6" s="14" t="s">
        <v>548</v>
      </c>
      <c r="S6" s="14" t="s">
        <v>854</v>
      </c>
      <c r="T6" s="14"/>
      <c r="U6" t="s">
        <v>454</v>
      </c>
      <c r="V6" t="s">
        <v>567</v>
      </c>
      <c r="W6" t="s">
        <v>401</v>
      </c>
      <c r="X6" t="s">
        <v>391</v>
      </c>
      <c r="Y6" t="str">
        <f>_xlfn.CONCAT('Pulldown Data'!Z6, " (", 'Pulldown Data'!AA6, ")")</f>
        <v>SML0005 (SWEET 420)</v>
      </c>
      <c r="Z6" t="s">
        <v>194</v>
      </c>
      <c r="AA6" t="s">
        <v>855</v>
      </c>
      <c r="AB6" t="str">
        <v>AVPXX1</v>
      </c>
    </row>
    <row r="7" spans="1:28" ht="16.5" customHeight="1">
      <c r="D7" s="18">
        <v>5</v>
      </c>
      <c r="E7" s="14" t="s">
        <v>856</v>
      </c>
      <c r="F7" s="14" t="str">
        <v xml:space="preserve">     AMD Ultrascale Zync ZU1</v>
      </c>
      <c r="G7" s="14" t="s">
        <v>759</v>
      </c>
      <c r="H7" s="14">
        <v>8</v>
      </c>
      <c r="I7" s="14" t="s">
        <v>857</v>
      </c>
      <c r="J7" s="14" t="s">
        <v>858</v>
      </c>
      <c r="K7" s="14" t="s">
        <v>859</v>
      </c>
      <c r="L7" s="14" t="s">
        <v>382</v>
      </c>
      <c r="M7" s="14" t="s">
        <v>860</v>
      </c>
      <c r="N7" s="14"/>
      <c r="O7" s="14"/>
      <c r="P7" s="14"/>
      <c r="Q7" s="14"/>
      <c r="R7" s="14"/>
      <c r="S7" s="14" t="s">
        <v>861</v>
      </c>
      <c r="T7" s="14"/>
      <c r="U7" t="s">
        <v>456</v>
      </c>
      <c r="V7" t="s">
        <v>570</v>
      </c>
      <c r="W7" t="s">
        <v>405</v>
      </c>
      <c r="X7" t="s">
        <v>397</v>
      </c>
      <c r="Y7" t="str">
        <f>_xlfn.CONCAT('Pulldown Data'!Z7, " (", 'Pulldown Data'!AA7, ")")</f>
        <v>SML0006 (OMS JLR)</v>
      </c>
      <c r="Z7" t="s">
        <v>195</v>
      </c>
      <c r="AA7" t="s">
        <v>862</v>
      </c>
      <c r="AB7" t="str">
        <v>BDM001</v>
      </c>
    </row>
    <row r="8" spans="1:28" ht="16.5" customHeight="1">
      <c r="E8" s="14" t="s">
        <v>863</v>
      </c>
      <c r="F8" s="14" t="str">
        <v xml:space="preserve">     QCM SA81xx</v>
      </c>
      <c r="G8" s="14" t="s">
        <v>760</v>
      </c>
      <c r="H8" s="14">
        <v>128</v>
      </c>
      <c r="I8" s="14" t="s">
        <v>864</v>
      </c>
      <c r="J8" s="14" t="s">
        <v>865</v>
      </c>
      <c r="K8" s="14" t="s">
        <v>866</v>
      </c>
      <c r="L8" s="14"/>
      <c r="M8" s="14" t="s">
        <v>867</v>
      </c>
      <c r="N8" s="14"/>
      <c r="O8" s="14"/>
      <c r="P8" s="14"/>
      <c r="Q8" s="14"/>
      <c r="R8" s="14"/>
      <c r="S8" s="14"/>
      <c r="T8" s="14"/>
      <c r="U8" t="s">
        <v>457</v>
      </c>
      <c r="V8" t="s">
        <v>708</v>
      </c>
      <c r="W8" t="s">
        <v>404</v>
      </c>
      <c r="X8" t="s">
        <v>408</v>
      </c>
      <c r="Y8" t="str">
        <f>_xlfn.CONCAT('Pulldown Data'!Z8, " (", 'Pulldown Data'!AA8, ")")</f>
        <v>SML0007 (VW MIK (Tranche 1 - 2 Box))</v>
      </c>
      <c r="Z8" t="s">
        <v>196</v>
      </c>
      <c r="AA8" t="s">
        <v>848</v>
      </c>
      <c r="AB8" t="str">
        <v>BMW001</v>
      </c>
    </row>
    <row r="9" spans="1:28" ht="16.5" customHeight="1">
      <c r="E9" s="14" t="s">
        <v>868</v>
      </c>
      <c r="F9" s="14" t="str">
        <v xml:space="preserve">     QCM SA86xx</v>
      </c>
      <c r="G9" s="14" t="s">
        <v>761</v>
      </c>
      <c r="H9" s="14">
        <v>256</v>
      </c>
      <c r="I9" s="14"/>
      <c r="J9" s="14"/>
      <c r="K9" s="14"/>
      <c r="L9" s="14"/>
      <c r="M9" s="14" t="s">
        <v>869</v>
      </c>
      <c r="N9" s="14"/>
      <c r="O9" s="14"/>
      <c r="P9" s="14"/>
      <c r="Q9" s="14"/>
      <c r="R9" s="14"/>
      <c r="S9" s="14"/>
      <c r="T9" s="14"/>
      <c r="U9" t="s">
        <v>596</v>
      </c>
      <c r="V9" t="s">
        <v>678</v>
      </c>
      <c r="W9" t="s">
        <v>403</v>
      </c>
      <c r="X9" t="s">
        <v>395</v>
      </c>
      <c r="Y9" t="str">
        <f>_xlfn.CONCAT('Pulldown Data'!Z9, " (", 'Pulldown Data'!AA9, ")")</f>
        <v>SML0008 (VW MIK (Tranche 1 - 1 Box/ 2 Box))</v>
      </c>
      <c r="Z9" t="s">
        <v>197</v>
      </c>
      <c r="AA9" t="s">
        <v>870</v>
      </c>
      <c r="AB9" t="str">
        <v>CAP001</v>
      </c>
    </row>
    <row r="10" spans="1:28" ht="16.5" customHeight="1">
      <c r="E10" s="14"/>
      <c r="F10" s="14" t="str">
        <v xml:space="preserve">     Renesas R-Car V4H</v>
      </c>
      <c r="G10" s="14" t="s">
        <v>762</v>
      </c>
      <c r="H10" s="14">
        <v>64</v>
      </c>
      <c r="I10" s="14"/>
      <c r="J10" s="14"/>
      <c r="K10" s="14"/>
      <c r="L10" s="14"/>
      <c r="M10" s="14" t="s">
        <v>871</v>
      </c>
      <c r="N10" s="14"/>
      <c r="O10" s="14"/>
      <c r="P10" s="14"/>
      <c r="Q10" s="14"/>
      <c r="R10" s="14"/>
      <c r="S10" s="14"/>
      <c r="T10" s="14"/>
      <c r="U10" t="s">
        <v>431</v>
      </c>
      <c r="V10" t="s">
        <v>680</v>
      </c>
      <c r="W10" t="s">
        <v>410</v>
      </c>
      <c r="X10" t="s">
        <v>398</v>
      </c>
      <c r="Y10" t="str">
        <f>_xlfn.CONCAT('Pulldown Data'!Z10, " (", 'Pulldown Data'!AA10, ")")</f>
        <v>SML0009 (Project Thunder (Data Acquisition))</v>
      </c>
      <c r="Z10" t="s">
        <v>198</v>
      </c>
      <c r="AA10" t="s">
        <v>872</v>
      </c>
      <c r="AB10" t="str">
        <v>CAT004</v>
      </c>
    </row>
    <row r="11" spans="1:28" ht="16.5" customHeight="1">
      <c r="E11" s="14"/>
      <c r="F11" s="14" t="str">
        <v xml:space="preserve">     FDM Occula 8.0</v>
      </c>
      <c r="G11" s="14"/>
      <c r="H11" s="14"/>
      <c r="I11" s="14"/>
      <c r="J11" s="14"/>
      <c r="K11" s="14"/>
      <c r="L11" s="14"/>
      <c r="M11" s="14" t="s">
        <v>873</v>
      </c>
      <c r="N11" s="14"/>
      <c r="O11" s="14"/>
      <c r="P11" s="14"/>
      <c r="Q11" s="14"/>
      <c r="R11" s="14"/>
      <c r="S11" s="14"/>
      <c r="T11" s="14"/>
      <c r="U11" t="s">
        <v>441</v>
      </c>
      <c r="V11" t="s">
        <v>682</v>
      </c>
      <c r="W11" t="s">
        <v>409</v>
      </c>
      <c r="X11" t="s">
        <v>399</v>
      </c>
      <c r="Y11" t="str">
        <f>_xlfn.CONCAT('Pulldown Data'!Z11, " (", 'Pulldown Data'!AA11, ")")</f>
        <v>SML0010 (TSS4 Project)</v>
      </c>
      <c r="Z11" t="s">
        <v>199</v>
      </c>
      <c r="AA11" t="s">
        <v>874</v>
      </c>
      <c r="AB11" t="str">
        <v>DLG001</v>
      </c>
    </row>
    <row r="12" spans="1:28" ht="16.5" customHeight="1">
      <c r="E12" s="14"/>
      <c r="F12" s="14" t="str">
        <v xml:space="preserve">     FDM Occula 8.2</v>
      </c>
      <c r="G12" s="14"/>
      <c r="H12" s="14"/>
      <c r="I12" s="14"/>
      <c r="J12" s="14"/>
      <c r="K12" s="14"/>
      <c r="L12" s="14"/>
      <c r="M12" s="14" t="s">
        <v>875</v>
      </c>
      <c r="N12" s="14"/>
      <c r="O12" s="14"/>
      <c r="P12" s="14"/>
      <c r="Q12" s="14"/>
      <c r="R12" s="14"/>
      <c r="S12" s="14"/>
      <c r="T12" s="14"/>
      <c r="U12" t="s">
        <v>627</v>
      </c>
      <c r="V12" t="s">
        <v>684</v>
      </c>
      <c r="W12" t="s">
        <v>876</v>
      </c>
      <c r="X12" t="s">
        <v>400</v>
      </c>
      <c r="Y12" t="str">
        <f>_xlfn.CONCAT('Pulldown Data'!Z12, " (", 'Pulldown Data'!AA12, ")")</f>
        <v>SML0011 (DMS/OMS JLR)</v>
      </c>
      <c r="Z12" t="s">
        <v>200</v>
      </c>
      <c r="AA12" t="s">
        <v>877</v>
      </c>
      <c r="AB12" t="str">
        <v>DMS002</v>
      </c>
    </row>
    <row r="13" spans="1:28" ht="16.5" customHeight="1">
      <c r="E13" s="14"/>
      <c r="F13" s="14" t="str">
        <v xml:space="preserve">     FDM Occula 8.3</v>
      </c>
      <c r="G13" s="14"/>
      <c r="H13" s="14"/>
      <c r="I13" s="14"/>
      <c r="J13" s="14"/>
      <c r="K13" s="14"/>
      <c r="L13" s="14"/>
      <c r="M13" s="14" t="s">
        <v>878</v>
      </c>
      <c r="N13" s="14"/>
      <c r="O13" s="14"/>
      <c r="P13" s="14"/>
      <c r="Q13" s="14"/>
      <c r="R13" s="14"/>
      <c r="S13" s="14"/>
      <c r="T13" s="14"/>
      <c r="U13" t="s">
        <v>460</v>
      </c>
      <c r="V13" t="s">
        <v>722</v>
      </c>
      <c r="W13" t="s">
        <v>416</v>
      </c>
      <c r="X13" t="s">
        <v>388</v>
      </c>
      <c r="Y13" t="str">
        <f>_xlfn.CONCAT('Pulldown Data'!Z13, " (", 'Pulldown Data'!AA13, ")")</f>
        <v>SML0012 (DAT3.0)</v>
      </c>
      <c r="Z13" t="s">
        <v>201</v>
      </c>
      <c r="AA13" t="s">
        <v>811</v>
      </c>
      <c r="AB13" t="str">
        <v>DMS003</v>
      </c>
    </row>
    <row r="14" spans="1:28" ht="16.5" customHeight="1">
      <c r="E14" s="14"/>
      <c r="F14" s="14" t="str">
        <v xml:space="preserve">     OV OAX4600</v>
      </c>
      <c r="G14" s="14"/>
      <c r="H14" s="14"/>
      <c r="I14" s="14"/>
      <c r="J14" s="14"/>
      <c r="K14" s="14"/>
      <c r="L14" s="14"/>
      <c r="M14" s="14"/>
      <c r="N14" s="14"/>
      <c r="O14" s="14"/>
      <c r="P14" s="14"/>
      <c r="Q14" s="14"/>
      <c r="R14" s="14"/>
      <c r="S14" s="14"/>
      <c r="T14" s="14"/>
      <c r="U14" t="s">
        <v>636</v>
      </c>
      <c r="V14" t="s">
        <v>718</v>
      </c>
      <c r="W14"/>
      <c r="X14" t="s">
        <v>879</v>
      </c>
      <c r="Y14" t="str">
        <f>_xlfn.CONCAT('Pulldown Data'!Z14, " (", 'Pulldown Data'!AA14, ")")</f>
        <v>SML0013 (IKS25)</v>
      </c>
      <c r="Z14" t="s">
        <v>202</v>
      </c>
      <c r="AA14" t="s">
        <v>880</v>
      </c>
      <c r="AB14" t="str">
        <v>FIS001</v>
      </c>
    </row>
    <row r="15" spans="1:28" ht="16.5" customHeight="1">
      <c r="E15" s="14"/>
      <c r="F15" s="14" t="str">
        <v xml:space="preserve">     Ambarella CV25</v>
      </c>
      <c r="G15" s="14"/>
      <c r="H15" s="14"/>
      <c r="I15" s="14"/>
      <c r="J15" s="14"/>
      <c r="K15" s="14"/>
      <c r="L15" s="14"/>
      <c r="M15" s="14"/>
      <c r="N15" s="14"/>
      <c r="O15" s="14"/>
      <c r="P15" s="14"/>
      <c r="Q15" s="14"/>
      <c r="R15" s="14"/>
      <c r="S15" s="14"/>
      <c r="T15" s="14"/>
      <c r="U15" t="s">
        <v>458</v>
      </c>
      <c r="V15" t="s">
        <v>714</v>
      </c>
      <c r="W15"/>
      <c r="X15"/>
      <c r="Y15" t="str">
        <f>_xlfn.CONCAT('Pulldown Data'!Z15, " (", 'Pulldown Data'!AA15, ")")</f>
        <v>SML0014 (VW MIK (Tranche 1 - 2 Box))</v>
      </c>
      <c r="Z15" t="s">
        <v>203</v>
      </c>
      <c r="AA15" t="s">
        <v>848</v>
      </c>
      <c r="AB15" t="str">
        <v>GMG002</v>
      </c>
    </row>
    <row r="16" spans="1:28" ht="16.5" customHeight="1">
      <c r="E16" s="14"/>
      <c r="F16" s="14" t="str">
        <v xml:space="preserve">     x86/64</v>
      </c>
      <c r="G16" s="14"/>
      <c r="H16" s="14"/>
      <c r="I16" s="14"/>
      <c r="J16" s="14"/>
      <c r="K16" s="14"/>
      <c r="L16" s="14"/>
      <c r="M16" s="14"/>
      <c r="N16" s="14"/>
      <c r="O16" s="14"/>
      <c r="P16" s="14"/>
      <c r="Q16" s="14"/>
      <c r="R16" s="14"/>
      <c r="S16" s="14"/>
      <c r="T16" s="14"/>
      <c r="U16" t="s">
        <v>582</v>
      </c>
      <c r="V16" t="s">
        <v>720</v>
      </c>
      <c r="W16"/>
      <c r="X16"/>
      <c r="Y16" t="str">
        <f>_xlfn.CONCAT('Pulldown Data'!Z16, " (", 'Pulldown Data'!AA16, ")")</f>
        <v>SML0015 (VW MIK (Tranche 1 - 2 Box))</v>
      </c>
      <c r="Z16" t="s">
        <v>204</v>
      </c>
      <c r="AA16" t="s">
        <v>848</v>
      </c>
      <c r="AB16" t="str">
        <v>GUA002</v>
      </c>
    </row>
    <row r="17" spans="5:28" ht="16.5" customHeight="1">
      <c r="E17" s="14"/>
      <c r="F17" s="14" t="str">
        <v xml:space="preserve">     eDME</v>
      </c>
      <c r="G17" s="14"/>
      <c r="H17" s="14"/>
      <c r="I17" s="14"/>
      <c r="J17" s="14"/>
      <c r="K17" s="14"/>
      <c r="L17" s="14"/>
      <c r="M17" s="14"/>
      <c r="N17" s="14"/>
      <c r="O17" s="14"/>
      <c r="P17" s="14"/>
      <c r="Q17" s="14"/>
      <c r="R17" s="14"/>
      <c r="S17" s="14"/>
      <c r="T17" s="14"/>
      <c r="U17" t="s">
        <v>643</v>
      </c>
      <c r="V17" t="s">
        <v>726</v>
      </c>
      <c r="W17"/>
      <c r="X17"/>
      <c r="Y17" t="str">
        <f>_xlfn.CONCAT('Pulldown Data'!Z17, " (", 'Pulldown Data'!AA17, ")")</f>
        <v>SML0016 (TSS4 Project)</v>
      </c>
      <c r="Z17" t="s">
        <v>205</v>
      </c>
      <c r="AA17" t="s">
        <v>874</v>
      </c>
      <c r="AB17" t="str">
        <v>GUA003</v>
      </c>
    </row>
    <row r="18" spans="5:28" ht="16.5" customHeight="1">
      <c r="E18" s="14"/>
      <c r="F18" s="14" t="str">
        <v xml:space="preserve">     TI Sitara 2 TOPS 2 GB RAM</v>
      </c>
      <c r="G18" s="14"/>
      <c r="H18" s="14"/>
      <c r="I18" s="14"/>
      <c r="J18" s="14"/>
      <c r="K18" s="14"/>
      <c r="L18" s="14"/>
      <c r="M18" s="14"/>
      <c r="N18" s="14"/>
      <c r="O18" s="14"/>
      <c r="P18" s="14"/>
      <c r="Q18" s="14"/>
      <c r="R18" s="14"/>
      <c r="S18" s="14"/>
      <c r="T18" s="14"/>
      <c r="U18" t="s">
        <v>648</v>
      </c>
      <c r="V18" t="s">
        <v>456</v>
      </c>
      <c r="W18"/>
      <c r="X18"/>
      <c r="Y18" t="str">
        <f>_xlfn.CONCAT('Pulldown Data'!Z18, " (", 'Pulldown Data'!AA18, ")")</f>
        <v>SML0017 (TSS4 Project)</v>
      </c>
      <c r="Z18" t="s">
        <v>206</v>
      </c>
      <c r="AA18" t="s">
        <v>874</v>
      </c>
      <c r="AB18" t="str">
        <v>GUA003</v>
      </c>
    </row>
    <row r="19" spans="5:28" ht="16.5" customHeight="1">
      <c r="E19" s="14"/>
      <c r="F19" s="14" t="str">
        <v xml:space="preserve">     TI Sitara 1 TOPS 8 GB RAM</v>
      </c>
      <c r="G19" s="14"/>
      <c r="H19" s="14"/>
      <c r="I19" s="14"/>
      <c r="J19" s="14"/>
      <c r="K19" s="14"/>
      <c r="L19" s="14"/>
      <c r="M19" s="14"/>
      <c r="N19" s="14"/>
      <c r="O19" s="14"/>
      <c r="P19" s="14"/>
      <c r="Q19" s="14"/>
      <c r="R19" s="14"/>
      <c r="S19" s="14"/>
      <c r="T19" s="14"/>
      <c r="U19" t="s">
        <v>449</v>
      </c>
      <c r="V19" t="s">
        <v>457</v>
      </c>
      <c r="W19"/>
      <c r="X19"/>
      <c r="Y19" t="str">
        <f>_xlfn.CONCAT('Pulldown Data'!Z19, " (", 'Pulldown Data'!AA19, ")")</f>
        <v>SML0018 (Honda DMC)</v>
      </c>
      <c r="Z19" t="s">
        <v>207</v>
      </c>
      <c r="AA19" t="s">
        <v>881</v>
      </c>
      <c r="AB19" t="str">
        <v>HGA001</v>
      </c>
    </row>
    <row r="20" spans="5:28" ht="16.5" customHeight="1">
      <c r="E20" s="14"/>
      <c r="F20" s="14" t="str">
        <v xml:space="preserve">     Renesas R-Caar V4H</v>
      </c>
      <c r="G20" s="14"/>
      <c r="H20" s="14"/>
      <c r="I20" s="14"/>
      <c r="J20" s="14"/>
      <c r="K20" s="14"/>
      <c r="L20" s="14"/>
      <c r="M20" s="14"/>
      <c r="N20" s="14"/>
      <c r="O20" s="14"/>
      <c r="P20" s="14"/>
      <c r="Q20" s="14"/>
      <c r="R20" s="14"/>
      <c r="S20" s="14"/>
      <c r="T20" s="14"/>
      <c r="U20" t="s">
        <v>428</v>
      </c>
      <c r="V20" t="s">
        <v>692</v>
      </c>
      <c r="W20"/>
      <c r="X20"/>
      <c r="Y20" t="str">
        <f>_xlfn.CONCAT('Pulldown Data'!Z20, " (", 'Pulldown Data'!AA20, ")")</f>
        <v>SML0019 (TSS4 Project)</v>
      </c>
      <c r="Z20" t="s">
        <v>208</v>
      </c>
      <c r="AA20" t="s">
        <v>874</v>
      </c>
      <c r="AB20" t="str">
        <v>RSA001</v>
      </c>
    </row>
    <row r="21" spans="5:28" ht="16.5" customHeight="1">
      <c r="E21" s="14"/>
      <c r="F21" s="14"/>
      <c r="G21" s="14"/>
      <c r="H21" s="14"/>
      <c r="I21" s="14"/>
      <c r="J21" s="14"/>
      <c r="K21" s="14"/>
      <c r="L21" s="14"/>
      <c r="M21" s="14"/>
      <c r="N21" s="14"/>
      <c r="O21" s="14"/>
      <c r="P21" s="14"/>
      <c r="Q21" s="14"/>
      <c r="R21" s="14"/>
      <c r="S21" s="14"/>
      <c r="T21" s="14"/>
      <c r="U21" t="s">
        <v>420</v>
      </c>
      <c r="V21" t="s">
        <v>694</v>
      </c>
      <c r="W21"/>
      <c r="X21"/>
      <c r="Y21" t="str">
        <f>_xlfn.CONCAT('Pulldown Data'!Z21, " (", 'Pulldown Data'!AA21, ")")</f>
        <v>SML0020 (TSS4 Project)</v>
      </c>
      <c r="Z21" t="s">
        <v>209</v>
      </c>
      <c r="AA21" t="s">
        <v>874</v>
      </c>
      <c r="AB21" t="str">
        <v>RSA002</v>
      </c>
    </row>
    <row r="22" spans="5:28" ht="16.5" customHeight="1">
      <c r="E22" s="14"/>
      <c r="F22" s="14"/>
      <c r="G22" s="14"/>
      <c r="H22" s="14"/>
      <c r="I22" s="14"/>
      <c r="J22" s="14"/>
      <c r="K22" s="14"/>
      <c r="L22" s="14"/>
      <c r="M22" s="14"/>
      <c r="N22" s="14"/>
      <c r="O22" s="14"/>
      <c r="P22" s="14"/>
      <c r="Q22" s="14"/>
      <c r="R22" s="14"/>
      <c r="S22" s="14"/>
      <c r="T22" s="14"/>
      <c r="U22" t="s">
        <v>592</v>
      </c>
      <c r="V22" t="s">
        <v>697</v>
      </c>
      <c r="W22"/>
      <c r="X22"/>
      <c r="Y22" t="str">
        <f>_xlfn.CONCAT('Pulldown Data'!Z22, " (", 'Pulldown Data'!AA22, ")")</f>
        <v>SML0021 (AVS DMS Cabin Camera)</v>
      </c>
      <c r="Z22" t="s">
        <v>210</v>
      </c>
      <c r="AA22" t="s">
        <v>882</v>
      </c>
      <c r="AB22" t="str">
        <v>SML0001</v>
      </c>
    </row>
    <row r="23" spans="5:28" ht="16.5" customHeight="1">
      <c r="E23" s="14"/>
      <c r="F23" s="14"/>
      <c r="G23" s="14"/>
      <c r="H23" s="14"/>
      <c r="I23" s="14"/>
      <c r="J23" s="14"/>
      <c r="K23" s="14"/>
      <c r="L23" s="14"/>
      <c r="M23" s="14"/>
      <c r="N23" s="14"/>
      <c r="O23" s="14"/>
      <c r="P23" s="14"/>
      <c r="Q23" s="14"/>
      <c r="R23" s="14"/>
      <c r="S23" s="14"/>
      <c r="T23" s="14"/>
      <c r="U23" t="s">
        <v>661</v>
      </c>
      <c r="V23" t="s">
        <v>695</v>
      </c>
      <c r="W23"/>
      <c r="X23"/>
      <c r="Y23" t="str">
        <f>_xlfn.CONCAT('Pulldown Data'!Z23, " (", 'Pulldown Data'!AA23, ")")</f>
        <v>SML0022 (SWEET 420)</v>
      </c>
      <c r="Z23" t="s">
        <v>211</v>
      </c>
      <c r="AA23" t="s">
        <v>855</v>
      </c>
      <c r="AB23" t="str">
        <v>SML0002</v>
      </c>
    </row>
    <row r="24" spans="5:28" ht="16.5" customHeight="1">
      <c r="E24" s="14"/>
      <c r="F24" s="14"/>
      <c r="G24" s="14"/>
      <c r="H24" s="14"/>
      <c r="I24" s="14"/>
      <c r="J24" s="14"/>
      <c r="K24" s="14"/>
      <c r="L24" s="14"/>
      <c r="M24" s="14"/>
      <c r="N24" s="14"/>
      <c r="O24" s="14"/>
      <c r="P24" s="14"/>
      <c r="Q24" s="14"/>
      <c r="R24" s="14"/>
      <c r="S24" s="14"/>
      <c r="T24" s="14"/>
      <c r="U24" t="s">
        <v>666</v>
      </c>
      <c r="V24" t="s">
        <v>702</v>
      </c>
      <c r="W24"/>
      <c r="X24"/>
      <c r="Y24" t="str">
        <f>_xlfn.CONCAT('Pulldown Data'!Z24, " (", 'Pulldown Data'!AA24, ")")</f>
        <v>SML0023 (GSR)</v>
      </c>
      <c r="Z24" t="s">
        <v>212</v>
      </c>
      <c r="AA24" t="s">
        <v>883</v>
      </c>
      <c r="AB24" t="str">
        <v>SML0003</v>
      </c>
    </row>
    <row r="25" spans="5:28" ht="16.5" customHeight="1">
      <c r="E25" s="14"/>
      <c r="F25" s="14"/>
      <c r="G25" s="14"/>
      <c r="H25" s="14"/>
      <c r="I25" s="14"/>
      <c r="J25" s="14"/>
      <c r="K25" s="14"/>
      <c r="L25" s="14"/>
      <c r="M25" s="14"/>
      <c r="N25" s="14"/>
      <c r="O25" s="14"/>
      <c r="P25" s="14"/>
      <c r="Q25" s="14"/>
      <c r="R25" s="14"/>
      <c r="S25" s="14"/>
      <c r="T25" s="14"/>
      <c r="U25" t="s">
        <v>669</v>
      </c>
      <c r="V25" t="s">
        <v>704</v>
      </c>
      <c r="W25"/>
      <c r="X25"/>
      <c r="Y25" t="str">
        <f>_xlfn.CONCAT('Pulldown Data'!Z25, " (", 'Pulldown Data'!AA25, ")")</f>
        <v>SML0024 (Basis NCAP)</v>
      </c>
      <c r="Z25" t="s">
        <v>213</v>
      </c>
      <c r="AA25" t="s">
        <v>884</v>
      </c>
      <c r="AB25" t="str">
        <v>SML0004</v>
      </c>
    </row>
    <row r="26" spans="5:28" ht="16.5" customHeight="1">
      <c r="E26" s="14"/>
      <c r="F26" s="14"/>
      <c r="G26" s="14"/>
      <c r="H26" s="14"/>
      <c r="I26" s="14"/>
      <c r="J26" s="14"/>
      <c r="K26" s="14"/>
      <c r="L26" s="14"/>
      <c r="M26" s="14"/>
      <c r="N26" s="14"/>
      <c r="O26" s="14"/>
      <c r="P26" s="14"/>
      <c r="Q26" s="14"/>
      <c r="R26" s="14"/>
      <c r="S26" s="14"/>
      <c r="T26" s="14"/>
      <c r="U26"/>
      <c r="V26" t="s">
        <v>700</v>
      </c>
      <c r="W26"/>
      <c r="X26"/>
      <c r="Y26" t="str">
        <f>_xlfn.CONCAT('Pulldown Data'!Z26, " (", 'Pulldown Data'!AA26, ")")</f>
        <v>SML0025 (Thunder Project)</v>
      </c>
      <c r="Z26" t="s">
        <v>214</v>
      </c>
      <c r="AA26" t="s">
        <v>885</v>
      </c>
      <c r="AB26" t="str">
        <v>SML0005</v>
      </c>
    </row>
    <row r="27" spans="5:28" ht="16.5" customHeight="1">
      <c r="E27" s="14"/>
      <c r="F27" s="14"/>
      <c r="G27" s="14"/>
      <c r="H27" s="14"/>
      <c r="I27" s="14"/>
      <c r="J27" s="14"/>
      <c r="K27" s="14"/>
      <c r="L27" s="14"/>
      <c r="M27" s="14"/>
      <c r="N27" s="14"/>
      <c r="O27" s="14"/>
      <c r="P27" s="14"/>
      <c r="Q27" s="14"/>
      <c r="R27" s="14"/>
      <c r="S27" s="14"/>
      <c r="T27" s="14"/>
      <c r="U27"/>
      <c r="V27" t="s">
        <v>732</v>
      </c>
      <c r="W27"/>
      <c r="X27"/>
      <c r="Y27" t="str">
        <f>_xlfn.CONCAT('Pulldown Data'!Z27, " (", 'Pulldown Data'!AA27, ")")</f>
        <v>SML0026 (VW MIK (Tranche 2 - 2 Box))</v>
      </c>
      <c r="Z27" t="s">
        <v>215</v>
      </c>
      <c r="AA27" t="s">
        <v>886</v>
      </c>
      <c r="AB27" t="str">
        <v>SML0006</v>
      </c>
    </row>
    <row r="28" spans="5:28" ht="16.5" customHeight="1">
      <c r="E28" s="14"/>
      <c r="F28" s="14"/>
      <c r="G28" s="14"/>
      <c r="H28" s="14"/>
      <c r="I28" s="14"/>
      <c r="J28" s="14"/>
      <c r="K28" s="14"/>
      <c r="L28" s="14"/>
      <c r="M28" s="14"/>
      <c r="N28" s="14"/>
      <c r="O28" s="14"/>
      <c r="P28" s="14"/>
      <c r="Q28" s="14"/>
      <c r="R28" s="14"/>
      <c r="S28" s="14"/>
      <c r="T28" s="14"/>
      <c r="U28"/>
      <c r="V28" t="s">
        <v>748</v>
      </c>
      <c r="W28"/>
      <c r="X28"/>
      <c r="Y28" t="str">
        <f>_xlfn.CONCAT('Pulldown Data'!Z28, " (", 'Pulldown Data'!AA28, ")")</f>
        <v>SML0027 (Thunder Project)</v>
      </c>
      <c r="Z28" t="s">
        <v>216</v>
      </c>
      <c r="AA28" t="s">
        <v>885</v>
      </c>
      <c r="AB28" t="str">
        <v>SML0007</v>
      </c>
    </row>
    <row r="29" spans="5:28" ht="16.5" customHeight="1">
      <c r="E29" s="14"/>
      <c r="F29" s="14"/>
      <c r="G29" s="14"/>
      <c r="H29" s="14"/>
      <c r="I29" s="14"/>
      <c r="J29" s="14"/>
      <c r="K29" s="14"/>
      <c r="L29" s="14"/>
      <c r="M29" s="14"/>
      <c r="N29" s="14"/>
      <c r="O29" s="14"/>
      <c r="P29" s="14"/>
      <c r="Q29" s="14"/>
      <c r="R29" s="14"/>
      <c r="S29" s="14"/>
      <c r="T29" s="14"/>
      <c r="U29"/>
      <c r="V29" t="s">
        <v>740</v>
      </c>
      <c r="W29"/>
      <c r="X29"/>
      <c r="Y29" t="str">
        <f>_xlfn.CONCAT('Pulldown Data'!Z29, " (", 'Pulldown Data'!AA29, ")")</f>
        <v>SML0028 (DMS/OMS Lucid)</v>
      </c>
      <c r="Z29" t="s">
        <v>217</v>
      </c>
      <c r="AA29" t="s">
        <v>887</v>
      </c>
      <c r="AB29" t="str">
        <v>SML0008</v>
      </c>
    </row>
    <row r="30" spans="5:28" ht="16.5" customHeight="1">
      <c r="E30" s="14"/>
      <c r="F30" s="14"/>
      <c r="G30" s="14"/>
      <c r="H30" s="14"/>
      <c r="I30" s="14"/>
      <c r="J30" s="14"/>
      <c r="K30" s="14"/>
      <c r="L30" s="14"/>
      <c r="M30" s="14"/>
      <c r="N30" s="14"/>
      <c r="O30" s="14"/>
      <c r="P30" s="14"/>
      <c r="Q30" s="14"/>
      <c r="R30" s="14"/>
      <c r="S30" s="14"/>
      <c r="T30" s="14"/>
      <c r="U30"/>
      <c r="V30" t="s">
        <v>750</v>
      </c>
      <c r="W30"/>
      <c r="X30"/>
      <c r="Y30" t="str">
        <f>_xlfn.CONCAT('Pulldown Data'!Z30, " (", 'Pulldown Data'!AA30, ")")</f>
        <v>SML0029 (IPMS)</v>
      </c>
      <c r="Z30" t="s">
        <v>218</v>
      </c>
      <c r="AA30" t="s">
        <v>837</v>
      </c>
      <c r="AB30" t="str">
        <v>SML0009</v>
      </c>
    </row>
    <row r="31" spans="5:28" ht="16.5" customHeight="1">
      <c r="E31" s="14"/>
      <c r="F31" s="14"/>
      <c r="G31" s="14"/>
      <c r="H31" s="14"/>
      <c r="I31" s="14"/>
      <c r="J31" s="14"/>
      <c r="K31" s="14"/>
      <c r="L31" s="14"/>
      <c r="M31" s="14"/>
      <c r="N31" s="14"/>
      <c r="O31" s="14"/>
      <c r="P31" s="14"/>
      <c r="Q31" s="14"/>
      <c r="R31" s="14"/>
      <c r="S31" s="14"/>
      <c r="T31" s="14"/>
      <c r="U31"/>
      <c r="V31" t="s">
        <v>730</v>
      </c>
      <c r="W31"/>
      <c r="X31"/>
      <c r="Y31" t="str">
        <f>_xlfn.CONCAT('Pulldown Data'!Z31, " (", 'Pulldown Data'!AA31, ")")</f>
        <v>SML0029_1 (IPMS)</v>
      </c>
      <c r="Z31" t="s">
        <v>219</v>
      </c>
      <c r="AA31" t="s">
        <v>837</v>
      </c>
      <c r="AB31" t="str">
        <v>SML0010</v>
      </c>
    </row>
    <row r="32" spans="5:28" ht="16.5" customHeight="1">
      <c r="E32" s="14"/>
      <c r="F32" s="14"/>
      <c r="G32" s="14"/>
      <c r="H32" s="14"/>
      <c r="I32" s="14"/>
      <c r="J32" s="14"/>
      <c r="K32" s="14"/>
      <c r="L32" s="14"/>
      <c r="M32" s="14"/>
      <c r="N32" s="14"/>
      <c r="O32" s="14"/>
      <c r="P32" s="14"/>
      <c r="Q32" s="14"/>
      <c r="R32" s="14"/>
      <c r="S32" s="14"/>
      <c r="T32" s="14"/>
      <c r="U32"/>
      <c r="V32" t="s">
        <v>734</v>
      </c>
      <c r="W32"/>
      <c r="X32"/>
      <c r="Y32" t="str">
        <f>_xlfn.CONCAT('Pulldown Data'!Z32, " (", 'Pulldown Data'!AA32, ")")</f>
        <v>SML0030 (Honda DMC)</v>
      </c>
      <c r="Z32" t="s">
        <v>220</v>
      </c>
      <c r="AA32" t="s">
        <v>881</v>
      </c>
      <c r="AB32" t="str">
        <v>SML0011</v>
      </c>
    </row>
    <row r="33" spans="5:28" ht="16.5" customHeight="1">
      <c r="E33" s="14"/>
      <c r="F33" s="14"/>
      <c r="G33" s="14"/>
      <c r="H33" s="14"/>
      <c r="I33" s="14"/>
      <c r="J33" s="14"/>
      <c r="K33" s="14"/>
      <c r="L33" s="14"/>
      <c r="M33" s="14"/>
      <c r="N33" s="14"/>
      <c r="O33" s="14"/>
      <c r="P33" s="14"/>
      <c r="Q33" s="14"/>
      <c r="R33" s="14"/>
      <c r="S33" s="14"/>
      <c r="T33" s="14"/>
      <c r="U33"/>
      <c r="V33" t="s">
        <v>746</v>
      </c>
      <c r="W33"/>
      <c r="X33"/>
      <c r="Y33" t="str">
        <f>_xlfn.CONCAT('Pulldown Data'!Z33, " (", 'Pulldown Data'!AA33, ")")</f>
        <v>SML0031 (TSS4 Project)</v>
      </c>
      <c r="Z33" t="s">
        <v>221</v>
      </c>
      <c r="AA33" t="s">
        <v>874</v>
      </c>
      <c r="AB33" t="str">
        <v>SML0012</v>
      </c>
    </row>
    <row r="34" spans="5:28" ht="16.5" customHeight="1">
      <c r="E34" s="14"/>
      <c r="F34" s="14"/>
      <c r="G34" s="14"/>
      <c r="H34" s="14"/>
      <c r="I34" s="14"/>
      <c r="J34" s="14"/>
      <c r="K34" s="14"/>
      <c r="L34" s="14"/>
      <c r="M34" s="14"/>
      <c r="N34" s="14"/>
      <c r="O34" s="14"/>
      <c r="P34" s="14"/>
      <c r="Q34" s="14"/>
      <c r="R34" s="14"/>
      <c r="S34" s="14"/>
      <c r="T34" s="14"/>
      <c r="U34"/>
      <c r="V34" t="s">
        <v>744</v>
      </c>
      <c r="W34"/>
      <c r="X34"/>
      <c r="Y34" t="str">
        <f>_xlfn.CONCAT('Pulldown Data'!Z34, " (", 'Pulldown Data'!AA34, ")")</f>
        <v>SML0032 (IKS25)</v>
      </c>
      <c r="Z34" t="s">
        <v>222</v>
      </c>
      <c r="AA34" t="s">
        <v>880</v>
      </c>
      <c r="AB34" t="str">
        <v>SML0013</v>
      </c>
    </row>
    <row r="35" spans="5:28" ht="16.5" customHeight="1">
      <c r="E35" s="14"/>
      <c r="F35" s="14"/>
      <c r="G35" s="14"/>
      <c r="H35" s="14"/>
      <c r="I35" s="14"/>
      <c r="J35" s="14"/>
      <c r="K35" s="14"/>
      <c r="L35" s="14"/>
      <c r="M35" s="14"/>
      <c r="N35" s="14"/>
      <c r="O35" s="14"/>
      <c r="P35" s="14"/>
      <c r="Q35" s="14"/>
      <c r="R35" s="14"/>
      <c r="S35" s="14"/>
      <c r="T35" s="14"/>
      <c r="U35"/>
      <c r="V35" t="s">
        <v>432</v>
      </c>
      <c r="W35"/>
      <c r="X35"/>
      <c r="Y35" t="str">
        <f>_xlfn.CONCAT('Pulldown Data'!Z35, " (", 'Pulldown Data'!AA35, ")")</f>
        <v>SML0033 (MIK)</v>
      </c>
      <c r="Z35" t="s">
        <v>223</v>
      </c>
      <c r="AA35" t="s">
        <v>888</v>
      </c>
      <c r="AB35" t="str">
        <v>SML0014</v>
      </c>
    </row>
    <row r="36" spans="5:28" ht="16.5" customHeight="1">
      <c r="E36" s="14"/>
      <c r="F36" s="14"/>
      <c r="G36" s="14"/>
      <c r="H36" s="14"/>
      <c r="I36" s="14"/>
      <c r="J36" s="14"/>
      <c r="K36" s="14"/>
      <c r="L36" s="14"/>
      <c r="M36" s="14"/>
      <c r="N36" s="14"/>
      <c r="O36" s="14"/>
      <c r="P36" s="14"/>
      <c r="Q36" s="14"/>
      <c r="R36" s="14"/>
      <c r="S36" s="14"/>
      <c r="T36" s="14"/>
      <c r="U36"/>
      <c r="V36" t="s">
        <v>461</v>
      </c>
      <c r="W36"/>
      <c r="X36"/>
      <c r="Y36" t="str">
        <f>_xlfn.CONCAT('Pulldown Data'!Z36, " (", 'Pulldown Data'!AA36, ")")</f>
        <v>SML0034 (DAT3.0)</v>
      </c>
      <c r="Z36" t="s">
        <v>224</v>
      </c>
      <c r="AA36" t="s">
        <v>811</v>
      </c>
      <c r="AB36" t="str">
        <v>SML0015</v>
      </c>
    </row>
    <row r="37" spans="5:28" ht="16.5" customHeight="1">
      <c r="E37" s="14"/>
      <c r="F37" s="14"/>
      <c r="G37" s="14"/>
      <c r="H37" s="14"/>
      <c r="I37" s="14"/>
      <c r="J37" s="14"/>
      <c r="K37" s="14"/>
      <c r="L37" s="14"/>
      <c r="M37" s="14"/>
      <c r="N37" s="14"/>
      <c r="O37" s="14"/>
      <c r="P37" s="14"/>
      <c r="Q37" s="14"/>
      <c r="R37" s="14"/>
      <c r="S37" s="14"/>
      <c r="T37" s="14"/>
      <c r="U37"/>
      <c r="V37" t="s">
        <v>710</v>
      </c>
      <c r="W37"/>
      <c r="X37"/>
      <c r="Y37" t="str">
        <f>_xlfn.CONCAT('Pulldown Data'!Z37, " (", 'Pulldown Data'!AA37, ")")</f>
        <v>SML0035 (Thunder Project)</v>
      </c>
      <c r="Z37" t="s">
        <v>225</v>
      </c>
      <c r="AA37" t="s">
        <v>885</v>
      </c>
      <c r="AB37" t="str">
        <v>SML0016</v>
      </c>
    </row>
    <row r="38" spans="5:28" ht="16.5" customHeight="1">
      <c r="E38" s="14"/>
      <c r="F38" s="14"/>
      <c r="G38" s="14"/>
      <c r="H38" s="14"/>
      <c r="I38" s="14"/>
      <c r="J38" s="14"/>
      <c r="K38" s="14"/>
      <c r="L38" s="14"/>
      <c r="M38" s="14"/>
      <c r="N38" s="14"/>
      <c r="O38" s="14"/>
      <c r="P38" s="14"/>
      <c r="Q38" s="14"/>
      <c r="R38" s="14"/>
      <c r="S38" s="14"/>
      <c r="T38" s="14"/>
      <c r="U38"/>
      <c r="V38" t="s">
        <v>460</v>
      </c>
      <c r="W38"/>
      <c r="X38"/>
      <c r="Y38" t="str">
        <f>_xlfn.CONCAT('Pulldown Data'!Z38, " (", 'Pulldown Data'!AA38, ")")</f>
        <v>SML0036 (MIK)</v>
      </c>
      <c r="Z38" t="s">
        <v>226</v>
      </c>
      <c r="AA38" t="s">
        <v>888</v>
      </c>
      <c r="AB38" t="str">
        <v>SML0017</v>
      </c>
    </row>
    <row r="39" spans="5:28" ht="16.5" customHeight="1">
      <c r="E39" s="14"/>
      <c r="F39" s="14"/>
      <c r="G39" s="14"/>
      <c r="H39" s="14"/>
      <c r="I39" s="14"/>
      <c r="J39" s="14"/>
      <c r="K39" s="14"/>
      <c r="L39" s="14"/>
      <c r="M39" s="14"/>
      <c r="N39" s="14"/>
      <c r="O39" s="14"/>
      <c r="P39" s="14"/>
      <c r="Q39" s="14"/>
      <c r="R39" s="14"/>
      <c r="S39" s="14"/>
      <c r="T39" s="14"/>
      <c r="U39"/>
      <c r="V39" t="s">
        <v>636</v>
      </c>
      <c r="W39"/>
      <c r="X39"/>
      <c r="Y39" t="str">
        <f>_xlfn.CONCAT('Pulldown Data'!Z39, " (", 'Pulldown Data'!AA39, ")")</f>
        <v>SML0037 (R2 (IVI) Project )</v>
      </c>
      <c r="Z39" t="s">
        <v>227</v>
      </c>
      <c r="AA39" t="s">
        <v>889</v>
      </c>
      <c r="AB39" t="str">
        <v>SML0018</v>
      </c>
    </row>
    <row r="40" spans="5:28" ht="16.5" customHeight="1">
      <c r="E40" s="14"/>
      <c r="F40" s="14"/>
      <c r="G40" s="14"/>
      <c r="H40" s="14"/>
      <c r="I40" s="14"/>
      <c r="J40" s="14"/>
      <c r="K40" s="14"/>
      <c r="L40" s="14"/>
      <c r="M40" s="14"/>
      <c r="N40" s="14"/>
      <c r="O40" s="14"/>
      <c r="P40" s="14"/>
      <c r="Q40" s="14"/>
      <c r="R40" s="14"/>
      <c r="S40" s="14"/>
      <c r="T40" s="14"/>
      <c r="U40"/>
      <c r="V40" t="s">
        <v>576</v>
      </c>
      <c r="W40"/>
      <c r="X40"/>
      <c r="Y40" t="str">
        <f>_xlfn.CONCAT('Pulldown Data'!Z40, " (", 'Pulldown Data'!AA40, ")")</f>
        <v>SML0038 (SWEET 420)</v>
      </c>
      <c r="Z40" t="s">
        <v>228</v>
      </c>
      <c r="AA40" t="s">
        <v>855</v>
      </c>
      <c r="AB40" t="str">
        <v>SML0019</v>
      </c>
    </row>
    <row r="41" spans="5:28" ht="16.5" customHeight="1">
      <c r="E41" s="14"/>
      <c r="F41" s="14"/>
      <c r="G41" s="14"/>
      <c r="H41" s="14"/>
      <c r="I41" s="14"/>
      <c r="J41" s="14"/>
      <c r="K41" s="14"/>
      <c r="L41" s="14"/>
      <c r="M41" s="14"/>
      <c r="N41" s="14"/>
      <c r="O41" s="14"/>
      <c r="P41" s="14"/>
      <c r="Q41" s="14"/>
      <c r="R41" s="14"/>
      <c r="S41" s="14"/>
      <c r="T41" s="14"/>
      <c r="U41"/>
      <c r="V41" t="s">
        <v>578</v>
      </c>
      <c r="W41"/>
      <c r="X41"/>
      <c r="Y41" t="str">
        <f>_xlfn.CONCAT('Pulldown Data'!Z41, " (", 'Pulldown Data'!AA41, ")")</f>
        <v>SML0039 (DMS)</v>
      </c>
      <c r="Z41" t="s">
        <v>229</v>
      </c>
      <c r="AA41" t="s">
        <v>890</v>
      </c>
      <c r="AB41" t="str">
        <v>SML0020</v>
      </c>
    </row>
    <row r="42" spans="5:28" ht="16.5" customHeight="1">
      <c r="E42" s="14"/>
      <c r="F42" s="14"/>
      <c r="G42" s="14"/>
      <c r="H42" s="14"/>
      <c r="I42" s="14"/>
      <c r="J42" s="14"/>
      <c r="K42" s="14"/>
      <c r="L42" s="14"/>
      <c r="M42" s="14"/>
      <c r="N42" s="14"/>
      <c r="O42" s="14"/>
      <c r="P42" s="14"/>
      <c r="Q42" s="14"/>
      <c r="R42" s="14"/>
      <c r="S42" s="14"/>
      <c r="T42" s="14"/>
      <c r="U42"/>
      <c r="V42" t="s">
        <v>582</v>
      </c>
      <c r="W42"/>
      <c r="X42"/>
      <c r="Y42" t="str">
        <f>_xlfn.CONCAT('Pulldown Data'!Z42, " (", 'Pulldown Data'!AA42, ")")</f>
        <v>SML0040 (DAT3.0)</v>
      </c>
      <c r="Z42" t="s">
        <v>230</v>
      </c>
      <c r="AA42" t="s">
        <v>811</v>
      </c>
      <c r="AB42" t="str">
        <v>SML0021</v>
      </c>
    </row>
    <row r="43" spans="5:28" ht="16.5" customHeight="1">
      <c r="E43" s="14"/>
      <c r="F43" s="14"/>
      <c r="G43" s="14"/>
      <c r="H43" s="14"/>
      <c r="I43" s="14"/>
      <c r="J43" s="14"/>
      <c r="K43" s="14"/>
      <c r="L43" s="14"/>
      <c r="M43" s="14"/>
      <c r="N43" s="14"/>
      <c r="O43" s="14"/>
      <c r="P43" s="14"/>
      <c r="Q43" s="14"/>
      <c r="R43" s="14"/>
      <c r="S43" s="14"/>
      <c r="T43" s="14"/>
      <c r="U43"/>
      <c r="V43" t="s">
        <v>586</v>
      </c>
      <c r="W43"/>
      <c r="X43"/>
      <c r="Y43" t="str">
        <f>_xlfn.CONCAT('Pulldown Data'!Z43, " (", 'Pulldown Data'!AA43, ")")</f>
        <v>SML0041 (Thunder Project)</v>
      </c>
      <c r="Z43" t="s">
        <v>231</v>
      </c>
      <c r="AA43" t="s">
        <v>885</v>
      </c>
      <c r="AB43" t="str">
        <v>SML0022</v>
      </c>
    </row>
    <row r="44" spans="5:28" ht="16.5" customHeight="1">
      <c r="E44" s="14"/>
      <c r="F44" s="14"/>
      <c r="G44" s="14"/>
      <c r="H44" s="14"/>
      <c r="I44" s="14"/>
      <c r="J44" s="14"/>
      <c r="K44" s="14"/>
      <c r="L44" s="14"/>
      <c r="M44" s="14"/>
      <c r="N44" s="14"/>
      <c r="O44" s="14"/>
      <c r="P44" s="14"/>
      <c r="Q44" s="14"/>
      <c r="R44" s="14"/>
      <c r="S44" s="14"/>
      <c r="T44" s="14"/>
      <c r="U44"/>
      <c r="V44" t="s">
        <v>584</v>
      </c>
      <c r="W44"/>
      <c r="X44"/>
      <c r="Y44" t="str">
        <f>_xlfn.CONCAT('Pulldown Data'!Z44, " (", 'Pulldown Data'!AA44, ")")</f>
        <v>SML0042 (IKS25)</v>
      </c>
      <c r="Z44" t="s">
        <v>232</v>
      </c>
      <c r="AA44" t="s">
        <v>880</v>
      </c>
      <c r="AB44" t="str">
        <v>SML0023</v>
      </c>
    </row>
    <row r="45" spans="5:28" ht="16.5" customHeight="1">
      <c r="E45" s="14"/>
      <c r="F45" s="14"/>
      <c r="G45" s="14"/>
      <c r="H45" s="14"/>
      <c r="I45" s="14"/>
      <c r="J45" s="14"/>
      <c r="K45" s="14"/>
      <c r="L45" s="14"/>
      <c r="M45" s="14"/>
      <c r="N45" s="14"/>
      <c r="O45" s="14"/>
      <c r="P45" s="14"/>
      <c r="Q45" s="14"/>
      <c r="R45" s="14"/>
      <c r="S45" s="14"/>
      <c r="T45" s="14"/>
      <c r="U45"/>
      <c r="V45" t="s">
        <v>590</v>
      </c>
      <c r="W45"/>
      <c r="X45"/>
      <c r="Y45" t="str">
        <f>_xlfn.CONCAT('Pulldown Data'!Z45, " (", 'Pulldown Data'!AA45, ")")</f>
        <v>SML0043 (Thunder Project)</v>
      </c>
      <c r="Z45" t="s">
        <v>233</v>
      </c>
      <c r="AA45" t="s">
        <v>885</v>
      </c>
      <c r="AB45" t="str">
        <v>SML0024</v>
      </c>
    </row>
    <row r="46" spans="5:28" ht="16.5" customHeight="1">
      <c r="E46" s="14"/>
      <c r="F46" s="14"/>
      <c r="G46" s="14"/>
      <c r="H46" s="14"/>
      <c r="I46" s="14"/>
      <c r="J46" s="14"/>
      <c r="K46" s="14"/>
      <c r="L46" s="14"/>
      <c r="M46" s="14"/>
      <c r="N46" s="14"/>
      <c r="O46" s="14"/>
      <c r="P46" s="14"/>
      <c r="Q46" s="14"/>
      <c r="R46" s="14"/>
      <c r="S46" s="14"/>
      <c r="T46" s="14"/>
      <c r="U46"/>
      <c r="V46" t="s">
        <v>588</v>
      </c>
      <c r="W46"/>
      <c r="X46"/>
      <c r="Y46" t="str">
        <f>_xlfn.CONCAT('Pulldown Data'!Z46, " (", 'Pulldown Data'!AA46, ")")</f>
        <v>SML0044 (SWEET 420)</v>
      </c>
      <c r="Z46" t="s">
        <v>234</v>
      </c>
      <c r="AA46" t="s">
        <v>855</v>
      </c>
      <c r="AB46" t="str">
        <v>SML0025</v>
      </c>
    </row>
    <row r="47" spans="5:28" ht="16.5" customHeight="1">
      <c r="E47" s="14"/>
      <c r="F47" s="14"/>
      <c r="G47" s="14"/>
      <c r="H47" s="14"/>
      <c r="I47" s="14"/>
      <c r="J47" s="14"/>
      <c r="K47" s="14"/>
      <c r="L47" s="14"/>
      <c r="M47" s="14"/>
      <c r="N47" s="14"/>
      <c r="O47" s="14"/>
      <c r="P47" s="14"/>
      <c r="Q47" s="14"/>
      <c r="R47" s="14"/>
      <c r="S47" s="14"/>
      <c r="T47" s="14"/>
      <c r="U47"/>
      <c r="V47" t="s">
        <v>449</v>
      </c>
      <c r="W47"/>
      <c r="X47"/>
      <c r="Y47" t="str">
        <f>_xlfn.CONCAT('Pulldown Data'!Z47, " (", 'Pulldown Data'!AA47, ")")</f>
        <v>SML0045 (Thunder Project)</v>
      </c>
      <c r="Z47" t="s">
        <v>235</v>
      </c>
      <c r="AA47" t="s">
        <v>885</v>
      </c>
      <c r="AB47" t="str">
        <v>SML0026</v>
      </c>
    </row>
    <row r="48" spans="5:28" ht="16.5" customHeight="1">
      <c r="E48" s="14"/>
      <c r="F48" s="14"/>
      <c r="G48" s="14"/>
      <c r="H48" s="14"/>
      <c r="I48" s="14"/>
      <c r="J48" s="14"/>
      <c r="K48" s="14"/>
      <c r="L48" s="14"/>
      <c r="M48" s="14"/>
      <c r="N48" s="14"/>
      <c r="O48" s="14"/>
      <c r="P48" s="14"/>
      <c r="Q48" s="14"/>
      <c r="R48" s="14"/>
      <c r="S48" s="14"/>
      <c r="T48" s="14"/>
      <c r="U48"/>
      <c r="V48" t="s">
        <v>428</v>
      </c>
      <c r="W48"/>
      <c r="X48"/>
      <c r="Y48" t="str">
        <f>_xlfn.CONCAT('Pulldown Data'!Z48, " (", 'Pulldown Data'!AA48, ")")</f>
        <v>SML0046 (SWEET 420)</v>
      </c>
      <c r="Z48" t="s">
        <v>236</v>
      </c>
      <c r="AA48" t="s">
        <v>855</v>
      </c>
      <c r="AB48" t="str">
        <v>SML0027</v>
      </c>
    </row>
    <row r="49" spans="5:28" ht="16.5" customHeight="1">
      <c r="E49" s="14"/>
      <c r="F49" s="14"/>
      <c r="G49" s="14"/>
      <c r="H49" s="14"/>
      <c r="I49" s="14"/>
      <c r="J49" s="14"/>
      <c r="K49" s="14"/>
      <c r="L49" s="14"/>
      <c r="M49" s="14"/>
      <c r="N49" s="14"/>
      <c r="O49" s="14"/>
      <c r="P49" s="14"/>
      <c r="Q49" s="14"/>
      <c r="R49" s="14"/>
      <c r="S49" s="14"/>
      <c r="T49" s="14"/>
      <c r="U49"/>
      <c r="V49" t="s">
        <v>420</v>
      </c>
      <c r="W49"/>
      <c r="X49"/>
      <c r="Y49" t="str">
        <f>_xlfn.CONCAT('Pulldown Data'!Z49, " (", 'Pulldown Data'!AA49, ")")</f>
        <v>SML0047 (Thunder Project)</v>
      </c>
      <c r="Z49" t="s">
        <v>237</v>
      </c>
      <c r="AA49" t="s">
        <v>885</v>
      </c>
      <c r="AB49" t="str">
        <v>SML0028</v>
      </c>
    </row>
    <row r="50" spans="5:28" ht="16.5" customHeight="1">
      <c r="E50" s="14"/>
      <c r="F50" s="14"/>
      <c r="G50" s="14"/>
      <c r="H50" s="14"/>
      <c r="I50" s="14"/>
      <c r="J50" s="14"/>
      <c r="K50" s="14"/>
      <c r="L50" s="14"/>
      <c r="M50" s="14"/>
      <c r="N50" s="14"/>
      <c r="O50" s="14"/>
      <c r="P50" s="14"/>
      <c r="Q50" s="14"/>
      <c r="R50" s="14"/>
      <c r="S50" s="14"/>
      <c r="T50" s="14"/>
      <c r="U50"/>
      <c r="V50" t="s">
        <v>592</v>
      </c>
      <c r="W50"/>
      <c r="X50"/>
      <c r="Y50" t="str">
        <f>_xlfn.CONCAT('Pulldown Data'!Z50, " (", 'Pulldown Data'!AA50, ")")</f>
        <v>SML0048 (MIK)</v>
      </c>
      <c r="Z50" t="s">
        <v>238</v>
      </c>
      <c r="AA50" t="s">
        <v>888</v>
      </c>
      <c r="AB50" t="str">
        <v>SML0029</v>
      </c>
    </row>
    <row r="51" spans="5:28" ht="16.5" customHeight="1">
      <c r="E51" s="14"/>
      <c r="F51" s="14"/>
      <c r="G51" s="14"/>
      <c r="H51" s="14"/>
      <c r="I51" s="14"/>
      <c r="J51" s="14"/>
      <c r="K51" s="14"/>
      <c r="L51" s="14"/>
      <c r="M51" s="14"/>
      <c r="N51" s="14"/>
      <c r="O51" s="14"/>
      <c r="P51" s="14"/>
      <c r="Q51" s="14"/>
      <c r="R51" s="14"/>
      <c r="S51" s="14"/>
      <c r="T51" s="14"/>
      <c r="U51"/>
      <c r="V51" t="s">
        <v>667</v>
      </c>
      <c r="W51"/>
      <c r="X51"/>
      <c r="Y51" t="str">
        <f>_xlfn.CONCAT('Pulldown Data'!Z51, " (", 'Pulldown Data'!AA51, ")")</f>
        <v>SML0049 (Honda DMC)</v>
      </c>
      <c r="Z51" t="s">
        <v>239</v>
      </c>
      <c r="AA51" t="s">
        <v>881</v>
      </c>
      <c r="AB51" t="str">
        <v>SML0029_1</v>
      </c>
    </row>
    <row r="52" spans="5:28" ht="16.5" customHeight="1">
      <c r="E52" s="14"/>
      <c r="F52" s="14"/>
      <c r="G52" s="14"/>
      <c r="H52" s="14"/>
      <c r="I52" s="14"/>
      <c r="J52" s="14"/>
      <c r="K52" s="14"/>
      <c r="L52" s="14"/>
      <c r="M52" s="14"/>
      <c r="N52" s="14"/>
      <c r="O52" s="14"/>
      <c r="P52" s="14"/>
      <c r="Q52" s="14"/>
      <c r="R52" s="14"/>
      <c r="S52" s="14"/>
      <c r="T52" s="14"/>
      <c r="U52"/>
      <c r="V52" t="s">
        <v>670</v>
      </c>
      <c r="W52"/>
      <c r="X52"/>
      <c r="Y52" t="str">
        <f>_xlfn.CONCAT('Pulldown Data'!Z52, " (", 'Pulldown Data'!AA52, ")")</f>
        <v>SML0050 (GSR)</v>
      </c>
      <c r="Z52" t="s">
        <v>240</v>
      </c>
      <c r="AA52" t="s">
        <v>883</v>
      </c>
      <c r="AB52" t="str">
        <v>SML0030</v>
      </c>
    </row>
    <row r="53" spans="5:28" ht="16.5" customHeight="1">
      <c r="E53" s="14"/>
      <c r="F53" s="14"/>
      <c r="G53" s="14"/>
      <c r="H53" s="14"/>
      <c r="I53" s="14"/>
      <c r="J53" s="14"/>
      <c r="K53" s="14"/>
      <c r="L53" s="14"/>
      <c r="M53" s="14"/>
      <c r="N53" s="14"/>
      <c r="O53" s="14"/>
      <c r="P53" s="14"/>
      <c r="Q53" s="14"/>
      <c r="R53" s="14"/>
      <c r="S53" s="14"/>
      <c r="T53" s="14"/>
      <c r="U53"/>
      <c r="V53" t="s">
        <v>666</v>
      </c>
      <c r="W53"/>
      <c r="X53"/>
      <c r="Y53" t="str">
        <f>_xlfn.CONCAT('Pulldown Data'!Z53, " (", 'Pulldown Data'!AA53, ")")</f>
        <v>SML0051 (IKS25)</v>
      </c>
      <c r="Z53" t="s">
        <v>241</v>
      </c>
      <c r="AA53" t="s">
        <v>880</v>
      </c>
      <c r="AB53" t="str">
        <v>SML0031</v>
      </c>
    </row>
    <row r="54" spans="5:28" ht="16.5" customHeight="1">
      <c r="E54" s="14"/>
      <c r="F54" s="14"/>
      <c r="G54" s="14"/>
      <c r="H54" s="14"/>
      <c r="I54" s="14"/>
      <c r="J54" s="14"/>
      <c r="K54" s="14"/>
      <c r="L54" s="14"/>
      <c r="M54" s="14"/>
      <c r="N54" s="14"/>
      <c r="O54" s="14"/>
      <c r="P54" s="14"/>
      <c r="Q54" s="14"/>
      <c r="R54" s="14"/>
      <c r="S54" s="14"/>
      <c r="T54" s="14"/>
      <c r="U54"/>
      <c r="V54" t="s">
        <v>676</v>
      </c>
      <c r="W54"/>
      <c r="X54"/>
      <c r="Y54" t="str">
        <f>_xlfn.CONCAT('Pulldown Data'!Z54, " (", 'Pulldown Data'!AA54, ")")</f>
        <v>SML0052 (Thunder Project)</v>
      </c>
      <c r="Z54" t="s">
        <v>242</v>
      </c>
      <c r="AA54" t="s">
        <v>885</v>
      </c>
      <c r="AB54" t="str">
        <v>SML0032</v>
      </c>
    </row>
    <row r="55" spans="5:28" ht="16.5" customHeight="1">
      <c r="E55" s="14"/>
      <c r="F55" s="14"/>
      <c r="G55" s="14"/>
      <c r="H55" s="14"/>
      <c r="I55" s="14"/>
      <c r="J55" s="14"/>
      <c r="K55" s="14"/>
      <c r="L55" s="14"/>
      <c r="M55" s="14"/>
      <c r="N55" s="14"/>
      <c r="O55" s="14"/>
      <c r="P55" s="14"/>
      <c r="Q55" s="14"/>
      <c r="R55" s="14"/>
      <c r="S55" s="14"/>
      <c r="T55" s="14"/>
      <c r="U55"/>
      <c r="V55" t="s">
        <v>439</v>
      </c>
      <c r="W55"/>
      <c r="X55"/>
      <c r="Y55" t="str">
        <f>_xlfn.CONCAT('Pulldown Data'!Z55, " (", 'Pulldown Data'!AA55, ")")</f>
        <v>SML0053 (SWEET 420)</v>
      </c>
      <c r="Z55" t="s">
        <v>243</v>
      </c>
      <c r="AA55" t="s">
        <v>855</v>
      </c>
      <c r="AB55" t="str">
        <v>SML0033</v>
      </c>
    </row>
    <row r="56" spans="5:28" ht="16.5" customHeight="1">
      <c r="E56" s="14"/>
      <c r="F56" s="14"/>
      <c r="G56" s="14"/>
      <c r="H56" s="14"/>
      <c r="I56" s="14"/>
      <c r="J56" s="14"/>
      <c r="K56" s="14"/>
      <c r="L56" s="14"/>
      <c r="M56" s="14"/>
      <c r="N56" s="14"/>
      <c r="O56" s="14"/>
      <c r="P56" s="14"/>
      <c r="Q56" s="14"/>
      <c r="R56" s="14"/>
      <c r="S56" s="14"/>
      <c r="T56" s="14"/>
      <c r="U56"/>
      <c r="V56" t="s">
        <v>674</v>
      </c>
      <c r="W56"/>
      <c r="X56"/>
      <c r="Y56" t="str">
        <f>_xlfn.CONCAT('Pulldown Data'!Z56, " (", 'Pulldown Data'!AA56, ")")</f>
        <v>SML0054 (GSR)</v>
      </c>
      <c r="Z56" t="s">
        <v>244</v>
      </c>
      <c r="AA56" t="s">
        <v>883</v>
      </c>
      <c r="AB56" t="str">
        <v>SML0034</v>
      </c>
    </row>
    <row r="57" spans="5:28" ht="16.5" customHeight="1">
      <c r="E57" s="14"/>
      <c r="F57" s="14"/>
      <c r="G57" s="14"/>
      <c r="H57" s="14"/>
      <c r="I57" s="14"/>
      <c r="J57" s="14"/>
      <c r="K57" s="14"/>
      <c r="L57" s="14"/>
      <c r="M57" s="14"/>
      <c r="N57" s="14"/>
      <c r="O57" s="14"/>
      <c r="P57" s="14"/>
      <c r="Q57" s="14"/>
      <c r="R57" s="14"/>
      <c r="S57" s="14"/>
      <c r="T57" s="14"/>
      <c r="U57"/>
      <c r="V57" t="s">
        <v>671</v>
      </c>
      <c r="W57"/>
      <c r="X57"/>
      <c r="Y57" t="str">
        <f>_xlfn.CONCAT('Pulldown Data'!Z57, " (", 'Pulldown Data'!AA57, ")")</f>
        <v>SML0055 (Thunder Project)</v>
      </c>
      <c r="Z57" t="s">
        <v>245</v>
      </c>
      <c r="AA57" t="s">
        <v>885</v>
      </c>
      <c r="AB57" t="str">
        <v>SML0035</v>
      </c>
    </row>
    <row r="58" spans="5:28" ht="16.5" customHeight="1">
      <c r="E58" s="14"/>
      <c r="F58" s="14"/>
      <c r="G58" s="14"/>
      <c r="H58" s="14"/>
      <c r="I58" s="14"/>
      <c r="J58" s="14"/>
      <c r="K58" s="14"/>
      <c r="L58" s="14"/>
      <c r="M58" s="14"/>
      <c r="N58" s="14"/>
      <c r="O58" s="14"/>
      <c r="P58" s="14"/>
      <c r="Q58" s="14"/>
      <c r="R58" s="14"/>
      <c r="S58" s="14"/>
      <c r="T58" s="14"/>
      <c r="U58"/>
      <c r="V58" t="s">
        <v>565</v>
      </c>
      <c r="W58"/>
      <c r="X58"/>
      <c r="Y58" t="str">
        <f>_xlfn.CONCAT('Pulldown Data'!Z58, " (", 'Pulldown Data'!AA58, ")")</f>
        <v>SML0056 (Thunder Project)</v>
      </c>
      <c r="Z58" t="s">
        <v>246</v>
      </c>
      <c r="AA58" t="s">
        <v>885</v>
      </c>
      <c r="AB58" t="str">
        <v>SML0036</v>
      </c>
    </row>
    <row r="59" spans="5:28" ht="16.5" customHeight="1">
      <c r="E59" s="14"/>
      <c r="F59" s="14"/>
      <c r="G59" s="14"/>
      <c r="H59" s="14"/>
      <c r="I59" s="14"/>
      <c r="J59" s="14"/>
      <c r="K59" s="14"/>
      <c r="L59" s="14"/>
      <c r="M59" s="14"/>
      <c r="N59" s="14"/>
      <c r="O59" s="14"/>
      <c r="P59" s="14"/>
      <c r="Q59" s="14"/>
      <c r="R59" s="14"/>
      <c r="S59" s="14"/>
      <c r="T59" s="14"/>
      <c r="U59"/>
      <c r="V59" t="s">
        <v>572</v>
      </c>
      <c r="W59"/>
      <c r="X59"/>
      <c r="Y59" t="str">
        <f>_xlfn.CONCAT('Pulldown Data'!Z59, " (", 'Pulldown Data'!AA59, ")")</f>
        <v>SML0057 (Gen4 )</v>
      </c>
      <c r="Z59" t="s">
        <v>247</v>
      </c>
      <c r="AA59" t="s">
        <v>891</v>
      </c>
      <c r="AB59" t="str">
        <v>SML0037</v>
      </c>
    </row>
    <row r="60" spans="5:28" ht="16.5" customHeight="1">
      <c r="E60" s="14"/>
      <c r="F60" s="14"/>
      <c r="G60" s="14"/>
      <c r="H60" s="14"/>
      <c r="I60" s="14"/>
      <c r="J60" s="14"/>
      <c r="K60" s="14"/>
      <c r="L60" s="14"/>
      <c r="M60" s="14"/>
      <c r="N60" s="14"/>
      <c r="O60" s="14"/>
      <c r="P60" s="14"/>
      <c r="Q60" s="14"/>
      <c r="R60" s="14"/>
      <c r="S60" s="14"/>
      <c r="T60" s="14"/>
      <c r="U60"/>
      <c r="V60" t="s">
        <v>594</v>
      </c>
      <c r="W60"/>
      <c r="X60"/>
      <c r="Y60" t="str">
        <f>_xlfn.CONCAT('Pulldown Data'!Z60, " (", 'Pulldown Data'!AA60, ")")</f>
        <v>SML0058 (SWEET 420)</v>
      </c>
      <c r="Z60" t="s">
        <v>248</v>
      </c>
      <c r="AA60" t="s">
        <v>855</v>
      </c>
      <c r="AB60" t="str">
        <v>SML0038</v>
      </c>
    </row>
    <row r="61" spans="5:28" ht="16.5" customHeight="1">
      <c r="E61" s="14"/>
      <c r="F61" s="14"/>
      <c r="G61" s="14"/>
      <c r="H61" s="14"/>
      <c r="I61" s="14"/>
      <c r="J61" s="14"/>
      <c r="K61" s="14"/>
      <c r="L61" s="14"/>
      <c r="M61" s="14"/>
      <c r="N61" s="14"/>
      <c r="O61" s="14"/>
      <c r="P61" s="14"/>
      <c r="Q61" s="14"/>
      <c r="R61" s="14"/>
      <c r="S61" s="14"/>
      <c r="T61" s="14"/>
      <c r="U61"/>
      <c r="V61" t="s">
        <v>724</v>
      </c>
      <c r="W61"/>
      <c r="X61"/>
      <c r="Y61" t="str">
        <f>_xlfn.CONCAT('Pulldown Data'!Z61, " (", 'Pulldown Data'!AA61, ")")</f>
        <v>SML0059 (Thunder Project)</v>
      </c>
      <c r="Z61" t="s">
        <v>249</v>
      </c>
      <c r="AA61" t="s">
        <v>885</v>
      </c>
      <c r="AB61" t="str">
        <v>SML0039</v>
      </c>
    </row>
    <row r="62" spans="5:28" ht="16.5" customHeight="1">
      <c r="E62" s="14"/>
      <c r="F62" s="14"/>
      <c r="G62" s="14"/>
      <c r="H62" s="14"/>
      <c r="I62" s="14"/>
      <c r="J62" s="14"/>
      <c r="K62" s="14"/>
      <c r="L62" s="14"/>
      <c r="M62" s="14"/>
      <c r="N62" s="14"/>
      <c r="O62" s="14"/>
      <c r="P62" s="14"/>
      <c r="Q62" s="14"/>
      <c r="R62" s="14"/>
      <c r="S62" s="14"/>
      <c r="T62" s="14"/>
      <c r="U62"/>
      <c r="V62" t="s">
        <v>892</v>
      </c>
      <c r="W62"/>
      <c r="X62"/>
      <c r="Y62" t="str">
        <f>_xlfn.CONCAT('Pulldown Data'!Z62, " (", 'Pulldown Data'!AA62, ")")</f>
        <v>SML0060 (Thunder Project)</v>
      </c>
      <c r="Z62" t="s">
        <v>250</v>
      </c>
      <c r="AA62" t="s">
        <v>885</v>
      </c>
      <c r="AB62" t="str">
        <v>SML0040</v>
      </c>
    </row>
    <row r="63" spans="5:28" ht="16.5" customHeight="1">
      <c r="E63" s="14"/>
      <c r="F63" s="14"/>
      <c r="G63" s="14"/>
      <c r="H63" s="14"/>
      <c r="I63" s="14"/>
      <c r="J63" s="14"/>
      <c r="K63" s="14"/>
      <c r="L63" s="14"/>
      <c r="M63" s="14"/>
      <c r="N63" s="14"/>
      <c r="O63" s="14"/>
      <c r="P63" s="14"/>
      <c r="Q63" s="14"/>
      <c r="R63" s="14"/>
      <c r="S63" s="14"/>
      <c r="T63" s="14"/>
      <c r="U63"/>
      <c r="V63" t="s">
        <v>690</v>
      </c>
      <c r="W63"/>
      <c r="X63"/>
      <c r="Y63" t="str">
        <f>_xlfn.CONCAT('Pulldown Data'!Z63, " (", 'Pulldown Data'!AA63, ")")</f>
        <v>SML0061 (RVM DMS)</v>
      </c>
      <c r="Z63" t="s">
        <v>251</v>
      </c>
      <c r="AA63" t="s">
        <v>893</v>
      </c>
      <c r="AB63" t="str">
        <v>SML0041</v>
      </c>
    </row>
    <row r="64" spans="5:28" ht="16.5" customHeight="1">
      <c r="E64" s="14"/>
      <c r="F64" s="14"/>
      <c r="G64" s="14"/>
      <c r="H64" s="14"/>
      <c r="I64" s="14"/>
      <c r="J64" s="14"/>
      <c r="K64" s="14"/>
      <c r="L64" s="14"/>
      <c r="M64" s="14"/>
      <c r="N64" s="14"/>
      <c r="O64" s="14"/>
      <c r="P64" s="14"/>
      <c r="Q64" s="14"/>
      <c r="R64" s="14"/>
      <c r="S64" s="14"/>
      <c r="T64" s="14"/>
      <c r="U64"/>
      <c r="V64" t="s">
        <v>716</v>
      </c>
      <c r="W64"/>
      <c r="X64"/>
      <c r="Y64" t="str">
        <f>_xlfn.CONCAT('Pulldown Data'!Z64, " (", 'Pulldown Data'!AA64, ")")</f>
        <v>SML0062 (SWEET 420)</v>
      </c>
      <c r="Z64" t="s">
        <v>252</v>
      </c>
      <c r="AA64" t="s">
        <v>855</v>
      </c>
      <c r="AB64" t="str">
        <v>SML0042</v>
      </c>
    </row>
    <row r="65" spans="5:28" ht="16.5" customHeight="1">
      <c r="E65" s="14"/>
      <c r="F65" s="14"/>
      <c r="G65" s="14"/>
      <c r="H65" s="14"/>
      <c r="I65" s="14"/>
      <c r="J65" s="14"/>
      <c r="K65" s="14"/>
      <c r="L65" s="14"/>
      <c r="M65" s="14"/>
      <c r="N65" s="14"/>
      <c r="O65" s="14"/>
      <c r="P65" s="14"/>
      <c r="Q65" s="14"/>
      <c r="R65" s="14"/>
      <c r="S65" s="14"/>
      <c r="T65" s="14"/>
      <c r="U65"/>
      <c r="V65" t="s">
        <v>597</v>
      </c>
      <c r="W65"/>
      <c r="X65"/>
      <c r="Y65" t="str">
        <f>_xlfn.CONCAT('Pulldown Data'!Z65, " (", 'Pulldown Data'!AA65, ")")</f>
        <v>SML0063 (SWEET 420)</v>
      </c>
      <c r="Z65" t="s">
        <v>253</v>
      </c>
      <c r="AA65" t="s">
        <v>855</v>
      </c>
      <c r="AB65" t="str">
        <v>SML0043</v>
      </c>
    </row>
    <row r="66" spans="5:28" ht="16.5" customHeight="1">
      <c r="E66" s="14"/>
      <c r="F66" s="14"/>
      <c r="G66" s="14"/>
      <c r="H66" s="14"/>
      <c r="I66" s="14"/>
      <c r="J66" s="14"/>
      <c r="K66" s="14"/>
      <c r="L66" s="14"/>
      <c r="M66" s="14"/>
      <c r="N66" s="14"/>
      <c r="O66" s="14"/>
      <c r="P66" s="14"/>
      <c r="Q66" s="14"/>
      <c r="R66" s="14"/>
      <c r="S66" s="14"/>
      <c r="T66" s="14"/>
      <c r="U66"/>
      <c r="V66" t="s">
        <v>686</v>
      </c>
      <c r="W66"/>
      <c r="X66"/>
      <c r="Y66" t="str">
        <f>_xlfn.CONCAT('Pulldown Data'!Z66, " (", 'Pulldown Data'!AA66, ")")</f>
        <v>SML0064 (Thunder Project &amp; GSR)</v>
      </c>
      <c r="Z66" t="s">
        <v>254</v>
      </c>
      <c r="AA66" t="s">
        <v>894</v>
      </c>
      <c r="AB66" t="str">
        <v>SML0044</v>
      </c>
    </row>
    <row r="67" spans="5:28" ht="16.5" customHeight="1">
      <c r="E67" s="14"/>
      <c r="F67" s="14"/>
      <c r="G67" s="14"/>
      <c r="H67" s="14"/>
      <c r="I67" s="14"/>
      <c r="J67" s="14"/>
      <c r="K67" s="14"/>
      <c r="L67" s="14"/>
      <c r="M67" s="14"/>
      <c r="N67" s="14"/>
      <c r="O67" s="14"/>
      <c r="P67" s="14"/>
      <c r="Q67" s="14"/>
      <c r="R67" s="14"/>
      <c r="S67" s="14"/>
      <c r="T67" s="14"/>
      <c r="U67"/>
      <c r="V67" t="s">
        <v>688</v>
      </c>
      <c r="W67"/>
      <c r="X67"/>
      <c r="Y67" t="str">
        <f>_xlfn.CONCAT('Pulldown Data'!Z67, " (", 'Pulldown Data'!AA67, ")")</f>
        <v>SML0065 (Thunder Project &amp; GSR)</v>
      </c>
      <c r="Z67" t="s">
        <v>255</v>
      </c>
      <c r="AA67" t="s">
        <v>894</v>
      </c>
      <c r="AB67" t="str">
        <v>SML0045</v>
      </c>
    </row>
    <row r="68" spans="5:28" ht="16.5" customHeight="1">
      <c r="E68" s="14"/>
      <c r="F68" s="14"/>
      <c r="G68" s="14"/>
      <c r="H68" s="14"/>
      <c r="I68" s="14"/>
      <c r="J68" s="14"/>
      <c r="K68" s="14"/>
      <c r="L68" s="14"/>
      <c r="M68" s="14"/>
      <c r="N68" s="14"/>
      <c r="O68" s="14"/>
      <c r="P68" s="14"/>
      <c r="Q68" s="14"/>
      <c r="R68" s="14"/>
      <c r="S68" s="14"/>
      <c r="T68" s="14"/>
      <c r="U68"/>
      <c r="V68" t="s">
        <v>895</v>
      </c>
      <c r="W68"/>
      <c r="X68"/>
      <c r="Y68" t="str">
        <f>_xlfn.CONCAT('Pulldown Data'!Z68, " (", 'Pulldown Data'!AA68, ")")</f>
        <v>SML0066 (DAT3.0)</v>
      </c>
      <c r="Z68" t="s">
        <v>256</v>
      </c>
      <c r="AA68" t="s">
        <v>811</v>
      </c>
      <c r="AB68" t="str">
        <v>SML0046</v>
      </c>
    </row>
    <row r="69" spans="5:28" ht="16.5" customHeight="1">
      <c r="E69" s="14"/>
      <c r="F69" s="14"/>
      <c r="G69" s="14"/>
      <c r="H69" s="14"/>
      <c r="I69" s="14"/>
      <c r="J69" s="14"/>
      <c r="K69" s="14"/>
      <c r="L69" s="14"/>
      <c r="M69" s="14"/>
      <c r="N69" s="14"/>
      <c r="O69" s="14"/>
      <c r="P69" s="14"/>
      <c r="Q69" s="14"/>
      <c r="R69" s="14"/>
      <c r="S69" s="14"/>
      <c r="T69" s="14"/>
      <c r="U69"/>
      <c r="V69" t="s">
        <v>742</v>
      </c>
      <c r="W69"/>
      <c r="X69"/>
      <c r="Y69" t="str">
        <f>_xlfn.CONCAT('Pulldown Data'!Z69, " (", 'Pulldown Data'!AA69, ")")</f>
        <v>SML0066_1 (DAT3.0)</v>
      </c>
      <c r="Z69" t="s">
        <v>257</v>
      </c>
      <c r="AA69" t="s">
        <v>811</v>
      </c>
      <c r="AB69" t="str">
        <v>SML0047</v>
      </c>
    </row>
    <row r="70" spans="5:28" ht="16.5" customHeight="1">
      <c r="E70" s="14"/>
      <c r="F70" s="14"/>
      <c r="G70" s="14"/>
      <c r="H70" s="14"/>
      <c r="I70" s="14"/>
      <c r="J70" s="14"/>
      <c r="K70" s="14"/>
      <c r="L70" s="14"/>
      <c r="M70" s="14"/>
      <c r="N70" s="14"/>
      <c r="O70" s="14"/>
      <c r="P70" s="14"/>
      <c r="Q70" s="14"/>
      <c r="R70" s="14"/>
      <c r="S70" s="14"/>
      <c r="T70" s="14"/>
      <c r="U70"/>
      <c r="V70" t="s">
        <v>896</v>
      </c>
      <c r="W70"/>
      <c r="X70"/>
      <c r="Y70" t="str">
        <f>_xlfn.CONCAT('Pulldown Data'!Z70, " (", 'Pulldown Data'!AA70, ")")</f>
        <v>SML0067 (IKS25)</v>
      </c>
      <c r="Z70" t="s">
        <v>258</v>
      </c>
      <c r="AA70" t="s">
        <v>880</v>
      </c>
      <c r="AB70" t="str">
        <v>SML0048</v>
      </c>
    </row>
    <row r="71" spans="5:28" ht="16.5" customHeight="1">
      <c r="E71" s="14"/>
      <c r="F71" s="14"/>
      <c r="G71" s="14"/>
      <c r="H71" s="14"/>
      <c r="I71" s="14"/>
      <c r="J71" s="14"/>
      <c r="K71" s="14"/>
      <c r="L71" s="14"/>
      <c r="M71" s="14"/>
      <c r="N71" s="14"/>
      <c r="O71" s="14"/>
      <c r="P71" s="14"/>
      <c r="Q71" s="14"/>
      <c r="R71" s="14"/>
      <c r="S71" s="14"/>
      <c r="T71" s="14"/>
      <c r="U71"/>
      <c r="V71" t="s">
        <v>603</v>
      </c>
      <c r="W71"/>
      <c r="X71"/>
      <c r="Y71" t="str">
        <f>_xlfn.CONCAT('Pulldown Data'!Z71, " (", 'Pulldown Data'!AA71, ")")</f>
        <v>SML0068 (Monitoring Enablers Innovation Project)</v>
      </c>
      <c r="Z71" t="s">
        <v>259</v>
      </c>
      <c r="AA71" t="s">
        <v>897</v>
      </c>
      <c r="AB71" t="str">
        <v>SML0049</v>
      </c>
    </row>
    <row r="72" spans="5:28" ht="16.5" customHeight="1">
      <c r="E72" s="14"/>
      <c r="F72" s="14"/>
      <c r="G72" s="14"/>
      <c r="H72" s="14"/>
      <c r="I72" s="14"/>
      <c r="J72" s="14"/>
      <c r="K72" s="14"/>
      <c r="L72" s="14"/>
      <c r="M72" s="14"/>
      <c r="N72" s="14"/>
      <c r="O72" s="14"/>
      <c r="P72" s="14"/>
      <c r="Q72" s="14"/>
      <c r="R72" s="14"/>
      <c r="S72" s="14"/>
      <c r="T72" s="14"/>
      <c r="U72"/>
      <c r="V72" t="s">
        <v>605</v>
      </c>
      <c r="W72"/>
      <c r="X72"/>
      <c r="Y72" t="str">
        <f>_xlfn.CONCAT('Pulldown Data'!Z72, " (", 'Pulldown Data'!AA72, ")")</f>
        <v>SML0068_1 (Monitoring Enablers Innovation Project)</v>
      </c>
      <c r="Z72" t="s">
        <v>260</v>
      </c>
      <c r="AA72" t="s">
        <v>897</v>
      </c>
      <c r="AB72" t="str">
        <v>SML0050</v>
      </c>
    </row>
    <row r="73" spans="5:28" ht="16.5" customHeight="1">
      <c r="E73" s="14"/>
      <c r="F73" s="14"/>
      <c r="G73" s="14"/>
      <c r="H73" s="14"/>
      <c r="I73" s="14"/>
      <c r="J73" s="14"/>
      <c r="K73" s="14"/>
      <c r="L73" s="14"/>
      <c r="M73" s="14"/>
      <c r="N73" s="14"/>
      <c r="O73" s="14"/>
      <c r="P73" s="14"/>
      <c r="Q73" s="14"/>
      <c r="R73" s="14"/>
      <c r="S73" s="14"/>
      <c r="T73" s="14"/>
      <c r="U73"/>
      <c r="V73" t="s">
        <v>607</v>
      </c>
      <c r="W73"/>
      <c r="X73"/>
      <c r="Y73" t="str">
        <f>_xlfn.CONCAT('Pulldown Data'!Z73, " (", 'Pulldown Data'!AA73, ")")</f>
        <v>SML0069 (L663 &amp; LOKI )</v>
      </c>
      <c r="Z73" t="s">
        <v>261</v>
      </c>
      <c r="AA73" t="s">
        <v>898</v>
      </c>
      <c r="AB73" t="str">
        <v>SML0051</v>
      </c>
    </row>
    <row r="74" spans="5:28" ht="16.5" customHeight="1">
      <c r="E74" s="14"/>
      <c r="F74" s="14"/>
      <c r="G74" s="14"/>
      <c r="H74" s="14"/>
      <c r="I74" s="14"/>
      <c r="J74" s="14"/>
      <c r="K74" s="14"/>
      <c r="L74" s="14"/>
      <c r="M74" s="14"/>
      <c r="N74" s="14"/>
      <c r="O74" s="14"/>
      <c r="P74" s="14"/>
      <c r="Q74" s="14"/>
      <c r="R74" s="14"/>
      <c r="S74" s="14"/>
      <c r="T74" s="14"/>
      <c r="U74"/>
      <c r="V74" t="s">
        <v>892</v>
      </c>
      <c r="W74"/>
      <c r="X74"/>
      <c r="Y74" t="str">
        <f>_xlfn.CONCAT('Pulldown Data'!Z74, " (", 'Pulldown Data'!AA74, ")")</f>
        <v>SML0070 (Monitoring Enablers Innovation Project)</v>
      </c>
      <c r="Z74" t="s">
        <v>262</v>
      </c>
      <c r="AA74" t="s">
        <v>897</v>
      </c>
      <c r="AB74" t="str">
        <v>SML0052</v>
      </c>
    </row>
    <row r="75" spans="5:28" ht="16.5" customHeight="1">
      <c r="E75" s="14"/>
      <c r="F75" s="14"/>
      <c r="G75" s="14"/>
      <c r="H75" s="14"/>
      <c r="I75" s="14"/>
      <c r="J75" s="14"/>
      <c r="K75" s="14"/>
      <c r="L75" s="14"/>
      <c r="M75" s="14"/>
      <c r="N75" s="14"/>
      <c r="O75" s="14"/>
      <c r="P75" s="14"/>
      <c r="Q75" s="14"/>
      <c r="R75" s="14"/>
      <c r="S75" s="14"/>
      <c r="T75" s="14"/>
      <c r="U75"/>
      <c r="V75" t="s">
        <v>609</v>
      </c>
      <c r="W75"/>
      <c r="X75"/>
      <c r="Y75" t="str">
        <f>_xlfn.CONCAT('Pulldown Data'!Z75, " (", 'Pulldown Data'!AA75, ")")</f>
        <v>SML0070_1 (Monitoring Enablers Innovation Project)</v>
      </c>
      <c r="Z75" t="s">
        <v>263</v>
      </c>
      <c r="AA75" t="s">
        <v>897</v>
      </c>
      <c r="AB75" t="str">
        <v>SML0053</v>
      </c>
    </row>
    <row r="76" spans="5:28" ht="16.5" customHeight="1">
      <c r="E76" s="14"/>
      <c r="F76" s="14"/>
      <c r="G76" s="14"/>
      <c r="H76" s="14"/>
      <c r="I76" s="14"/>
      <c r="J76" s="14"/>
      <c r="K76" s="14"/>
      <c r="L76" s="14"/>
      <c r="M76" s="14"/>
      <c r="N76" s="14"/>
      <c r="O76" s="14"/>
      <c r="P76" s="14"/>
      <c r="Q76" s="14"/>
      <c r="R76" s="14"/>
      <c r="S76" s="14"/>
      <c r="T76" s="14"/>
      <c r="U76"/>
      <c r="V76" t="s">
        <v>611</v>
      </c>
      <c r="W76"/>
      <c r="X76"/>
      <c r="Y76" t="str">
        <f>_xlfn.CONCAT('Pulldown Data'!Z76, " (", 'Pulldown Data'!AA76, ")")</f>
        <v>SML0071 (Daimler Truck )</v>
      </c>
      <c r="Z76" t="s">
        <v>264</v>
      </c>
      <c r="AA76" t="s">
        <v>899</v>
      </c>
      <c r="AB76" t="str">
        <v>SML0054</v>
      </c>
    </row>
    <row r="77" spans="5:28" ht="16.5" customHeight="1">
      <c r="E77" s="14"/>
      <c r="F77" s="14"/>
      <c r="G77" s="14"/>
      <c r="H77" s="14"/>
      <c r="I77" s="14"/>
      <c r="J77" s="14"/>
      <c r="K77" s="14"/>
      <c r="L77" s="14"/>
      <c r="M77" s="14"/>
      <c r="N77" s="14"/>
      <c r="O77" s="14"/>
      <c r="P77" s="14"/>
      <c r="Q77" s="14"/>
      <c r="R77" s="14"/>
      <c r="S77" s="14"/>
      <c r="T77" s="14"/>
      <c r="U77"/>
      <c r="V77" t="s">
        <v>613</v>
      </c>
      <c r="W77"/>
      <c r="X77"/>
      <c r="Y77" t="str">
        <f>_xlfn.CONCAT('Pulldown Data'!Z77, " (", 'Pulldown Data'!AA77, ")")</f>
        <v>SML0072 (Sweet 500)</v>
      </c>
      <c r="Z77" t="s">
        <v>265</v>
      </c>
      <c r="AA77" t="s">
        <v>900</v>
      </c>
      <c r="AB77" t="str">
        <v>SML0055</v>
      </c>
    </row>
    <row r="78" spans="5:28" ht="16.5" customHeight="1">
      <c r="E78" s="14"/>
      <c r="F78" s="14"/>
      <c r="G78" s="14"/>
      <c r="H78" s="14"/>
      <c r="I78" s="14"/>
      <c r="J78" s="14"/>
      <c r="K78" s="14"/>
      <c r="L78" s="14"/>
      <c r="M78" s="14"/>
      <c r="N78" s="14"/>
      <c r="O78" s="14"/>
      <c r="P78" s="14"/>
      <c r="Q78" s="14"/>
      <c r="R78" s="14"/>
      <c r="S78" s="14"/>
      <c r="T78" s="14"/>
      <c r="U78"/>
      <c r="V78" t="s">
        <v>615</v>
      </c>
      <c r="W78"/>
      <c r="X78"/>
      <c r="Y78" t="str">
        <f>_xlfn.CONCAT('Pulldown Data'!Z78, " (", 'Pulldown Data'!AA78, ")")</f>
        <v>SML0072_1 (Sweet 500)</v>
      </c>
      <c r="Z78" t="s">
        <v>266</v>
      </c>
      <c r="AA78" t="s">
        <v>900</v>
      </c>
      <c r="AB78" t="str">
        <v>SML0056</v>
      </c>
    </row>
    <row r="79" spans="5:28" ht="16.5" customHeight="1">
      <c r="E79" s="14"/>
      <c r="F79" s="14"/>
      <c r="G79" s="14"/>
      <c r="H79" s="14"/>
      <c r="I79" s="14"/>
      <c r="J79" s="14"/>
      <c r="K79" s="14"/>
      <c r="L79" s="14"/>
      <c r="M79" s="14"/>
      <c r="N79" s="14"/>
      <c r="O79" s="14"/>
      <c r="P79" s="14"/>
      <c r="Q79" s="14"/>
      <c r="R79" s="14"/>
      <c r="S79" s="14"/>
      <c r="T79" s="14"/>
      <c r="U79"/>
      <c r="V79" t="s">
        <v>617</v>
      </c>
      <c r="W79"/>
      <c r="X79"/>
      <c r="Y79" t="str">
        <f>_xlfn.CONCAT('Pulldown Data'!Z79, " (", 'Pulldown Data'!AA79, ")")</f>
        <v>SML0072_2 (Sweet 500)</v>
      </c>
      <c r="Z79" t="s">
        <v>267</v>
      </c>
      <c r="AA79" t="s">
        <v>900</v>
      </c>
      <c r="AB79" t="str">
        <v>SML0057</v>
      </c>
    </row>
    <row r="80" spans="5:28" ht="16.5" customHeight="1">
      <c r="E80" s="14"/>
      <c r="F80" s="14"/>
      <c r="G80" s="14"/>
      <c r="H80" s="14"/>
      <c r="I80" s="14"/>
      <c r="J80" s="14"/>
      <c r="K80" s="14"/>
      <c r="L80" s="14"/>
      <c r="M80" s="14"/>
      <c r="N80" s="14"/>
      <c r="O80" s="14"/>
      <c r="P80" s="14"/>
      <c r="Q80" s="14"/>
      <c r="R80" s="14"/>
      <c r="S80" s="14"/>
      <c r="T80" s="14"/>
      <c r="U80"/>
      <c r="V80" t="s">
        <v>619</v>
      </c>
      <c r="W80"/>
      <c r="X80"/>
      <c r="Y80" t="str">
        <f>_xlfn.CONCAT('Pulldown Data'!Z80, " (", 'Pulldown Data'!AA80, ")")</f>
        <v>SML0073 (Thunder)</v>
      </c>
      <c r="Z80" t="s">
        <v>268</v>
      </c>
      <c r="AA80" t="s">
        <v>901</v>
      </c>
      <c r="AB80" t="str">
        <v>SML0058</v>
      </c>
    </row>
    <row r="81" spans="5:28" ht="16.5" customHeight="1">
      <c r="E81" s="14"/>
      <c r="F81" s="14"/>
      <c r="G81" s="14"/>
      <c r="H81" s="14"/>
      <c r="I81" s="14"/>
      <c r="J81" s="14"/>
      <c r="K81" s="14"/>
      <c r="L81" s="14"/>
      <c r="M81" s="14"/>
      <c r="N81" s="14"/>
      <c r="O81" s="14"/>
      <c r="P81" s="14"/>
      <c r="Q81" s="14"/>
      <c r="R81" s="14"/>
      <c r="S81" s="14"/>
      <c r="T81" s="14"/>
      <c r="U81"/>
      <c r="V81" t="s">
        <v>621</v>
      </c>
      <c r="W81"/>
      <c r="X81"/>
      <c r="Y81" t="str">
        <f>_xlfn.CONCAT('Pulldown Data'!Z81, " (", 'Pulldown Data'!AA81, ")")</f>
        <v>SML0074 (BR214)</v>
      </c>
      <c r="Z81" t="s">
        <v>269</v>
      </c>
      <c r="AA81" t="s">
        <v>902</v>
      </c>
      <c r="AB81" t="str">
        <v>SML0059</v>
      </c>
    </row>
    <row r="82" spans="5:28" ht="16.5" customHeight="1">
      <c r="E82" s="14"/>
      <c r="F82" s="14"/>
      <c r="G82" s="14"/>
      <c r="H82" s="14"/>
      <c r="I82" s="14"/>
      <c r="J82" s="14"/>
      <c r="K82" s="14"/>
      <c r="L82" s="14"/>
      <c r="M82" s="14"/>
      <c r="N82" s="14"/>
      <c r="O82" s="14"/>
      <c r="P82" s="14"/>
      <c r="Q82" s="14"/>
      <c r="R82" s="14"/>
      <c r="S82" s="14"/>
      <c r="T82" s="14"/>
      <c r="U82"/>
      <c r="V82" t="s">
        <v>623</v>
      </c>
      <c r="W82"/>
      <c r="X82"/>
      <c r="Y82" t="str">
        <f>_xlfn.CONCAT('Pulldown Data'!Z82, " (", 'Pulldown Data'!AA82, ")")</f>
        <v>SML0075 (L663 &amp; LOKI )</v>
      </c>
      <c r="Z82" t="s">
        <v>270</v>
      </c>
      <c r="AA82" t="s">
        <v>898</v>
      </c>
      <c r="AB82" t="str">
        <v>SML0060</v>
      </c>
    </row>
    <row r="83" spans="5:28" ht="16.5" customHeight="1">
      <c r="E83" s="14"/>
      <c r="F83" s="14"/>
      <c r="G83" s="14"/>
      <c r="H83" s="14"/>
      <c r="I83" s="14"/>
      <c r="J83" s="14"/>
      <c r="K83" s="14"/>
      <c r="L83" s="14"/>
      <c r="M83" s="14"/>
      <c r="N83" s="14"/>
      <c r="O83" s="14"/>
      <c r="P83" s="14"/>
      <c r="Q83" s="14"/>
      <c r="R83" s="14"/>
      <c r="S83" s="14"/>
      <c r="T83" s="14"/>
      <c r="U83"/>
      <c r="V83" t="s">
        <v>625</v>
      </c>
      <c r="W83"/>
      <c r="X83"/>
      <c r="Y83" t="str">
        <f>_xlfn.CONCAT('Pulldown Data'!Z83, " (", 'Pulldown Data'!AA83, ")")</f>
        <v>SML0076 (Sweet 500)</v>
      </c>
      <c r="Z83" t="s">
        <v>271</v>
      </c>
      <c r="AA83" t="s">
        <v>900</v>
      </c>
      <c r="AB83" t="str">
        <v>SML0061</v>
      </c>
    </row>
    <row r="84" spans="5:28" ht="16.5" customHeight="1">
      <c r="E84" s="14"/>
      <c r="F84" s="14"/>
      <c r="G84" s="14"/>
      <c r="H84" s="14"/>
      <c r="I84" s="14"/>
      <c r="J84" s="14"/>
      <c r="K84" s="14"/>
      <c r="L84" s="14"/>
      <c r="M84" s="14"/>
      <c r="N84" s="14"/>
      <c r="O84" s="14"/>
      <c r="P84" s="14"/>
      <c r="Q84" s="14"/>
      <c r="R84" s="14"/>
      <c r="S84" s="14"/>
      <c r="T84" s="14"/>
      <c r="U84"/>
      <c r="V84" t="s">
        <v>628</v>
      </c>
      <c r="W84"/>
      <c r="X84"/>
      <c r="Y84" t="str">
        <f>_xlfn.CONCAT('Pulldown Data'!Z84, " (", 'Pulldown Data'!AA84, ")")</f>
        <v>SML0077 (Thunder)</v>
      </c>
      <c r="Z84" t="s">
        <v>272</v>
      </c>
      <c r="AA84" t="s">
        <v>901</v>
      </c>
      <c r="AB84" t="str">
        <v>SML0062</v>
      </c>
    </row>
    <row r="85" spans="5:28" ht="16.5" customHeight="1">
      <c r="E85" s="14"/>
      <c r="F85" s="14"/>
      <c r="G85" s="14"/>
      <c r="H85" s="14"/>
      <c r="I85" s="14"/>
      <c r="J85" s="14"/>
      <c r="K85" s="14"/>
      <c r="L85" s="14"/>
      <c r="M85" s="14"/>
      <c r="N85" s="14"/>
      <c r="O85" s="14"/>
      <c r="P85" s="14"/>
      <c r="Q85" s="14"/>
      <c r="R85" s="14"/>
      <c r="S85" s="14"/>
      <c r="T85" s="14"/>
      <c r="U85"/>
      <c r="V85" t="s">
        <v>630</v>
      </c>
      <c r="W85"/>
      <c r="X85"/>
      <c r="Y85" t="str">
        <f>_xlfn.CONCAT('Pulldown Data'!Z85, " (", 'Pulldown Data'!AA85, ")")</f>
        <v>SML0078 (DMS3)</v>
      </c>
      <c r="Z85" t="s">
        <v>273</v>
      </c>
      <c r="AA85" t="s">
        <v>903</v>
      </c>
      <c r="AB85" t="str">
        <v>SML0063</v>
      </c>
    </row>
    <row r="86" spans="5:28" ht="16.5" customHeight="1">
      <c r="E86" s="14"/>
      <c r="F86" s="14"/>
      <c r="G86" s="14"/>
      <c r="H86" s="14"/>
      <c r="I86" s="14"/>
      <c r="J86" s="14"/>
      <c r="K86" s="14"/>
      <c r="L86" s="14"/>
      <c r="M86" s="14"/>
      <c r="N86" s="14"/>
      <c r="O86" s="14"/>
      <c r="P86" s="14"/>
      <c r="Q86" s="14"/>
      <c r="R86" s="14"/>
      <c r="S86" s="14"/>
      <c r="T86" s="14"/>
      <c r="U86"/>
      <c r="V86" t="s">
        <v>632</v>
      </c>
      <c r="W86"/>
      <c r="X86"/>
      <c r="Y86" t="str">
        <f>_xlfn.CONCAT('Pulldown Data'!Z86, " (", 'Pulldown Data'!AA86, ")")</f>
        <v>SML0079 (Qualcomm Development)</v>
      </c>
      <c r="Z86" t="s">
        <v>274</v>
      </c>
      <c r="AA86" t="s">
        <v>904</v>
      </c>
      <c r="AB86" t="str">
        <v>SML0064</v>
      </c>
    </row>
    <row r="87" spans="5:28" ht="16.5" customHeight="1">
      <c r="E87" s="14"/>
      <c r="F87" s="14"/>
      <c r="G87" s="14"/>
      <c r="H87" s="14"/>
      <c r="I87" s="14"/>
      <c r="J87" s="14"/>
      <c r="K87" s="14"/>
      <c r="L87" s="14"/>
      <c r="M87" s="14"/>
      <c r="N87" s="14"/>
      <c r="O87" s="14"/>
      <c r="P87" s="14"/>
      <c r="Q87" s="14"/>
      <c r="R87" s="14"/>
      <c r="S87" s="14"/>
      <c r="T87" s="14"/>
      <c r="U87"/>
      <c r="V87" t="s">
        <v>634</v>
      </c>
      <c r="W87"/>
      <c r="X87"/>
      <c r="Y87" t="str">
        <f>_xlfn.CONCAT('Pulldown Data'!Z87, " (", 'Pulldown Data'!AA87, ")")</f>
        <v>SML0079_1 (Qualcomm Development)</v>
      </c>
      <c r="Z87" t="s">
        <v>275</v>
      </c>
      <c r="AA87" t="s">
        <v>904</v>
      </c>
      <c r="AB87" t="str">
        <v>SML0065</v>
      </c>
    </row>
    <row r="88" spans="5:28" ht="16.5" customHeight="1">
      <c r="E88" s="14"/>
      <c r="F88" s="14"/>
      <c r="G88" s="14"/>
      <c r="H88" s="14"/>
      <c r="I88" s="14"/>
      <c r="J88" s="14"/>
      <c r="K88" s="14"/>
      <c r="L88" s="14"/>
      <c r="M88" s="14"/>
      <c r="N88" s="14"/>
      <c r="O88" s="14"/>
      <c r="P88" s="14"/>
      <c r="Q88" s="14"/>
      <c r="R88" s="14"/>
      <c r="S88" s="14"/>
      <c r="T88" s="14"/>
      <c r="U88"/>
      <c r="V88" t="s">
        <v>637</v>
      </c>
      <c r="W88"/>
      <c r="X88"/>
      <c r="Y88" t="str">
        <f>_xlfn.CONCAT('Pulldown Data'!Z88, " (", 'Pulldown Data'!AA88, ")")</f>
        <v>SML0080 (L663)</v>
      </c>
      <c r="Z88" t="s">
        <v>276</v>
      </c>
      <c r="AA88" t="s">
        <v>905</v>
      </c>
      <c r="AB88" t="str">
        <v>SML0066</v>
      </c>
    </row>
    <row r="89" spans="5:28" ht="16.5" customHeight="1">
      <c r="E89" s="14"/>
      <c r="F89" s="14"/>
      <c r="G89" s="14"/>
      <c r="H89" s="14"/>
      <c r="I89" s="14"/>
      <c r="J89" s="14"/>
      <c r="K89" s="14"/>
      <c r="L89" s="14"/>
      <c r="M89" s="14"/>
      <c r="N89" s="14"/>
      <c r="O89" s="14"/>
      <c r="P89" s="14"/>
      <c r="Q89" s="14"/>
      <c r="R89" s="14"/>
      <c r="S89" s="14"/>
      <c r="T89" s="14"/>
      <c r="U89"/>
      <c r="V89" t="s">
        <v>639</v>
      </c>
      <c r="W89"/>
      <c r="X89"/>
      <c r="Y89" t="str">
        <f>_xlfn.CONCAT('Pulldown Data'!Z89, " (", 'Pulldown Data'!AA89, ")")</f>
        <v>SML0081 (Ferrari DMS)</v>
      </c>
      <c r="Z89" t="s">
        <v>277</v>
      </c>
      <c r="AA89" t="s">
        <v>906</v>
      </c>
      <c r="AB89" t="str">
        <v>SML0066_1</v>
      </c>
    </row>
    <row r="90" spans="5:28" ht="16.5" customHeight="1">
      <c r="E90" s="14"/>
      <c r="F90" s="14"/>
      <c r="G90" s="14"/>
      <c r="H90" s="14"/>
      <c r="I90" s="14"/>
      <c r="J90" s="14"/>
      <c r="K90" s="14"/>
      <c r="L90" s="14"/>
      <c r="M90" s="14"/>
      <c r="N90" s="14"/>
      <c r="O90" s="14"/>
      <c r="P90" s="14"/>
      <c r="Q90" s="14"/>
      <c r="R90" s="14"/>
      <c r="S90" s="14"/>
      <c r="T90" s="14"/>
      <c r="U90"/>
      <c r="V90" t="s">
        <v>641</v>
      </c>
      <c r="W90"/>
      <c r="X90"/>
      <c r="Y90" t="str">
        <f>_xlfn.CONCAT('Pulldown Data'!Z90, " (", 'Pulldown Data'!AA90, ")")</f>
        <v>SML0082 (DAA (Small))</v>
      </c>
      <c r="Z90" t="s">
        <v>278</v>
      </c>
      <c r="AA90" t="s">
        <v>907</v>
      </c>
      <c r="AB90" t="str">
        <v>SML0067</v>
      </c>
    </row>
    <row r="91" spans="5:28" ht="16.5" customHeight="1">
      <c r="E91" s="14"/>
      <c r="F91" s="14"/>
      <c r="G91" s="14"/>
      <c r="H91" s="14"/>
      <c r="I91" s="14"/>
      <c r="J91" s="14"/>
      <c r="K91" s="14"/>
      <c r="L91" s="14"/>
      <c r="M91" s="14"/>
      <c r="N91" s="14"/>
      <c r="O91" s="14"/>
      <c r="P91" s="14"/>
      <c r="Q91" s="14"/>
      <c r="R91" s="14"/>
      <c r="S91" s="14"/>
      <c r="T91" s="14"/>
      <c r="U91"/>
      <c r="V91" t="s">
        <v>644</v>
      </c>
      <c r="W91"/>
      <c r="X91"/>
      <c r="Y91" t="str">
        <f>_xlfn.CONCAT('Pulldown Data'!Z91, " (", 'Pulldown Data'!AA91, ")")</f>
        <v>SML0082_1 (DAA (Small))</v>
      </c>
      <c r="Z91" t="s">
        <v>279</v>
      </c>
      <c r="AA91" t="s">
        <v>907</v>
      </c>
      <c r="AB91" t="str">
        <v>SML0068</v>
      </c>
    </row>
    <row r="92" spans="5:28" ht="16.5" customHeight="1">
      <c r="E92" s="14"/>
      <c r="F92" s="14"/>
      <c r="G92" s="14"/>
      <c r="H92" s="14"/>
      <c r="I92" s="14"/>
      <c r="J92" s="14"/>
      <c r="K92" s="14"/>
      <c r="L92" s="14"/>
      <c r="M92" s="14"/>
      <c r="N92" s="14"/>
      <c r="O92" s="14"/>
      <c r="P92" s="14"/>
      <c r="Q92" s="14"/>
      <c r="R92" s="14"/>
      <c r="S92" s="14"/>
      <c r="T92" s="14"/>
      <c r="U92"/>
      <c r="V92" t="s">
        <v>646</v>
      </c>
      <c r="W92"/>
      <c r="X92"/>
      <c r="Y92" t="str">
        <f>_xlfn.CONCAT('Pulldown Data'!Z92, " (", 'Pulldown Data'!AA92, ")")</f>
        <v>SML0082_2 (DAA (Small))</v>
      </c>
      <c r="Z92" t="s">
        <v>280</v>
      </c>
      <c r="AA92" t="s">
        <v>907</v>
      </c>
      <c r="AB92" t="str">
        <v>SML0068_1</v>
      </c>
    </row>
    <row r="93" spans="5:28" ht="16.5" customHeight="1">
      <c r="E93" s="14"/>
      <c r="F93" s="14"/>
      <c r="G93" s="14"/>
      <c r="H93" s="14"/>
      <c r="I93" s="14"/>
      <c r="J93" s="14"/>
      <c r="K93" s="14"/>
      <c r="L93" s="14"/>
      <c r="M93" s="14"/>
      <c r="N93" s="14"/>
      <c r="O93" s="14"/>
      <c r="P93" s="14"/>
      <c r="Q93" s="14"/>
      <c r="R93" s="14"/>
      <c r="S93" s="14"/>
      <c r="T93" s="14"/>
      <c r="U93"/>
      <c r="V93" t="s">
        <v>649</v>
      </c>
      <c r="W93"/>
      <c r="X93"/>
      <c r="Y93" t="str">
        <f>_xlfn.CONCAT('Pulldown Data'!Z93, " (", 'Pulldown Data'!AA93, ")")</f>
        <v>SML0082_3 (DAA (Small))</v>
      </c>
      <c r="Z93" t="s">
        <v>281</v>
      </c>
      <c r="AA93" t="s">
        <v>907</v>
      </c>
      <c r="AB93" t="str">
        <v>SML0069</v>
      </c>
    </row>
    <row r="94" spans="5:28" ht="16.5" customHeight="1">
      <c r="E94" s="14"/>
      <c r="F94" s="14"/>
      <c r="G94" s="14"/>
      <c r="H94" s="14"/>
      <c r="I94" s="14"/>
      <c r="J94" s="14"/>
      <c r="K94" s="14"/>
      <c r="L94" s="14"/>
      <c r="M94" s="14"/>
      <c r="N94" s="14"/>
      <c r="O94" s="14"/>
      <c r="P94" s="14"/>
      <c r="Q94" s="14"/>
      <c r="R94" s="14"/>
      <c r="S94" s="14"/>
      <c r="T94" s="14"/>
      <c r="U94"/>
      <c r="V94" t="s">
        <v>651</v>
      </c>
      <c r="W94"/>
      <c r="X94"/>
      <c r="Y94" t="str">
        <f>_xlfn.CONCAT('Pulldown Data'!Z94, " (", 'Pulldown Data'!AA94, ")")</f>
        <v>SML0082_4 (DAA (Small))</v>
      </c>
      <c r="Z94" t="s">
        <v>282</v>
      </c>
      <c r="AA94" t="s">
        <v>907</v>
      </c>
      <c r="AB94" t="str">
        <v>SML0070</v>
      </c>
    </row>
    <row r="95" spans="5:28" ht="16.5" customHeight="1">
      <c r="E95" s="14"/>
      <c r="F95" s="14"/>
      <c r="G95" s="14"/>
      <c r="H95" s="14"/>
      <c r="I95" s="14"/>
      <c r="J95" s="14"/>
      <c r="K95" s="14"/>
      <c r="L95" s="14"/>
      <c r="M95" s="14"/>
      <c r="N95" s="14"/>
      <c r="O95" s="14"/>
      <c r="P95" s="14"/>
      <c r="Q95" s="14"/>
      <c r="R95" s="14"/>
      <c r="S95" s="14"/>
      <c r="T95" s="14"/>
      <c r="U95"/>
      <c r="V95" t="s">
        <v>653</v>
      </c>
      <c r="W95"/>
      <c r="X95"/>
      <c r="Y95" t="str">
        <f>_xlfn.CONCAT('Pulldown Data'!Z95, " (", 'Pulldown Data'!AA95, ")")</f>
        <v>SML0082_5 (DAA (Small))</v>
      </c>
      <c r="Z95" t="s">
        <v>283</v>
      </c>
      <c r="AA95" t="s">
        <v>907</v>
      </c>
      <c r="AB95" t="str">
        <v>SML0070_1</v>
      </c>
    </row>
    <row r="96" spans="5:28" ht="16.5" customHeight="1">
      <c r="E96" s="14"/>
      <c r="F96" s="14"/>
      <c r="G96" s="14"/>
      <c r="H96" s="14"/>
      <c r="I96" s="14"/>
      <c r="J96" s="14"/>
      <c r="K96" s="14"/>
      <c r="L96" s="14"/>
      <c r="M96" s="14"/>
      <c r="N96" s="14"/>
      <c r="O96" s="14"/>
      <c r="P96" s="14"/>
      <c r="Q96" s="14"/>
      <c r="R96" s="14"/>
      <c r="S96" s="14"/>
      <c r="T96" s="14"/>
      <c r="U96"/>
      <c r="V96" t="s">
        <v>655</v>
      </c>
      <c r="W96"/>
      <c r="X96"/>
      <c r="Y96" t="str">
        <f>_xlfn.CONCAT('Pulldown Data'!Z96, " (", 'Pulldown Data'!AA96, ")")</f>
        <v>SML0083 (Emergency Biometric Vehicle Access)</v>
      </c>
      <c r="Z96" t="s">
        <v>284</v>
      </c>
      <c r="AA96" t="s">
        <v>908</v>
      </c>
      <c r="AB96" t="str">
        <v>SML0071</v>
      </c>
    </row>
    <row r="97" spans="5:28" ht="16.5" customHeight="1">
      <c r="E97" s="14"/>
      <c r="F97" s="14"/>
      <c r="G97" s="14"/>
      <c r="H97" s="14"/>
      <c r="I97" s="14"/>
      <c r="J97" s="14"/>
      <c r="K97" s="14"/>
      <c r="L97" s="14"/>
      <c r="M97" s="14"/>
      <c r="N97" s="14"/>
      <c r="O97" s="14"/>
      <c r="P97" s="14"/>
      <c r="Q97" s="14"/>
      <c r="R97" s="14"/>
      <c r="S97" s="14"/>
      <c r="T97" s="14"/>
      <c r="U97"/>
      <c r="V97" t="s">
        <v>657</v>
      </c>
      <c r="W97"/>
      <c r="X97"/>
      <c r="Y97" t="str">
        <f>_xlfn.CONCAT('Pulldown Data'!Z97, " (", 'Pulldown Data'!AA97, ")")</f>
        <v>SML0084 (Facial Biometric Platform)</v>
      </c>
      <c r="Z97" t="s">
        <v>285</v>
      </c>
      <c r="AA97" t="s">
        <v>909</v>
      </c>
      <c r="AB97" t="str">
        <v>SML0072</v>
      </c>
    </row>
    <row r="98" spans="5:28" ht="16.5" customHeight="1">
      <c r="E98" s="14"/>
      <c r="F98" s="14"/>
      <c r="G98" s="14"/>
      <c r="H98" s="14"/>
      <c r="I98" s="14"/>
      <c r="J98" s="14"/>
      <c r="K98" s="14"/>
      <c r="L98" s="14"/>
      <c r="M98" s="14"/>
      <c r="N98" s="14"/>
      <c r="O98" s="14"/>
      <c r="P98" s="14"/>
      <c r="Q98" s="14"/>
      <c r="R98" s="14"/>
      <c r="S98" s="14"/>
      <c r="T98" s="14"/>
      <c r="U98"/>
      <c r="V98" t="s">
        <v>659</v>
      </c>
      <c r="W98"/>
      <c r="X98"/>
      <c r="Y98" t="str">
        <f>_xlfn.CONCAT('Pulldown Data'!Z98, " (", 'Pulldown Data'!AA98, ")")</f>
        <v>SML0085 (Cariad China)</v>
      </c>
      <c r="Z98" t="s">
        <v>286</v>
      </c>
      <c r="AA98" t="s">
        <v>910</v>
      </c>
      <c r="AB98" t="str">
        <v>SML0072_1</v>
      </c>
    </row>
    <row r="99" spans="5:28" ht="16.5" customHeight="1">
      <c r="E99" s="14"/>
      <c r="F99" s="14"/>
      <c r="G99" s="14"/>
      <c r="H99" s="14"/>
      <c r="I99" s="14"/>
      <c r="J99" s="14"/>
      <c r="K99" s="14"/>
      <c r="L99" s="14"/>
      <c r="M99" s="14"/>
      <c r="N99" s="14"/>
      <c r="O99" s="14"/>
      <c r="P99" s="14"/>
      <c r="Q99" s="14"/>
      <c r="R99" s="14"/>
      <c r="S99" s="14"/>
      <c r="T99" s="14"/>
      <c r="U99"/>
      <c r="V99" t="s">
        <v>662</v>
      </c>
      <c r="W99"/>
      <c r="X99"/>
      <c r="Y99" t="str">
        <f>_xlfn.CONCAT('Pulldown Data'!Z99, " (", 'Pulldown Data'!AA99, ")")</f>
        <v>SML0086 (Cariad China)</v>
      </c>
      <c r="Z99" t="s">
        <v>287</v>
      </c>
      <c r="AA99" t="s">
        <v>910</v>
      </c>
      <c r="AB99" t="str">
        <v>SML0072_2</v>
      </c>
    </row>
    <row r="100" spans="5:28" ht="16.5" customHeight="1">
      <c r="E100" s="14"/>
      <c r="F100" s="14"/>
      <c r="G100" s="14"/>
      <c r="H100" s="14"/>
      <c r="I100" s="14"/>
      <c r="J100" s="14"/>
      <c r="K100" s="14"/>
      <c r="L100" s="14"/>
      <c r="M100" s="14"/>
      <c r="N100" s="14"/>
      <c r="O100" s="14"/>
      <c r="P100" s="14"/>
      <c r="Q100" s="14"/>
      <c r="R100" s="14"/>
      <c r="S100" s="14"/>
      <c r="T100" s="14"/>
      <c r="U100"/>
      <c r="V100" t="s">
        <v>664</v>
      </c>
      <c r="W100"/>
      <c r="X100"/>
      <c r="Y100" t="str">
        <f>_xlfn.CONCAT('Pulldown Data'!Z100, " (", 'Pulldown Data'!AA100, ")")</f>
        <v>SML0086_1 (Cariad China)</v>
      </c>
      <c r="Z100" t="s">
        <v>288</v>
      </c>
      <c r="AA100" t="s">
        <v>910</v>
      </c>
      <c r="AB100" t="str">
        <v>SML0073</v>
      </c>
    </row>
    <row r="101" spans="5:28" ht="16.5" customHeight="1">
      <c r="E101" s="14"/>
      <c r="F101" s="14"/>
      <c r="G101" s="14"/>
      <c r="H101" s="14"/>
      <c r="I101" s="14"/>
      <c r="J101" s="14"/>
      <c r="K101" s="14"/>
      <c r="L101" s="14"/>
      <c r="M101" s="14"/>
      <c r="N101" s="14"/>
      <c r="O101" s="14"/>
      <c r="P101" s="14"/>
      <c r="Q101" s="14"/>
      <c r="R101" s="14"/>
      <c r="S101" s="14"/>
      <c r="T101" s="14"/>
      <c r="U101"/>
      <c r="V101"/>
      <c r="W101"/>
      <c r="X101"/>
      <c r="Y101" t="str">
        <f>_xlfn.CONCAT('Pulldown Data'!Z101, " (", 'Pulldown Data'!AA101, ")")</f>
        <v>SML0087 (Nissan DMS)</v>
      </c>
      <c r="Z101" t="s">
        <v>289</v>
      </c>
      <c r="AA101" t="s">
        <v>911</v>
      </c>
      <c r="AB101" t="str">
        <v>SML0074</v>
      </c>
    </row>
    <row r="102" spans="5:28" ht="16.5" customHeight="1">
      <c r="E102" s="14"/>
      <c r="F102" s="14"/>
      <c r="G102" s="14"/>
      <c r="H102" s="14"/>
      <c r="I102" s="14"/>
      <c r="J102" s="14"/>
      <c r="K102" s="14"/>
      <c r="L102" s="14"/>
      <c r="M102" s="14"/>
      <c r="N102" s="14"/>
      <c r="O102" s="14"/>
      <c r="P102" s="14"/>
      <c r="Q102" s="14"/>
      <c r="R102" s="14"/>
      <c r="S102" s="14"/>
      <c r="T102" s="14"/>
      <c r="U102"/>
      <c r="V102"/>
      <c r="W102"/>
      <c r="X102"/>
      <c r="Y102" t="str">
        <f>_xlfn.CONCAT('Pulldown Data'!Z102, " (", 'Pulldown Data'!AA102, ")")</f>
        <v>SML0088 (Cariad EU)</v>
      </c>
      <c r="Z102" t="s">
        <v>290</v>
      </c>
      <c r="AA102" t="s">
        <v>912</v>
      </c>
      <c r="AB102" t="str">
        <v>SML0075</v>
      </c>
    </row>
    <row r="103" spans="5:28" ht="16.5" customHeight="1">
      <c r="E103" s="14"/>
      <c r="F103" s="14"/>
      <c r="G103" s="14"/>
      <c r="H103" s="14"/>
      <c r="I103" s="14"/>
      <c r="J103" s="14"/>
      <c r="K103" s="14"/>
      <c r="L103" s="14"/>
      <c r="M103" s="14"/>
      <c r="N103" s="14"/>
      <c r="O103" s="14"/>
      <c r="P103" s="14"/>
      <c r="Q103" s="14"/>
      <c r="R103" s="14"/>
      <c r="S103" s="14"/>
      <c r="T103" s="14"/>
      <c r="U103"/>
      <c r="V103"/>
      <c r="W103"/>
      <c r="X103"/>
      <c r="Y103" t="str">
        <f>_xlfn.CONCAT('Pulldown Data'!Z103, " (", 'Pulldown Data'!AA103, ")")</f>
        <v>SML0088_1 (Cariad EU)</v>
      </c>
      <c r="Z103" t="s">
        <v>291</v>
      </c>
      <c r="AA103" t="s">
        <v>912</v>
      </c>
      <c r="AB103" t="str">
        <v>SML0076</v>
      </c>
    </row>
    <row r="104" spans="5:28" ht="16.5" customHeight="1">
      <c r="E104" s="14"/>
      <c r="F104" s="14"/>
      <c r="G104" s="14"/>
      <c r="H104" s="14"/>
      <c r="I104" s="14"/>
      <c r="J104" s="14"/>
      <c r="K104" s="14"/>
      <c r="L104" s="14"/>
      <c r="M104" s="14"/>
      <c r="N104" s="14"/>
      <c r="O104" s="14"/>
      <c r="P104" s="14"/>
      <c r="Q104" s="14"/>
      <c r="R104" s="14"/>
      <c r="S104" s="14"/>
      <c r="T104" s="14"/>
      <c r="U104"/>
      <c r="V104"/>
      <c r="W104"/>
      <c r="X104"/>
      <c r="Y104" t="str">
        <f>_xlfn.CONCAT('Pulldown Data'!Z104, " (", 'Pulldown Data'!AA104, ")")</f>
        <v>SML0089 (DMS ADP)</v>
      </c>
      <c r="Z104" t="s">
        <v>292</v>
      </c>
      <c r="AA104" t="s">
        <v>913</v>
      </c>
      <c r="AB104" t="str">
        <v>SML0077</v>
      </c>
    </row>
    <row r="105" spans="5:28" ht="16.5" customHeight="1">
      <c r="E105" s="14"/>
      <c r="F105" s="14"/>
      <c r="G105" s="14"/>
      <c r="H105" s="14"/>
      <c r="I105" s="14"/>
      <c r="J105" s="14"/>
      <c r="K105" s="14"/>
      <c r="L105" s="14"/>
      <c r="M105" s="14"/>
      <c r="N105" s="14"/>
      <c r="O105" s="14"/>
      <c r="P105" s="14"/>
      <c r="Q105" s="14"/>
      <c r="R105" s="14"/>
      <c r="S105" s="14"/>
      <c r="T105" s="14"/>
      <c r="U105"/>
      <c r="V105"/>
      <c r="W105"/>
      <c r="X105"/>
      <c r="Y105" t="str">
        <f>_xlfn.CONCAT('Pulldown Data'!Z105, " (", 'Pulldown Data'!AA105, ")")</f>
        <v>SML0090 (Cariad China)</v>
      </c>
      <c r="Z105" t="s">
        <v>293</v>
      </c>
      <c r="AA105" t="s">
        <v>910</v>
      </c>
      <c r="AB105" t="str">
        <v>SML0078</v>
      </c>
    </row>
    <row r="106" spans="5:28" ht="16.5" customHeight="1">
      <c r="E106" s="14"/>
      <c r="F106" s="14"/>
      <c r="G106" s="14"/>
      <c r="H106" s="14"/>
      <c r="I106" s="14"/>
      <c r="J106" s="14"/>
      <c r="K106" s="14"/>
      <c r="L106" s="14"/>
      <c r="M106" s="14"/>
      <c r="N106" s="14"/>
      <c r="O106" s="14"/>
      <c r="P106" s="14"/>
      <c r="Q106" s="14"/>
      <c r="R106" s="14"/>
      <c r="S106" s="14"/>
      <c r="T106" s="14"/>
      <c r="U106"/>
      <c r="V106"/>
      <c r="W106"/>
      <c r="X106"/>
      <c r="Y106" t="str">
        <f>_xlfn.CONCAT('Pulldown Data'!Z106, " (", 'Pulldown Data'!AA106, ")")</f>
        <v>SML0091 (ICM 1.0)</v>
      </c>
      <c r="Z106" t="s">
        <v>294</v>
      </c>
      <c r="AA106" t="s">
        <v>914</v>
      </c>
      <c r="AB106" t="str">
        <v>SML0079</v>
      </c>
    </row>
    <row r="107" spans="5:28" ht="16.5" customHeight="1">
      <c r="E107" s="14"/>
      <c r="F107" s="14"/>
      <c r="G107" s="14"/>
      <c r="H107" s="14"/>
      <c r="I107" s="14"/>
      <c r="J107" s="14"/>
      <c r="K107" s="14"/>
      <c r="L107" s="14"/>
      <c r="M107" s="14"/>
      <c r="N107" s="14"/>
      <c r="O107" s="14"/>
      <c r="P107" s="14"/>
      <c r="Q107" s="14"/>
      <c r="R107" s="14"/>
      <c r="S107" s="14"/>
      <c r="T107" s="14"/>
      <c r="U107"/>
      <c r="V107"/>
      <c r="W107"/>
      <c r="X107"/>
      <c r="Y107" t="str">
        <f>_xlfn.CONCAT('Pulldown Data'!Z107, " (", 'Pulldown Data'!AA107, ")")</f>
        <v>SML0092 (DMS Truck)</v>
      </c>
      <c r="Z107" t="s">
        <v>295</v>
      </c>
      <c r="AA107" t="s">
        <v>915</v>
      </c>
      <c r="AB107" t="str">
        <v>SML0079_1</v>
      </c>
    </row>
    <row r="108" spans="5:28" ht="16.5" customHeight="1">
      <c r="E108" s="14"/>
      <c r="F108" s="14"/>
      <c r="G108" s="14"/>
      <c r="H108" s="14"/>
      <c r="I108" s="14"/>
      <c r="J108" s="14"/>
      <c r="K108" s="14"/>
      <c r="L108" s="14"/>
      <c r="M108" s="14"/>
      <c r="N108" s="14"/>
      <c r="O108" s="14"/>
      <c r="P108" s="14"/>
      <c r="Q108" s="14"/>
      <c r="R108" s="14"/>
      <c r="S108" s="14"/>
      <c r="T108" s="14"/>
      <c r="U108"/>
      <c r="V108"/>
      <c r="W108"/>
      <c r="X108"/>
      <c r="Y108" t="str">
        <f>_xlfn.CONCAT('Pulldown Data'!Z108, " (", 'Pulldown Data'!AA108, ")")</f>
        <v>SML0093 (X2 and other Platform )</v>
      </c>
      <c r="Z108" t="s">
        <v>296</v>
      </c>
      <c r="AA108" t="s">
        <v>916</v>
      </c>
      <c r="AB108" t="str">
        <v>SML0080</v>
      </c>
    </row>
    <row r="109" spans="5:28" ht="16.5" customHeight="1">
      <c r="E109" s="14"/>
      <c r="F109" s="14"/>
      <c r="G109" s="14"/>
      <c r="H109" s="14"/>
      <c r="I109" s="14"/>
      <c r="J109" s="14"/>
      <c r="K109" s="14"/>
      <c r="L109" s="14"/>
      <c r="M109" s="14"/>
      <c r="N109" s="14"/>
      <c r="O109" s="14"/>
      <c r="P109" s="14"/>
      <c r="Q109" s="14"/>
      <c r="R109" s="14"/>
      <c r="S109" s="14"/>
      <c r="T109" s="14"/>
      <c r="U109"/>
      <c r="V109"/>
      <c r="W109"/>
      <c r="X109"/>
      <c r="Y109" t="str">
        <f>_xlfn.CONCAT('Pulldown Data'!Z109, " (", 'Pulldown Data'!AA109, ")")</f>
        <v>SML0094 (DMS)</v>
      </c>
      <c r="Z109" t="s">
        <v>297</v>
      </c>
      <c r="AA109" t="s">
        <v>890</v>
      </c>
      <c r="AB109" t="str">
        <v>SML0081</v>
      </c>
    </row>
    <row r="110" spans="5:28" ht="16.5" customHeight="1">
      <c r="E110" s="14"/>
      <c r="F110" s="14"/>
      <c r="G110" s="14"/>
      <c r="H110" s="14"/>
      <c r="I110" s="14"/>
      <c r="J110" s="14"/>
      <c r="K110" s="14"/>
      <c r="L110" s="14"/>
      <c r="M110" s="14"/>
      <c r="N110" s="14"/>
      <c r="O110" s="14"/>
      <c r="P110" s="14"/>
      <c r="Q110" s="14"/>
      <c r="R110" s="14"/>
      <c r="S110" s="14"/>
      <c r="T110" s="14"/>
      <c r="U110"/>
      <c r="V110"/>
      <c r="W110"/>
      <c r="X110"/>
      <c r="Y110" t="str">
        <f>_xlfn.CONCAT('Pulldown Data'!Z110, " (", 'Pulldown Data'!AA110, ")")</f>
        <v>SML0095 (Sweet 500)</v>
      </c>
      <c r="Z110" t="s">
        <v>298</v>
      </c>
      <c r="AA110" t="s">
        <v>900</v>
      </c>
      <c r="AB110" t="str">
        <v>SML0082</v>
      </c>
    </row>
    <row r="111" spans="5:28" ht="16.5" customHeight="1">
      <c r="E111" s="14"/>
      <c r="F111" s="14"/>
      <c r="G111" s="14"/>
      <c r="H111" s="14"/>
      <c r="I111" s="14"/>
      <c r="J111" s="14"/>
      <c r="K111" s="14"/>
      <c r="L111" s="14"/>
      <c r="M111" s="14"/>
      <c r="N111" s="14"/>
      <c r="O111" s="14"/>
      <c r="P111" s="14"/>
      <c r="Q111" s="14"/>
      <c r="R111" s="14"/>
      <c r="S111" s="14"/>
      <c r="T111" s="14"/>
      <c r="U111"/>
      <c r="V111"/>
      <c r="W111"/>
      <c r="X111"/>
      <c r="Y111" t="str">
        <f>_xlfn.CONCAT('Pulldown Data'!Z111, " (", 'Pulldown Data'!AA111, ")")</f>
        <v>SML0095_1 (Sweet 500)</v>
      </c>
      <c r="Z111" t="s">
        <v>299</v>
      </c>
      <c r="AA111" t="s">
        <v>900</v>
      </c>
      <c r="AB111" t="str">
        <v>SML0082_1</v>
      </c>
    </row>
    <row r="112" spans="5:28" ht="16.5" customHeight="1">
      <c r="E112" s="14"/>
      <c r="F112" s="14"/>
      <c r="G112" s="14"/>
      <c r="H112" s="14"/>
      <c r="I112" s="14"/>
      <c r="J112" s="14"/>
      <c r="K112" s="14"/>
      <c r="L112" s="14"/>
      <c r="M112" s="14"/>
      <c r="N112" s="14"/>
      <c r="O112" s="14"/>
      <c r="P112" s="14"/>
      <c r="Q112" s="14"/>
      <c r="R112" s="14"/>
      <c r="S112" s="14"/>
      <c r="T112" s="14"/>
      <c r="U112"/>
      <c r="V112"/>
      <c r="W112"/>
      <c r="X112"/>
      <c r="Y112" t="str">
        <f>_xlfn.CONCAT('Pulldown Data'!Z112, " (", 'Pulldown Data'!AA112, ")")</f>
        <v>SML0095_2 (FlexEVAN/ Sweet500 A (NCAP/GSR))</v>
      </c>
      <c r="Z112" t="s">
        <v>300</v>
      </c>
      <c r="AA112" t="s">
        <v>917</v>
      </c>
      <c r="AB112" t="str">
        <v>SML0082_2</v>
      </c>
    </row>
    <row r="113" spans="5:28" ht="16.5" customHeight="1">
      <c r="E113" s="14"/>
      <c r="F113" s="14"/>
      <c r="G113" s="14"/>
      <c r="H113" s="14"/>
      <c r="I113" s="14"/>
      <c r="J113" s="14"/>
      <c r="K113" s="14"/>
      <c r="L113" s="14"/>
      <c r="M113" s="14"/>
      <c r="N113" s="14"/>
      <c r="O113" s="14"/>
      <c r="P113" s="14"/>
      <c r="Q113" s="14"/>
      <c r="R113" s="14"/>
      <c r="S113" s="14"/>
      <c r="T113" s="14"/>
      <c r="U113"/>
      <c r="V113"/>
      <c r="W113"/>
      <c r="X113"/>
      <c r="Y113" t="str">
        <f>_xlfn.CONCAT('Pulldown Data'!Z113, " (", 'Pulldown Data'!AA113, ")")</f>
        <v>SML0095_3 (FlexEVAN/ Sweet500 A (NCAP/GSR))</v>
      </c>
      <c r="Z113" t="s">
        <v>301</v>
      </c>
      <c r="AA113" t="s">
        <v>917</v>
      </c>
      <c r="AB113" t="str">
        <v>SML0082_3</v>
      </c>
    </row>
    <row r="114" spans="5:28" ht="16.5" customHeight="1">
      <c r="E114" s="14"/>
      <c r="F114" s="14"/>
      <c r="G114" s="14"/>
      <c r="H114" s="14"/>
      <c r="I114" s="14"/>
      <c r="J114" s="14"/>
      <c r="K114" s="14"/>
      <c r="L114" s="14"/>
      <c r="M114" s="14"/>
      <c r="N114" s="14"/>
      <c r="O114" s="14"/>
      <c r="P114" s="14"/>
      <c r="Q114" s="14"/>
      <c r="R114" s="14"/>
      <c r="S114" s="14"/>
      <c r="T114" s="14"/>
      <c r="U114"/>
      <c r="V114"/>
      <c r="W114"/>
      <c r="X114"/>
      <c r="Y114" t="str">
        <f>_xlfn.CONCAT('Pulldown Data'!Z114, " (", 'Pulldown Data'!AA114, ")")</f>
        <v>SML0096 (Harman Core Signals)</v>
      </c>
      <c r="Z114" t="s">
        <v>302</v>
      </c>
      <c r="AA114" t="s">
        <v>918</v>
      </c>
      <c r="AB114" t="str">
        <v>SML0082_4</v>
      </c>
    </row>
    <row r="115" spans="5:28" ht="16.5" customHeight="1">
      <c r="E115" s="14"/>
      <c r="F115" s="14"/>
      <c r="G115" s="14"/>
      <c r="H115" s="14"/>
      <c r="I115" s="14"/>
      <c r="J115" s="14"/>
      <c r="K115" s="14"/>
      <c r="L115" s="14"/>
      <c r="M115" s="14"/>
      <c r="N115" s="14"/>
      <c r="O115" s="14"/>
      <c r="P115" s="14"/>
      <c r="Q115" s="14"/>
      <c r="R115" s="14"/>
      <c r="S115" s="14"/>
      <c r="T115" s="14"/>
      <c r="U115"/>
      <c r="V115"/>
      <c r="W115"/>
      <c r="X115"/>
      <c r="Y115" t="str">
        <f>_xlfn.CONCAT('Pulldown Data'!Z115, " (", 'Pulldown Data'!AA115, ")")</f>
        <v>SML0097 (DAA Small (Forvia))</v>
      </c>
      <c r="Z115" t="s">
        <v>303</v>
      </c>
      <c r="AA115" t="s">
        <v>919</v>
      </c>
      <c r="AB115" t="str">
        <v>SML0082_5</v>
      </c>
    </row>
    <row r="116" spans="5:28" ht="16.5" customHeight="1">
      <c r="E116" s="14"/>
      <c r="F116" s="14"/>
      <c r="G116" s="14"/>
      <c r="H116" s="14"/>
      <c r="I116" s="14"/>
      <c r="J116" s="14"/>
      <c r="K116" s="14"/>
      <c r="L116" s="14"/>
      <c r="M116" s="14"/>
      <c r="N116" s="14"/>
      <c r="O116" s="14"/>
      <c r="P116" s="14"/>
      <c r="Q116" s="14"/>
      <c r="R116" s="14"/>
      <c r="S116" s="14"/>
      <c r="T116" s="14"/>
      <c r="U116"/>
      <c r="V116"/>
      <c r="W116"/>
      <c r="X116"/>
      <c r="Y116" t="str">
        <f>_xlfn.CONCAT('Pulldown Data'!Z116, " (", 'Pulldown Data'!AA116, ")")</f>
        <v>SML0098 (DMS Inside Mirror)</v>
      </c>
      <c r="Z116" t="s">
        <v>304</v>
      </c>
      <c r="AA116" t="s">
        <v>920</v>
      </c>
      <c r="AB116" t="str">
        <v>SML0083</v>
      </c>
    </row>
    <row r="117" spans="5:28" ht="16.5" customHeight="1">
      <c r="E117" s="14"/>
      <c r="F117" s="14"/>
      <c r="G117" s="14"/>
      <c r="H117" s="14"/>
      <c r="I117" s="14"/>
      <c r="J117" s="14"/>
      <c r="K117" s="14"/>
      <c r="L117" s="14"/>
      <c r="M117" s="14"/>
      <c r="N117" s="14"/>
      <c r="O117" s="14"/>
      <c r="P117" s="14"/>
      <c r="Q117" s="14"/>
      <c r="R117" s="14"/>
      <c r="S117" s="14"/>
      <c r="T117" s="14"/>
      <c r="U117"/>
      <c r="V117"/>
      <c r="W117"/>
      <c r="X117"/>
      <c r="Y117" t="str">
        <f>_xlfn.CONCAT('Pulldown Data'!Z117, " (", 'Pulldown Data'!AA117, ")")</f>
        <v>SML0098_1 (DMS Inside Mirror)</v>
      </c>
      <c r="Z117" t="s">
        <v>305</v>
      </c>
      <c r="AA117" t="s">
        <v>920</v>
      </c>
      <c r="AB117" t="str">
        <v>SML0084</v>
      </c>
    </row>
    <row r="118" spans="5:28" ht="16.5" customHeight="1">
      <c r="E118" s="14"/>
      <c r="F118" s="14"/>
      <c r="G118" s="14"/>
      <c r="H118" s="14"/>
      <c r="I118" s="14"/>
      <c r="J118" s="14"/>
      <c r="K118" s="14"/>
      <c r="L118" s="14"/>
      <c r="M118" s="14"/>
      <c r="N118" s="14"/>
      <c r="O118" s="14"/>
      <c r="P118" s="14"/>
      <c r="Q118" s="14"/>
      <c r="R118" s="14"/>
      <c r="S118" s="14"/>
      <c r="T118" s="14"/>
      <c r="U118"/>
      <c r="V118"/>
      <c r="W118"/>
      <c r="X118"/>
      <c r="Y118" t="str">
        <f>_xlfn.CONCAT('Pulldown Data'!Z118, " (", 'Pulldown Data'!AA118, ")")</f>
        <v>SML0098_2 (DMS Inside Mirror)</v>
      </c>
      <c r="Z118" t="s">
        <v>306</v>
      </c>
      <c r="AA118" t="s">
        <v>920</v>
      </c>
      <c r="AB118" t="str">
        <v>SML0085</v>
      </c>
    </row>
    <row r="119" spans="5:28" ht="16.5" customHeight="1">
      <c r="E119" s="14"/>
      <c r="F119" s="14"/>
      <c r="G119" s="14"/>
      <c r="H119" s="14"/>
      <c r="I119" s="14"/>
      <c r="J119" s="14"/>
      <c r="K119" s="14"/>
      <c r="L119" s="14"/>
      <c r="M119" s="14"/>
      <c r="N119" s="14"/>
      <c r="O119" s="14"/>
      <c r="P119" s="14"/>
      <c r="Q119" s="14"/>
      <c r="R119" s="14"/>
      <c r="S119" s="14"/>
      <c r="T119" s="14"/>
      <c r="U119"/>
      <c r="V119"/>
      <c r="W119"/>
      <c r="X119"/>
      <c r="Y119" t="str">
        <f>_xlfn.CONCAT('Pulldown Data'!Z119, " (", 'Pulldown Data'!AA119, ")")</f>
        <v>SML0099 (DMS)</v>
      </c>
      <c r="Z119" t="s">
        <v>307</v>
      </c>
      <c r="AA119" t="s">
        <v>890</v>
      </c>
      <c r="AB119" t="str">
        <v>SML0086</v>
      </c>
    </row>
    <row r="120" spans="5:28" ht="16.5" customHeight="1">
      <c r="E120" s="14"/>
      <c r="F120" s="14"/>
      <c r="G120" s="14"/>
      <c r="H120" s="14"/>
      <c r="I120" s="14"/>
      <c r="J120" s="14"/>
      <c r="K120" s="14"/>
      <c r="L120" s="14"/>
      <c r="M120" s="14"/>
      <c r="N120" s="14"/>
      <c r="O120" s="14"/>
      <c r="P120" s="14"/>
      <c r="Q120" s="14"/>
      <c r="R120" s="14"/>
      <c r="S120" s="14"/>
      <c r="T120" s="14"/>
      <c r="U120"/>
      <c r="V120"/>
      <c r="W120"/>
      <c r="X120"/>
      <c r="Y120" t="str">
        <f>_xlfn.CONCAT('Pulldown Data'!Z120, " (", 'Pulldown Data'!AA120, ")")</f>
        <v>SML0100 (DMS)</v>
      </c>
      <c r="Z120" t="s">
        <v>308</v>
      </c>
      <c r="AA120" t="s">
        <v>890</v>
      </c>
      <c r="AB120" t="str">
        <v>SML0086_1</v>
      </c>
    </row>
    <row r="121" spans="5:28" ht="16.5" customHeight="1">
      <c r="E121" s="14"/>
      <c r="F121" s="14"/>
      <c r="G121" s="14"/>
      <c r="H121" s="14"/>
      <c r="I121" s="14"/>
      <c r="J121" s="14"/>
      <c r="K121" s="14"/>
      <c r="L121" s="14"/>
      <c r="M121" s="14"/>
      <c r="N121" s="14"/>
      <c r="O121" s="14"/>
      <c r="P121" s="14"/>
      <c r="Q121" s="14"/>
      <c r="R121" s="14"/>
      <c r="S121" s="14"/>
      <c r="T121" s="14"/>
      <c r="U121"/>
      <c r="V121"/>
      <c r="W121"/>
      <c r="X121"/>
      <c r="Y121" t="str">
        <f>_xlfn.CONCAT('Pulldown Data'!Z121, " (", 'Pulldown Data'!AA121, ")")</f>
        <v>SML0101 (DMS CCU/SDV2 Integration)</v>
      </c>
      <c r="Z121" t="s">
        <v>309</v>
      </c>
      <c r="AA121" t="s">
        <v>921</v>
      </c>
      <c r="AB121" t="str">
        <v>SML0087</v>
      </c>
    </row>
    <row r="122" spans="5:28" ht="16.5" customHeight="1">
      <c r="E122" s="14"/>
      <c r="F122" s="14"/>
      <c r="G122" s="14"/>
      <c r="H122" s="14"/>
      <c r="I122" s="14"/>
      <c r="J122" s="14"/>
      <c r="K122" s="14"/>
      <c r="L122" s="14"/>
      <c r="M122" s="14"/>
      <c r="N122" s="14"/>
      <c r="O122" s="14"/>
      <c r="P122" s="14"/>
      <c r="Q122" s="14"/>
      <c r="R122" s="14"/>
      <c r="S122" s="14"/>
      <c r="T122" s="14"/>
      <c r="U122"/>
      <c r="V122"/>
      <c r="W122"/>
      <c r="X122"/>
      <c r="Y122" t="str">
        <f>_xlfn.CONCAT('Pulldown Data'!Z122, " (", 'Pulldown Data'!AA122, ")")</f>
        <v>SML0102 (Production - Monitoring Enablers Innovation Project)</v>
      </c>
      <c r="Z122" t="s">
        <v>310</v>
      </c>
      <c r="AA122" t="s">
        <v>922</v>
      </c>
      <c r="AB122" t="str">
        <v>SML0088</v>
      </c>
    </row>
    <row r="123" spans="5:28" ht="16.5" customHeight="1">
      <c r="E123" s="14"/>
      <c r="F123" s="14"/>
      <c r="G123" s="14"/>
      <c r="H123" s="14"/>
      <c r="I123" s="14"/>
      <c r="J123" s="14"/>
      <c r="K123" s="14"/>
      <c r="L123" s="14"/>
      <c r="M123" s="14"/>
      <c r="N123" s="14"/>
      <c r="O123" s="14"/>
      <c r="P123" s="14"/>
      <c r="Q123" s="14"/>
      <c r="R123" s="14"/>
      <c r="S123" s="14"/>
      <c r="T123" s="14"/>
      <c r="U123"/>
      <c r="V123"/>
      <c r="W123"/>
      <c r="X123"/>
      <c r="Y123" t="str">
        <f>_xlfn.CONCAT('Pulldown Data'!Z123, " (", 'Pulldown Data'!AA123, ")")</f>
        <v>SML0103 (GM Gen 4)</v>
      </c>
      <c r="Z123" t="s">
        <v>311</v>
      </c>
      <c r="AA123" t="s">
        <v>923</v>
      </c>
      <c r="AB123" t="str">
        <v>SML0088_1</v>
      </c>
    </row>
    <row r="124" spans="5:28" ht="16.5" customHeight="1">
      <c r="E124" s="14"/>
      <c r="F124" s="14"/>
      <c r="G124" s="14"/>
      <c r="H124" s="14"/>
      <c r="I124" s="14"/>
      <c r="J124" s="14"/>
      <c r="K124" s="14"/>
      <c r="L124" s="14"/>
      <c r="M124" s="14"/>
      <c r="N124" s="14"/>
      <c r="O124" s="14"/>
      <c r="P124" s="14"/>
      <c r="Q124" s="14"/>
      <c r="R124" s="14"/>
      <c r="S124" s="14"/>
      <c r="T124" s="14"/>
      <c r="U124"/>
      <c r="V124"/>
      <c r="W124"/>
      <c r="X124"/>
      <c r="Y124" t="str">
        <f>_xlfn.CONCAT('Pulldown Data'!Z124, " (", 'Pulldown Data'!AA124, ")")</f>
        <v>SML0104 (Production - Monitoring Enablers Innovation Project  (DMS ICCM))</v>
      </c>
      <c r="Z124" t="s">
        <v>312</v>
      </c>
      <c r="AA124" t="s">
        <v>924</v>
      </c>
      <c r="AB124" t="str">
        <v>SML0089</v>
      </c>
    </row>
    <row r="125" spans="5:28" ht="16.5" customHeight="1">
      <c r="E125" s="14"/>
      <c r="F125" s="14"/>
      <c r="G125" s="14"/>
      <c r="H125" s="14"/>
      <c r="I125" s="14"/>
      <c r="J125" s="14"/>
      <c r="K125" s="14"/>
      <c r="L125" s="14"/>
      <c r="M125" s="14"/>
      <c r="N125" s="14"/>
      <c r="O125" s="14"/>
      <c r="P125" s="14"/>
      <c r="Q125" s="14"/>
      <c r="R125" s="14"/>
      <c r="S125" s="14"/>
      <c r="T125" s="14"/>
      <c r="U125"/>
      <c r="V125"/>
      <c r="W125"/>
      <c r="X125"/>
      <c r="Y125" t="str">
        <f>_xlfn.CONCAT('Pulldown Data'!Z125, " (", 'Pulldown Data'!AA125, ")")</f>
        <v>SML0105 (DMS (R1 Peregrine))</v>
      </c>
      <c r="Z125" t="s">
        <v>313</v>
      </c>
      <c r="AA125" t="s">
        <v>925</v>
      </c>
      <c r="AB125" t="str">
        <v>SML0090</v>
      </c>
    </row>
    <row r="126" spans="5:28" ht="16.5" customHeight="1">
      <c r="E126" s="14"/>
      <c r="F126" s="14"/>
      <c r="G126" s="14"/>
      <c r="H126" s="14"/>
      <c r="I126" s="14"/>
      <c r="J126" s="14"/>
      <c r="K126" s="14"/>
      <c r="L126" s="14"/>
      <c r="M126" s="14"/>
      <c r="N126" s="14"/>
      <c r="O126" s="14"/>
      <c r="P126" s="14"/>
      <c r="Q126" s="14"/>
      <c r="R126" s="14"/>
      <c r="S126" s="14"/>
      <c r="T126" s="14"/>
      <c r="U126"/>
      <c r="V126"/>
      <c r="W126"/>
      <c r="X126"/>
      <c r="Y126" t="str">
        <f>_xlfn.CONCAT('Pulldown Data'!Z126, " (", 'Pulldown Data'!AA126, ")")</f>
        <v>SML0106 (GSR)</v>
      </c>
      <c r="Z126" t="s">
        <v>314</v>
      </c>
      <c r="AA126" t="s">
        <v>883</v>
      </c>
      <c r="AB126" t="str">
        <v>SML0091</v>
      </c>
    </row>
    <row r="127" spans="5:28" ht="16.5" customHeight="1">
      <c r="E127" s="14"/>
      <c r="F127" s="14"/>
      <c r="G127" s="14"/>
      <c r="H127" s="14"/>
      <c r="I127" s="14"/>
      <c r="J127" s="14"/>
      <c r="K127" s="14"/>
      <c r="L127" s="14"/>
      <c r="M127" s="14"/>
      <c r="N127" s="14"/>
      <c r="O127" s="14"/>
      <c r="P127" s="14"/>
      <c r="Q127" s="14"/>
      <c r="R127" s="14"/>
      <c r="S127" s="14"/>
      <c r="T127" s="14"/>
      <c r="U127"/>
      <c r="V127"/>
      <c r="W127"/>
      <c r="X127"/>
      <c r="Y127" t="str">
        <f>_xlfn.CONCAT('Pulldown Data'!Z127, " (", 'Pulldown Data'!AA127, ")")</f>
        <v>SML0106_1 (GSR)</v>
      </c>
      <c r="Z127" t="s">
        <v>315</v>
      </c>
      <c r="AA127" t="s">
        <v>883</v>
      </c>
      <c r="AB127" t="str">
        <v>SML0092</v>
      </c>
    </row>
    <row r="128" spans="5:28" ht="16.5" customHeight="1">
      <c r="E128" s="14"/>
      <c r="F128" s="14"/>
      <c r="G128" s="14"/>
      <c r="H128" s="14"/>
      <c r="I128" s="14"/>
      <c r="J128" s="14"/>
      <c r="K128" s="14"/>
      <c r="L128" s="14"/>
      <c r="M128" s="14"/>
      <c r="N128" s="14"/>
      <c r="O128" s="14"/>
      <c r="P128" s="14"/>
      <c r="Q128" s="14"/>
      <c r="R128" s="14"/>
      <c r="S128" s="14"/>
      <c r="T128" s="14"/>
      <c r="U128"/>
      <c r="V128"/>
      <c r="W128"/>
      <c r="X128"/>
      <c r="Y128" t="str">
        <f>_xlfn.CONCAT('Pulldown Data'!Z128, " (", 'Pulldown Data'!AA128, ")")</f>
        <v>SML0106_2 (GSR)</v>
      </c>
      <c r="Z128" t="s">
        <v>316</v>
      </c>
      <c r="AA128" t="s">
        <v>883</v>
      </c>
      <c r="AB128" t="str">
        <v>SML0093</v>
      </c>
    </row>
    <row r="129" spans="5:28" ht="16.5" customHeight="1">
      <c r="E129" s="14"/>
      <c r="F129" s="14"/>
      <c r="G129" s="14"/>
      <c r="H129" s="14"/>
      <c r="I129" s="14"/>
      <c r="J129" s="14"/>
      <c r="K129" s="14"/>
      <c r="L129" s="14"/>
      <c r="M129" s="14"/>
      <c r="N129" s="14"/>
      <c r="O129" s="14"/>
      <c r="P129" s="14"/>
      <c r="Q129" s="14"/>
      <c r="R129" s="14"/>
      <c r="S129" s="14"/>
      <c r="T129" s="14"/>
      <c r="U129"/>
      <c r="V129"/>
      <c r="W129"/>
      <c r="X129"/>
      <c r="Y129" t="str">
        <f>_xlfn.CONCAT('Pulldown Data'!Z129, " (", 'Pulldown Data'!AA129, ")")</f>
        <v>SML0106_3 (GSR)</v>
      </c>
      <c r="Z129" t="s">
        <v>317</v>
      </c>
      <c r="AA129" t="s">
        <v>883</v>
      </c>
      <c r="AB129" t="str">
        <v>SML0094</v>
      </c>
    </row>
    <row r="130" spans="5:28" ht="16.5" customHeight="1">
      <c r="E130" s="14"/>
      <c r="F130" s="14"/>
      <c r="G130" s="14"/>
      <c r="H130" s="14"/>
      <c r="I130" s="14"/>
      <c r="J130" s="14"/>
      <c r="K130" s="14"/>
      <c r="L130" s="14"/>
      <c r="M130" s="14"/>
      <c r="N130" s="14"/>
      <c r="O130" s="14"/>
      <c r="P130" s="14"/>
      <c r="Q130" s="14"/>
      <c r="R130" s="14"/>
      <c r="S130" s="14"/>
      <c r="T130" s="14"/>
      <c r="U130"/>
      <c r="V130"/>
      <c r="W130"/>
      <c r="X130"/>
      <c r="Y130" t="str">
        <f>_xlfn.CONCAT('Pulldown Data'!Z130, " (", 'Pulldown Data'!AA130, ")")</f>
        <v>SML0106_4 (GSR)</v>
      </c>
      <c r="Z130" t="s">
        <v>318</v>
      </c>
      <c r="AA130" t="s">
        <v>883</v>
      </c>
      <c r="AB130" t="str">
        <v>SML0095</v>
      </c>
    </row>
    <row r="131" spans="5:28" ht="16.5" customHeight="1">
      <c r="E131" s="14"/>
      <c r="F131" s="14"/>
      <c r="G131" s="14"/>
      <c r="H131" s="14"/>
      <c r="I131" s="14"/>
      <c r="J131" s="14"/>
      <c r="K131" s="14"/>
      <c r="L131" s="14"/>
      <c r="M131" s="14"/>
      <c r="N131" s="14"/>
      <c r="O131" s="14"/>
      <c r="P131" s="14"/>
      <c r="Q131" s="14"/>
      <c r="R131" s="14"/>
      <c r="S131" s="14"/>
      <c r="T131" s="14"/>
      <c r="U131"/>
      <c r="V131"/>
      <c r="W131"/>
      <c r="X131"/>
      <c r="Y131" t="str">
        <f>_xlfn.CONCAT('Pulldown Data'!Z131, " (", 'Pulldown Data'!AA131, ")")</f>
        <v>SML0106_5 (GSR)</v>
      </c>
      <c r="Z131" t="s">
        <v>319</v>
      </c>
      <c r="AA131" t="s">
        <v>883</v>
      </c>
      <c r="AB131" t="str">
        <v>SML0095_1</v>
      </c>
    </row>
    <row r="132" spans="5:28" ht="16.5" customHeight="1">
      <c r="E132" s="14"/>
      <c r="F132" s="14"/>
      <c r="G132" s="14"/>
      <c r="H132" s="14"/>
      <c r="I132" s="14"/>
      <c r="J132" s="14"/>
      <c r="K132" s="14"/>
      <c r="L132" s="14"/>
      <c r="M132" s="14"/>
      <c r="N132" s="14"/>
      <c r="O132" s="14"/>
      <c r="P132" s="14"/>
      <c r="Q132" s="14"/>
      <c r="R132" s="14"/>
      <c r="S132" s="14"/>
      <c r="T132" s="14"/>
      <c r="U132"/>
      <c r="V132"/>
      <c r="W132"/>
      <c r="X132"/>
      <c r="Y132" t="str">
        <f>_xlfn.CONCAT('Pulldown Data'!Z132, " (", 'Pulldown Data'!AA132, ")")</f>
        <v>SML0106_6 (GSR)</v>
      </c>
      <c r="Z132" t="s">
        <v>320</v>
      </c>
      <c r="AA132" t="s">
        <v>883</v>
      </c>
      <c r="AB132" t="str">
        <v>SML0095_2</v>
      </c>
    </row>
    <row r="133" spans="5:28" ht="16.5" customHeight="1">
      <c r="E133" s="14"/>
      <c r="F133" s="14"/>
      <c r="G133" s="14"/>
      <c r="H133" s="14"/>
      <c r="I133" s="14"/>
      <c r="J133" s="14"/>
      <c r="K133" s="14"/>
      <c r="L133" s="14"/>
      <c r="M133" s="14"/>
      <c r="N133" s="14"/>
      <c r="O133" s="14"/>
      <c r="P133" s="14"/>
      <c r="Q133" s="14"/>
      <c r="R133" s="14"/>
      <c r="S133" s="14"/>
      <c r="T133" s="14"/>
      <c r="U133"/>
      <c r="V133"/>
      <c r="W133"/>
      <c r="X133"/>
      <c r="Y133" t="str">
        <f>_xlfn.CONCAT('Pulldown Data'!Z133, " (", 'Pulldown Data'!AA133, ")")</f>
        <v>SML0107 (DMS VF8/9)</v>
      </c>
      <c r="Z133" t="s">
        <v>321</v>
      </c>
      <c r="AA133" t="s">
        <v>926</v>
      </c>
      <c r="AB133" t="str">
        <v>SML0095_3</v>
      </c>
    </row>
    <row r="134" spans="5:28" ht="16.5" customHeight="1">
      <c r="E134" s="14"/>
      <c r="F134" s="14"/>
      <c r="G134" s="14"/>
      <c r="H134" s="14"/>
      <c r="I134" s="14"/>
      <c r="J134" s="14"/>
      <c r="K134" s="14"/>
      <c r="L134" s="14"/>
      <c r="M134" s="14"/>
      <c r="N134" s="14"/>
      <c r="O134" s="14"/>
      <c r="P134" s="14"/>
      <c r="Q134" s="14"/>
      <c r="R134" s="14"/>
      <c r="S134" s="14"/>
      <c r="T134" s="14"/>
      <c r="U134"/>
      <c r="V134"/>
      <c r="W134"/>
      <c r="X134"/>
      <c r="Y134" t="str">
        <f>_xlfn.CONCAT('Pulldown Data'!Z134, " (", 'Pulldown Data'!AA134, ")")</f>
        <v>SML0108 (H8 Cherokee Demo  (H/W &amp; /S/W))</v>
      </c>
      <c r="Z134" t="s">
        <v>322</v>
      </c>
      <c r="AA134" t="s">
        <v>927</v>
      </c>
      <c r="AB134" t="str">
        <v>SML0096</v>
      </c>
    </row>
    <row r="135" spans="5:28" ht="16.5" customHeight="1">
      <c r="E135" s="14"/>
      <c r="F135" s="14"/>
      <c r="G135" s="14"/>
      <c r="H135" s="14"/>
      <c r="I135" s="14"/>
      <c r="J135" s="14"/>
      <c r="K135" s="14"/>
      <c r="L135" s="14"/>
      <c r="M135" s="14"/>
      <c r="N135" s="14"/>
      <c r="O135" s="14"/>
      <c r="P135" s="14"/>
      <c r="Q135" s="14"/>
      <c r="R135" s="14"/>
      <c r="S135" s="14"/>
      <c r="T135" s="14"/>
      <c r="U135"/>
      <c r="V135"/>
      <c r="W135"/>
      <c r="X135"/>
      <c r="Y135" t="str">
        <f>_xlfn.CONCAT('Pulldown Data'!Z135, " (", 'Pulldown Data'!AA135, ")")</f>
        <v>SML0109 (DMS  PC Demo (Platform))</v>
      </c>
      <c r="Z135" t="s">
        <v>323</v>
      </c>
      <c r="AA135" t="s">
        <v>928</v>
      </c>
      <c r="AB135" t="str">
        <v>SML0097</v>
      </c>
    </row>
    <row r="136" spans="5:28" ht="16.5" customHeight="1">
      <c r="E136" s="14"/>
      <c r="F136" s="14"/>
      <c r="G136" s="14"/>
      <c r="H136" s="14"/>
      <c r="I136" s="14"/>
      <c r="J136" s="14"/>
      <c r="K136" s="14"/>
      <c r="L136" s="14"/>
      <c r="M136" s="14"/>
      <c r="N136" s="14"/>
      <c r="O136" s="14"/>
      <c r="P136" s="14"/>
      <c r="Q136" s="14"/>
      <c r="R136" s="14"/>
      <c r="S136" s="14"/>
      <c r="T136" s="14"/>
      <c r="U136"/>
      <c r="V136"/>
      <c r="W136"/>
      <c r="X136"/>
      <c r="Y136" t="str">
        <f>_xlfn.CONCAT('Pulldown Data'!Z136, " (", 'Pulldown Data'!AA136, ")")</f>
        <v>SML0110 (FlexEVAN/ Sweet500 B (DMS/OMS))</v>
      </c>
      <c r="Z136" t="s">
        <v>324</v>
      </c>
      <c r="AA136" t="s">
        <v>929</v>
      </c>
      <c r="AB136" t="str">
        <v>SML0098</v>
      </c>
    </row>
    <row r="137" spans="5:28" ht="16.5" customHeight="1">
      <c r="E137" s="14"/>
      <c r="F137" s="14"/>
      <c r="G137" s="14"/>
      <c r="H137" s="14"/>
      <c r="I137" s="14"/>
      <c r="J137" s="14"/>
      <c r="K137" s="14"/>
      <c r="L137" s="14"/>
      <c r="M137" s="14"/>
      <c r="N137" s="14"/>
      <c r="O137" s="14"/>
      <c r="P137" s="14"/>
      <c r="Q137" s="14"/>
      <c r="R137" s="14"/>
      <c r="S137" s="14"/>
      <c r="T137" s="14"/>
      <c r="U137"/>
      <c r="V137"/>
      <c r="W137"/>
      <c r="X137"/>
      <c r="Y137" t="str">
        <f>_xlfn.CONCAT('Pulldown Data'!Z137, " (", 'Pulldown Data'!AA137, ")")</f>
        <v>SML0111 (IPU DMS System)</v>
      </c>
      <c r="Z137" t="s">
        <v>325</v>
      </c>
      <c r="AA137" t="s">
        <v>930</v>
      </c>
      <c r="AB137" t="str">
        <v>SML0098_1</v>
      </c>
    </row>
    <row r="138" spans="5:28" ht="16.5" customHeight="1">
      <c r="E138" s="14"/>
      <c r="F138" s="14"/>
      <c r="G138" s="14"/>
      <c r="H138" s="14"/>
      <c r="I138" s="14"/>
      <c r="J138" s="14"/>
      <c r="K138" s="14"/>
      <c r="L138" s="14"/>
      <c r="M138" s="14"/>
      <c r="N138" s="14"/>
      <c r="O138" s="14"/>
      <c r="P138" s="14"/>
      <c r="Q138" s="14"/>
      <c r="R138" s="14"/>
      <c r="S138" s="14"/>
      <c r="T138" s="14"/>
      <c r="U138"/>
      <c r="V138"/>
      <c r="W138"/>
      <c r="X138"/>
      <c r="Y138" t="str">
        <f>_xlfn.CONCAT('Pulldown Data'!Z138, " (", 'Pulldown Data'!AA138, ")")</f>
        <v>SML0112 (Sweet 500 B (DMS/OMS))</v>
      </c>
      <c r="Z138" t="s">
        <v>326</v>
      </c>
      <c r="AA138" t="s">
        <v>931</v>
      </c>
      <c r="AB138" t="str">
        <v>SML0098_2</v>
      </c>
    </row>
    <row r="139" spans="5:28" ht="16.5" customHeight="1">
      <c r="E139" s="14"/>
      <c r="F139" s="14"/>
      <c r="G139" s="14"/>
      <c r="H139" s="14"/>
      <c r="I139" s="14"/>
      <c r="J139" s="14"/>
      <c r="K139" s="14"/>
      <c r="L139" s="14"/>
      <c r="M139" s="14"/>
      <c r="N139" s="14"/>
      <c r="O139" s="14"/>
      <c r="P139" s="14"/>
      <c r="Q139" s="14"/>
      <c r="R139" s="14"/>
      <c r="S139" s="14"/>
      <c r="T139" s="14"/>
      <c r="U139"/>
      <c r="V139"/>
      <c r="W139"/>
      <c r="X139"/>
      <c r="Y139" t="str">
        <f>_xlfn.CONCAT('Pulldown Data'!Z139, " (", 'Pulldown Data'!AA139, ")")</f>
        <v>SML0113 (VTTI NHTSA ADP Study)</v>
      </c>
      <c r="Z139" t="s">
        <v>327</v>
      </c>
      <c r="AA139" t="s">
        <v>932</v>
      </c>
      <c r="AB139" t="str">
        <v>SML0099</v>
      </c>
    </row>
    <row r="140" spans="5:28" ht="16.5" customHeight="1">
      <c r="E140" s="14"/>
      <c r="F140" s="14"/>
      <c r="G140" s="14"/>
      <c r="H140" s="14"/>
      <c r="I140" s="14"/>
      <c r="J140" s="14"/>
      <c r="K140" s="14"/>
      <c r="L140" s="14"/>
      <c r="M140" s="14"/>
      <c r="N140" s="14"/>
      <c r="O140" s="14"/>
      <c r="P140" s="14"/>
      <c r="Q140" s="14"/>
      <c r="R140" s="14"/>
      <c r="S140" s="14"/>
      <c r="T140" s="14"/>
      <c r="U140"/>
      <c r="V140"/>
      <c r="W140"/>
      <c r="X140"/>
      <c r="Y140" t="str">
        <f>_xlfn.CONCAT('Pulldown Data'!Z140, " (", 'Pulldown Data'!AA140, ")")</f>
        <v>SML0114 (DMS RVM)</v>
      </c>
      <c r="Z140" t="s">
        <v>328</v>
      </c>
      <c r="AA140" t="s">
        <v>933</v>
      </c>
      <c r="AB140" t="str">
        <v>SML0100</v>
      </c>
    </row>
    <row r="141" spans="5:28" ht="16.5" customHeight="1">
      <c r="E141" s="14"/>
      <c r="F141" s="14"/>
      <c r="G141" s="14"/>
      <c r="H141" s="14"/>
      <c r="I141" s="14"/>
      <c r="J141" s="14"/>
      <c r="K141" s="14"/>
      <c r="L141" s="14"/>
      <c r="M141" s="14"/>
      <c r="N141" s="14"/>
      <c r="O141" s="14"/>
      <c r="P141" s="14"/>
      <c r="Q141" s="14"/>
      <c r="R141" s="14"/>
      <c r="S141" s="14"/>
      <c r="T141" s="14"/>
      <c r="U141"/>
      <c r="V141"/>
      <c r="W141"/>
      <c r="X141"/>
      <c r="Y141" t="str">
        <f>_xlfn.CONCAT('Pulldown Data'!Z141, " (", 'Pulldown Data'!AA141, ")")</f>
        <v>SML0115 (Sweet 500 B (DMS/OMS))</v>
      </c>
      <c r="Z141" t="s">
        <v>329</v>
      </c>
      <c r="AA141" t="s">
        <v>931</v>
      </c>
      <c r="AB141" t="str">
        <v>SML0101</v>
      </c>
    </row>
    <row r="142" spans="5:28" ht="16.5" customHeight="1">
      <c r="E142" s="14"/>
      <c r="F142" s="14"/>
      <c r="G142" s="14"/>
      <c r="H142" s="14"/>
      <c r="I142" s="14"/>
      <c r="J142" s="14"/>
      <c r="K142" s="14"/>
      <c r="L142" s="14"/>
      <c r="M142" s="14"/>
      <c r="N142" s="14"/>
      <c r="O142" s="14"/>
      <c r="P142" s="14"/>
      <c r="Q142" s="14"/>
      <c r="R142" s="14"/>
      <c r="S142" s="14"/>
      <c r="T142" s="14"/>
      <c r="U142"/>
      <c r="V142"/>
      <c r="W142"/>
      <c r="X142"/>
      <c r="Y142" t="str">
        <f>_xlfn.CONCAT('Pulldown Data'!Z142, " (", 'Pulldown Data'!AA142, ")")</f>
        <v>SML0115_1 (Sweet 500 B (DMS/OMS))</v>
      </c>
      <c r="Z142" t="s">
        <v>330</v>
      </c>
      <c r="AA142" t="s">
        <v>931</v>
      </c>
      <c r="AB142" t="str">
        <v>SML0102</v>
      </c>
    </row>
    <row r="143" spans="5:28" ht="16.5" customHeight="1">
      <c r="E143" s="14"/>
      <c r="F143" s="14"/>
      <c r="G143" s="14"/>
      <c r="H143" s="14"/>
      <c r="I143" s="14"/>
      <c r="J143" s="14"/>
      <c r="K143" s="14"/>
      <c r="L143" s="14"/>
      <c r="M143" s="14"/>
      <c r="N143" s="14"/>
      <c r="O143" s="14"/>
      <c r="P143" s="14"/>
      <c r="Q143" s="14"/>
      <c r="R143" s="14"/>
      <c r="S143" s="14"/>
      <c r="T143" s="14"/>
      <c r="U143"/>
      <c r="V143"/>
      <c r="W143"/>
      <c r="X143"/>
      <c r="Y143" t="str">
        <f>_xlfn.CONCAT('Pulldown Data'!Z143, " (", 'Pulldown Data'!AA143, ")")</f>
        <v>SML0116 (Camera Occupant info)</v>
      </c>
      <c r="Z143" t="s">
        <v>331</v>
      </c>
      <c r="AA143" t="s">
        <v>934</v>
      </c>
      <c r="AB143" t="str">
        <v>SML0103</v>
      </c>
    </row>
    <row r="144" spans="5:28" ht="16.5" customHeight="1">
      <c r="E144" s="14"/>
      <c r="F144" s="14"/>
      <c r="G144" s="14"/>
      <c r="H144" s="14"/>
      <c r="I144" s="14"/>
      <c r="J144" s="14"/>
      <c r="K144" s="14"/>
      <c r="L144" s="14"/>
      <c r="M144" s="14"/>
      <c r="N144" s="14"/>
      <c r="O144" s="14"/>
      <c r="P144" s="14"/>
      <c r="Q144" s="14"/>
      <c r="R144" s="14"/>
      <c r="S144" s="14"/>
      <c r="T144" s="14"/>
      <c r="U144"/>
      <c r="V144"/>
      <c r="W144"/>
      <c r="X144"/>
      <c r="Y144" t="str">
        <f>_xlfn.CONCAT('Pulldown Data'!Z144, " (", 'Pulldown Data'!AA144, ")")</f>
        <v>SML0117 (ICMU)</v>
      </c>
      <c r="Z144" t="s">
        <v>332</v>
      </c>
      <c r="AA144" t="s">
        <v>935</v>
      </c>
      <c r="AB144" t="str">
        <v>SML0104</v>
      </c>
    </row>
    <row r="145" spans="5:28" ht="16.5" customHeight="1">
      <c r="E145" s="14"/>
      <c r="F145" s="14"/>
      <c r="G145" s="14"/>
      <c r="H145" s="14"/>
      <c r="I145" s="14"/>
      <c r="J145" s="14"/>
      <c r="K145" s="14"/>
      <c r="L145" s="14"/>
      <c r="M145" s="14"/>
      <c r="N145" s="14"/>
      <c r="O145" s="14"/>
      <c r="P145" s="14"/>
      <c r="Q145" s="14"/>
      <c r="R145" s="14"/>
      <c r="S145" s="14"/>
      <c r="T145" s="14"/>
      <c r="U145"/>
      <c r="V145"/>
      <c r="W145"/>
      <c r="X145"/>
      <c r="Y145" t="str">
        <f>_xlfn.CONCAT('Pulldown Data'!Z145, " (", 'Pulldown Data'!AA145, ")")</f>
        <v>SML0117_1 (ICMU)</v>
      </c>
      <c r="Z145" t="s">
        <v>333</v>
      </c>
      <c r="AA145" t="s">
        <v>935</v>
      </c>
      <c r="AB145" t="str">
        <v>SML0105</v>
      </c>
    </row>
    <row r="146" spans="5:28" ht="16.5" customHeight="1">
      <c r="E146" s="14"/>
      <c r="F146" s="14"/>
      <c r="G146" s="14"/>
      <c r="H146" s="14"/>
      <c r="I146" s="14"/>
      <c r="J146" s="14"/>
      <c r="K146" s="14"/>
      <c r="L146" s="14"/>
      <c r="M146" s="14"/>
      <c r="N146" s="14"/>
      <c r="O146" s="14"/>
      <c r="P146" s="14"/>
      <c r="Q146" s="14"/>
      <c r="R146" s="14"/>
      <c r="S146" s="14"/>
      <c r="T146" s="14"/>
      <c r="U146"/>
      <c r="V146"/>
      <c r="W146"/>
      <c r="X146"/>
      <c r="Y146" t="str">
        <f>_xlfn.CONCAT('Pulldown Data'!Z146, " (", 'Pulldown Data'!AA146, ")")</f>
        <v>SML0118 (ICMU)</v>
      </c>
      <c r="Z146" t="s">
        <v>334</v>
      </c>
      <c r="AA146" t="s">
        <v>935</v>
      </c>
      <c r="AB146" t="str">
        <v>SML0106</v>
      </c>
    </row>
    <row r="147" spans="5:28" ht="16.5" customHeight="1">
      <c r="E147" s="14"/>
      <c r="F147" s="14"/>
      <c r="G147" s="14"/>
      <c r="H147" s="14"/>
      <c r="I147" s="14"/>
      <c r="J147" s="14"/>
      <c r="K147" s="14"/>
      <c r="L147" s="14"/>
      <c r="M147" s="14"/>
      <c r="N147" s="14"/>
      <c r="O147" s="14"/>
      <c r="P147" s="14"/>
      <c r="Q147" s="14"/>
      <c r="R147" s="14"/>
      <c r="S147" s="14"/>
      <c r="T147" s="14"/>
      <c r="U147"/>
      <c r="V147"/>
      <c r="W147"/>
      <c r="X147"/>
      <c r="Y147" t="str">
        <f>_xlfn.CONCAT('Pulldown Data'!Z147, " (", 'Pulldown Data'!AA147, ")")</f>
        <v>SML0119 (A1 A2 Front Sensing DMS)</v>
      </c>
      <c r="Z147" t="s">
        <v>335</v>
      </c>
      <c r="AA147" t="s">
        <v>936</v>
      </c>
      <c r="AB147" t="str">
        <v>SML0106_1</v>
      </c>
    </row>
    <row r="148" spans="5:28" ht="16.5" customHeight="1">
      <c r="E148" s="14"/>
      <c r="F148" s="14"/>
      <c r="G148" s="14"/>
      <c r="H148" s="14"/>
      <c r="I148" s="14"/>
      <c r="J148" s="14"/>
      <c r="K148" s="14"/>
      <c r="L148" s="14"/>
      <c r="M148" s="14"/>
      <c r="N148" s="14"/>
      <c r="O148" s="14"/>
      <c r="P148" s="14"/>
      <c r="Q148" s="14"/>
      <c r="R148" s="14"/>
      <c r="S148" s="14"/>
      <c r="T148" s="14"/>
      <c r="U148"/>
      <c r="V148"/>
      <c r="W148"/>
      <c r="X148"/>
      <c r="Y148" t="str">
        <f>_xlfn.CONCAT('Pulldown Data'!Z148, " (", 'Pulldown Data'!AA148, ")")</f>
        <v>SML0120 (wFOV)</v>
      </c>
      <c r="Z148" t="s">
        <v>336</v>
      </c>
      <c r="AA148" t="s">
        <v>937</v>
      </c>
      <c r="AB148" t="str">
        <v>SML0106_2</v>
      </c>
    </row>
    <row r="149" spans="5:28" ht="16.5" customHeight="1">
      <c r="E149" s="14"/>
      <c r="F149" s="14"/>
      <c r="G149" s="14"/>
      <c r="H149" s="14"/>
      <c r="I149" s="14"/>
      <c r="J149" s="14"/>
      <c r="K149" s="14"/>
      <c r="L149" s="14"/>
      <c r="M149" s="14"/>
      <c r="N149" s="14"/>
      <c r="O149" s="14"/>
      <c r="P149" s="14"/>
      <c r="Q149" s="14"/>
      <c r="R149" s="14"/>
      <c r="S149" s="14"/>
      <c r="T149" s="14"/>
      <c r="U149"/>
      <c r="V149"/>
      <c r="W149"/>
      <c r="X149"/>
      <c r="Y149" t="str">
        <f>_xlfn.CONCAT('Pulldown Data'!Z149, " (", 'Pulldown Data'!AA149, ")")</f>
        <v>SML0120_1 (wFOV)</v>
      </c>
      <c r="Z149" t="s">
        <v>340</v>
      </c>
      <c r="AA149" t="s">
        <v>937</v>
      </c>
      <c r="AB149" t="str">
        <v>SML0106_3</v>
      </c>
    </row>
    <row r="150" spans="5:28" ht="16.5" customHeight="1">
      <c r="E150" s="14"/>
      <c r="F150" s="14"/>
      <c r="G150" s="14"/>
      <c r="H150" s="14"/>
      <c r="I150" s="14"/>
      <c r="J150" s="14"/>
      <c r="K150" s="14"/>
      <c r="L150" s="14"/>
      <c r="M150" s="14"/>
      <c r="N150" s="14"/>
      <c r="O150" s="14"/>
      <c r="P150" s="14"/>
      <c r="Q150" s="14"/>
      <c r="R150" s="14"/>
      <c r="S150" s="14"/>
      <c r="T150" s="14"/>
      <c r="U150"/>
      <c r="V150"/>
      <c r="W150"/>
      <c r="X150"/>
      <c r="Y150" t="str">
        <f>_xlfn.CONCAT('Pulldown Data'!Z150, " (", 'Pulldown Data'!AA150, ")")</f>
        <v>SML0120_2 (wFOV)</v>
      </c>
      <c r="Z150" t="s">
        <v>341</v>
      </c>
      <c r="AA150" t="s">
        <v>937</v>
      </c>
      <c r="AB150" t="str">
        <v>SML0106_4</v>
      </c>
    </row>
    <row r="151" spans="5:28" ht="16.5" customHeight="1">
      <c r="E151" s="14"/>
      <c r="F151" s="14"/>
      <c r="G151" s="14"/>
      <c r="H151" s="14"/>
      <c r="I151" s="14"/>
      <c r="J151" s="14"/>
      <c r="K151" s="14"/>
      <c r="L151" s="14"/>
      <c r="M151" s="14"/>
      <c r="N151" s="14"/>
      <c r="O151" s="14"/>
      <c r="P151" s="14"/>
      <c r="Q151" s="14"/>
      <c r="R151" s="14"/>
      <c r="S151" s="14"/>
      <c r="T151" s="14"/>
      <c r="U151"/>
      <c r="V151"/>
      <c r="W151"/>
      <c r="X151"/>
      <c r="Y151" t="str">
        <f>_xlfn.CONCAT('Pulldown Data'!Z151, " (", 'Pulldown Data'!AA151, ")")</f>
        <v>SML0120_3 (wFOV)</v>
      </c>
      <c r="Z151" t="s">
        <v>342</v>
      </c>
      <c r="AA151" t="s">
        <v>937</v>
      </c>
      <c r="AB151" t="str">
        <v>SML0106_5</v>
      </c>
    </row>
    <row r="152" spans="5:28" ht="16.5" customHeight="1">
      <c r="E152" s="14"/>
      <c r="F152" s="14"/>
      <c r="G152" s="14"/>
      <c r="H152" s="14"/>
      <c r="I152" s="14"/>
      <c r="J152" s="14"/>
      <c r="K152" s="14"/>
      <c r="L152" s="14"/>
      <c r="M152" s="14"/>
      <c r="N152" s="14"/>
      <c r="O152" s="14"/>
      <c r="P152" s="14"/>
      <c r="Q152" s="14"/>
      <c r="R152" s="14"/>
      <c r="S152" s="14"/>
      <c r="T152" s="14"/>
      <c r="U152"/>
      <c r="V152"/>
      <c r="W152"/>
      <c r="X152"/>
      <c r="Y152" t="str">
        <f>_xlfn.CONCAT('Pulldown Data'!Z152, " (", 'Pulldown Data'!AA152, ")")</f>
        <v>SML0120_4 (wFOV)</v>
      </c>
      <c r="Z152" t="s">
        <v>343</v>
      </c>
      <c r="AA152" t="s">
        <v>937</v>
      </c>
      <c r="AB152" t="str">
        <v>SML0106_6</v>
      </c>
    </row>
    <row r="153" spans="5:28" ht="16.5" customHeight="1">
      <c r="E153" s="14"/>
      <c r="F153" s="14"/>
      <c r="G153" s="14"/>
      <c r="H153" s="14"/>
      <c r="I153" s="14"/>
      <c r="J153" s="14"/>
      <c r="K153" s="14"/>
      <c r="L153" s="14"/>
      <c r="M153" s="14"/>
      <c r="N153" s="14"/>
      <c r="O153" s="14"/>
      <c r="P153" s="14"/>
      <c r="Q153" s="14"/>
      <c r="R153" s="14"/>
      <c r="S153" s="14"/>
      <c r="T153" s="14"/>
      <c r="U153"/>
      <c r="V153"/>
      <c r="W153"/>
      <c r="X153"/>
      <c r="Y153" t="str">
        <f>_xlfn.CONCAT('Pulldown Data'!Z153, " (", 'Pulldown Data'!AA153, ")")</f>
        <v>SML0121 (Low Cost RVM DMS)</v>
      </c>
      <c r="Z153" t="s">
        <v>344</v>
      </c>
      <c r="AA153" t="s">
        <v>938</v>
      </c>
      <c r="AB153" t="str">
        <v>SML0107</v>
      </c>
    </row>
    <row r="154" spans="5:28" ht="16.5" customHeight="1">
      <c r="E154" s="14"/>
      <c r="F154" s="14"/>
      <c r="G154" s="14"/>
      <c r="H154" s="14"/>
      <c r="I154" s="14"/>
      <c r="J154" s="14"/>
      <c r="K154" s="14"/>
      <c r="L154" s="14"/>
      <c r="M154" s="14"/>
      <c r="N154" s="14"/>
      <c r="O154" s="14"/>
      <c r="P154" s="14"/>
      <c r="Q154" s="14"/>
      <c r="R154" s="14"/>
      <c r="S154" s="14"/>
      <c r="T154" s="14"/>
      <c r="U154"/>
      <c r="V154"/>
      <c r="W154"/>
      <c r="X154"/>
      <c r="Y154" t="str">
        <f>_xlfn.CONCAT('Pulldown Data'!Z154, " (", 'Pulldown Data'!AA154, ")")</f>
        <v>SML0122 (wFOV)</v>
      </c>
      <c r="Z154" t="s">
        <v>345</v>
      </c>
      <c r="AA154" t="s">
        <v>937</v>
      </c>
      <c r="AB154" t="str">
        <v>SML0108</v>
      </c>
    </row>
    <row r="155" spans="5:28" ht="16.5" customHeight="1">
      <c r="E155" s="14"/>
      <c r="F155" s="14"/>
      <c r="G155" s="14"/>
      <c r="H155" s="14"/>
      <c r="I155" s="14"/>
      <c r="J155" s="14"/>
      <c r="K155" s="14"/>
      <c r="L155" s="14"/>
      <c r="M155" s="14"/>
      <c r="N155" s="14"/>
      <c r="O155" s="14"/>
      <c r="P155" s="14"/>
      <c r="Q155" s="14"/>
      <c r="R155" s="14"/>
      <c r="S155" s="14"/>
      <c r="T155" s="14"/>
      <c r="U155"/>
      <c r="V155"/>
      <c r="W155"/>
      <c r="X155"/>
      <c r="Y155" t="str">
        <f>_xlfn.CONCAT('Pulldown Data'!Z155, " (", 'Pulldown Data'!AA155, ")")</f>
        <v>SML0122_1 (wFOV)</v>
      </c>
      <c r="Z155" t="s">
        <v>347</v>
      </c>
      <c r="AA155" t="s">
        <v>937</v>
      </c>
      <c r="AB155" t="str">
        <v>SML0109</v>
      </c>
    </row>
    <row r="156" spans="5:28" ht="16.5" customHeight="1">
      <c r="E156" s="14"/>
      <c r="F156" s="14"/>
      <c r="G156" s="14"/>
      <c r="H156" s="14"/>
      <c r="I156" s="14"/>
      <c r="J156" s="14"/>
      <c r="K156" s="14"/>
      <c r="L156" s="14"/>
      <c r="M156" s="14"/>
      <c r="N156" s="14"/>
      <c r="O156" s="14"/>
      <c r="P156" s="14"/>
      <c r="Q156" s="14"/>
      <c r="R156" s="14"/>
      <c r="S156" s="14"/>
      <c r="T156" s="14"/>
      <c r="U156"/>
      <c r="V156"/>
      <c r="W156"/>
      <c r="X156"/>
      <c r="Y156" t="str">
        <f>_xlfn.CONCAT('Pulldown Data'!Z156, " (", 'Pulldown Data'!AA156, ")")</f>
        <v>SML0122_2 (wFOV)</v>
      </c>
      <c r="Z156" t="s">
        <v>348</v>
      </c>
      <c r="AA156" t="s">
        <v>937</v>
      </c>
      <c r="AB156" t="str">
        <v>SML0110</v>
      </c>
    </row>
    <row r="157" spans="5:28" ht="16.5" customHeight="1">
      <c r="E157" s="14"/>
      <c r="F157" s="14"/>
      <c r="G157" s="14"/>
      <c r="H157" s="14"/>
      <c r="I157" s="14"/>
      <c r="J157" s="14"/>
      <c r="K157" s="14"/>
      <c r="L157" s="14"/>
      <c r="M157" s="14"/>
      <c r="N157" s="14"/>
      <c r="O157" s="14"/>
      <c r="P157" s="14"/>
      <c r="Q157" s="14"/>
      <c r="R157" s="14"/>
      <c r="S157" s="14"/>
      <c r="T157" s="14"/>
      <c r="U157"/>
      <c r="V157"/>
      <c r="W157"/>
      <c r="X157"/>
      <c r="Y157" t="str">
        <f>_xlfn.CONCAT('Pulldown Data'!Z157, " (", 'Pulldown Data'!AA157, ")")</f>
        <v>SML0123 (DAA Small)</v>
      </c>
      <c r="Z157" t="s">
        <v>349</v>
      </c>
      <c r="AA157" t="s">
        <v>939</v>
      </c>
      <c r="AB157" t="str">
        <v>SML0111</v>
      </c>
    </row>
    <row r="158" spans="5:28" ht="16.5" customHeight="1">
      <c r="E158" s="14"/>
      <c r="F158" s="14"/>
      <c r="G158" s="14"/>
      <c r="H158" s="14"/>
      <c r="I158" s="14"/>
      <c r="J158" s="14"/>
      <c r="K158" s="14"/>
      <c r="L158" s="14"/>
      <c r="M158" s="14"/>
      <c r="N158" s="14"/>
      <c r="O158" s="14"/>
      <c r="P158" s="14"/>
      <c r="Q158" s="14"/>
      <c r="R158" s="14"/>
      <c r="S158" s="14"/>
      <c r="T158" s="14"/>
      <c r="U158"/>
      <c r="V158"/>
      <c r="W158"/>
      <c r="X158"/>
      <c r="Y158" t="str">
        <f>_xlfn.CONCAT('Pulldown Data'!Z158, " (", 'Pulldown Data'!AA158, ")")</f>
        <v>SML0124 (DMS VF8/9)</v>
      </c>
      <c r="Z158" t="s">
        <v>350</v>
      </c>
      <c r="AA158" t="s">
        <v>926</v>
      </c>
      <c r="AB158" t="str">
        <v>SML0112</v>
      </c>
    </row>
    <row r="159" spans="5:28" ht="16.5" customHeight="1">
      <c r="E159" s="14"/>
      <c r="F159" s="14"/>
      <c r="G159" s="14"/>
      <c r="H159" s="14"/>
      <c r="I159" s="14"/>
      <c r="J159" s="14"/>
      <c r="K159" s="14"/>
      <c r="L159" s="14"/>
      <c r="M159" s="14"/>
      <c r="N159" s="14"/>
      <c r="O159" s="14"/>
      <c r="P159" s="14"/>
      <c r="Q159" s="14"/>
      <c r="R159" s="14"/>
      <c r="S159" s="14"/>
      <c r="T159" s="14"/>
      <c r="U159"/>
      <c r="V159"/>
      <c r="W159"/>
      <c r="X159"/>
      <c r="Y159" t="str">
        <f>_xlfn.CONCAT('Pulldown Data'!Z159, " (", 'Pulldown Data'!AA159, ")")</f>
        <v>SML0125 (MQB Platform DMS (SAIC/VW JV))</v>
      </c>
      <c r="Z159" t="s">
        <v>351</v>
      </c>
      <c r="AA159" t="s">
        <v>940</v>
      </c>
      <c r="AB159" t="str">
        <v>SML0113</v>
      </c>
    </row>
    <row r="160" spans="5:28" ht="16.5" customHeight="1">
      <c r="E160" s="14"/>
      <c r="F160" s="14"/>
      <c r="G160" s="14"/>
      <c r="H160" s="14"/>
      <c r="I160" s="14"/>
      <c r="J160" s="14"/>
      <c r="K160" s="14"/>
      <c r="L160" s="14"/>
      <c r="M160" s="14"/>
      <c r="N160" s="14"/>
      <c r="O160" s="14"/>
      <c r="P160" s="14"/>
      <c r="Q160" s="14"/>
      <c r="R160" s="14"/>
      <c r="S160" s="14"/>
      <c r="T160" s="14"/>
      <c r="U160"/>
      <c r="V160"/>
      <c r="W160"/>
      <c r="X160"/>
      <c r="Y160" t="str">
        <f>_xlfn.CONCAT('Pulldown Data'!Z160, " (", 'Pulldown Data'!AA160, ")")</f>
        <v>SML0126 (BEV )</v>
      </c>
      <c r="Z160" t="s">
        <v>352</v>
      </c>
      <c r="AA160" t="s">
        <v>941</v>
      </c>
      <c r="AB160" t="str">
        <v>SML0114</v>
      </c>
    </row>
    <row r="161" spans="5:28" ht="16.5" customHeight="1">
      <c r="E161" s="14"/>
      <c r="F161" s="14"/>
      <c r="G161" s="14"/>
      <c r="H161" s="14"/>
      <c r="I161" s="14"/>
      <c r="J161" s="14"/>
      <c r="K161" s="14"/>
      <c r="L161" s="14"/>
      <c r="M161" s="14"/>
      <c r="N161" s="14"/>
      <c r="O161" s="14"/>
      <c r="P161" s="14"/>
      <c r="Q161" s="14"/>
      <c r="R161" s="14"/>
      <c r="S161" s="14"/>
      <c r="T161" s="14"/>
      <c r="U161"/>
      <c r="V161"/>
      <c r="W161"/>
      <c r="X161"/>
      <c r="Y161" t="str">
        <f>_xlfn.CONCAT('Pulldown Data'!Z161, " (", 'Pulldown Data'!AA161, ")")</f>
        <v>SML0126_1 (BEV )</v>
      </c>
      <c r="Z161" t="s">
        <v>353</v>
      </c>
      <c r="AA161" t="s">
        <v>941</v>
      </c>
      <c r="AB161" t="str">
        <v>SML0115</v>
      </c>
    </row>
    <row r="162" spans="5:28" ht="16.5" customHeight="1">
      <c r="E162" s="14"/>
      <c r="F162" s="14"/>
      <c r="G162" s="14"/>
      <c r="H162" s="14"/>
      <c r="I162" s="14"/>
      <c r="J162" s="14"/>
      <c r="K162" s="14"/>
      <c r="L162" s="14"/>
      <c r="M162" s="14"/>
      <c r="N162" s="14"/>
      <c r="O162" s="14"/>
      <c r="P162" s="14"/>
      <c r="Q162" s="14"/>
      <c r="R162" s="14"/>
      <c r="S162" s="14"/>
      <c r="T162" s="14"/>
      <c r="U162"/>
      <c r="V162"/>
      <c r="W162"/>
      <c r="X162"/>
      <c r="Y162" t="str">
        <f>_xlfn.CONCAT('Pulldown Data'!Z162, " (", 'Pulldown Data'!AA162, ")")</f>
        <v>SML0126_2 (BEV )</v>
      </c>
      <c r="Z162" t="s">
        <v>354</v>
      </c>
      <c r="AA162" t="s">
        <v>941</v>
      </c>
      <c r="AB162" t="str">
        <v>SML0115_1</v>
      </c>
    </row>
    <row r="163" spans="5:28" ht="16.5" customHeight="1">
      <c r="E163" s="14"/>
      <c r="F163" s="14"/>
      <c r="G163" s="14"/>
      <c r="H163" s="14"/>
      <c r="I163" s="14"/>
      <c r="J163" s="14"/>
      <c r="K163" s="14"/>
      <c r="L163" s="14"/>
      <c r="M163" s="14"/>
      <c r="N163" s="14"/>
      <c r="O163" s="14"/>
      <c r="P163" s="14"/>
      <c r="Q163" s="14"/>
      <c r="R163" s="14"/>
      <c r="S163" s="14"/>
      <c r="T163" s="14"/>
      <c r="U163"/>
      <c r="V163"/>
      <c r="W163"/>
      <c r="X163"/>
      <c r="Y163" t="str">
        <f>_xlfn.CONCAT('Pulldown Data'!Z163, " (", 'Pulldown Data'!AA163, ")")</f>
        <v>SML0127 (Eye Tracker ADP)</v>
      </c>
      <c r="Z163" t="s">
        <v>355</v>
      </c>
      <c r="AA163" t="s">
        <v>942</v>
      </c>
      <c r="AB163" t="str">
        <v>SML0116</v>
      </c>
    </row>
    <row r="164" spans="5:28" ht="16.5" customHeight="1">
      <c r="E164" s="14"/>
      <c r="F164" s="14"/>
      <c r="G164" s="14"/>
      <c r="H164" s="14"/>
      <c r="I164" s="14"/>
      <c r="J164" s="14"/>
      <c r="K164" s="14"/>
      <c r="L164" s="14"/>
      <c r="M164" s="14"/>
      <c r="N164" s="14"/>
      <c r="O164" s="14"/>
      <c r="P164" s="14"/>
      <c r="Q164" s="14"/>
      <c r="R164" s="14"/>
      <c r="S164" s="14"/>
      <c r="T164" s="14"/>
      <c r="U164"/>
      <c r="V164"/>
      <c r="W164"/>
      <c r="X164"/>
      <c r="Y164" t="str">
        <f>_xlfn.CONCAT('Pulldown Data'!Z164, " (", 'Pulldown Data'!AA164, ")")</f>
        <v>SML0128 (DMS/OMS)</v>
      </c>
      <c r="Z164" t="s">
        <v>356</v>
      </c>
      <c r="AA164" t="s">
        <v>943</v>
      </c>
      <c r="AB164" t="str">
        <v>SML0117</v>
      </c>
    </row>
    <row r="165" spans="5:28" ht="16.5" customHeight="1">
      <c r="E165" s="14"/>
      <c r="F165" s="14"/>
      <c r="G165" s="14"/>
      <c r="H165" s="14"/>
      <c r="I165" s="14"/>
      <c r="J165" s="14"/>
      <c r="K165" s="14"/>
      <c r="L165" s="14"/>
      <c r="M165" s="14"/>
      <c r="N165" s="14"/>
      <c r="O165" s="14"/>
      <c r="P165" s="14"/>
      <c r="Q165" s="14"/>
      <c r="R165" s="14"/>
      <c r="S165" s="14"/>
      <c r="T165" s="14"/>
      <c r="U165"/>
      <c r="V165"/>
      <c r="W165"/>
      <c r="X165"/>
      <c r="Y165" t="str">
        <f>_xlfn.CONCAT('Pulldown Data'!Z165, " (", 'Pulldown Data'!AA165, ")")</f>
        <v>SML0129 (WFOV RVM)</v>
      </c>
      <c r="Z165" t="s">
        <v>357</v>
      </c>
      <c r="AA165" t="s">
        <v>944</v>
      </c>
      <c r="AB165" t="str">
        <v>SML0117_1</v>
      </c>
    </row>
    <row r="166" spans="5:28" ht="16.5" customHeight="1">
      <c r="E166" s="14"/>
      <c r="F166" s="14"/>
      <c r="G166" s="14"/>
      <c r="H166" s="14"/>
      <c r="I166" s="14"/>
      <c r="J166" s="14"/>
      <c r="K166" s="14"/>
      <c r="L166" s="14"/>
      <c r="M166" s="14"/>
      <c r="N166" s="14"/>
      <c r="O166" s="14"/>
      <c r="P166" s="14"/>
      <c r="Q166" s="14"/>
      <c r="R166" s="14"/>
      <c r="S166" s="14"/>
      <c r="T166" s="14"/>
      <c r="U166"/>
      <c r="V166"/>
      <c r="W166"/>
      <c r="X166"/>
      <c r="Y166" t="str">
        <f>_xlfn.CONCAT('Pulldown Data'!Z166, " (", 'Pulldown Data'!AA166, ")")</f>
        <v>SML0129_1 (WFOV RVM)</v>
      </c>
      <c r="Z166" t="s">
        <v>358</v>
      </c>
      <c r="AA166" t="s">
        <v>944</v>
      </c>
      <c r="AB166" t="str">
        <v>SML0118</v>
      </c>
    </row>
    <row r="167" spans="5:28" ht="16.5" customHeight="1">
      <c r="E167" s="14"/>
      <c r="F167" s="14"/>
      <c r="G167" s="14"/>
      <c r="H167" s="14"/>
      <c r="I167" s="14"/>
      <c r="J167" s="14"/>
      <c r="K167" s="14"/>
      <c r="L167" s="14"/>
      <c r="M167" s="14"/>
      <c r="N167" s="14"/>
      <c r="O167" s="14"/>
      <c r="P167" s="14"/>
      <c r="Q167" s="14"/>
      <c r="R167" s="14"/>
      <c r="S167" s="14"/>
      <c r="T167" s="14"/>
      <c r="U167"/>
      <c r="V167"/>
      <c r="W167"/>
      <c r="X167"/>
      <c r="Y167" t="str">
        <f>_xlfn.CONCAT('Pulldown Data'!Z167, " (", 'Pulldown Data'!AA167, ")")</f>
        <v>SML0130 (DMS )</v>
      </c>
      <c r="Z167" t="s">
        <v>359</v>
      </c>
      <c r="AA167" t="s">
        <v>945</v>
      </c>
      <c r="AB167" t="str">
        <v>SML0119</v>
      </c>
    </row>
    <row r="168" spans="5:28" ht="16.5" customHeight="1">
      <c r="E168" s="14"/>
      <c r="F168" s="14"/>
      <c r="G168" s="14"/>
      <c r="H168" s="14"/>
      <c r="I168" s="14"/>
      <c r="J168" s="14"/>
      <c r="K168" s="14"/>
      <c r="L168" s="14"/>
      <c r="M168" s="14"/>
      <c r="N168" s="14"/>
      <c r="O168" s="14"/>
      <c r="P168" s="14"/>
      <c r="Q168" s="14"/>
      <c r="R168" s="14"/>
      <c r="S168" s="14"/>
      <c r="T168" s="14"/>
      <c r="U168"/>
      <c r="V168"/>
      <c r="W168"/>
      <c r="X168"/>
      <c r="Y168" t="str">
        <f>_xlfn.CONCAT('Pulldown Data'!Z168, " (", 'Pulldown Data'!AA168, ")")</f>
        <v>SML0131 (Standalone OMS 2028)</v>
      </c>
      <c r="Z168" t="s">
        <v>360</v>
      </c>
      <c r="AA168" t="s">
        <v>946</v>
      </c>
      <c r="AB168" t="str">
        <v>SML0120</v>
      </c>
    </row>
    <row r="169" spans="5:28" ht="16.5" customHeight="1">
      <c r="E169" s="14"/>
      <c r="F169" s="14"/>
      <c r="G169" s="14"/>
      <c r="H169" s="14"/>
      <c r="I169" s="14"/>
      <c r="J169" s="14"/>
      <c r="K169" s="14"/>
      <c r="L169" s="14"/>
      <c r="M169" s="14"/>
      <c r="N169" s="14"/>
      <c r="O169" s="14"/>
      <c r="P169" s="14"/>
      <c r="Q169" s="14"/>
      <c r="R169" s="14"/>
      <c r="S169" s="14"/>
      <c r="T169" s="14"/>
      <c r="U169"/>
      <c r="V169"/>
      <c r="W169"/>
      <c r="X169"/>
      <c r="Y169" t="str">
        <f>_xlfn.CONCAT('Pulldown Data'!Z169, " (", 'Pulldown Data'!AA169, ")")</f>
        <v>SML0131_1 (Standalone OMS 2028)</v>
      </c>
      <c r="Z169" t="s">
        <v>361</v>
      </c>
      <c r="AA169" t="s">
        <v>946</v>
      </c>
      <c r="AB169" t="str">
        <v>SML0120_1</v>
      </c>
    </row>
    <row r="170" spans="5:28" ht="16.5" customHeight="1">
      <c r="E170" s="14"/>
      <c r="F170" s="14"/>
      <c r="G170" s="14"/>
      <c r="H170" s="14"/>
      <c r="I170" s="14"/>
      <c r="J170" s="14"/>
      <c r="K170" s="14"/>
      <c r="L170" s="14"/>
      <c r="M170" s="14"/>
      <c r="N170" s="14"/>
      <c r="O170" s="14"/>
      <c r="P170" s="14"/>
      <c r="Q170" s="14"/>
      <c r="R170" s="14"/>
      <c r="S170" s="14"/>
      <c r="T170" s="14"/>
      <c r="U170"/>
      <c r="V170"/>
      <c r="W170"/>
      <c r="X170"/>
      <c r="Y170" t="str">
        <f>_xlfn.CONCAT('Pulldown Data'!Z170, " (", 'Pulldown Data'!AA170, ")")</f>
        <v>SML0132 (DIL RFI)</v>
      </c>
      <c r="Z170" t="s">
        <v>362</v>
      </c>
      <c r="AA170" t="s">
        <v>947</v>
      </c>
      <c r="AB170" t="str">
        <v>SML0120_2</v>
      </c>
    </row>
    <row r="171" spans="5:28" ht="16.5" customHeight="1">
      <c r="E171" s="14"/>
      <c r="F171" s="14"/>
      <c r="G171" s="14"/>
      <c r="H171" s="14"/>
      <c r="I171" s="14"/>
      <c r="J171" s="14"/>
      <c r="K171" s="14"/>
      <c r="L171" s="14"/>
      <c r="M171" s="14"/>
      <c r="N171" s="14"/>
      <c r="O171" s="14"/>
      <c r="P171" s="14"/>
      <c r="Q171" s="14"/>
      <c r="R171" s="14"/>
      <c r="S171" s="14"/>
      <c r="T171" s="14"/>
      <c r="U171"/>
      <c r="V171"/>
      <c r="W171"/>
      <c r="X171"/>
      <c r="Y171" t="str">
        <f>_xlfn.CONCAT('Pulldown Data'!Z171, " (", 'Pulldown Data'!AA171, ")")</f>
        <v>SML0133 (Low Cost DMS China)</v>
      </c>
      <c r="Z171" t="s">
        <v>363</v>
      </c>
      <c r="AA171" t="s">
        <v>948</v>
      </c>
      <c r="AB171" t="str">
        <v>SML0120_3</v>
      </c>
    </row>
    <row r="172" spans="5:28" ht="16.5" customHeight="1">
      <c r="E172" s="14"/>
      <c r="F172" s="14"/>
      <c r="G172" s="14"/>
      <c r="H172" s="14"/>
      <c r="I172" s="14"/>
      <c r="J172" s="14"/>
      <c r="K172" s="14"/>
      <c r="L172" s="14"/>
      <c r="M172" s="14"/>
      <c r="N172" s="14"/>
      <c r="O172" s="14"/>
      <c r="P172" s="14"/>
      <c r="Q172" s="14"/>
      <c r="R172" s="14"/>
      <c r="S172" s="14"/>
      <c r="T172" s="14"/>
      <c r="U172"/>
      <c r="V172"/>
      <c r="W172"/>
      <c r="X172"/>
      <c r="Y172" t="str">
        <f>_xlfn.CONCAT('Pulldown Data'!Z172, " (", 'Pulldown Data'!AA172, ")")</f>
        <v>SML0134 (GM Feature Wars)</v>
      </c>
      <c r="Z172" t="s">
        <v>364</v>
      </c>
      <c r="AA172" t="s">
        <v>949</v>
      </c>
      <c r="AB172" t="str">
        <v>SML0120_4</v>
      </c>
    </row>
    <row r="173" spans="5:28" ht="16.5" customHeight="1">
      <c r="E173" s="14"/>
      <c r="F173" s="14"/>
      <c r="G173" s="14"/>
      <c r="H173" s="14"/>
      <c r="I173" s="14"/>
      <c r="J173" s="14"/>
      <c r="K173" s="14"/>
      <c r="L173" s="14"/>
      <c r="M173" s="14"/>
      <c r="N173" s="14"/>
      <c r="O173" s="14"/>
      <c r="P173" s="14"/>
      <c r="Q173" s="14"/>
      <c r="R173" s="14"/>
      <c r="S173" s="14"/>
      <c r="T173" s="14"/>
      <c r="U173"/>
      <c r="V173"/>
      <c r="W173"/>
      <c r="X173"/>
      <c r="Y173" t="str">
        <f>_xlfn.CONCAT('Pulldown Data'!Z173, " (", 'Pulldown Data'!AA173, ")")</f>
        <v>SML0135 (VW China)</v>
      </c>
      <c r="Z173" t="s">
        <v>365</v>
      </c>
      <c r="AA173" t="s">
        <v>950</v>
      </c>
      <c r="AB173" t="str">
        <v>SML0121</v>
      </c>
    </row>
    <row r="174" spans="5:28" ht="16.5" customHeight="1">
      <c r="E174" s="14"/>
      <c r="F174" s="14"/>
      <c r="G174" s="14"/>
      <c r="H174" s="14"/>
      <c r="I174" s="14"/>
      <c r="J174" s="14"/>
      <c r="K174" s="14"/>
      <c r="L174" s="14"/>
      <c r="M174" s="14"/>
      <c r="N174" s="14"/>
      <c r="O174" s="14"/>
      <c r="P174" s="14"/>
      <c r="Q174" s="14"/>
      <c r="R174" s="14"/>
      <c r="S174" s="14"/>
      <c r="T174" s="14"/>
      <c r="U174"/>
      <c r="V174"/>
      <c r="W174"/>
      <c r="X174"/>
      <c r="Y174" t="str">
        <f>_xlfn.CONCAT('Pulldown Data'!Z174, " (", 'Pulldown Data'!AA174, ")")</f>
        <v>SML0136 (Ampere OMS-DMS QC)</v>
      </c>
      <c r="Z174" t="s">
        <v>366</v>
      </c>
      <c r="AA174" t="s">
        <v>951</v>
      </c>
      <c r="AB174" t="str">
        <v>SML0122</v>
      </c>
    </row>
    <row r="175" spans="5:28" ht="16.5" customHeight="1">
      <c r="E175" s="14"/>
      <c r="F175" s="14"/>
      <c r="G175" s="14"/>
      <c r="H175" s="14"/>
      <c r="I175" s="14"/>
      <c r="J175" s="14"/>
      <c r="K175" s="14"/>
      <c r="L175" s="14"/>
      <c r="M175" s="14"/>
      <c r="N175" s="14"/>
      <c r="O175" s="14"/>
      <c r="P175" s="14"/>
      <c r="Q175" s="14"/>
      <c r="R175" s="14"/>
      <c r="S175" s="14"/>
      <c r="T175" s="14"/>
      <c r="U175"/>
      <c r="V175"/>
      <c r="W175"/>
      <c r="X175"/>
      <c r="Y175" t="str">
        <f>_xlfn.CONCAT('Pulldown Data'!Z175, " (", 'Pulldown Data'!AA175, ")")</f>
        <v>SML0137 (Standalone DMS 2028)</v>
      </c>
      <c r="Z175" t="s">
        <v>367</v>
      </c>
      <c r="AA175" t="s">
        <v>952</v>
      </c>
      <c r="AB175" t="str">
        <v>SML0122_1</v>
      </c>
    </row>
    <row r="176" spans="5:28" ht="16.5" customHeight="1">
      <c r="E176" s="14"/>
      <c r="F176" s="14"/>
      <c r="G176" s="14"/>
      <c r="H176" s="14"/>
      <c r="I176" s="14"/>
      <c r="J176" s="14"/>
      <c r="K176" s="14"/>
      <c r="L176" s="14"/>
      <c r="M176" s="14"/>
      <c r="N176" s="14"/>
      <c r="O176" s="14"/>
      <c r="P176" s="14"/>
      <c r="Q176" s="14"/>
      <c r="R176" s="14"/>
      <c r="S176" s="14"/>
      <c r="T176" s="14"/>
      <c r="U176"/>
      <c r="V176"/>
      <c r="W176"/>
      <c r="X176"/>
      <c r="Y176" t="str">
        <f>_xlfn.CONCAT('Pulldown Data'!Z176, " (", 'Pulldown Data'!AA176, ")")</f>
        <v>SML0138 (DMS In Cabin)</v>
      </c>
      <c r="Z176" t="s">
        <v>368</v>
      </c>
      <c r="AA176" t="s">
        <v>953</v>
      </c>
      <c r="AB176" t="str">
        <v>SML0122_2</v>
      </c>
    </row>
    <row r="177" spans="5:28" ht="16.5" customHeight="1">
      <c r="E177" s="14"/>
      <c r="F177" s="14"/>
      <c r="G177" s="14"/>
      <c r="H177" s="14"/>
      <c r="I177" s="14"/>
      <c r="J177" s="14"/>
      <c r="K177" s="14"/>
      <c r="L177" s="14"/>
      <c r="M177" s="14"/>
      <c r="N177" s="14"/>
      <c r="O177" s="14"/>
      <c r="P177" s="14"/>
      <c r="Q177" s="14"/>
      <c r="R177" s="14"/>
      <c r="S177" s="14"/>
      <c r="T177" s="14"/>
      <c r="U177"/>
      <c r="V177"/>
      <c r="W177"/>
      <c r="X177"/>
      <c r="Y177" t="str">
        <f>_xlfn.CONCAT('Pulldown Data'!Z177, " (", 'Pulldown Data'!AA177, ")")</f>
        <v>SML0139 (China Platform)</v>
      </c>
      <c r="Z177" t="s">
        <v>369</v>
      </c>
      <c r="AA177" t="s">
        <v>954</v>
      </c>
      <c r="AB177" t="str">
        <v>SML0123</v>
      </c>
    </row>
    <row r="178" spans="5:28" ht="16.5" customHeight="1">
      <c r="E178" s="14"/>
      <c r="F178" s="14"/>
      <c r="G178" s="14"/>
      <c r="H178" s="14"/>
      <c r="I178" s="14"/>
      <c r="J178" s="14"/>
      <c r="K178" s="14"/>
      <c r="L178" s="14"/>
      <c r="M178" s="14"/>
      <c r="N178" s="14"/>
      <c r="O178" s="14"/>
      <c r="P178" s="14"/>
      <c r="Q178" s="14"/>
      <c r="R178" s="14"/>
      <c r="S178" s="14"/>
      <c r="T178" s="14"/>
      <c r="U178"/>
      <c r="V178"/>
      <c r="W178"/>
      <c r="X178"/>
      <c r="Y178" t="str">
        <f>_xlfn.CONCAT('Pulldown Data'!Z178, " (", 'Pulldown Data'!AA178, ")")</f>
        <v>SML0140 (VW OMS/DMS KSS2.0)</v>
      </c>
      <c r="Z178" t="s">
        <v>370</v>
      </c>
      <c r="AA178" t="s">
        <v>955</v>
      </c>
      <c r="AB178" t="str">
        <v>SML0124</v>
      </c>
    </row>
    <row r="179" spans="5:28" ht="16.5" customHeight="1">
      <c r="E179" s="14"/>
      <c r="F179" s="14"/>
      <c r="G179" s="14"/>
      <c r="H179" s="14"/>
      <c r="I179" s="14"/>
      <c r="J179" s="14"/>
      <c r="K179" s="14"/>
      <c r="L179" s="14"/>
      <c r="M179" s="14"/>
      <c r="N179" s="14"/>
      <c r="O179" s="14"/>
      <c r="P179" s="14"/>
      <c r="Q179" s="14"/>
      <c r="R179" s="14"/>
      <c r="S179" s="14"/>
      <c r="T179" s="14"/>
      <c r="U179"/>
      <c r="V179"/>
      <c r="W179"/>
      <c r="X179"/>
      <c r="Y179" t="str">
        <f>_xlfn.CONCAT('Pulldown Data'!Z179, " (", 'Pulldown Data'!AA179, ")")</f>
        <v>SML0140_1 (VW OMS/DMS KSS2.0)</v>
      </c>
      <c r="Z179" t="s">
        <v>371</v>
      </c>
      <c r="AA179" t="s">
        <v>955</v>
      </c>
      <c r="AB179" t="str">
        <v>SML0125</v>
      </c>
    </row>
    <row r="180" spans="5:28" ht="16.5" customHeight="1">
      <c r="E180" s="14"/>
      <c r="F180" s="14"/>
      <c r="G180" s="14"/>
      <c r="H180" s="14"/>
      <c r="I180" s="14"/>
      <c r="J180" s="14"/>
      <c r="K180" s="14"/>
      <c r="L180" s="14"/>
      <c r="M180" s="14"/>
      <c r="N180" s="14"/>
      <c r="O180" s="14"/>
      <c r="P180" s="14"/>
      <c r="Q180" s="14"/>
      <c r="R180" s="14"/>
      <c r="S180" s="14"/>
      <c r="T180" s="14"/>
      <c r="U180"/>
      <c r="V180"/>
      <c r="W180"/>
      <c r="X180"/>
      <c r="Y180" t="str">
        <f>_xlfn.CONCAT('Pulldown Data'!Z180, " (", 'Pulldown Data'!AA180, ")")</f>
        <v>SML0140_2 (VW OMS/DMS KSS2.0)</v>
      </c>
      <c r="Z180" t="s">
        <v>372</v>
      </c>
      <c r="AA180" t="s">
        <v>955</v>
      </c>
      <c r="AB180" t="str">
        <v>SML0126</v>
      </c>
    </row>
    <row r="181" spans="5:28" ht="16.5" customHeight="1">
      <c r="E181" s="14"/>
      <c r="F181" s="14"/>
      <c r="G181" s="14"/>
      <c r="H181" s="14"/>
      <c r="I181" s="14"/>
      <c r="J181" s="14"/>
      <c r="K181" s="14"/>
      <c r="L181" s="14"/>
      <c r="M181" s="14"/>
      <c r="N181" s="14"/>
      <c r="O181" s="14"/>
      <c r="P181" s="14"/>
      <c r="Q181" s="14"/>
      <c r="R181" s="14"/>
      <c r="S181" s="14"/>
      <c r="T181" s="14"/>
      <c r="U181"/>
      <c r="V181"/>
      <c r="W181"/>
      <c r="X181"/>
      <c r="Y181" t="str">
        <f>_xlfn.CONCAT('Pulldown Data'!Z181, " (", 'Pulldown Data'!AA181, ")")</f>
        <v>SML0141 (ICMU)</v>
      </c>
      <c r="Z181" t="s">
        <v>373</v>
      </c>
      <c r="AA181" t="s">
        <v>935</v>
      </c>
      <c r="AB181" t="str">
        <v>SML0126_1</v>
      </c>
    </row>
    <row r="182" spans="5:28" ht="16.5" customHeight="1">
      <c r="E182" s="14"/>
      <c r="F182" s="14"/>
      <c r="G182" s="14"/>
      <c r="H182" s="14"/>
      <c r="I182" s="14"/>
      <c r="J182" s="14"/>
      <c r="K182" s="14"/>
      <c r="L182" s="14"/>
      <c r="M182" s="14"/>
      <c r="N182" s="14"/>
      <c r="O182" s="14"/>
      <c r="P182" s="14"/>
      <c r="Q182" s="14"/>
      <c r="R182" s="14"/>
      <c r="S182" s="14"/>
      <c r="T182" s="14"/>
      <c r="U182"/>
      <c r="V182"/>
      <c r="W182"/>
      <c r="X182"/>
      <c r="Y182" t="str">
        <f>_xlfn.CONCAT('Pulldown Data'!Z182, " (", 'Pulldown Data'!AA182, ")")</f>
        <v>SML0141_1 (ICMU)</v>
      </c>
      <c r="Z182" t="s">
        <v>374</v>
      </c>
      <c r="AA182" t="s">
        <v>935</v>
      </c>
      <c r="AB182" t="str">
        <v>SML0126_2</v>
      </c>
    </row>
    <row r="183" spans="5:28" ht="16.5" customHeight="1">
      <c r="E183" s="14"/>
      <c r="F183" s="14"/>
      <c r="G183" s="14"/>
      <c r="H183" s="14"/>
      <c r="I183" s="14"/>
      <c r="J183" s="14"/>
      <c r="K183" s="14"/>
      <c r="L183" s="14"/>
      <c r="M183" s="14"/>
      <c r="N183" s="14"/>
      <c r="O183" s="14"/>
      <c r="P183" s="14"/>
      <c r="Q183" s="14"/>
      <c r="R183" s="14"/>
      <c r="S183" s="14"/>
      <c r="T183" s="14"/>
      <c r="U183"/>
      <c r="V183"/>
      <c r="W183"/>
      <c r="X183"/>
      <c r="Y183" t="str">
        <f>_xlfn.CONCAT('Pulldown Data'!Z183, " (", 'Pulldown Data'!AA183, ")")</f>
        <v>SML0142 (Ford CE1 DMS+OMS)</v>
      </c>
      <c r="Z183" t="s">
        <v>375</v>
      </c>
      <c r="AA183" t="s">
        <v>956</v>
      </c>
      <c r="AB183" t="str">
        <v>SML0127</v>
      </c>
    </row>
    <row r="184" spans="5:28" ht="16.5" customHeight="1">
      <c r="E184" s="14"/>
      <c r="F184" s="14"/>
      <c r="G184" s="14"/>
      <c r="H184" s="14"/>
      <c r="I184" s="14"/>
      <c r="J184" s="14"/>
      <c r="K184" s="14"/>
      <c r="L184" s="14"/>
      <c r="M184" s="14"/>
      <c r="N184" s="14"/>
      <c r="O184" s="14"/>
      <c r="P184" s="14"/>
      <c r="Q184" s="14"/>
      <c r="R184" s="14"/>
      <c r="S184" s="14"/>
      <c r="T184" s="14"/>
      <c r="U184"/>
      <c r="V184"/>
      <c r="W184"/>
      <c r="X184"/>
      <c r="Y184" t="str">
        <f>_xlfn.CONCAT('Pulldown Data'!Z184, " (", 'Pulldown Data'!AA184, ")")</f>
        <v>SML0143 (Ford CE1 DMS+OMS)</v>
      </c>
      <c r="Z184" t="s">
        <v>376</v>
      </c>
      <c r="AA184" t="s">
        <v>956</v>
      </c>
      <c r="AB184" t="str">
        <v>SML0128</v>
      </c>
    </row>
    <row r="185" spans="5:28" ht="16.5" customHeight="1">
      <c r="E185" s="14"/>
      <c r="F185" s="14"/>
      <c r="G185" s="14"/>
      <c r="H185" s="14"/>
      <c r="I185" s="14"/>
      <c r="J185" s="14"/>
      <c r="K185" s="14"/>
      <c r="L185" s="14"/>
      <c r="M185" s="14"/>
      <c r="N185" s="14"/>
      <c r="O185" s="14"/>
      <c r="P185" s="14"/>
      <c r="Q185" s="14"/>
      <c r="R185" s="14"/>
      <c r="S185" s="14"/>
      <c r="T185" s="14"/>
      <c r="U185"/>
      <c r="V185"/>
      <c r="W185"/>
      <c r="X185"/>
      <c r="Y185" t="str">
        <f>_xlfn.CONCAT('Pulldown Data'!Z185, " (", 'Pulldown Data'!AA185, ")")</f>
        <v>SML0144 (Dashcam DMS &amp; OMS)</v>
      </c>
      <c r="Z185" t="s">
        <v>377</v>
      </c>
      <c r="AA185" t="s">
        <v>957</v>
      </c>
      <c r="AB185" t="str">
        <v>SML0129</v>
      </c>
    </row>
    <row r="186" spans="5:28" ht="16.5" customHeight="1">
      <c r="E186" s="14"/>
      <c r="F186" s="14"/>
      <c r="G186" s="14"/>
      <c r="H186" s="14"/>
      <c r="I186" s="14"/>
      <c r="J186" s="14"/>
      <c r="K186" s="14"/>
      <c r="L186" s="14"/>
      <c r="M186" s="14"/>
      <c r="N186" s="14"/>
      <c r="O186" s="14"/>
      <c r="P186" s="14"/>
      <c r="Q186" s="14"/>
      <c r="R186" s="14"/>
      <c r="S186" s="14"/>
      <c r="T186" s="14"/>
      <c r="U186"/>
      <c r="V186"/>
      <c r="W186"/>
      <c r="X186"/>
      <c r="Y186" t="str">
        <f>_xlfn.CONCAT('Pulldown Data'!Z186, " (", 'Pulldown Data'!AA186, ")")</f>
        <v>SML0145 (DMS)</v>
      </c>
      <c r="Z186" t="s">
        <v>378</v>
      </c>
      <c r="AA186" t="s">
        <v>890</v>
      </c>
      <c r="AB186" t="str">
        <v>SML0129_1</v>
      </c>
    </row>
    <row r="187" spans="5:28" ht="16.5" customHeight="1">
      <c r="E187" s="14"/>
      <c r="F187" s="14"/>
      <c r="G187" s="14"/>
      <c r="H187" s="14"/>
      <c r="I187" s="14"/>
      <c r="J187" s="14"/>
      <c r="K187" s="14"/>
      <c r="L187" s="14"/>
      <c r="M187" s="14"/>
      <c r="N187" s="14"/>
      <c r="O187" s="14"/>
      <c r="P187" s="14"/>
      <c r="Q187" s="14"/>
      <c r="R187" s="14"/>
      <c r="S187" s="14"/>
      <c r="T187" s="14"/>
      <c r="U187"/>
      <c r="V187"/>
      <c r="W187"/>
      <c r="X187"/>
      <c r="Y187" t="str">
        <f>_xlfn.CONCAT('Pulldown Data'!Z187, " (", 'Pulldown Data'!AA187, ")")</f>
        <v>SML0146 (Next Gen E&amp;E Architecture)</v>
      </c>
      <c r="Z187" t="s">
        <v>379</v>
      </c>
      <c r="AA187" t="s">
        <v>958</v>
      </c>
      <c r="AB187" t="str">
        <v>SML0130</v>
      </c>
    </row>
    <row r="188" spans="5:28" ht="16.5" customHeight="1">
      <c r="E188" s="14"/>
      <c r="F188" s="14"/>
      <c r="G188" s="14"/>
      <c r="H188" s="14"/>
      <c r="I188" s="14"/>
      <c r="J188" s="14"/>
      <c r="K188" s="14"/>
      <c r="L188" s="14"/>
      <c r="M188" s="14"/>
      <c r="N188" s="14"/>
      <c r="O188" s="14"/>
      <c r="P188" s="14"/>
      <c r="Q188" s="14"/>
      <c r="R188" s="14"/>
      <c r="S188" s="14"/>
      <c r="T188" s="14"/>
      <c r="U188"/>
      <c r="V188"/>
      <c r="W188"/>
      <c r="X188"/>
      <c r="Y188" t="str">
        <f>_xlfn.CONCAT('Pulldown Data'!Z188, " (", 'Pulldown Data'!AA188, ")")</f>
        <v>SML0147 (DMS/ OMS Van)</v>
      </c>
      <c r="Z188" t="s">
        <v>380</v>
      </c>
      <c r="AA188" t="s">
        <v>959</v>
      </c>
      <c r="AB188" t="str">
        <v>SML0131</v>
      </c>
    </row>
    <row r="189" spans="5:28" ht="16.5" customHeight="1">
      <c r="E189" s="14"/>
      <c r="F189" s="14"/>
      <c r="G189" s="14"/>
      <c r="H189" s="14"/>
      <c r="I189" s="14"/>
      <c r="J189" s="14"/>
      <c r="K189" s="14"/>
      <c r="L189" s="14"/>
      <c r="M189" s="14"/>
      <c r="N189" s="14"/>
      <c r="O189" s="14"/>
      <c r="P189" s="14"/>
      <c r="Q189" s="14"/>
      <c r="R189" s="14"/>
      <c r="S189" s="14"/>
      <c r="T189" s="14"/>
      <c r="U189"/>
      <c r="V189"/>
      <c r="W189"/>
      <c r="X189"/>
      <c r="Y189"/>
      <c r="Z189"/>
      <c r="AA189"/>
      <c r="AB189" t="str">
        <v>SML0131_1</v>
      </c>
    </row>
    <row r="190" spans="5:28" ht="16.5" customHeight="1">
      <c r="E190" s="14"/>
      <c r="F190" s="14"/>
      <c r="G190" s="14"/>
      <c r="H190" s="14"/>
      <c r="I190" s="14"/>
      <c r="J190" s="14"/>
      <c r="K190" s="14"/>
      <c r="L190" s="14"/>
      <c r="M190" s="14"/>
      <c r="N190" s="14"/>
      <c r="O190" s="14"/>
      <c r="P190" s="14"/>
      <c r="Q190" s="14"/>
      <c r="R190" s="14"/>
      <c r="S190" s="14"/>
      <c r="T190" s="14"/>
      <c r="U190"/>
      <c r="V190"/>
      <c r="W190"/>
      <c r="X190"/>
      <c r="Y190"/>
      <c r="Z190"/>
      <c r="AA190"/>
      <c r="AB190" t="str">
        <v>SML0132</v>
      </c>
    </row>
    <row r="191" spans="5:28" ht="16.5" customHeight="1">
      <c r="E191" s="14"/>
      <c r="F191" s="14"/>
      <c r="G191" s="14"/>
      <c r="H191" s="14"/>
      <c r="I191" s="14"/>
      <c r="J191" s="14"/>
      <c r="K191" s="14"/>
      <c r="L191" s="14"/>
      <c r="M191" s="14"/>
      <c r="N191" s="14"/>
      <c r="O191" s="14"/>
      <c r="P191" s="14"/>
      <c r="Q191" s="14"/>
      <c r="R191" s="14"/>
      <c r="S191" s="14"/>
      <c r="T191" s="14"/>
      <c r="U191"/>
      <c r="V191"/>
      <c r="W191"/>
      <c r="X191"/>
      <c r="Y191"/>
      <c r="Z191"/>
      <c r="AA191"/>
      <c r="AB191" t="str">
        <v>SML0133</v>
      </c>
    </row>
    <row r="192" spans="5:28" ht="16.5" customHeight="1">
      <c r="E192" s="14"/>
      <c r="F192" s="14"/>
      <c r="G192" s="14"/>
      <c r="H192" s="14"/>
      <c r="I192" s="14"/>
      <c r="J192" s="14"/>
      <c r="K192" s="14"/>
      <c r="L192" s="14"/>
      <c r="M192" s="14"/>
      <c r="N192" s="14"/>
      <c r="O192" s="14"/>
      <c r="P192" s="14"/>
      <c r="Q192" s="14"/>
      <c r="R192" s="14"/>
      <c r="S192" s="14"/>
      <c r="T192" s="14"/>
      <c r="U192"/>
      <c r="V192"/>
      <c r="W192"/>
      <c r="X192"/>
      <c r="Y192"/>
      <c r="Z192"/>
      <c r="AA192"/>
      <c r="AB192" t="str">
        <v>SML0134</v>
      </c>
    </row>
    <row r="193" spans="5:28" ht="16.5" customHeight="1">
      <c r="E193" s="14"/>
      <c r="F193" s="14"/>
      <c r="G193" s="14"/>
      <c r="H193" s="14"/>
      <c r="I193" s="14"/>
      <c r="J193" s="14"/>
      <c r="K193" s="14"/>
      <c r="L193" s="14"/>
      <c r="M193" s="14"/>
      <c r="N193" s="14"/>
      <c r="O193" s="14"/>
      <c r="P193" s="14"/>
      <c r="Q193" s="14"/>
      <c r="R193" s="14"/>
      <c r="S193" s="14"/>
      <c r="T193" s="14"/>
      <c r="U193"/>
      <c r="V193"/>
      <c r="W193"/>
      <c r="X193"/>
      <c r="Y193"/>
      <c r="Z193"/>
      <c r="AA193"/>
      <c r="AB193" t="str">
        <v>SML0135</v>
      </c>
    </row>
    <row r="194" spans="5:28" ht="16.5" customHeight="1">
      <c r="E194" s="14"/>
      <c r="F194" s="14"/>
      <c r="G194" s="14"/>
      <c r="H194" s="14"/>
      <c r="I194" s="14"/>
      <c r="J194" s="14"/>
      <c r="K194" s="14"/>
      <c r="L194" s="14"/>
      <c r="M194" s="14"/>
      <c r="N194" s="14"/>
      <c r="O194" s="14"/>
      <c r="P194" s="14"/>
      <c r="Q194" s="14"/>
      <c r="R194" s="14"/>
      <c r="S194" s="14"/>
      <c r="T194" s="14"/>
      <c r="U194"/>
      <c r="V194"/>
      <c r="W194"/>
      <c r="X194"/>
      <c r="Y194"/>
      <c r="Z194"/>
      <c r="AA194"/>
      <c r="AB194" t="str">
        <v>SML0136</v>
      </c>
    </row>
    <row r="195" spans="5:28" ht="16.5" customHeight="1">
      <c r="E195" s="14"/>
      <c r="F195" s="14"/>
      <c r="G195" s="14"/>
      <c r="H195" s="14"/>
      <c r="I195" s="14"/>
      <c r="J195" s="14"/>
      <c r="K195" s="14"/>
      <c r="L195" s="14"/>
      <c r="M195" s="14"/>
      <c r="N195" s="14"/>
      <c r="O195" s="14"/>
      <c r="P195" s="14"/>
      <c r="Q195" s="14"/>
      <c r="R195" s="14"/>
      <c r="S195" s="14"/>
      <c r="T195" s="14"/>
      <c r="U195"/>
      <c r="V195"/>
      <c r="W195"/>
      <c r="X195"/>
      <c r="Y195"/>
      <c r="Z195"/>
      <c r="AA195"/>
      <c r="AB195" t="str">
        <v>SML0137</v>
      </c>
    </row>
    <row r="196" spans="5:28" ht="16.5" customHeight="1">
      <c r="E196" s="14"/>
      <c r="F196" s="14"/>
      <c r="G196" s="14"/>
      <c r="H196" s="14"/>
      <c r="I196" s="14"/>
      <c r="J196" s="14"/>
      <c r="K196" s="14"/>
      <c r="L196" s="14"/>
      <c r="M196" s="14"/>
      <c r="N196" s="14"/>
      <c r="O196" s="14"/>
      <c r="P196" s="14"/>
      <c r="Q196" s="14"/>
      <c r="R196" s="14"/>
      <c r="S196" s="14"/>
      <c r="T196" s="14"/>
      <c r="U196"/>
      <c r="V196"/>
      <c r="W196"/>
      <c r="X196"/>
      <c r="Y196"/>
      <c r="Z196"/>
      <c r="AA196"/>
      <c r="AB196" t="str">
        <v>SML0138</v>
      </c>
    </row>
    <row r="197" spans="5:28" ht="16.5" customHeight="1">
      <c r="E197" s="14"/>
      <c r="F197" s="14"/>
      <c r="G197" s="14"/>
      <c r="H197" s="14"/>
      <c r="I197" s="14"/>
      <c r="J197" s="14"/>
      <c r="K197" s="14"/>
      <c r="L197" s="14"/>
      <c r="M197" s="14"/>
      <c r="N197" s="14"/>
      <c r="O197" s="14"/>
      <c r="P197" s="14"/>
      <c r="Q197" s="14"/>
      <c r="R197" s="14"/>
      <c r="S197" s="14"/>
      <c r="T197" s="14"/>
      <c r="U197"/>
      <c r="V197"/>
      <c r="W197"/>
      <c r="X197"/>
      <c r="Y197"/>
      <c r="Z197"/>
      <c r="AA197"/>
      <c r="AB197" t="str">
        <v>SML0139</v>
      </c>
    </row>
    <row r="198" spans="5:28">
      <c r="E198" s="14"/>
      <c r="F198" s="14"/>
      <c r="G198" s="14"/>
      <c r="H198" s="14"/>
      <c r="I198" s="14"/>
      <c r="J198" s="14"/>
      <c r="K198" s="14"/>
      <c r="L198" s="14"/>
      <c r="M198" s="14"/>
      <c r="N198" s="14"/>
      <c r="O198" s="14"/>
      <c r="P198" s="14"/>
      <c r="Q198" s="14"/>
      <c r="R198" s="14"/>
      <c r="S198" s="14"/>
      <c r="T198" s="14"/>
      <c r="U198"/>
      <c r="V198"/>
      <c r="W198"/>
      <c r="X198"/>
      <c r="Y198"/>
      <c r="Z198"/>
      <c r="AA198"/>
      <c r="AB198" t="str">
        <v>SML0140</v>
      </c>
    </row>
    <row r="199" spans="5:28">
      <c r="E199" s="14"/>
      <c r="F199" s="14"/>
      <c r="G199" s="14"/>
      <c r="H199" s="14"/>
      <c r="I199" s="14"/>
      <c r="J199" s="14"/>
      <c r="K199" s="14"/>
      <c r="L199" s="14"/>
      <c r="M199" s="14"/>
      <c r="N199" s="14"/>
      <c r="O199" s="14"/>
      <c r="P199" s="14"/>
      <c r="Q199" s="14"/>
      <c r="R199" s="14"/>
      <c r="S199" s="14"/>
      <c r="T199" s="14"/>
      <c r="U199"/>
      <c r="V199"/>
      <c r="W199"/>
      <c r="X199"/>
      <c r="Y199"/>
      <c r="Z199"/>
      <c r="AA199"/>
      <c r="AB199" t="str">
        <v>SML0140_1</v>
      </c>
    </row>
    <row r="200" spans="5:28">
      <c r="E200" s="14"/>
      <c r="F200" s="14"/>
      <c r="G200" s="14"/>
      <c r="H200" s="14"/>
      <c r="I200" s="14"/>
      <c r="J200" s="14"/>
      <c r="K200" s="14"/>
      <c r="L200" s="14"/>
      <c r="M200" s="14"/>
      <c r="N200" s="14"/>
      <c r="O200" s="14"/>
      <c r="P200" s="14"/>
      <c r="Q200" s="14"/>
      <c r="R200" s="14"/>
      <c r="S200" s="14"/>
      <c r="T200" s="14"/>
      <c r="U200"/>
      <c r="V200"/>
      <c r="W200"/>
      <c r="X200"/>
      <c r="Y200"/>
      <c r="Z200"/>
      <c r="AA200"/>
      <c r="AB200" t="str">
        <v>SML0140_2</v>
      </c>
    </row>
    <row r="201" spans="5:28">
      <c r="E201" s="14"/>
      <c r="F201" s="14"/>
      <c r="G201" s="14"/>
      <c r="H201" s="14"/>
      <c r="I201" s="14"/>
      <c r="J201" s="14"/>
      <c r="K201" s="14"/>
      <c r="L201" s="14"/>
      <c r="M201" s="14"/>
      <c r="N201" s="14"/>
      <c r="O201" s="14"/>
      <c r="P201" s="14"/>
      <c r="Q201" s="14"/>
      <c r="R201" s="14"/>
      <c r="S201" s="14"/>
      <c r="T201" s="14"/>
      <c r="U201"/>
      <c r="V201"/>
      <c r="W201"/>
      <c r="X201"/>
      <c r="Y201"/>
      <c r="Z201"/>
      <c r="AA201"/>
      <c r="AB201" t="str">
        <v>SML0141</v>
      </c>
    </row>
    <row r="202" spans="5:28">
      <c r="E202" s="14"/>
      <c r="F202" s="14"/>
      <c r="G202" s="14"/>
      <c r="H202" s="14"/>
      <c r="I202" s="14"/>
      <c r="J202" s="14"/>
      <c r="K202" s="14"/>
      <c r="L202" s="14"/>
      <c r="M202" s="14"/>
      <c r="N202" s="14"/>
      <c r="O202" s="14"/>
      <c r="P202" s="14"/>
      <c r="Q202" s="14"/>
      <c r="R202" s="14"/>
      <c r="S202" s="14"/>
      <c r="T202" s="14"/>
      <c r="U202"/>
      <c r="V202"/>
      <c r="W202"/>
      <c r="X202"/>
      <c r="Y202"/>
      <c r="Z202"/>
      <c r="AA202"/>
      <c r="AB202" t="str">
        <v>SML0141_1</v>
      </c>
    </row>
    <row r="203" spans="5:28">
      <c r="E203" s="14"/>
      <c r="F203" s="14"/>
      <c r="G203" s="14"/>
      <c r="H203" s="14"/>
      <c r="I203" s="14"/>
      <c r="J203" s="14"/>
      <c r="K203" s="14"/>
      <c r="L203" s="14"/>
      <c r="M203" s="14"/>
      <c r="N203" s="14"/>
      <c r="O203" s="14"/>
      <c r="P203" s="14"/>
      <c r="Q203" s="14"/>
      <c r="R203" s="14"/>
      <c r="S203" s="14"/>
      <c r="T203" s="14"/>
      <c r="U203"/>
      <c r="V203"/>
      <c r="W203"/>
      <c r="X203"/>
      <c r="Y203"/>
      <c r="Z203"/>
      <c r="AA203"/>
      <c r="AB203" t="str">
        <v>SML0142</v>
      </c>
    </row>
    <row r="204" spans="5:28">
      <c r="E204" s="14"/>
      <c r="F204" s="14"/>
      <c r="G204" s="14"/>
      <c r="H204" s="14"/>
      <c r="I204" s="14"/>
      <c r="J204" s="14"/>
      <c r="K204" s="14"/>
      <c r="L204" s="14"/>
      <c r="M204" s="14"/>
      <c r="N204" s="14"/>
      <c r="O204" s="14"/>
      <c r="P204" s="14"/>
      <c r="Q204" s="14"/>
      <c r="R204" s="14"/>
      <c r="S204" s="14"/>
      <c r="T204" s="14"/>
      <c r="U204"/>
      <c r="V204"/>
      <c r="W204"/>
      <c r="X204"/>
      <c r="Y204"/>
      <c r="Z204"/>
      <c r="AA204"/>
      <c r="AB204" t="str">
        <v>SML0143</v>
      </c>
    </row>
    <row r="205" spans="5:28">
      <c r="E205" s="14"/>
      <c r="F205" s="14"/>
      <c r="G205" s="14"/>
      <c r="H205" s="14"/>
      <c r="I205" s="14"/>
      <c r="J205" s="14"/>
      <c r="K205" s="14"/>
      <c r="L205" s="14"/>
      <c r="M205" s="14"/>
      <c r="N205" s="14"/>
      <c r="O205" s="14"/>
      <c r="P205" s="14"/>
      <c r="Q205" s="14"/>
      <c r="R205" s="14"/>
      <c r="S205" s="14"/>
      <c r="T205" s="14"/>
      <c r="U205"/>
      <c r="V205"/>
      <c r="W205"/>
      <c r="X205"/>
      <c r="Y205"/>
      <c r="Z205"/>
      <c r="AA205"/>
      <c r="AB205" t="str">
        <v>SML0144</v>
      </c>
    </row>
    <row r="206" spans="5:28">
      <c r="E206" s="14"/>
      <c r="F206" s="14"/>
      <c r="G206" s="14"/>
      <c r="H206" s="14"/>
      <c r="I206" s="14"/>
      <c r="J206" s="14"/>
      <c r="K206" s="14"/>
      <c r="L206" s="14"/>
      <c r="M206" s="14"/>
      <c r="N206" s="14"/>
      <c r="O206" s="14"/>
      <c r="P206" s="14"/>
      <c r="Q206" s="14"/>
      <c r="R206" s="14"/>
      <c r="S206" s="14"/>
      <c r="T206" s="14"/>
      <c r="U206"/>
      <c r="V206"/>
      <c r="W206"/>
      <c r="X206"/>
      <c r="Y206"/>
      <c r="Z206"/>
      <c r="AA206"/>
      <c r="AB206" t="str">
        <v>SML0145</v>
      </c>
    </row>
    <row r="207" spans="5:28">
      <c r="E207" s="14"/>
      <c r="F207" s="14"/>
      <c r="G207" s="14"/>
      <c r="H207" s="14"/>
      <c r="I207" s="14"/>
      <c r="J207" s="14"/>
      <c r="K207" s="14"/>
      <c r="L207" s="14"/>
      <c r="M207" s="14"/>
      <c r="N207" s="14"/>
      <c r="O207" s="14"/>
      <c r="P207" s="14"/>
      <c r="Q207" s="14"/>
      <c r="R207" s="14"/>
      <c r="S207" s="14"/>
      <c r="T207" s="14"/>
      <c r="U207"/>
      <c r="V207"/>
      <c r="W207"/>
      <c r="X207"/>
      <c r="Y207"/>
      <c r="Z207"/>
      <c r="AA207"/>
      <c r="AB207" t="str">
        <v>SML0146</v>
      </c>
    </row>
    <row r="208" spans="5:28">
      <c r="E208" s="14"/>
      <c r="F208" s="14"/>
      <c r="G208" s="14"/>
      <c r="H208" s="14"/>
      <c r="I208" s="14"/>
      <c r="J208" s="14"/>
      <c r="K208" s="14"/>
      <c r="L208" s="14"/>
      <c r="M208" s="14"/>
      <c r="N208" s="14"/>
      <c r="O208" s="14"/>
      <c r="P208" s="14"/>
      <c r="Q208" s="14"/>
      <c r="R208" s="14"/>
      <c r="S208" s="14"/>
      <c r="T208" s="14"/>
      <c r="U208"/>
      <c r="V208"/>
      <c r="W208"/>
      <c r="X208"/>
      <c r="Y208"/>
      <c r="Z208"/>
      <c r="AA208"/>
      <c r="AB208" t="str">
        <v>SML0147</v>
      </c>
    </row>
    <row r="209" spans="5:28">
      <c r="E209" s="14"/>
      <c r="F209" s="14"/>
      <c r="G209" s="14"/>
      <c r="H209" s="14"/>
      <c r="I209" s="14"/>
      <c r="J209" s="14"/>
      <c r="K209" s="14"/>
      <c r="L209" s="14"/>
      <c r="M209" s="14"/>
      <c r="N209" s="14"/>
      <c r="O209" s="14"/>
      <c r="P209" s="14"/>
      <c r="Q209" s="14"/>
      <c r="R209" s="14"/>
      <c r="S209" s="14"/>
      <c r="T209" s="14"/>
      <c r="U209"/>
      <c r="V209"/>
      <c r="W209"/>
      <c r="X209"/>
      <c r="Y209"/>
      <c r="Z209"/>
      <c r="AA209"/>
      <c r="AB209" t="str">
        <v>STL001</v>
      </c>
    </row>
    <row r="210" spans="5:28">
      <c r="E210" s="14"/>
      <c r="F210" s="14"/>
      <c r="G210" s="14"/>
      <c r="H210" s="14"/>
      <c r="I210" s="14"/>
      <c r="J210" s="14"/>
      <c r="K210" s="14"/>
      <c r="L210" s="14"/>
      <c r="M210" s="14"/>
      <c r="N210" s="14"/>
      <c r="O210" s="14"/>
      <c r="P210" s="14"/>
      <c r="Q210" s="14"/>
      <c r="R210" s="14"/>
      <c r="S210" s="14"/>
      <c r="T210" s="14"/>
      <c r="U210"/>
      <c r="V210"/>
      <c r="W210"/>
      <c r="X210"/>
      <c r="Y210"/>
      <c r="Z210"/>
      <c r="AA210"/>
      <c r="AB210" t="str">
        <v>STL002</v>
      </c>
    </row>
    <row r="211" spans="5:28">
      <c r="E211" s="14"/>
      <c r="F211" s="14"/>
      <c r="G211" s="14"/>
      <c r="H211" s="14"/>
      <c r="I211" s="14"/>
      <c r="J211" s="14"/>
      <c r="K211" s="14"/>
      <c r="L211" s="14"/>
      <c r="M211" s="14"/>
      <c r="N211" s="14"/>
      <c r="O211" s="14"/>
      <c r="P211" s="14"/>
      <c r="Q211" s="14"/>
      <c r="R211" s="14"/>
      <c r="S211" s="14"/>
      <c r="T211" s="14"/>
      <c r="U211"/>
      <c r="V211"/>
      <c r="W211"/>
      <c r="X211"/>
      <c r="Y211"/>
      <c r="Z211"/>
      <c r="AA211"/>
      <c r="AB211" t="str">
        <v>TVL001</v>
      </c>
    </row>
    <row r="212" spans="5:28">
      <c r="E212" s="14"/>
      <c r="F212" s="14"/>
      <c r="G212" s="14"/>
      <c r="H212" s="14"/>
      <c r="I212" s="14"/>
      <c r="J212" s="14"/>
      <c r="K212" s="14"/>
      <c r="L212" s="14"/>
      <c r="M212" s="14"/>
      <c r="N212" s="14"/>
      <c r="O212" s="14"/>
      <c r="P212" s="14"/>
      <c r="Q212" s="14"/>
      <c r="R212" s="14"/>
      <c r="S212" s="14"/>
      <c r="T212" s="14"/>
      <c r="U212"/>
      <c r="V212"/>
      <c r="W212"/>
      <c r="X212"/>
      <c r="Y212"/>
      <c r="Z212"/>
      <c r="AA212"/>
      <c r="AB212" t="str">
        <v>VWG001</v>
      </c>
    </row>
    <row r="213" spans="5:28">
      <c r="E213" s="14"/>
      <c r="F213" s="14"/>
      <c r="G213" s="14"/>
      <c r="H213" s="14"/>
      <c r="I213" s="14"/>
      <c r="J213" s="14"/>
      <c r="K213" s="14"/>
      <c r="L213" s="14"/>
      <c r="M213" s="14"/>
      <c r="N213" s="14"/>
      <c r="O213" s="14"/>
      <c r="P213" s="14"/>
      <c r="Q213" s="14"/>
      <c r="R213" s="14"/>
      <c r="S213" s="14"/>
      <c r="T213" s="14"/>
      <c r="U213"/>
      <c r="V213"/>
      <c r="W213"/>
      <c r="X213"/>
      <c r="Y213"/>
      <c r="Z213"/>
      <c r="AA213"/>
      <c r="AB213" t="str">
        <v>VWG002</v>
      </c>
    </row>
    <row r="214" spans="5:28">
      <c r="E214" s="14"/>
      <c r="F214" s="14"/>
      <c r="G214" s="14"/>
      <c r="H214" s="14"/>
      <c r="I214" s="14"/>
      <c r="J214" s="14"/>
      <c r="K214" s="14"/>
      <c r="L214" s="14"/>
      <c r="M214" s="14"/>
      <c r="N214" s="14"/>
      <c r="O214" s="14"/>
      <c r="P214" s="14"/>
      <c r="Q214" s="14"/>
      <c r="R214" s="14"/>
      <c r="S214" s="14"/>
      <c r="T214" s="14"/>
      <c r="U214"/>
      <c r="V214"/>
      <c r="W214"/>
      <c r="X214"/>
      <c r="Y214"/>
      <c r="Z214"/>
      <c r="AA214"/>
      <c r="AB214"/>
    </row>
    <row r="215" spans="5:28">
      <c r="E215" s="14"/>
      <c r="F215" s="14"/>
      <c r="G215" s="14"/>
      <c r="H215" s="14"/>
      <c r="I215" s="14"/>
      <c r="J215" s="14"/>
      <c r="K215" s="14"/>
      <c r="L215" s="14"/>
      <c r="M215" s="14"/>
      <c r="N215" s="14"/>
      <c r="O215" s="14"/>
      <c r="P215" s="14"/>
      <c r="Q215" s="14"/>
      <c r="R215" s="14"/>
      <c r="S215" s="14"/>
      <c r="T215" s="14"/>
      <c r="U215"/>
      <c r="V215"/>
      <c r="W215"/>
      <c r="X215"/>
      <c r="Y215"/>
      <c r="Z215"/>
      <c r="AA215"/>
      <c r="AB215"/>
    </row>
    <row r="216" spans="5:28">
      <c r="E216" s="14"/>
      <c r="F216" s="14"/>
      <c r="G216" s="14"/>
      <c r="H216" s="14"/>
      <c r="I216" s="14"/>
      <c r="J216" s="14"/>
      <c r="K216" s="14"/>
      <c r="L216" s="14"/>
      <c r="M216" s="14"/>
      <c r="N216" s="14"/>
      <c r="O216" s="14"/>
      <c r="P216" s="14"/>
      <c r="Q216" s="14"/>
      <c r="R216" s="14"/>
      <c r="S216" s="14"/>
      <c r="T216" s="14"/>
      <c r="U216"/>
      <c r="V216"/>
      <c r="W216"/>
      <c r="X216"/>
      <c r="Y216"/>
      <c r="Z216"/>
      <c r="AA216"/>
      <c r="AB216"/>
    </row>
    <row r="217" spans="5:28">
      <c r="E217" s="14"/>
      <c r="F217" s="14"/>
      <c r="G217" s="14"/>
      <c r="H217" s="14"/>
      <c r="I217" s="14"/>
      <c r="J217" s="14"/>
      <c r="K217" s="14"/>
      <c r="L217" s="14"/>
      <c r="M217" s="14"/>
      <c r="N217" s="14"/>
      <c r="O217" s="14"/>
      <c r="P217" s="14"/>
      <c r="Q217" s="14"/>
      <c r="R217" s="14"/>
      <c r="S217" s="14"/>
      <c r="T217" s="14"/>
      <c r="U217"/>
      <c r="V217"/>
      <c r="W217"/>
      <c r="X217"/>
      <c r="Y217"/>
      <c r="Z217"/>
      <c r="AA217"/>
      <c r="AB217"/>
    </row>
    <row r="218" spans="5:28">
      <c r="E218" s="14"/>
      <c r="F218" s="14"/>
      <c r="G218" s="14"/>
      <c r="H218" s="14"/>
      <c r="I218" s="14"/>
      <c r="J218" s="14"/>
      <c r="K218" s="14"/>
      <c r="L218" s="14"/>
      <c r="M218" s="14"/>
      <c r="N218" s="14"/>
      <c r="O218" s="14"/>
      <c r="P218" s="14"/>
      <c r="Q218" s="14"/>
      <c r="R218" s="14"/>
      <c r="S218" s="14"/>
      <c r="T218" s="14"/>
      <c r="U218"/>
      <c r="V218"/>
      <c r="W218"/>
      <c r="X218"/>
      <c r="Y218"/>
      <c r="Z218"/>
      <c r="AA218"/>
      <c r="AB218"/>
    </row>
    <row r="219" spans="5:28">
      <c r="E219" s="14"/>
      <c r="F219" s="14"/>
      <c r="G219" s="14"/>
      <c r="H219" s="14"/>
      <c r="I219" s="14"/>
      <c r="J219" s="14"/>
      <c r="K219" s="14"/>
      <c r="L219" s="14"/>
      <c r="M219" s="14"/>
      <c r="N219" s="14"/>
      <c r="O219" s="14"/>
      <c r="P219" s="14"/>
      <c r="Q219" s="14"/>
      <c r="R219" s="14"/>
      <c r="S219" s="14"/>
      <c r="T219" s="14"/>
      <c r="U219"/>
      <c r="V219"/>
      <c r="W219"/>
      <c r="X219"/>
      <c r="Y219"/>
      <c r="Z219"/>
      <c r="AA219"/>
      <c r="AB219"/>
    </row>
    <row r="220" spans="5:28">
      <c r="E220" s="14"/>
      <c r="F220" s="14"/>
      <c r="G220" s="14"/>
      <c r="H220" s="14"/>
      <c r="I220" s="14"/>
      <c r="J220" s="14"/>
      <c r="K220" s="14"/>
      <c r="L220" s="14"/>
      <c r="M220" s="14"/>
      <c r="N220" s="14"/>
      <c r="O220" s="14"/>
      <c r="P220" s="14"/>
      <c r="Q220" s="14"/>
      <c r="R220" s="14"/>
      <c r="S220" s="14"/>
      <c r="T220" s="14"/>
      <c r="U220"/>
      <c r="V220"/>
      <c r="W220"/>
      <c r="X220"/>
      <c r="Y220"/>
      <c r="Z220"/>
      <c r="AA220"/>
      <c r="AB220"/>
    </row>
    <row r="221" spans="5:28">
      <c r="E221" s="14"/>
      <c r="F221" s="14"/>
      <c r="G221" s="14"/>
      <c r="H221" s="14"/>
      <c r="I221" s="14"/>
      <c r="J221" s="14"/>
      <c r="K221" s="14"/>
      <c r="L221" s="14"/>
      <c r="M221" s="14"/>
      <c r="N221" s="14"/>
      <c r="O221" s="14"/>
      <c r="P221" s="14"/>
      <c r="Q221" s="14"/>
      <c r="R221" s="14"/>
      <c r="S221" s="14"/>
      <c r="T221" s="14"/>
      <c r="U221"/>
      <c r="V221"/>
      <c r="W221"/>
      <c r="X221"/>
      <c r="Y221"/>
      <c r="Z221"/>
      <c r="AA221"/>
      <c r="AB221"/>
    </row>
    <row r="222" spans="5:28">
      <c r="E222" s="14"/>
      <c r="F222" s="14"/>
      <c r="G222" s="14"/>
      <c r="H222" s="14"/>
      <c r="I222" s="14"/>
      <c r="J222" s="14"/>
      <c r="K222" s="14"/>
      <c r="L222" s="14"/>
      <c r="M222" s="14"/>
      <c r="N222" s="14"/>
      <c r="O222" s="14"/>
      <c r="P222" s="14"/>
      <c r="Q222" s="14"/>
      <c r="R222" s="14"/>
      <c r="S222" s="14"/>
      <c r="T222" s="14"/>
      <c r="U222"/>
      <c r="V222"/>
      <c r="W222"/>
      <c r="X222"/>
      <c r="Y222"/>
      <c r="Z222"/>
      <c r="AA222"/>
      <c r="AB222"/>
    </row>
    <row r="223" spans="5:28">
      <c r="E223" s="14"/>
      <c r="F223" s="14"/>
      <c r="G223" s="14"/>
      <c r="H223" s="14"/>
      <c r="I223" s="14"/>
      <c r="J223" s="14"/>
      <c r="K223" s="14"/>
      <c r="L223" s="14"/>
      <c r="M223" s="14"/>
      <c r="N223" s="14"/>
      <c r="O223" s="14"/>
      <c r="P223" s="14"/>
      <c r="Q223" s="14"/>
      <c r="R223" s="14"/>
      <c r="S223" s="14"/>
      <c r="T223" s="14"/>
      <c r="U223"/>
      <c r="V223"/>
      <c r="W223"/>
      <c r="X223"/>
      <c r="Y223"/>
      <c r="Z223"/>
      <c r="AA223"/>
      <c r="AB223"/>
    </row>
    <row r="224" spans="5:28">
      <c r="E224" s="14"/>
      <c r="F224" s="14"/>
      <c r="G224" s="14"/>
      <c r="H224" s="14"/>
      <c r="I224" s="14"/>
      <c r="J224" s="14"/>
      <c r="K224" s="14"/>
      <c r="L224" s="14"/>
      <c r="M224" s="14"/>
      <c r="N224" s="14"/>
      <c r="O224" s="14"/>
      <c r="P224" s="14"/>
      <c r="Q224" s="14"/>
      <c r="R224" s="14"/>
      <c r="S224" s="14"/>
      <c r="T224" s="14"/>
      <c r="U224"/>
      <c r="V224"/>
      <c r="W224"/>
      <c r="X224"/>
      <c r="Y224"/>
      <c r="Z224"/>
      <c r="AA224"/>
      <c r="AB224"/>
    </row>
    <row r="225" spans="5:28">
      <c r="E225" s="14"/>
      <c r="F225" s="14"/>
      <c r="G225" s="14"/>
      <c r="H225" s="14"/>
      <c r="I225" s="14"/>
      <c r="J225" s="14"/>
      <c r="K225" s="14"/>
      <c r="L225" s="14"/>
      <c r="M225" s="14"/>
      <c r="N225" s="14"/>
      <c r="O225" s="14"/>
      <c r="P225" s="14"/>
      <c r="Q225" s="14"/>
      <c r="R225" s="14"/>
      <c r="S225" s="14"/>
      <c r="T225" s="14"/>
      <c r="U225"/>
      <c r="V225"/>
      <c r="W225"/>
      <c r="X225"/>
      <c r="Y225"/>
      <c r="Z225"/>
      <c r="AA225"/>
      <c r="AB225"/>
    </row>
    <row r="226" spans="5:28">
      <c r="E226" s="14"/>
      <c r="F226" s="14"/>
      <c r="G226" s="14"/>
      <c r="H226" s="14"/>
      <c r="I226" s="14"/>
      <c r="J226" s="14"/>
      <c r="K226" s="14"/>
      <c r="L226" s="14"/>
      <c r="M226" s="14"/>
      <c r="N226" s="14"/>
      <c r="O226" s="14"/>
      <c r="P226" s="14"/>
      <c r="Q226" s="14"/>
      <c r="R226" s="14"/>
      <c r="S226" s="14"/>
      <c r="T226" s="14"/>
      <c r="U226"/>
      <c r="V226"/>
      <c r="W226"/>
      <c r="X226"/>
      <c r="Y226"/>
      <c r="Z226"/>
      <c r="AA226"/>
      <c r="AB226"/>
    </row>
    <row r="227" spans="5:28">
      <c r="E227" s="14"/>
      <c r="F227" s="14"/>
      <c r="G227" s="14"/>
      <c r="H227" s="14"/>
      <c r="I227" s="14"/>
      <c r="J227" s="14"/>
      <c r="K227" s="14"/>
      <c r="L227" s="14"/>
      <c r="M227" s="14"/>
      <c r="N227" s="14"/>
      <c r="O227" s="14"/>
      <c r="P227" s="14"/>
      <c r="Q227" s="14"/>
      <c r="R227" s="14"/>
      <c r="S227" s="14"/>
      <c r="T227" s="14"/>
      <c r="U227"/>
      <c r="V227"/>
      <c r="W227"/>
      <c r="X227"/>
      <c r="Y227"/>
      <c r="Z227"/>
      <c r="AA227"/>
      <c r="AB227"/>
    </row>
    <row r="228" spans="5:28">
      <c r="E228" s="14"/>
      <c r="F228" s="14"/>
      <c r="G228" s="14"/>
      <c r="H228" s="14"/>
      <c r="I228" s="14"/>
      <c r="J228" s="14"/>
      <c r="K228" s="14"/>
      <c r="L228" s="14"/>
      <c r="M228" s="14"/>
      <c r="N228" s="14"/>
      <c r="O228" s="14"/>
      <c r="P228" s="14"/>
      <c r="Q228" s="14"/>
      <c r="R228" s="14"/>
      <c r="S228" s="14"/>
      <c r="T228" s="14"/>
      <c r="U228"/>
      <c r="V228"/>
      <c r="W228"/>
      <c r="X228"/>
      <c r="Y228"/>
      <c r="Z228"/>
      <c r="AA228"/>
      <c r="AB228"/>
    </row>
    <row r="229" spans="5:28">
      <c r="E229" s="14"/>
      <c r="F229" s="14"/>
      <c r="G229" s="14"/>
      <c r="H229" s="14"/>
      <c r="I229" s="14"/>
      <c r="J229" s="14"/>
      <c r="K229" s="14"/>
      <c r="L229" s="14"/>
      <c r="M229" s="14"/>
      <c r="N229" s="14"/>
      <c r="O229" s="14"/>
      <c r="P229" s="14"/>
      <c r="Q229" s="14"/>
      <c r="R229" s="14"/>
      <c r="S229" s="14"/>
      <c r="T229" s="14"/>
      <c r="U229"/>
      <c r="V229"/>
      <c r="W229"/>
      <c r="X229"/>
      <c r="Y229"/>
      <c r="Z229"/>
      <c r="AA229"/>
      <c r="AB229"/>
    </row>
    <row r="230" spans="5:28">
      <c r="E230" s="14"/>
      <c r="F230" s="14"/>
      <c r="G230" s="14"/>
      <c r="H230" s="14"/>
      <c r="I230" s="14"/>
      <c r="J230" s="14"/>
      <c r="K230" s="14"/>
      <c r="L230" s="14"/>
      <c r="M230" s="14"/>
      <c r="N230" s="14"/>
      <c r="O230" s="14"/>
      <c r="P230" s="14"/>
      <c r="Q230" s="14"/>
      <c r="R230" s="14"/>
      <c r="S230" s="14"/>
      <c r="T230" s="14"/>
      <c r="U230"/>
      <c r="V230"/>
      <c r="W230"/>
      <c r="X230"/>
      <c r="Y230"/>
      <c r="Z230"/>
      <c r="AA230"/>
      <c r="AB230"/>
    </row>
    <row r="231" spans="5:28">
      <c r="E231" s="14"/>
      <c r="F231" s="14"/>
      <c r="G231" s="14"/>
      <c r="H231" s="14"/>
      <c r="I231" s="14"/>
      <c r="J231" s="14"/>
      <c r="K231" s="14"/>
      <c r="L231" s="14"/>
      <c r="M231" s="14"/>
      <c r="N231" s="14"/>
      <c r="O231" s="14"/>
      <c r="P231" s="14"/>
      <c r="Q231" s="14"/>
      <c r="R231" s="14"/>
      <c r="S231" s="14"/>
      <c r="T231" s="14"/>
      <c r="U231"/>
      <c r="V231"/>
      <c r="W231"/>
      <c r="X231"/>
      <c r="Y231"/>
      <c r="Z231"/>
      <c r="AA231"/>
      <c r="AB231"/>
    </row>
    <row r="232" spans="5:28">
      <c r="E232" s="14"/>
      <c r="F232" s="14"/>
      <c r="G232" s="14"/>
      <c r="H232" s="14"/>
      <c r="I232" s="14"/>
      <c r="J232" s="14"/>
      <c r="K232" s="14"/>
      <c r="L232" s="14"/>
      <c r="M232" s="14"/>
      <c r="N232" s="14"/>
      <c r="O232" s="14"/>
      <c r="P232" s="14"/>
      <c r="Q232" s="14"/>
      <c r="R232" s="14"/>
      <c r="S232" s="14"/>
      <c r="T232" s="14"/>
      <c r="U232"/>
      <c r="V232"/>
      <c r="W232"/>
      <c r="X232"/>
      <c r="Y232"/>
      <c r="Z232"/>
      <c r="AA232"/>
      <c r="AB232"/>
    </row>
    <row r="233" spans="5:28">
      <c r="E233" s="14"/>
      <c r="F233" s="14"/>
      <c r="G233" s="14"/>
      <c r="H233" s="14"/>
      <c r="I233" s="14"/>
      <c r="J233" s="14"/>
      <c r="K233" s="14"/>
      <c r="L233" s="14"/>
      <c r="M233" s="14"/>
      <c r="N233" s="14"/>
      <c r="O233" s="14"/>
      <c r="P233" s="14"/>
      <c r="Q233" s="14"/>
      <c r="R233" s="14"/>
      <c r="S233" s="14"/>
      <c r="T233" s="14"/>
      <c r="U233"/>
      <c r="V233"/>
      <c r="W233"/>
      <c r="X233"/>
      <c r="Y233"/>
      <c r="Z233"/>
      <c r="AA233"/>
      <c r="AB233"/>
    </row>
    <row r="234" spans="5:28">
      <c r="E234" s="14"/>
      <c r="F234" s="14"/>
      <c r="G234" s="14"/>
      <c r="H234" s="14"/>
      <c r="I234" s="14"/>
      <c r="J234" s="14"/>
      <c r="K234" s="14"/>
      <c r="L234" s="14"/>
      <c r="M234" s="14"/>
      <c r="N234" s="14"/>
      <c r="O234" s="14"/>
      <c r="P234" s="14"/>
      <c r="Q234" s="14"/>
      <c r="R234" s="14"/>
      <c r="S234" s="14"/>
      <c r="T234" s="14"/>
      <c r="U234"/>
      <c r="V234"/>
      <c r="W234"/>
      <c r="X234"/>
      <c r="Y234"/>
      <c r="Z234"/>
      <c r="AA234"/>
      <c r="AB234"/>
    </row>
    <row r="235" spans="5:28">
      <c r="E235" s="14"/>
      <c r="F235" s="14"/>
      <c r="G235" s="14"/>
      <c r="H235" s="14"/>
      <c r="I235" s="14"/>
      <c r="J235" s="14"/>
      <c r="K235" s="14"/>
      <c r="L235" s="14"/>
      <c r="M235" s="14"/>
      <c r="N235" s="14"/>
      <c r="O235" s="14"/>
      <c r="P235" s="14"/>
      <c r="Q235" s="14"/>
      <c r="R235" s="14"/>
      <c r="S235" s="14"/>
      <c r="T235" s="14"/>
      <c r="U235"/>
      <c r="V235"/>
      <c r="W235"/>
      <c r="X235"/>
      <c r="Y235"/>
      <c r="Z235"/>
      <c r="AA235"/>
      <c r="AB235"/>
    </row>
    <row r="236" spans="5:28">
      <c r="E236" s="14"/>
      <c r="F236" s="14"/>
      <c r="G236" s="14"/>
      <c r="H236" s="14"/>
      <c r="I236" s="14"/>
      <c r="J236" s="14"/>
      <c r="K236" s="14"/>
      <c r="L236" s="14"/>
      <c r="M236" s="14"/>
      <c r="N236" s="14"/>
      <c r="O236" s="14"/>
      <c r="P236" s="14"/>
      <c r="Q236" s="14"/>
      <c r="R236" s="14"/>
      <c r="S236" s="14"/>
      <c r="T236" s="14"/>
      <c r="U236"/>
      <c r="V236"/>
      <c r="W236"/>
      <c r="X236"/>
      <c r="Y236"/>
      <c r="Z236"/>
      <c r="AA236"/>
      <c r="AB236"/>
    </row>
    <row r="237" spans="5:28">
      <c r="E237" s="14"/>
      <c r="F237" s="14"/>
      <c r="G237" s="14"/>
      <c r="H237" s="14"/>
      <c r="I237" s="14"/>
      <c r="J237" s="14"/>
      <c r="K237" s="14"/>
      <c r="L237" s="14"/>
      <c r="M237" s="14"/>
      <c r="N237" s="14"/>
      <c r="O237" s="14"/>
      <c r="P237" s="14"/>
      <c r="Q237" s="14"/>
      <c r="R237" s="14"/>
      <c r="S237" s="14"/>
      <c r="T237" s="14"/>
      <c r="U237"/>
      <c r="V237"/>
      <c r="W237"/>
      <c r="X237"/>
      <c r="Y237"/>
      <c r="Z237"/>
      <c r="AA237"/>
      <c r="AB237"/>
    </row>
    <row r="238" spans="5:28">
      <c r="E238" s="14"/>
      <c r="F238" s="14"/>
      <c r="G238" s="14"/>
      <c r="H238" s="14"/>
      <c r="I238" s="14"/>
      <c r="J238" s="14"/>
      <c r="K238" s="14"/>
      <c r="L238" s="14"/>
      <c r="M238" s="14"/>
      <c r="N238" s="14"/>
      <c r="O238" s="14"/>
      <c r="P238" s="14"/>
      <c r="Q238" s="14"/>
      <c r="R238" s="14"/>
      <c r="S238" s="14"/>
      <c r="T238" s="14"/>
      <c r="U238"/>
      <c r="V238"/>
      <c r="W238"/>
      <c r="X238"/>
      <c r="Y238"/>
      <c r="Z238"/>
      <c r="AA238"/>
      <c r="AB238"/>
    </row>
    <row r="239" spans="5:28">
      <c r="E239" s="14"/>
      <c r="F239" s="14"/>
      <c r="G239" s="14"/>
      <c r="H239" s="14"/>
      <c r="I239" s="14"/>
      <c r="J239" s="14"/>
      <c r="K239" s="14"/>
      <c r="L239" s="14"/>
      <c r="M239" s="14"/>
      <c r="N239" s="14"/>
      <c r="O239" s="14"/>
      <c r="P239" s="14"/>
      <c r="Q239" s="14"/>
      <c r="R239" s="14"/>
      <c r="S239" s="14"/>
      <c r="T239" s="14"/>
      <c r="U239"/>
      <c r="V239"/>
      <c r="W239"/>
      <c r="X239"/>
      <c r="Y239"/>
      <c r="Z239"/>
      <c r="AA239"/>
      <c r="AB239"/>
    </row>
    <row r="240" spans="5:28">
      <c r="E240" s="14"/>
      <c r="F240" s="14"/>
      <c r="G240" s="14"/>
      <c r="H240" s="14"/>
      <c r="I240" s="14"/>
      <c r="J240" s="14"/>
      <c r="K240" s="14"/>
      <c r="L240" s="14"/>
      <c r="M240" s="14"/>
      <c r="N240" s="14"/>
      <c r="O240" s="14"/>
      <c r="P240" s="14"/>
      <c r="Q240" s="14"/>
      <c r="R240" s="14"/>
      <c r="S240" s="14"/>
      <c r="T240" s="14"/>
      <c r="U240"/>
      <c r="V240"/>
      <c r="W240"/>
      <c r="X240"/>
      <c r="Y240"/>
      <c r="Z240"/>
      <c r="AA240"/>
      <c r="AB240"/>
    </row>
    <row r="241" spans="5:28">
      <c r="E241" s="14"/>
      <c r="F241" s="14"/>
      <c r="G241" s="14"/>
      <c r="H241" s="14"/>
      <c r="I241" s="14"/>
      <c r="J241" s="14"/>
      <c r="K241" s="14"/>
      <c r="L241" s="14"/>
      <c r="M241" s="14"/>
      <c r="N241" s="14"/>
      <c r="O241" s="14"/>
      <c r="P241" s="14"/>
      <c r="Q241" s="14"/>
      <c r="R241" s="14"/>
      <c r="S241" s="14"/>
      <c r="T241" s="14"/>
      <c r="U241"/>
      <c r="V241"/>
      <c r="W241"/>
      <c r="X241"/>
      <c r="Y241"/>
      <c r="Z241"/>
      <c r="AA241"/>
      <c r="AB241"/>
    </row>
    <row r="242" spans="5:28">
      <c r="E242" s="14"/>
      <c r="F242" s="14"/>
      <c r="G242" s="14"/>
      <c r="H242" s="14"/>
      <c r="I242" s="14"/>
      <c r="J242" s="14"/>
      <c r="K242" s="14"/>
      <c r="L242" s="14"/>
      <c r="M242" s="14"/>
      <c r="N242" s="14"/>
      <c r="O242" s="14"/>
      <c r="P242" s="14"/>
      <c r="Q242" s="14"/>
      <c r="R242" s="14"/>
      <c r="S242" s="14"/>
      <c r="T242" s="14"/>
      <c r="U242"/>
      <c r="V242"/>
      <c r="W242"/>
      <c r="X242"/>
      <c r="Y242"/>
      <c r="Z242"/>
      <c r="AA242"/>
      <c r="AB242"/>
    </row>
    <row r="243" spans="5:28">
      <c r="E243" s="14"/>
      <c r="F243" s="14"/>
      <c r="G243" s="14"/>
      <c r="H243" s="14"/>
      <c r="I243" s="14"/>
      <c r="J243" s="14"/>
      <c r="K243" s="14"/>
      <c r="L243" s="14"/>
      <c r="M243" s="14"/>
      <c r="N243" s="14"/>
      <c r="O243" s="14"/>
      <c r="P243" s="14"/>
      <c r="Q243" s="14"/>
      <c r="R243" s="14"/>
      <c r="S243" s="14"/>
      <c r="T243" s="14"/>
      <c r="U243"/>
      <c r="V243"/>
      <c r="W243"/>
      <c r="X243"/>
      <c r="Y243"/>
      <c r="Z243"/>
      <c r="AA243"/>
      <c r="AB243"/>
    </row>
    <row r="244" spans="5:28">
      <c r="E244" s="14"/>
      <c r="F244" s="14"/>
      <c r="G244" s="14"/>
      <c r="H244" s="14"/>
      <c r="I244" s="14"/>
      <c r="J244" s="14"/>
      <c r="K244" s="14"/>
      <c r="L244" s="14"/>
      <c r="M244" s="14"/>
      <c r="N244" s="14"/>
      <c r="O244" s="14"/>
      <c r="P244" s="14"/>
      <c r="Q244" s="14"/>
      <c r="R244" s="14"/>
      <c r="S244" s="14"/>
      <c r="T244" s="14"/>
      <c r="U244"/>
      <c r="V244"/>
      <c r="W244"/>
      <c r="X244"/>
      <c r="Y244"/>
      <c r="Z244"/>
      <c r="AA244"/>
      <c r="AB244"/>
    </row>
    <row r="245" spans="5:28">
      <c r="E245" s="14"/>
      <c r="F245" s="14"/>
      <c r="G245" s="14"/>
      <c r="H245" s="14"/>
      <c r="I245" s="14"/>
      <c r="J245" s="14"/>
      <c r="K245" s="14"/>
      <c r="L245" s="14"/>
      <c r="M245" s="14"/>
      <c r="N245" s="14"/>
      <c r="O245" s="14"/>
      <c r="P245" s="14"/>
      <c r="Q245" s="14"/>
      <c r="R245" s="14"/>
      <c r="S245" s="14"/>
      <c r="T245" s="14"/>
      <c r="U245"/>
      <c r="V245"/>
      <c r="W245"/>
      <c r="X245"/>
      <c r="Y245"/>
      <c r="Z245"/>
      <c r="AA245"/>
      <c r="AB245"/>
    </row>
    <row r="246" spans="5:28">
      <c r="E246" s="14"/>
      <c r="F246" s="14"/>
      <c r="G246" s="14"/>
      <c r="H246" s="14"/>
      <c r="I246" s="14"/>
      <c r="J246" s="14"/>
      <c r="K246" s="14"/>
      <c r="L246" s="14"/>
      <c r="M246" s="14"/>
      <c r="N246" s="14"/>
      <c r="O246" s="14"/>
      <c r="P246" s="14"/>
      <c r="Q246" s="14"/>
      <c r="R246" s="14"/>
      <c r="S246" s="14"/>
      <c r="T246" s="14"/>
      <c r="U246"/>
      <c r="V246"/>
      <c r="W246"/>
      <c r="X246"/>
      <c r="Y246"/>
      <c r="Z246"/>
      <c r="AA246"/>
      <c r="AB246"/>
    </row>
    <row r="247" spans="5:28">
      <c r="E247" s="14"/>
      <c r="F247" s="14"/>
      <c r="G247" s="14"/>
      <c r="H247" s="14"/>
      <c r="I247" s="14"/>
      <c r="J247" s="14"/>
      <c r="K247" s="14"/>
      <c r="L247" s="14"/>
      <c r="M247" s="14"/>
      <c r="N247" s="14"/>
      <c r="O247" s="14"/>
      <c r="P247" s="14"/>
      <c r="Q247" s="14"/>
      <c r="R247" s="14"/>
      <c r="S247" s="14"/>
      <c r="T247" s="14"/>
      <c r="U247"/>
      <c r="V247"/>
      <c r="W247"/>
      <c r="X247"/>
      <c r="Y247"/>
      <c r="Z247"/>
      <c r="AA247"/>
      <c r="AB247"/>
    </row>
    <row r="248" spans="5:28">
      <c r="E248" s="14"/>
      <c r="F248" s="14"/>
      <c r="G248" s="14"/>
      <c r="H248" s="14"/>
      <c r="I248" s="14"/>
      <c r="J248" s="14"/>
      <c r="K248" s="14"/>
      <c r="L248" s="14"/>
      <c r="M248" s="14"/>
      <c r="N248" s="14"/>
      <c r="O248" s="14"/>
      <c r="P248" s="14"/>
      <c r="Q248" s="14"/>
      <c r="R248" s="14"/>
      <c r="S248" s="14"/>
      <c r="T248" s="14"/>
      <c r="U248"/>
      <c r="V248"/>
      <c r="W248"/>
      <c r="X248"/>
      <c r="Y248"/>
      <c r="Z248"/>
      <c r="AA248"/>
      <c r="AB248"/>
    </row>
    <row r="249" spans="5:28">
      <c r="E249" s="14"/>
      <c r="F249" s="14"/>
      <c r="G249" s="14"/>
      <c r="H249" s="14"/>
      <c r="I249" s="14"/>
      <c r="J249" s="14"/>
      <c r="K249" s="14"/>
      <c r="L249" s="14"/>
      <c r="M249" s="14"/>
      <c r="N249" s="14"/>
      <c r="O249" s="14"/>
      <c r="P249" s="14"/>
      <c r="Q249" s="14"/>
      <c r="R249" s="14"/>
      <c r="S249" s="14"/>
      <c r="T249" s="14"/>
      <c r="U249"/>
      <c r="V249"/>
      <c r="W249"/>
      <c r="X249"/>
      <c r="Y249"/>
      <c r="Z249"/>
      <c r="AA249"/>
      <c r="AB249"/>
    </row>
    <row r="250" spans="5:28">
      <c r="E250" s="14"/>
      <c r="F250" s="14"/>
      <c r="G250" s="14"/>
      <c r="H250" s="14"/>
      <c r="I250" s="14"/>
      <c r="J250" s="14"/>
      <c r="K250" s="14"/>
      <c r="L250" s="14"/>
      <c r="M250" s="14"/>
      <c r="N250" s="14"/>
      <c r="O250" s="14"/>
      <c r="P250" s="14"/>
      <c r="Q250" s="14"/>
      <c r="R250" s="14"/>
      <c r="S250" s="14"/>
      <c r="T250" s="14"/>
      <c r="U250"/>
      <c r="V250"/>
      <c r="W250"/>
      <c r="X250"/>
      <c r="Y250"/>
      <c r="Z250"/>
      <c r="AA250"/>
      <c r="AB250"/>
    </row>
    <row r="251" spans="5:28">
      <c r="E251" s="14"/>
      <c r="F251" s="14"/>
      <c r="G251" s="14"/>
      <c r="H251" s="14"/>
      <c r="I251" s="14"/>
      <c r="J251" s="14"/>
      <c r="K251" s="14"/>
      <c r="L251" s="14"/>
      <c r="M251" s="14"/>
      <c r="N251" s="14"/>
      <c r="O251" s="14"/>
      <c r="P251" s="14"/>
      <c r="Q251" s="14"/>
      <c r="R251" s="14"/>
      <c r="S251" s="14"/>
      <c r="T251" s="14"/>
      <c r="U251"/>
      <c r="V251"/>
      <c r="W251"/>
      <c r="X251"/>
      <c r="Y251"/>
      <c r="Z251"/>
      <c r="AA251"/>
      <c r="AB251"/>
    </row>
    <row r="252" spans="5:28">
      <c r="E252" s="14"/>
      <c r="F252" s="14"/>
      <c r="G252" s="14"/>
      <c r="H252" s="14"/>
      <c r="I252" s="14"/>
      <c r="J252" s="14"/>
      <c r="K252" s="14"/>
      <c r="L252" s="14"/>
      <c r="M252" s="14"/>
      <c r="N252" s="14"/>
      <c r="O252" s="14"/>
      <c r="P252" s="14"/>
      <c r="Q252" s="14"/>
      <c r="R252" s="14"/>
      <c r="S252" s="14"/>
      <c r="T252" s="14"/>
      <c r="U252"/>
      <c r="V252"/>
      <c r="W252"/>
      <c r="X252"/>
      <c r="Y252"/>
      <c r="Z252"/>
      <c r="AA252"/>
      <c r="AB252"/>
    </row>
    <row r="253" spans="5:28">
      <c r="E253" s="14"/>
      <c r="F253" s="14"/>
      <c r="G253" s="14"/>
      <c r="H253" s="14"/>
      <c r="I253" s="14"/>
      <c r="J253" s="14"/>
      <c r="K253" s="14"/>
      <c r="L253" s="14"/>
      <c r="M253" s="14"/>
      <c r="N253" s="14"/>
      <c r="O253" s="14"/>
      <c r="P253" s="14"/>
      <c r="Q253" s="14"/>
      <c r="R253" s="14"/>
      <c r="S253" s="14"/>
      <c r="T253" s="14"/>
      <c r="U253"/>
      <c r="V253"/>
      <c r="W253"/>
      <c r="X253"/>
      <c r="Y253"/>
      <c r="Z253"/>
      <c r="AA253"/>
      <c r="AB253"/>
    </row>
    <row r="254" spans="5:28">
      <c r="E254" s="14"/>
      <c r="F254" s="14"/>
      <c r="G254" s="14"/>
      <c r="H254" s="14"/>
      <c r="I254" s="14"/>
      <c r="J254" s="14"/>
      <c r="K254" s="14"/>
      <c r="L254" s="14"/>
      <c r="M254" s="14"/>
      <c r="N254" s="14"/>
      <c r="O254" s="14"/>
      <c r="P254" s="14"/>
      <c r="Q254" s="14"/>
      <c r="R254" s="14"/>
      <c r="S254" s="14"/>
      <c r="T254" s="14"/>
      <c r="U254"/>
      <c r="V254"/>
      <c r="W254"/>
      <c r="X254"/>
      <c r="Y254"/>
      <c r="Z254"/>
      <c r="AA254"/>
      <c r="AB254"/>
    </row>
    <row r="255" spans="5:28">
      <c r="E255" s="14"/>
      <c r="F255" s="14"/>
      <c r="G255" s="14"/>
      <c r="H255" s="14"/>
      <c r="I255" s="14"/>
      <c r="J255" s="14"/>
      <c r="K255" s="14"/>
      <c r="L255" s="14"/>
      <c r="M255" s="14"/>
      <c r="N255" s="14"/>
      <c r="O255" s="14"/>
      <c r="P255" s="14"/>
      <c r="Q255" s="14"/>
      <c r="R255" s="14"/>
      <c r="S255" s="14"/>
      <c r="T255" s="14"/>
      <c r="U255"/>
      <c r="V255"/>
      <c r="W255"/>
      <c r="X255"/>
      <c r="Y255"/>
      <c r="Z255"/>
      <c r="AA255"/>
      <c r="AB255"/>
    </row>
    <row r="256" spans="5:28">
      <c r="E256" s="14"/>
      <c r="F256" s="14"/>
      <c r="G256" s="14"/>
      <c r="H256" s="14"/>
      <c r="I256" s="14"/>
      <c r="J256" s="14"/>
      <c r="K256" s="14"/>
      <c r="L256" s="14"/>
      <c r="M256" s="14"/>
      <c r="N256" s="14"/>
      <c r="O256" s="14"/>
      <c r="P256" s="14"/>
      <c r="Q256" s="14"/>
      <c r="R256" s="14"/>
      <c r="S256" s="14"/>
      <c r="T256" s="14"/>
      <c r="U256"/>
      <c r="V256"/>
      <c r="W256"/>
      <c r="X256"/>
      <c r="Y256"/>
      <c r="Z256"/>
      <c r="AA256"/>
      <c r="AB256"/>
    </row>
    <row r="257" spans="5:28">
      <c r="E257" s="14"/>
      <c r="F257" s="14"/>
      <c r="G257" s="14"/>
      <c r="H257" s="14"/>
      <c r="I257" s="14"/>
      <c r="J257" s="14"/>
      <c r="K257" s="14"/>
      <c r="L257" s="14"/>
      <c r="M257" s="14"/>
      <c r="N257" s="14"/>
      <c r="O257" s="14"/>
      <c r="P257" s="14"/>
      <c r="Q257" s="14"/>
      <c r="R257" s="14"/>
      <c r="S257" s="14"/>
      <c r="T257" s="14"/>
      <c r="U257"/>
      <c r="V257"/>
      <c r="W257"/>
      <c r="X257"/>
      <c r="Y257"/>
      <c r="Z257"/>
      <c r="AA257"/>
      <c r="AB257"/>
    </row>
    <row r="258" spans="5:28">
      <c r="E258" s="14"/>
      <c r="F258" s="14"/>
      <c r="G258" s="14"/>
      <c r="H258" s="14"/>
      <c r="I258" s="14"/>
      <c r="J258" s="14"/>
      <c r="K258" s="14"/>
      <c r="L258" s="14"/>
      <c r="M258" s="14"/>
      <c r="N258" s="14"/>
      <c r="O258" s="14"/>
      <c r="P258" s="14"/>
      <c r="Q258" s="14"/>
      <c r="R258" s="14"/>
      <c r="S258" s="14"/>
      <c r="T258" s="14"/>
      <c r="U258"/>
      <c r="V258"/>
      <c r="W258"/>
      <c r="X258"/>
      <c r="Y258"/>
      <c r="Z258"/>
      <c r="AA258"/>
      <c r="AB258"/>
    </row>
    <row r="259" spans="5:28">
      <c r="E259" s="14"/>
      <c r="F259" s="14"/>
      <c r="G259" s="14"/>
      <c r="H259" s="14"/>
      <c r="I259" s="14"/>
      <c r="J259" s="14"/>
      <c r="K259" s="14"/>
      <c r="L259" s="14"/>
      <c r="M259" s="14"/>
      <c r="N259" s="14"/>
      <c r="O259" s="14"/>
      <c r="P259" s="14"/>
      <c r="Q259" s="14"/>
      <c r="R259" s="14"/>
      <c r="S259" s="14"/>
      <c r="T259" s="14"/>
      <c r="U259"/>
      <c r="V259"/>
      <c r="W259"/>
      <c r="X259"/>
      <c r="Y259"/>
      <c r="Z259"/>
      <c r="AA259"/>
      <c r="AB259"/>
    </row>
    <row r="260" spans="5:28">
      <c r="E260" s="14"/>
      <c r="F260" s="14"/>
      <c r="G260" s="14"/>
      <c r="H260" s="14"/>
      <c r="I260" s="14"/>
      <c r="J260" s="14"/>
      <c r="K260" s="14"/>
      <c r="L260" s="14"/>
      <c r="M260" s="14"/>
      <c r="N260" s="14"/>
      <c r="O260" s="14"/>
      <c r="P260" s="14"/>
      <c r="Q260" s="14"/>
      <c r="R260" s="14"/>
      <c r="S260" s="14"/>
      <c r="T260" s="14"/>
      <c r="U260"/>
      <c r="V260"/>
      <c r="W260"/>
      <c r="X260"/>
      <c r="Y260"/>
      <c r="Z260"/>
      <c r="AA260"/>
      <c r="AB260"/>
    </row>
    <row r="261" spans="5:28">
      <c r="E261" s="14"/>
      <c r="F261" s="14"/>
      <c r="G261" s="14"/>
      <c r="H261" s="14"/>
      <c r="I261" s="14"/>
      <c r="J261" s="14"/>
      <c r="K261" s="14"/>
      <c r="L261" s="14"/>
      <c r="M261" s="14"/>
      <c r="N261" s="14"/>
      <c r="O261" s="14"/>
      <c r="P261" s="14"/>
      <c r="Q261" s="14"/>
      <c r="R261" s="14"/>
      <c r="S261" s="14"/>
      <c r="T261" s="14"/>
      <c r="U261"/>
      <c r="V261"/>
      <c r="W261"/>
      <c r="X261"/>
      <c r="Y261"/>
      <c r="Z261"/>
      <c r="AA261"/>
      <c r="AB261"/>
    </row>
    <row r="262" spans="5:28">
      <c r="E262" s="14"/>
      <c r="F262" s="14"/>
      <c r="G262" s="14"/>
      <c r="H262" s="14"/>
      <c r="I262" s="14"/>
      <c r="J262" s="14"/>
      <c r="K262" s="14"/>
      <c r="L262" s="14"/>
      <c r="M262" s="14"/>
      <c r="N262" s="14"/>
      <c r="O262" s="14"/>
      <c r="P262" s="14"/>
      <c r="Q262" s="14"/>
      <c r="R262" s="14"/>
      <c r="S262" s="14"/>
      <c r="T262" s="14"/>
      <c r="U262"/>
      <c r="V262"/>
      <c r="W262"/>
      <c r="X262"/>
      <c r="Y262"/>
      <c r="Z262"/>
      <c r="AA262"/>
      <c r="AB262"/>
    </row>
    <row r="263" spans="5:28">
      <c r="E263" s="14"/>
      <c r="F263" s="14"/>
      <c r="G263" s="14"/>
      <c r="H263" s="14"/>
      <c r="I263" s="14"/>
      <c r="J263" s="14"/>
      <c r="K263" s="14"/>
      <c r="L263" s="14"/>
      <c r="M263" s="14"/>
      <c r="N263" s="14"/>
      <c r="O263" s="14"/>
      <c r="P263" s="14"/>
      <c r="Q263" s="14"/>
      <c r="R263" s="14"/>
      <c r="S263" s="14"/>
      <c r="T263" s="14"/>
      <c r="U263"/>
      <c r="V263"/>
      <c r="W263"/>
      <c r="X263"/>
      <c r="Y263"/>
      <c r="Z263"/>
      <c r="AA263"/>
      <c r="AB263"/>
    </row>
    <row r="264" spans="5:28">
      <c r="E264" s="14"/>
      <c r="F264" s="14"/>
      <c r="G264" s="14"/>
      <c r="H264" s="14"/>
      <c r="I264" s="14"/>
      <c r="J264" s="14"/>
      <c r="K264" s="14"/>
      <c r="L264" s="14"/>
      <c r="M264" s="14"/>
      <c r="N264" s="14"/>
      <c r="O264" s="14"/>
      <c r="P264" s="14"/>
      <c r="Q264" s="14"/>
      <c r="R264" s="14"/>
      <c r="S264" s="14"/>
      <c r="T264" s="14"/>
      <c r="U264"/>
      <c r="V264"/>
      <c r="W264"/>
      <c r="X264"/>
      <c r="Y264"/>
      <c r="Z264"/>
      <c r="AA264"/>
      <c r="AB264"/>
    </row>
    <row r="265" spans="5:28">
      <c r="E265" s="14"/>
      <c r="F265" s="14"/>
      <c r="G265" s="14"/>
      <c r="H265" s="14"/>
      <c r="I265" s="14"/>
      <c r="J265" s="14"/>
      <c r="K265" s="14"/>
      <c r="L265" s="14"/>
      <c r="M265" s="14"/>
      <c r="N265" s="14"/>
      <c r="O265" s="14"/>
      <c r="P265" s="14"/>
      <c r="Q265" s="14"/>
      <c r="R265" s="14"/>
      <c r="S265" s="14"/>
      <c r="T265" s="14"/>
      <c r="U265"/>
      <c r="V265"/>
      <c r="W265"/>
      <c r="X265"/>
      <c r="Y265"/>
      <c r="Z265"/>
      <c r="AA265"/>
      <c r="AB265"/>
    </row>
    <row r="266" spans="5:28">
      <c r="E266" s="14"/>
      <c r="F266" s="14"/>
      <c r="G266" s="14"/>
      <c r="H266" s="14"/>
      <c r="I266" s="14"/>
      <c r="J266" s="14"/>
      <c r="K266" s="14"/>
      <c r="L266" s="14"/>
      <c r="M266" s="14"/>
      <c r="N266" s="14"/>
      <c r="O266" s="14"/>
      <c r="P266" s="14"/>
      <c r="Q266" s="14"/>
      <c r="R266" s="14"/>
      <c r="S266" s="14"/>
      <c r="T266" s="14"/>
      <c r="U266"/>
      <c r="V266"/>
      <c r="W266"/>
      <c r="X266"/>
      <c r="Y266"/>
      <c r="Z266"/>
      <c r="AA266"/>
      <c r="AB266"/>
    </row>
    <row r="267" spans="5:28">
      <c r="E267" s="14"/>
      <c r="F267" s="14"/>
      <c r="G267" s="14"/>
      <c r="H267" s="14"/>
      <c r="I267" s="14"/>
      <c r="J267" s="14"/>
      <c r="K267" s="14"/>
      <c r="L267" s="14"/>
      <c r="M267" s="14"/>
      <c r="N267" s="14"/>
      <c r="O267" s="14"/>
      <c r="P267" s="14"/>
      <c r="Q267" s="14"/>
      <c r="R267" s="14"/>
      <c r="S267" s="14"/>
      <c r="T267" s="14"/>
      <c r="U267"/>
      <c r="V267"/>
      <c r="W267"/>
      <c r="X267"/>
      <c r="Y267"/>
      <c r="Z267"/>
      <c r="AA267"/>
      <c r="AB267"/>
    </row>
    <row r="268" spans="5:28">
      <c r="E268" s="14"/>
      <c r="F268" s="14"/>
      <c r="G268" s="14"/>
      <c r="H268" s="14"/>
      <c r="I268" s="14"/>
      <c r="J268" s="14"/>
      <c r="K268" s="14"/>
      <c r="L268" s="14"/>
      <c r="M268" s="14"/>
      <c r="N268" s="14"/>
      <c r="O268" s="14"/>
      <c r="P268" s="14"/>
      <c r="Q268" s="14"/>
      <c r="R268" s="14"/>
      <c r="S268" s="14"/>
      <c r="T268" s="14"/>
      <c r="U268"/>
      <c r="V268"/>
      <c r="W268"/>
      <c r="X268"/>
      <c r="Y268"/>
      <c r="Z268"/>
      <c r="AA268"/>
      <c r="AB268"/>
    </row>
    <row r="269" spans="5:28">
      <c r="E269" s="14"/>
      <c r="F269" s="14"/>
      <c r="G269" s="14"/>
      <c r="H269" s="14"/>
      <c r="I269" s="14"/>
      <c r="J269" s="14"/>
      <c r="K269" s="14"/>
      <c r="L269" s="14"/>
      <c r="M269" s="14"/>
      <c r="N269" s="14"/>
      <c r="O269" s="14"/>
      <c r="P269" s="14"/>
      <c r="Q269" s="14"/>
      <c r="R269" s="14"/>
      <c r="S269" s="14"/>
      <c r="T269" s="14"/>
      <c r="U269"/>
      <c r="V269"/>
      <c r="W269"/>
      <c r="X269"/>
      <c r="Y269"/>
      <c r="Z269"/>
      <c r="AA269"/>
      <c r="AB269"/>
    </row>
    <row r="270" spans="5:28">
      <c r="E270" s="14"/>
      <c r="F270" s="14"/>
      <c r="G270" s="14"/>
      <c r="H270" s="14"/>
      <c r="I270" s="14"/>
      <c r="J270" s="14"/>
      <c r="K270" s="14"/>
      <c r="L270" s="14"/>
      <c r="M270" s="14"/>
      <c r="N270" s="14"/>
      <c r="O270" s="14"/>
      <c r="P270" s="14"/>
      <c r="Q270" s="14"/>
      <c r="R270" s="14"/>
      <c r="S270" s="14"/>
      <c r="T270" s="14"/>
      <c r="U270"/>
      <c r="V270"/>
      <c r="W270"/>
      <c r="X270"/>
      <c r="Y270"/>
      <c r="Z270"/>
      <c r="AA270"/>
      <c r="AB270"/>
    </row>
    <row r="271" spans="5:28">
      <c r="E271" s="14"/>
      <c r="F271" s="14"/>
      <c r="G271" s="14"/>
      <c r="H271" s="14"/>
      <c r="I271" s="14"/>
      <c r="J271" s="14"/>
      <c r="K271" s="14"/>
      <c r="L271" s="14"/>
      <c r="M271" s="14"/>
      <c r="N271" s="14"/>
      <c r="O271" s="14"/>
      <c r="P271" s="14"/>
      <c r="Q271" s="14"/>
      <c r="R271" s="14"/>
      <c r="S271" s="14"/>
      <c r="T271" s="14"/>
      <c r="U271"/>
      <c r="V271"/>
      <c r="W271"/>
      <c r="X271"/>
      <c r="Y271"/>
      <c r="Z271"/>
      <c r="AA271"/>
      <c r="AB271"/>
    </row>
    <row r="272" spans="5:28">
      <c r="E272" s="14"/>
      <c r="F272" s="14"/>
      <c r="G272" s="14"/>
      <c r="H272" s="14"/>
      <c r="I272" s="14"/>
      <c r="J272" s="14"/>
      <c r="K272" s="14"/>
      <c r="L272" s="14"/>
      <c r="M272" s="14"/>
      <c r="N272" s="14"/>
      <c r="O272" s="14"/>
      <c r="P272" s="14"/>
      <c r="Q272" s="14"/>
      <c r="R272" s="14"/>
      <c r="S272" s="14"/>
      <c r="T272" s="14"/>
      <c r="U272"/>
      <c r="V272"/>
      <c r="W272"/>
      <c r="X272"/>
      <c r="Y272"/>
      <c r="Z272"/>
      <c r="AA272"/>
      <c r="AB272"/>
    </row>
    <row r="273" spans="5:28">
      <c r="E273" s="14"/>
      <c r="F273" s="14"/>
      <c r="G273" s="14"/>
      <c r="H273" s="14"/>
      <c r="I273" s="14"/>
      <c r="J273" s="14"/>
      <c r="K273" s="14"/>
      <c r="L273" s="14"/>
      <c r="M273" s="14"/>
      <c r="N273" s="14"/>
      <c r="O273" s="14"/>
      <c r="P273" s="14"/>
      <c r="Q273" s="14"/>
      <c r="R273" s="14"/>
      <c r="S273" s="14"/>
      <c r="T273" s="14"/>
      <c r="U273"/>
      <c r="V273"/>
      <c r="W273"/>
      <c r="X273"/>
      <c r="Y273"/>
      <c r="Z273"/>
      <c r="AA273"/>
      <c r="AB273"/>
    </row>
    <row r="274" spans="5:28">
      <c r="E274" s="14"/>
      <c r="F274" s="14"/>
      <c r="G274" s="14"/>
      <c r="H274" s="14"/>
      <c r="I274" s="14"/>
      <c r="J274" s="14"/>
      <c r="K274" s="14"/>
      <c r="L274" s="14"/>
      <c r="M274" s="14"/>
      <c r="N274" s="14"/>
      <c r="O274" s="14"/>
      <c r="P274" s="14"/>
      <c r="Q274" s="14"/>
      <c r="R274" s="14"/>
      <c r="S274" s="14"/>
      <c r="T274" s="14"/>
      <c r="U274"/>
      <c r="V274"/>
      <c r="W274"/>
      <c r="X274"/>
      <c r="Y274"/>
      <c r="Z274"/>
      <c r="AA274"/>
      <c r="AB274"/>
    </row>
    <row r="275" spans="5:28">
      <c r="E275" s="14"/>
      <c r="F275" s="14"/>
      <c r="G275" s="14"/>
      <c r="H275" s="14"/>
      <c r="I275" s="14"/>
      <c r="J275" s="14"/>
      <c r="K275" s="14"/>
      <c r="L275" s="14"/>
      <c r="M275" s="14"/>
      <c r="N275" s="14"/>
      <c r="O275" s="14"/>
      <c r="P275" s="14"/>
      <c r="Q275" s="14"/>
      <c r="R275" s="14"/>
      <c r="S275" s="14"/>
      <c r="T275" s="14"/>
      <c r="U275"/>
      <c r="V275"/>
      <c r="W275"/>
      <c r="X275"/>
      <c r="Y275"/>
      <c r="Z275"/>
      <c r="AA275"/>
      <c r="AB275"/>
    </row>
    <row r="276" spans="5:28">
      <c r="E276" s="14"/>
      <c r="F276" s="14"/>
      <c r="G276" s="14"/>
      <c r="H276" s="14"/>
      <c r="I276" s="14"/>
      <c r="J276" s="14"/>
      <c r="K276" s="14"/>
      <c r="L276" s="14"/>
      <c r="M276" s="14"/>
      <c r="N276" s="14"/>
      <c r="O276" s="14"/>
      <c r="P276" s="14"/>
      <c r="Q276" s="14"/>
      <c r="R276" s="14"/>
      <c r="S276" s="14"/>
      <c r="T276" s="14"/>
      <c r="U276"/>
      <c r="V276"/>
      <c r="W276"/>
      <c r="X276"/>
      <c r="Y276"/>
      <c r="Z276"/>
      <c r="AA276"/>
      <c r="AB276"/>
    </row>
    <row r="277" spans="5:28">
      <c r="E277" s="14"/>
      <c r="F277" s="14"/>
      <c r="G277" s="14"/>
      <c r="H277" s="14"/>
      <c r="I277" s="14"/>
      <c r="J277" s="14"/>
      <c r="K277" s="14"/>
      <c r="L277" s="14"/>
      <c r="M277" s="14"/>
      <c r="N277" s="14"/>
      <c r="O277" s="14"/>
      <c r="P277" s="14"/>
      <c r="Q277" s="14"/>
      <c r="R277" s="14"/>
      <c r="S277" s="14"/>
      <c r="T277" s="14"/>
      <c r="U277"/>
      <c r="V277"/>
      <c r="W277"/>
      <c r="X277"/>
      <c r="Y277"/>
      <c r="Z277"/>
      <c r="AA277"/>
      <c r="AB277"/>
    </row>
    <row r="278" spans="5:28">
      <c r="E278" s="14"/>
      <c r="F278" s="14"/>
      <c r="G278" s="14"/>
      <c r="H278" s="14"/>
      <c r="I278" s="14"/>
      <c r="J278" s="14"/>
      <c r="K278" s="14"/>
      <c r="L278" s="14"/>
      <c r="M278" s="14"/>
      <c r="N278" s="14"/>
      <c r="O278" s="14"/>
      <c r="P278" s="14"/>
      <c r="Q278" s="14"/>
      <c r="R278" s="14"/>
      <c r="S278" s="14"/>
      <c r="T278" s="14"/>
      <c r="U278"/>
      <c r="V278"/>
      <c r="W278"/>
      <c r="X278"/>
      <c r="Y278"/>
      <c r="Z278"/>
      <c r="AA278"/>
      <c r="AB278"/>
    </row>
    <row r="279" spans="5:28">
      <c r="E279" s="14"/>
      <c r="F279" s="14"/>
      <c r="G279" s="14"/>
      <c r="H279" s="14"/>
      <c r="I279" s="14"/>
      <c r="J279" s="14"/>
      <c r="K279" s="14"/>
      <c r="L279" s="14"/>
      <c r="M279" s="14"/>
      <c r="N279" s="14"/>
      <c r="O279" s="14"/>
      <c r="P279" s="14"/>
      <c r="Q279" s="14"/>
      <c r="R279" s="14"/>
      <c r="S279" s="14"/>
      <c r="T279" s="14"/>
      <c r="U279"/>
      <c r="V279"/>
      <c r="W279"/>
      <c r="X279"/>
      <c r="Y279"/>
      <c r="Z279"/>
      <c r="AA279"/>
      <c r="AB279"/>
    </row>
    <row r="280" spans="5:28">
      <c r="E280" s="14"/>
      <c r="F280" s="14"/>
      <c r="G280" s="14"/>
      <c r="H280" s="14"/>
      <c r="I280" s="14"/>
      <c r="J280" s="14"/>
      <c r="K280" s="14"/>
      <c r="L280" s="14"/>
      <c r="M280" s="14"/>
      <c r="N280" s="14"/>
      <c r="O280" s="14"/>
      <c r="P280" s="14"/>
      <c r="Q280" s="14"/>
      <c r="R280" s="14"/>
      <c r="S280" s="14"/>
      <c r="T280" s="14"/>
      <c r="U280"/>
      <c r="V280"/>
      <c r="W280"/>
      <c r="X280"/>
      <c r="Y280"/>
      <c r="Z280"/>
      <c r="AA280"/>
      <c r="AB280"/>
    </row>
    <row r="281" spans="5:28">
      <c r="E281" s="14"/>
      <c r="F281" s="14"/>
      <c r="G281" s="14"/>
      <c r="H281" s="14"/>
      <c r="I281" s="14"/>
      <c r="J281" s="14"/>
      <c r="K281" s="14"/>
      <c r="L281" s="14"/>
      <c r="M281" s="14"/>
      <c r="N281" s="14"/>
      <c r="O281" s="14"/>
      <c r="P281" s="14"/>
      <c r="Q281" s="14"/>
      <c r="R281" s="14"/>
      <c r="S281" s="14"/>
      <c r="T281" s="14"/>
      <c r="U281"/>
      <c r="V281"/>
      <c r="W281"/>
      <c r="X281"/>
      <c r="Y281"/>
      <c r="Z281"/>
      <c r="AA281"/>
      <c r="AB281"/>
    </row>
    <row r="282" spans="5:28">
      <c r="E282" s="14"/>
      <c r="F282" s="14"/>
      <c r="G282" s="14"/>
      <c r="H282" s="14"/>
      <c r="I282" s="14"/>
      <c r="J282" s="14"/>
      <c r="K282" s="14"/>
      <c r="L282" s="14"/>
      <c r="M282" s="14"/>
      <c r="N282" s="14"/>
      <c r="O282" s="14"/>
      <c r="P282" s="14"/>
      <c r="Q282" s="14"/>
      <c r="R282" s="14"/>
      <c r="S282" s="14"/>
      <c r="T282" s="14"/>
      <c r="U282"/>
      <c r="V282"/>
      <c r="W282"/>
      <c r="X282"/>
      <c r="Y282"/>
      <c r="Z282"/>
      <c r="AA282"/>
      <c r="AB282"/>
    </row>
    <row r="283" spans="5:28">
      <c r="E283" s="14"/>
      <c r="F283" s="14"/>
      <c r="G283" s="14"/>
      <c r="H283" s="14"/>
      <c r="I283" s="14"/>
      <c r="J283" s="14"/>
      <c r="K283" s="14"/>
      <c r="L283" s="14"/>
      <c r="M283" s="14"/>
      <c r="N283" s="14"/>
      <c r="O283" s="14"/>
      <c r="P283" s="14"/>
      <c r="Q283" s="14"/>
      <c r="R283" s="14"/>
      <c r="S283" s="14"/>
      <c r="T283" s="14"/>
      <c r="U283"/>
      <c r="V283"/>
      <c r="W283"/>
      <c r="X283"/>
      <c r="Y283"/>
      <c r="Z283"/>
      <c r="AA283"/>
      <c r="AB283"/>
    </row>
    <row r="284" spans="5:28">
      <c r="E284" s="14"/>
      <c r="F284" s="14"/>
      <c r="G284" s="14"/>
      <c r="H284" s="14"/>
      <c r="I284" s="14"/>
      <c r="J284" s="14"/>
      <c r="K284" s="14"/>
      <c r="L284" s="14"/>
      <c r="M284" s="14"/>
      <c r="N284" s="14"/>
      <c r="O284" s="14"/>
      <c r="P284" s="14"/>
      <c r="Q284" s="14"/>
      <c r="R284" s="14"/>
      <c r="S284" s="14"/>
      <c r="T284" s="14"/>
      <c r="U284"/>
      <c r="V284"/>
      <c r="W284"/>
      <c r="X284"/>
      <c r="Y284"/>
      <c r="Z284"/>
      <c r="AA284"/>
      <c r="AB284"/>
    </row>
    <row r="285" spans="5:28">
      <c r="E285" s="14"/>
      <c r="F285" s="14"/>
      <c r="G285" s="14"/>
      <c r="H285" s="14"/>
      <c r="I285" s="14"/>
      <c r="J285" s="14"/>
      <c r="K285" s="14"/>
      <c r="L285" s="14"/>
      <c r="M285" s="14"/>
      <c r="N285" s="14"/>
      <c r="O285" s="14"/>
      <c r="P285" s="14"/>
      <c r="Q285" s="14"/>
      <c r="R285" s="14"/>
      <c r="S285" s="14"/>
      <c r="T285" s="14"/>
      <c r="U285"/>
      <c r="V285"/>
      <c r="W285"/>
      <c r="X285"/>
      <c r="Y285"/>
      <c r="Z285"/>
      <c r="AA285"/>
      <c r="AB285"/>
    </row>
    <row r="286" spans="5:28">
      <c r="E286" s="14"/>
      <c r="F286" s="14"/>
      <c r="G286" s="14"/>
      <c r="H286" s="14"/>
      <c r="I286" s="14"/>
      <c r="J286" s="14"/>
      <c r="K286" s="14"/>
      <c r="L286" s="14"/>
      <c r="M286" s="14"/>
      <c r="N286" s="14"/>
      <c r="O286" s="14"/>
      <c r="P286" s="14"/>
      <c r="Q286" s="14"/>
      <c r="R286" s="14"/>
      <c r="S286" s="14"/>
      <c r="T286" s="14"/>
      <c r="U286"/>
      <c r="V286"/>
      <c r="W286"/>
      <c r="X286"/>
      <c r="Y286"/>
      <c r="Z286"/>
      <c r="AA286"/>
      <c r="AB286"/>
    </row>
    <row r="287" spans="5:28">
      <c r="E287" s="14"/>
      <c r="F287" s="14"/>
      <c r="G287" s="14"/>
      <c r="H287" s="14"/>
      <c r="I287" s="14"/>
      <c r="J287" s="14"/>
      <c r="K287" s="14"/>
      <c r="L287" s="14"/>
      <c r="M287" s="14"/>
      <c r="N287" s="14"/>
      <c r="O287" s="14"/>
      <c r="P287" s="14"/>
      <c r="Q287" s="14"/>
      <c r="R287" s="14"/>
      <c r="S287" s="14"/>
      <c r="T287" s="14"/>
      <c r="U287"/>
      <c r="V287"/>
      <c r="W287"/>
      <c r="X287"/>
      <c r="Y287"/>
      <c r="Z287"/>
      <c r="AA287"/>
      <c r="AB287"/>
    </row>
    <row r="288" spans="5:28">
      <c r="E288" s="14"/>
      <c r="F288" s="14"/>
      <c r="G288" s="14"/>
      <c r="H288" s="14"/>
      <c r="I288" s="14"/>
      <c r="J288" s="14"/>
      <c r="K288" s="14"/>
      <c r="L288" s="14"/>
      <c r="M288" s="14"/>
      <c r="N288" s="14"/>
      <c r="O288" s="14"/>
      <c r="P288" s="14"/>
      <c r="Q288" s="14"/>
      <c r="R288" s="14"/>
      <c r="S288" s="14"/>
      <c r="T288" s="14"/>
      <c r="U288"/>
      <c r="V288"/>
      <c r="W288"/>
      <c r="X288"/>
      <c r="Y288"/>
      <c r="Z288"/>
      <c r="AA288"/>
      <c r="AB288"/>
    </row>
    <row r="289" spans="5:28">
      <c r="E289" s="14"/>
      <c r="F289" s="14"/>
      <c r="G289" s="14"/>
      <c r="H289" s="14"/>
      <c r="I289" s="14"/>
      <c r="J289" s="14"/>
      <c r="K289" s="14"/>
      <c r="L289" s="14"/>
      <c r="M289" s="14"/>
      <c r="N289" s="14"/>
      <c r="O289" s="14"/>
      <c r="P289" s="14"/>
      <c r="Q289" s="14"/>
      <c r="R289" s="14"/>
      <c r="S289" s="14"/>
      <c r="T289" s="14"/>
      <c r="U289"/>
      <c r="V289"/>
      <c r="W289"/>
      <c r="X289"/>
      <c r="Y289"/>
      <c r="Z289"/>
      <c r="AA289"/>
      <c r="AB289"/>
    </row>
    <row r="290" spans="5:28">
      <c r="E290" s="14"/>
      <c r="F290" s="14"/>
      <c r="G290" s="14"/>
      <c r="H290" s="14"/>
      <c r="I290" s="14"/>
      <c r="J290" s="14"/>
      <c r="K290" s="14"/>
      <c r="L290" s="14"/>
      <c r="M290" s="14"/>
      <c r="N290" s="14"/>
      <c r="O290" s="14"/>
      <c r="P290" s="14"/>
      <c r="Q290" s="14"/>
      <c r="R290" s="14"/>
      <c r="S290" s="14"/>
      <c r="T290" s="14"/>
      <c r="U290"/>
      <c r="V290"/>
      <c r="W290"/>
      <c r="X290"/>
      <c r="Y290"/>
      <c r="Z290"/>
      <c r="AA290"/>
      <c r="AB290"/>
    </row>
    <row r="291" spans="5:28">
      <c r="E291" s="14"/>
      <c r="F291" s="14"/>
      <c r="G291" s="14"/>
      <c r="H291" s="14"/>
      <c r="I291" s="14"/>
      <c r="J291" s="14"/>
      <c r="K291" s="14"/>
      <c r="L291" s="14"/>
      <c r="M291" s="14"/>
      <c r="N291" s="14"/>
      <c r="O291" s="14"/>
      <c r="P291" s="14"/>
      <c r="Q291" s="14"/>
      <c r="R291" s="14"/>
      <c r="S291" s="14"/>
      <c r="T291" s="14"/>
      <c r="U291"/>
      <c r="V291"/>
      <c r="W291"/>
      <c r="X291"/>
      <c r="Y291"/>
      <c r="Z291"/>
      <c r="AA291"/>
      <c r="AB291"/>
    </row>
    <row r="292" spans="5:28">
      <c r="E292" s="14"/>
      <c r="F292" s="14"/>
      <c r="G292" s="14"/>
      <c r="H292" s="14"/>
      <c r="I292" s="14"/>
      <c r="J292" s="14"/>
      <c r="K292" s="14"/>
      <c r="L292" s="14"/>
      <c r="M292" s="14"/>
      <c r="N292" s="14"/>
      <c r="O292" s="14"/>
      <c r="P292" s="14"/>
      <c r="Q292" s="14"/>
      <c r="R292" s="14"/>
      <c r="S292" s="14"/>
      <c r="T292" s="14"/>
      <c r="U292"/>
      <c r="V292"/>
      <c r="W292"/>
      <c r="X292"/>
      <c r="Y292"/>
      <c r="Z292"/>
      <c r="AA292"/>
      <c r="AB292"/>
    </row>
    <row r="293" spans="5:28">
      <c r="E293" s="14"/>
      <c r="F293" s="14"/>
      <c r="G293" s="14"/>
      <c r="H293" s="14"/>
      <c r="I293" s="14"/>
      <c r="J293" s="14"/>
      <c r="K293" s="14"/>
      <c r="L293" s="14"/>
      <c r="M293" s="14"/>
      <c r="N293" s="14"/>
      <c r="O293" s="14"/>
      <c r="P293" s="14"/>
      <c r="Q293" s="14"/>
      <c r="R293" s="14"/>
      <c r="S293" s="14"/>
      <c r="T293" s="14"/>
      <c r="U293"/>
      <c r="V293"/>
      <c r="W293"/>
      <c r="X293"/>
      <c r="Y293"/>
      <c r="Z293"/>
      <c r="AA293"/>
      <c r="AB293"/>
    </row>
    <row r="294" spans="5:28">
      <c r="E294" s="14"/>
      <c r="F294" s="14"/>
      <c r="G294" s="14"/>
      <c r="H294" s="14"/>
      <c r="I294" s="14"/>
      <c r="J294" s="14"/>
      <c r="K294" s="14"/>
      <c r="L294" s="14"/>
      <c r="M294" s="14"/>
      <c r="N294" s="14"/>
      <c r="O294" s="14"/>
      <c r="P294" s="14"/>
      <c r="Q294" s="14"/>
      <c r="R294" s="14"/>
      <c r="S294" s="14"/>
      <c r="T294" s="14"/>
      <c r="U294"/>
      <c r="V294"/>
      <c r="W294"/>
      <c r="X294"/>
      <c r="Y294"/>
      <c r="Z294"/>
      <c r="AA294"/>
      <c r="AB294"/>
    </row>
    <row r="295" spans="5:28">
      <c r="E295" s="14"/>
      <c r="F295" s="14"/>
      <c r="G295" s="14"/>
      <c r="H295" s="14"/>
      <c r="I295" s="14"/>
      <c r="J295" s="14"/>
      <c r="K295" s="14"/>
      <c r="L295" s="14"/>
      <c r="M295" s="14"/>
      <c r="N295" s="14"/>
      <c r="O295" s="14"/>
      <c r="P295" s="14"/>
      <c r="Q295" s="14"/>
      <c r="R295" s="14"/>
      <c r="S295" s="14"/>
      <c r="T295" s="14"/>
      <c r="U295"/>
      <c r="V295"/>
      <c r="W295"/>
      <c r="X295"/>
      <c r="Y295"/>
      <c r="Z295"/>
      <c r="AA295"/>
      <c r="AB295"/>
    </row>
    <row r="296" spans="5:28">
      <c r="E296" s="14"/>
      <c r="F296" s="14"/>
      <c r="G296" s="14"/>
      <c r="H296" s="14"/>
      <c r="I296" s="14"/>
      <c r="J296" s="14"/>
      <c r="K296" s="14"/>
      <c r="L296" s="14"/>
      <c r="M296" s="14"/>
      <c r="N296" s="14"/>
      <c r="O296" s="14"/>
      <c r="P296" s="14"/>
      <c r="Q296" s="14"/>
      <c r="R296" s="14"/>
      <c r="S296" s="14"/>
      <c r="T296" s="14"/>
      <c r="U296"/>
      <c r="V296"/>
      <c r="W296"/>
      <c r="X296"/>
      <c r="Y296"/>
      <c r="Z296"/>
      <c r="AA296"/>
      <c r="AB296"/>
    </row>
    <row r="297" spans="5:28">
      <c r="E297" s="14"/>
      <c r="F297" s="14"/>
      <c r="G297" s="14"/>
      <c r="H297" s="14"/>
      <c r="I297" s="14"/>
      <c r="J297" s="14"/>
      <c r="K297" s="14"/>
      <c r="L297" s="14"/>
      <c r="M297" s="14"/>
      <c r="N297" s="14"/>
      <c r="O297" s="14"/>
      <c r="P297" s="14"/>
      <c r="Q297" s="14"/>
      <c r="R297" s="14"/>
      <c r="S297" s="14"/>
      <c r="T297" s="14"/>
      <c r="U297"/>
      <c r="V297"/>
      <c r="W297"/>
      <c r="X297"/>
      <c r="Y297"/>
      <c r="Z297"/>
      <c r="AA297"/>
      <c r="AB297"/>
    </row>
    <row r="298" spans="5:28">
      <c r="E298" s="14"/>
      <c r="F298" s="14"/>
      <c r="G298" s="14"/>
      <c r="H298" s="14"/>
      <c r="I298" s="14"/>
      <c r="J298" s="14"/>
      <c r="K298" s="14"/>
      <c r="L298" s="14"/>
      <c r="M298" s="14"/>
      <c r="N298" s="14"/>
      <c r="O298" s="14"/>
      <c r="P298" s="14"/>
      <c r="Q298" s="14"/>
      <c r="R298" s="14"/>
      <c r="S298" s="14"/>
      <c r="T298" s="14"/>
      <c r="U298"/>
      <c r="V298"/>
      <c r="W298"/>
      <c r="X298"/>
      <c r="Y298"/>
      <c r="Z298"/>
      <c r="AA298"/>
      <c r="AB298"/>
    </row>
    <row r="299" spans="5:28">
      <c r="E299" s="14"/>
      <c r="F299" s="14"/>
      <c r="G299" s="14"/>
      <c r="H299" s="14"/>
      <c r="I299" s="14"/>
      <c r="J299" s="14"/>
      <c r="K299" s="14"/>
      <c r="L299" s="14"/>
      <c r="M299" s="14"/>
      <c r="N299" s="14"/>
      <c r="O299" s="14"/>
      <c r="P299" s="14"/>
      <c r="Q299" s="14"/>
      <c r="R299" s="14"/>
      <c r="S299" s="14"/>
      <c r="T299" s="14"/>
      <c r="U299"/>
      <c r="V299"/>
      <c r="W299"/>
      <c r="X299"/>
      <c r="Y299"/>
      <c r="Z299"/>
      <c r="AA299"/>
      <c r="AB299"/>
    </row>
    <row r="300" spans="5:28">
      <c r="E300" s="14"/>
      <c r="F300" s="14"/>
      <c r="G300" s="14"/>
      <c r="H300" s="14"/>
      <c r="I300" s="14"/>
      <c r="J300" s="14"/>
      <c r="K300" s="14"/>
      <c r="L300" s="14"/>
      <c r="M300" s="14"/>
      <c r="N300" s="14"/>
      <c r="O300" s="14"/>
      <c r="P300" s="14"/>
      <c r="Q300" s="14"/>
      <c r="R300" s="14"/>
      <c r="S300" s="14"/>
      <c r="T300" s="14"/>
      <c r="U300"/>
      <c r="V300"/>
      <c r="W300"/>
      <c r="X300"/>
      <c r="Y300"/>
      <c r="Z300"/>
      <c r="AA300"/>
      <c r="AB300"/>
    </row>
    <row r="301" spans="5:28">
      <c r="E301" s="14"/>
      <c r="F301" s="14"/>
      <c r="G301" s="14"/>
      <c r="H301" s="14"/>
      <c r="I301" s="14"/>
      <c r="J301" s="14"/>
      <c r="K301" s="14"/>
      <c r="L301" s="14"/>
      <c r="M301" s="14"/>
      <c r="N301" s="14"/>
      <c r="O301" s="14"/>
      <c r="P301" s="14"/>
      <c r="Q301" s="14"/>
      <c r="R301" s="14"/>
      <c r="S301" s="14"/>
      <c r="T301" s="14"/>
      <c r="U301"/>
      <c r="V301"/>
      <c r="W301"/>
      <c r="X301"/>
      <c r="Y301"/>
      <c r="Z301"/>
      <c r="AA301"/>
      <c r="AB301"/>
    </row>
    <row r="302" spans="5:28">
      <c r="E302" s="14"/>
      <c r="F302" s="14"/>
      <c r="G302" s="14"/>
      <c r="H302" s="14"/>
      <c r="I302" s="14"/>
      <c r="J302" s="14"/>
      <c r="K302" s="14"/>
      <c r="L302" s="14"/>
      <c r="M302" s="14"/>
      <c r="N302" s="14"/>
      <c r="O302" s="14"/>
      <c r="P302" s="14"/>
      <c r="Q302" s="14"/>
      <c r="R302" s="14"/>
      <c r="S302" s="14"/>
      <c r="T302" s="14"/>
      <c r="U302"/>
      <c r="V302"/>
      <c r="W302"/>
      <c r="X302"/>
      <c r="Y302"/>
      <c r="Z302"/>
      <c r="AA302"/>
      <c r="AB302"/>
    </row>
    <row r="303" spans="5:28">
      <c r="E303" s="14"/>
      <c r="F303" s="14"/>
      <c r="G303" s="14"/>
      <c r="H303" s="14"/>
      <c r="I303" s="14"/>
      <c r="J303" s="14"/>
      <c r="K303" s="14"/>
      <c r="L303" s="14"/>
      <c r="M303" s="14"/>
      <c r="N303" s="14"/>
      <c r="O303" s="14"/>
      <c r="P303" s="14"/>
      <c r="Q303" s="14"/>
      <c r="R303" s="14"/>
      <c r="S303" s="14"/>
      <c r="T303" s="14"/>
      <c r="U303"/>
      <c r="V303"/>
      <c r="W303"/>
      <c r="X303"/>
      <c r="Y303"/>
      <c r="Z303"/>
      <c r="AA303"/>
      <c r="AB303"/>
    </row>
    <row r="304" spans="5:28">
      <c r="E304" s="14"/>
      <c r="F304" s="14"/>
      <c r="G304" s="14"/>
      <c r="H304" s="14"/>
      <c r="I304" s="14"/>
      <c r="J304" s="14"/>
      <c r="K304" s="14"/>
      <c r="L304" s="14"/>
      <c r="M304" s="14"/>
      <c r="N304" s="14"/>
      <c r="O304" s="14"/>
      <c r="P304" s="14"/>
      <c r="Q304" s="14"/>
      <c r="R304" s="14"/>
      <c r="S304" s="14"/>
      <c r="T304" s="14"/>
      <c r="U304"/>
      <c r="V304"/>
      <c r="W304"/>
      <c r="X304"/>
      <c r="Y304"/>
      <c r="Z304"/>
      <c r="AA304"/>
      <c r="AB304"/>
    </row>
    <row r="305" spans="5:28">
      <c r="E305" s="14"/>
      <c r="F305" s="14"/>
      <c r="G305" s="14"/>
      <c r="H305" s="14"/>
      <c r="I305" s="14"/>
      <c r="J305" s="14"/>
      <c r="K305" s="14"/>
      <c r="L305" s="14"/>
      <c r="M305" s="14"/>
      <c r="N305" s="14"/>
      <c r="O305" s="14"/>
      <c r="P305" s="14"/>
      <c r="Q305" s="14"/>
      <c r="R305" s="14"/>
      <c r="S305" s="14"/>
      <c r="T305" s="14"/>
      <c r="U305"/>
      <c r="V305"/>
      <c r="W305"/>
      <c r="X305"/>
      <c r="Y305"/>
      <c r="Z305"/>
      <c r="AA305"/>
      <c r="AB305"/>
    </row>
    <row r="306" spans="5:28">
      <c r="E306" s="14"/>
      <c r="F306" s="14"/>
      <c r="G306" s="14"/>
      <c r="H306" s="14"/>
      <c r="I306" s="14"/>
      <c r="J306" s="14"/>
      <c r="K306" s="14"/>
      <c r="L306" s="14"/>
      <c r="M306" s="14"/>
      <c r="N306" s="14"/>
      <c r="O306" s="14"/>
      <c r="P306" s="14"/>
      <c r="Q306" s="14"/>
      <c r="R306" s="14"/>
      <c r="S306" s="14"/>
      <c r="T306" s="14"/>
      <c r="U306"/>
      <c r="V306"/>
      <c r="W306"/>
      <c r="X306"/>
      <c r="Y306"/>
      <c r="Z306"/>
      <c r="AA306"/>
      <c r="AB306"/>
    </row>
  </sheetData>
  <sortState xmlns:xlrd2="http://schemas.microsoft.com/office/spreadsheetml/2017/richdata2" ref="X3:X6">
    <sortCondition ref="X2:X6"/>
  </sortState>
  <mergeCells count="1">
    <mergeCell ref="G1:H1"/>
  </mergeCells>
  <phoneticPr fontId="2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4BAD7-C33A-4E0C-9D04-1B6704830E7A}">
  <sheetPr codeName="Sheet22"/>
  <dimension ref="A1:EW3"/>
  <sheetViews>
    <sheetView workbookViewId="0"/>
  </sheetViews>
  <sheetFormatPr defaultRowHeight="15"/>
  <cols>
    <col min="1" max="154" width="2.85546875" customWidth="1"/>
  </cols>
  <sheetData>
    <row r="1" spans="1:153">
      <c r="A1" s="571" t="s">
        <v>960</v>
      </c>
      <c r="B1" s="571"/>
      <c r="C1" s="571"/>
      <c r="D1" t="s">
        <v>961</v>
      </c>
    </row>
    <row r="2" spans="1:153" ht="147.75" customHeight="1">
      <c r="A2" s="433" t="s">
        <v>962</v>
      </c>
      <c r="B2" s="433" t="s">
        <v>963</v>
      </c>
      <c r="C2" s="433" t="s">
        <v>964</v>
      </c>
      <c r="D2" s="433" t="s">
        <v>560</v>
      </c>
      <c r="E2" s="433" t="s">
        <v>556</v>
      </c>
      <c r="F2" s="433" t="s">
        <v>558</v>
      </c>
      <c r="G2" s="433" t="s">
        <v>563</v>
      </c>
      <c r="H2" s="433" t="s">
        <v>567</v>
      </c>
      <c r="I2" s="433" t="s">
        <v>570</v>
      </c>
      <c r="J2" s="433" t="s">
        <v>708</v>
      </c>
      <c r="K2" s="433" t="s">
        <v>678</v>
      </c>
      <c r="L2" s="433" t="s">
        <v>680</v>
      </c>
      <c r="M2" s="433" t="s">
        <v>682</v>
      </c>
      <c r="N2" s="433" t="s">
        <v>684</v>
      </c>
      <c r="O2" s="433" t="s">
        <v>722</v>
      </c>
      <c r="P2" s="433" t="s">
        <v>718</v>
      </c>
      <c r="Q2" s="433" t="s">
        <v>714</v>
      </c>
      <c r="R2" s="433" t="s">
        <v>720</v>
      </c>
      <c r="S2" s="433" t="s">
        <v>726</v>
      </c>
      <c r="T2" s="433" t="s">
        <v>456</v>
      </c>
      <c r="U2" s="433" t="s">
        <v>457</v>
      </c>
      <c r="V2" s="433" t="s">
        <v>692</v>
      </c>
      <c r="W2" s="433" t="s">
        <v>694</v>
      </c>
      <c r="X2" s="433" t="s">
        <v>697</v>
      </c>
      <c r="Y2" s="433" t="s">
        <v>695</v>
      </c>
      <c r="Z2" s="433" t="s">
        <v>702</v>
      </c>
      <c r="AA2" s="433" t="s">
        <v>704</v>
      </c>
      <c r="AB2" s="433" t="s">
        <v>700</v>
      </c>
      <c r="AC2" s="433" t="s">
        <v>732</v>
      </c>
      <c r="AD2" s="433" t="s">
        <v>748</v>
      </c>
      <c r="AE2" s="433" t="s">
        <v>740</v>
      </c>
      <c r="AF2" s="433" t="s">
        <v>750</v>
      </c>
      <c r="AG2" s="433" t="s">
        <v>730</v>
      </c>
      <c r="AH2" s="433" t="s">
        <v>734</v>
      </c>
      <c r="AI2" s="433" t="s">
        <v>746</v>
      </c>
      <c r="AJ2" s="433" t="s">
        <v>744</v>
      </c>
      <c r="AK2" s="433" t="s">
        <v>432</v>
      </c>
      <c r="AL2" s="433" t="s">
        <v>461</v>
      </c>
      <c r="AM2" s="433" t="s">
        <v>710</v>
      </c>
      <c r="AN2" s="433" t="s">
        <v>460</v>
      </c>
      <c r="AO2" s="433" t="s">
        <v>636</v>
      </c>
      <c r="AP2" s="433" t="s">
        <v>576</v>
      </c>
      <c r="AQ2" s="433" t="s">
        <v>578</v>
      </c>
      <c r="AR2" s="433" t="s">
        <v>582</v>
      </c>
      <c r="AS2" s="433" t="s">
        <v>586</v>
      </c>
      <c r="AT2" s="433" t="s">
        <v>584</v>
      </c>
      <c r="AU2" s="433" t="s">
        <v>590</v>
      </c>
      <c r="AV2" s="433" t="s">
        <v>588</v>
      </c>
      <c r="AW2" s="433" t="s">
        <v>449</v>
      </c>
      <c r="AX2" s="433" t="s">
        <v>428</v>
      </c>
      <c r="AY2" s="433" t="s">
        <v>420</v>
      </c>
      <c r="AZ2" s="433" t="s">
        <v>592</v>
      </c>
      <c r="BA2" s="433" t="s">
        <v>667</v>
      </c>
      <c r="BB2" s="433" t="s">
        <v>670</v>
      </c>
      <c r="BC2" s="433" t="s">
        <v>666</v>
      </c>
      <c r="BD2" s="433" t="s">
        <v>676</v>
      </c>
      <c r="BE2" s="433" t="s">
        <v>439</v>
      </c>
      <c r="BF2" s="433" t="s">
        <v>674</v>
      </c>
      <c r="BG2" s="433" t="s">
        <v>671</v>
      </c>
      <c r="BH2" s="433" t="s">
        <v>965</v>
      </c>
      <c r="BI2" s="433" t="s">
        <v>565</v>
      </c>
      <c r="BJ2" s="433" t="s">
        <v>572</v>
      </c>
      <c r="BK2" s="433" t="s">
        <v>594</v>
      </c>
      <c r="BL2" s="433" t="s">
        <v>724</v>
      </c>
      <c r="BM2" s="433" t="s">
        <v>736</v>
      </c>
      <c r="BN2" s="433" t="s">
        <v>690</v>
      </c>
      <c r="BO2" s="433" t="s">
        <v>716</v>
      </c>
      <c r="BP2" s="433" t="s">
        <v>597</v>
      </c>
      <c r="BQ2" s="433" t="s">
        <v>686</v>
      </c>
      <c r="BR2" s="433" t="s">
        <v>688</v>
      </c>
      <c r="BS2" s="433" t="s">
        <v>599</v>
      </c>
      <c r="BT2" s="433" t="s">
        <v>742</v>
      </c>
      <c r="BU2" s="433" t="s">
        <v>601</v>
      </c>
      <c r="BV2" s="433" t="s">
        <v>603</v>
      </c>
      <c r="BW2" s="433" t="s">
        <v>605</v>
      </c>
      <c r="BX2" s="433" t="s">
        <v>607</v>
      </c>
      <c r="BY2" s="433" t="s">
        <v>738</v>
      </c>
      <c r="BZ2" s="433" t="s">
        <v>609</v>
      </c>
      <c r="CA2" s="433" t="s">
        <v>611</v>
      </c>
      <c r="CB2" s="433" t="s">
        <v>613</v>
      </c>
      <c r="CC2" s="433" t="s">
        <v>615</v>
      </c>
      <c r="CD2" s="433" t="s">
        <v>617</v>
      </c>
      <c r="CE2" s="433" t="s">
        <v>619</v>
      </c>
      <c r="CF2" s="433" t="s">
        <v>621</v>
      </c>
      <c r="CG2" s="433" t="s">
        <v>623</v>
      </c>
      <c r="CH2" s="433" t="s">
        <v>625</v>
      </c>
      <c r="CI2" s="433" t="s">
        <v>628</v>
      </c>
      <c r="CJ2" s="433" t="s">
        <v>630</v>
      </c>
      <c r="CK2" s="433" t="s">
        <v>632</v>
      </c>
      <c r="CL2" s="433" t="s">
        <v>634</v>
      </c>
      <c r="CM2" s="433" t="s">
        <v>637</v>
      </c>
      <c r="CN2" s="433" t="s">
        <v>639</v>
      </c>
      <c r="CO2" s="433" t="s">
        <v>641</v>
      </c>
      <c r="CP2" s="433" t="s">
        <v>644</v>
      </c>
      <c r="CQ2" s="433" t="s">
        <v>646</v>
      </c>
      <c r="CR2" s="433" t="s">
        <v>649</v>
      </c>
      <c r="CS2" s="433" t="s">
        <v>651</v>
      </c>
      <c r="CT2" s="433" t="s">
        <v>653</v>
      </c>
      <c r="CU2" s="433" t="s">
        <v>655</v>
      </c>
      <c r="CV2" s="433" t="s">
        <v>657</v>
      </c>
      <c r="CW2" s="433" t="s">
        <v>659</v>
      </c>
      <c r="CX2" s="433" t="s">
        <v>662</v>
      </c>
      <c r="CY2" s="433" t="s">
        <v>664</v>
      </c>
      <c r="CZ2" s="433" t="s">
        <v>966</v>
      </c>
      <c r="DA2" s="433" t="s">
        <v>967</v>
      </c>
      <c r="DB2" s="433" t="s">
        <v>968</v>
      </c>
      <c r="DC2" s="433" t="s">
        <v>969</v>
      </c>
      <c r="DD2" s="433" t="s">
        <v>970</v>
      </c>
      <c r="DE2" s="433" t="s">
        <v>971</v>
      </c>
      <c r="DF2" s="433" t="s">
        <v>972</v>
      </c>
      <c r="DG2" s="433" t="s">
        <v>883</v>
      </c>
      <c r="DH2" s="433" t="s">
        <v>973</v>
      </c>
      <c r="DI2" s="433" t="s">
        <v>806</v>
      </c>
      <c r="DJ2" s="433" t="s">
        <v>819</v>
      </c>
      <c r="DK2" s="433" t="s">
        <v>831</v>
      </c>
      <c r="DL2" s="433" t="s">
        <v>845</v>
      </c>
      <c r="DM2" s="433" t="s">
        <v>974</v>
      </c>
      <c r="DN2" s="433" t="s">
        <v>975</v>
      </c>
      <c r="DO2" s="433" t="s">
        <v>976</v>
      </c>
      <c r="DP2" s="433" t="s">
        <v>977</v>
      </c>
      <c r="DQ2" s="433" t="s">
        <v>978</v>
      </c>
      <c r="DR2" s="433" t="s">
        <v>979</v>
      </c>
      <c r="DS2" s="433" t="s">
        <v>980</v>
      </c>
      <c r="DT2" s="433" t="s">
        <v>981</v>
      </c>
      <c r="DU2" s="433" t="s">
        <v>982</v>
      </c>
      <c r="DV2" s="433" t="s">
        <v>983</v>
      </c>
      <c r="DW2" s="433" t="s">
        <v>984</v>
      </c>
      <c r="DX2" s="433" t="s">
        <v>985</v>
      </c>
      <c r="DY2" s="433" t="s">
        <v>986</v>
      </c>
      <c r="DZ2" s="433" t="s">
        <v>987</v>
      </c>
      <c r="EA2" s="433" t="s">
        <v>988</v>
      </c>
      <c r="EB2" s="433" t="s">
        <v>989</v>
      </c>
      <c r="EC2" s="433" t="s">
        <v>990</v>
      </c>
      <c r="ED2" s="433" t="s">
        <v>991</v>
      </c>
      <c r="EE2" s="433" t="s">
        <v>992</v>
      </c>
      <c r="EF2" s="433" t="s">
        <v>993</v>
      </c>
      <c r="EG2" s="433" t="s">
        <v>994</v>
      </c>
      <c r="EH2" s="433" t="s">
        <v>808</v>
      </c>
      <c r="EI2" s="433" t="s">
        <v>821</v>
      </c>
      <c r="EJ2" s="433" t="s">
        <v>833</v>
      </c>
      <c r="EK2" s="433" t="s">
        <v>809</v>
      </c>
      <c r="EL2" s="433" t="s">
        <v>822</v>
      </c>
      <c r="EM2" s="433" t="s">
        <v>834</v>
      </c>
      <c r="EN2" s="433" t="s">
        <v>995</v>
      </c>
      <c r="EO2" s="433" t="s">
        <v>996</v>
      </c>
      <c r="EP2" s="433" t="s">
        <v>801</v>
      </c>
      <c r="EQ2" s="433" t="s">
        <v>814</v>
      </c>
      <c r="ER2" s="433" t="s">
        <v>825</v>
      </c>
      <c r="ES2" s="433" t="s">
        <v>839</v>
      </c>
      <c r="ET2" s="433" t="s">
        <v>549</v>
      </c>
      <c r="EU2" s="433" t="s">
        <v>856</v>
      </c>
      <c r="EV2" s="433" t="s">
        <v>863</v>
      </c>
      <c r="EW2" s="433" t="s">
        <v>868</v>
      </c>
    </row>
    <row r="3" spans="1:153" ht="147.75" customHeight="1">
      <c r="A3" s="433" t="str">
        <f t="shared" ref="A3:AF3" si="0">_xlfn.CONCAT($D$1, A2)</f>
        <v xml:space="preserve">     Project Stage?</v>
      </c>
      <c r="B3" s="433" t="str">
        <f t="shared" si="0"/>
        <v xml:space="preserve">     Last Updated</v>
      </c>
      <c r="C3" s="433" t="str">
        <f t="shared" si="0"/>
        <v xml:space="preserve">     Available Features</v>
      </c>
      <c r="D3" s="433" t="str">
        <f t="shared" si="0"/>
        <v xml:space="preserve">     COG-DEL-INATTENTIVE</v>
      </c>
      <c r="E3" s="433" t="str">
        <f t="shared" si="0"/>
        <v xml:space="preserve">     COG-DEL-DISENGAGED</v>
      </c>
      <c r="F3" s="433" t="str">
        <f t="shared" si="0"/>
        <v xml:space="preserve">     COG-DEL-DISTRACTED</v>
      </c>
      <c r="G3" s="433" t="str">
        <f t="shared" si="0"/>
        <v xml:space="preserve">     COG-DIL-DROWSY</v>
      </c>
      <c r="H3" s="433" t="str">
        <f t="shared" si="0"/>
        <v xml:space="preserve">     COG-DIL-MICROSLEEPING</v>
      </c>
      <c r="I3" s="433" t="str">
        <f t="shared" si="0"/>
        <v xml:space="preserve">     COG-DIL-SLEEPING</v>
      </c>
      <c r="J3" s="433" t="str">
        <f t="shared" si="0"/>
        <v xml:space="preserve">     VIS-GESTURE-HEAD</v>
      </c>
      <c r="K3" s="433" t="str">
        <f t="shared" si="0"/>
        <v xml:space="preserve">     VIS-ACTIVITY-AHP</v>
      </c>
      <c r="L3" s="433" t="str">
        <f t="shared" si="0"/>
        <v xml:space="preserve">     VIS-ACTIVITY-HANDPOS</v>
      </c>
      <c r="M3" s="433" t="str">
        <f t="shared" si="0"/>
        <v xml:space="preserve">     VIS-ACTIVITY-HELDITEM</v>
      </c>
      <c r="N3" s="433" t="str">
        <f t="shared" si="0"/>
        <v xml:space="preserve">     VIS-ACTIVITY-OOP</v>
      </c>
      <c r="O3" s="433" t="str">
        <f t="shared" si="0"/>
        <v xml:space="preserve">     VIS-MOUTH-SPEAK</v>
      </c>
      <c r="P3" s="433" t="str">
        <f t="shared" si="0"/>
        <v xml:space="preserve">     VIS-MOUTH-LAUGH</v>
      </c>
      <c r="Q3" s="433" t="str">
        <f t="shared" si="0"/>
        <v xml:space="preserve">     VIS-MOUTH-COUGH</v>
      </c>
      <c r="R3" s="433" t="str">
        <f t="shared" si="0"/>
        <v xml:space="preserve">     VIS-MOUTH-SNEEZE</v>
      </c>
      <c r="S3" s="433" t="str">
        <f t="shared" si="0"/>
        <v xml:space="preserve">     VIS-MOUTH-YAWN</v>
      </c>
      <c r="T3" s="433" t="str">
        <f t="shared" si="0"/>
        <v xml:space="preserve">     VIS-SMOKE</v>
      </c>
      <c r="U3" s="433" t="str">
        <f t="shared" si="0"/>
        <v xml:space="preserve">     VIS-PHONE</v>
      </c>
      <c r="V3" s="433" t="str">
        <f t="shared" si="0"/>
        <v xml:space="preserve">     VIS-DAS-COARSE</v>
      </c>
      <c r="W3" s="433" t="str">
        <f t="shared" si="0"/>
        <v xml:space="preserve">     VIS-DAS-FINE</v>
      </c>
      <c r="X3" s="433" t="str">
        <f t="shared" si="0"/>
        <v xml:space="preserve">     VIS-DAS-RAY</v>
      </c>
      <c r="Y3" s="433" t="str">
        <f t="shared" si="0"/>
        <v xml:space="preserve">     VIS-DAS-POSTURE</v>
      </c>
      <c r="Z3" s="433" t="str">
        <f t="shared" si="0"/>
        <v xml:space="preserve">     VIS-FOD-FACE</v>
      </c>
      <c r="AA3" s="433" t="str">
        <f t="shared" si="0"/>
        <v xml:space="preserve">     VIS-FOD-MASK</v>
      </c>
      <c r="AB3" s="433" t="str">
        <f t="shared" si="0"/>
        <v xml:space="preserve">     VIS-FOD-EYEWEAR</v>
      </c>
      <c r="AC3" s="433" t="str">
        <f t="shared" si="0"/>
        <v xml:space="preserve">     VIS-SOD-CHILDSEAT</v>
      </c>
      <c r="AD3" s="433" t="str">
        <f t="shared" si="0"/>
        <v xml:space="preserve">     VIS-SOD-SEATBELT</v>
      </c>
      <c r="AE3" s="433" t="str">
        <f t="shared" si="0"/>
        <v xml:space="preserve">     VIS-SOD-HEIGHT</v>
      </c>
      <c r="AF3" s="433" t="str">
        <f t="shared" si="0"/>
        <v xml:space="preserve">     VIS-SOD-WEIGHT</v>
      </c>
      <c r="AG3" s="433" t="str">
        <f t="shared" ref="AG3:BL3" si="1">_xlfn.CONCAT($D$1, AG2)</f>
        <v xml:space="preserve">     VIS-SOD-AGE</v>
      </c>
      <c r="AH3" s="433" t="str">
        <f t="shared" si="1"/>
        <v xml:space="preserve">     VIS-SOD-GENDER</v>
      </c>
      <c r="AI3" s="433" t="str">
        <f t="shared" si="1"/>
        <v xml:space="preserve">     VIS-SOD-PRESENCE-LOW</v>
      </c>
      <c r="AJ3" s="433" t="str">
        <f t="shared" si="1"/>
        <v xml:space="preserve">     VIS-SOD-PRESENCE-HIGH</v>
      </c>
      <c r="AK3" s="433" t="str">
        <f t="shared" si="1"/>
        <v xml:space="preserve">     VIS-ID-RECOGNIZE-LOW</v>
      </c>
      <c r="AL3" s="433" t="str">
        <f t="shared" si="1"/>
        <v xml:space="preserve">     VIS-ID-RECOGNIZE-HIGH</v>
      </c>
      <c r="AM3" s="433" t="str">
        <f t="shared" si="1"/>
        <v xml:space="preserve">     VIS-ID-CHANGE</v>
      </c>
      <c r="AN3" s="433" t="str">
        <f t="shared" si="1"/>
        <v xml:space="preserve">     VIS-SPOOF</v>
      </c>
      <c r="AO3" s="433" t="str">
        <f t="shared" si="1"/>
        <v xml:space="preserve">     VIS-EXPR</v>
      </c>
      <c r="AP3" s="433" t="str">
        <f t="shared" si="1"/>
        <v xml:space="preserve">     CORE-BPT-COARSE</v>
      </c>
      <c r="AQ3" s="433" t="str">
        <f t="shared" si="1"/>
        <v xml:space="preserve">     CORE-BPT-FINE</v>
      </c>
      <c r="AR3" s="433" t="str">
        <f t="shared" si="1"/>
        <v xml:space="preserve">     CORE-DEPTH</v>
      </c>
      <c r="AS3" s="433" t="str">
        <f t="shared" si="1"/>
        <v xml:space="preserve">     CORE-GET-GAZE</v>
      </c>
      <c r="AT3" s="433" t="str">
        <f t="shared" si="1"/>
        <v xml:space="preserve">     CORE-GET-EYELID</v>
      </c>
      <c r="AU3" s="433" t="str">
        <f t="shared" si="1"/>
        <v xml:space="preserve">     CORE-HT-POSE</v>
      </c>
      <c r="AV3" s="433" t="str">
        <f t="shared" si="1"/>
        <v xml:space="preserve">     CORE-HT-LANDMARKS</v>
      </c>
      <c r="AW3" s="433" t="str">
        <f t="shared" si="1"/>
        <v xml:space="preserve">     CORE-ED</v>
      </c>
      <c r="AX3" s="433" t="str">
        <f t="shared" si="1"/>
        <v xml:space="preserve">     CORE-AEC</v>
      </c>
      <c r="AY3" s="433" t="str">
        <f t="shared" si="1"/>
        <v xml:space="preserve">     CORE-FD</v>
      </c>
      <c r="AZ3" s="433" t="str">
        <f t="shared" si="1"/>
        <v xml:space="preserve">     CORE-MS</v>
      </c>
      <c r="BA3" s="433" t="str">
        <f t="shared" si="1"/>
        <v xml:space="preserve">     UTIL-CPOSE-CF</v>
      </c>
      <c r="BB3" s="433" t="str">
        <f t="shared" si="1"/>
        <v xml:space="preserve">     UTIL-CPOSE-IMU</v>
      </c>
      <c r="BC3" s="433" t="str">
        <f t="shared" si="1"/>
        <v xml:space="preserve">     UTIL-VIDEO</v>
      </c>
      <c r="BD3" s="433" t="str">
        <f t="shared" si="1"/>
        <v xml:space="preserve">     UTIL-DIAG-STK</v>
      </c>
      <c r="BE3" s="433" t="str">
        <f t="shared" si="1"/>
        <v xml:space="preserve">     UTIL-DIAG-LBD</v>
      </c>
      <c r="BF3" s="433" t="str">
        <f t="shared" si="1"/>
        <v xml:space="preserve">     UTIL-DIAG-LIQ</v>
      </c>
      <c r="BG3" s="433" t="str">
        <f t="shared" si="1"/>
        <v xml:space="preserve">     UTIL-DIAG-COOA</v>
      </c>
      <c r="BH3" s="433" t="str">
        <f t="shared" si="1"/>
        <v xml:space="preserve">     Speculative Features</v>
      </c>
      <c r="BI3" s="433" t="str">
        <f t="shared" si="1"/>
        <v xml:space="preserve">     COG-DIL-INTOX</v>
      </c>
      <c r="BJ3" s="433" t="str">
        <f t="shared" si="1"/>
        <v xml:space="preserve">     COG-ES</v>
      </c>
      <c r="BK3" s="433" t="str">
        <f t="shared" si="1"/>
        <v xml:space="preserve">     COG-OVERLOAD</v>
      </c>
      <c r="BL3" s="433" t="str">
        <f t="shared" si="1"/>
        <v xml:space="preserve">     VIS-MOUTH-SPEECH</v>
      </c>
      <c r="BM3" s="433" t="str">
        <f t="shared" ref="BM3:CR3" si="2">_xlfn.CONCAT($D$1, BM2)</f>
        <v xml:space="preserve">     VIS-SOD-HEALTH-PREG</v>
      </c>
      <c r="BN3" s="433" t="str">
        <f t="shared" si="2"/>
        <v xml:space="preserve">     VIS-CLOTHING</v>
      </c>
      <c r="BO3" s="433" t="str">
        <f t="shared" si="2"/>
        <v xml:space="preserve">     VIS-MOUTH-EATING-DRINKING</v>
      </c>
      <c r="BP3" s="433" t="str">
        <f t="shared" si="2"/>
        <v xml:space="preserve">     SFC109</v>
      </c>
      <c r="BQ3" s="433" t="str">
        <f t="shared" si="2"/>
        <v xml:space="preserve">     VIS-CABIN-OBJECT</v>
      </c>
      <c r="BR3" s="433" t="str">
        <f t="shared" si="2"/>
        <v xml:space="preserve">     VIS-CABIN-STATE</v>
      </c>
      <c r="BS3" s="433" t="str">
        <f t="shared" si="2"/>
        <v xml:space="preserve">     VIS-SPOOF-NOVELTY</v>
      </c>
      <c r="BT3" s="433" t="str">
        <f t="shared" si="2"/>
        <v xml:space="preserve">     VIS-SOD-PETS</v>
      </c>
      <c r="BU3" s="433" t="str">
        <f t="shared" si="2"/>
        <v xml:space="preserve">     VIS-SOD-CHILDSEAT-TYPE</v>
      </c>
      <c r="BV3" s="433" t="str">
        <f t="shared" si="2"/>
        <v xml:space="preserve">     SFC115</v>
      </c>
      <c r="BW3" s="433" t="str">
        <f t="shared" si="2"/>
        <v xml:space="preserve">     SFC116</v>
      </c>
      <c r="BX3" s="433" t="str">
        <f t="shared" si="2"/>
        <v xml:space="preserve">     SFC117</v>
      </c>
      <c r="BY3" s="433" t="str">
        <f t="shared" si="2"/>
        <v xml:space="preserve">     VIS-SOD-HEALTH-HR</v>
      </c>
      <c r="BZ3" s="433" t="str">
        <f t="shared" si="2"/>
        <v xml:space="preserve">     SFC120</v>
      </c>
      <c r="CA3" s="433" t="str">
        <f t="shared" si="2"/>
        <v xml:space="preserve">     SFC121</v>
      </c>
      <c r="CB3" s="433" t="str">
        <f t="shared" si="2"/>
        <v xml:space="preserve">     SFC122</v>
      </c>
      <c r="CC3" s="433" t="str">
        <f t="shared" si="2"/>
        <v xml:space="preserve">     SFC123</v>
      </c>
      <c r="CD3" s="433" t="str">
        <f t="shared" si="2"/>
        <v xml:space="preserve">     SFC124</v>
      </c>
      <c r="CE3" s="433" t="str">
        <f t="shared" si="2"/>
        <v xml:space="preserve">     SFC125</v>
      </c>
      <c r="CF3" s="433" t="str">
        <f t="shared" si="2"/>
        <v xml:space="preserve">     SFC126</v>
      </c>
      <c r="CG3" s="433" t="str">
        <f t="shared" si="2"/>
        <v xml:space="preserve">     SFC127</v>
      </c>
      <c r="CH3" s="433" t="str">
        <f t="shared" si="2"/>
        <v xml:space="preserve">     SFC128</v>
      </c>
      <c r="CI3" s="433" t="str">
        <f t="shared" si="2"/>
        <v xml:space="preserve">     SFC129</v>
      </c>
      <c r="CJ3" s="433" t="str">
        <f t="shared" si="2"/>
        <v xml:space="preserve">     SFC130</v>
      </c>
      <c r="CK3" s="433" t="str">
        <f t="shared" si="2"/>
        <v xml:space="preserve">     SFC131</v>
      </c>
      <c r="CL3" s="433" t="str">
        <f t="shared" si="2"/>
        <v xml:space="preserve">     SFC132</v>
      </c>
      <c r="CM3" s="433" t="str">
        <f t="shared" si="2"/>
        <v xml:space="preserve">     SFC133</v>
      </c>
      <c r="CN3" s="433" t="str">
        <f t="shared" si="2"/>
        <v xml:space="preserve">     SFC134</v>
      </c>
      <c r="CO3" s="433" t="str">
        <f t="shared" si="2"/>
        <v xml:space="preserve">     SFC135</v>
      </c>
      <c r="CP3" s="433" t="str">
        <f t="shared" si="2"/>
        <v xml:space="preserve">     SFC136</v>
      </c>
      <c r="CQ3" s="433" t="str">
        <f t="shared" si="2"/>
        <v xml:space="preserve">     SFC137</v>
      </c>
      <c r="CR3" s="433" t="str">
        <f t="shared" si="2"/>
        <v xml:space="preserve">     SFC138</v>
      </c>
      <c r="CS3" s="433" t="str">
        <f t="shared" ref="CS3:DX3" si="3">_xlfn.CONCAT($D$1, CS2)</f>
        <v xml:space="preserve">     SFC139</v>
      </c>
      <c r="CT3" s="433" t="str">
        <f t="shared" si="3"/>
        <v xml:space="preserve">     SFC140</v>
      </c>
      <c r="CU3" s="433" t="str">
        <f t="shared" si="3"/>
        <v xml:space="preserve">     SFC141</v>
      </c>
      <c r="CV3" s="433" t="str">
        <f t="shared" si="3"/>
        <v xml:space="preserve">     SFC142</v>
      </c>
      <c r="CW3" s="433" t="str">
        <f t="shared" si="3"/>
        <v xml:space="preserve">     SFC143</v>
      </c>
      <c r="CX3" s="433" t="str">
        <f t="shared" si="3"/>
        <v xml:space="preserve">     SFC144</v>
      </c>
      <c r="CY3" s="433" t="str">
        <f t="shared" si="3"/>
        <v xml:space="preserve">     SFC145</v>
      </c>
      <c r="CZ3" s="433" t="str">
        <f t="shared" si="3"/>
        <v xml:space="preserve">     ASPICE (Level)</v>
      </c>
      <c r="DA3" s="433" t="str">
        <f t="shared" si="3"/>
        <v xml:space="preserve">     ASPICE (Version)</v>
      </c>
      <c r="DB3" s="433" t="str">
        <f t="shared" si="3"/>
        <v xml:space="preserve">     ISO 26262 (Level)</v>
      </c>
      <c r="DC3" s="433" t="str">
        <f t="shared" si="3"/>
        <v xml:space="preserve">     ISO 26262 (Version)</v>
      </c>
      <c r="DD3" s="433" t="str">
        <f t="shared" si="3"/>
        <v xml:space="preserve">     ISO 21448 (SOTIF)</v>
      </c>
      <c r="DE3" s="433" t="str">
        <f t="shared" si="3"/>
        <v xml:space="preserve">     ISO 21434 (Cyber Sec)</v>
      </c>
      <c r="DF3" s="433" t="str">
        <f t="shared" si="3"/>
        <v xml:space="preserve">     NCAP</v>
      </c>
      <c r="DG3" s="433" t="str">
        <f t="shared" si="3"/>
        <v xml:space="preserve">     GSR</v>
      </c>
      <c r="DH3" s="433" t="str">
        <f t="shared" si="3"/>
        <v xml:space="preserve">     GB/T</v>
      </c>
      <c r="DI3" s="433" t="str">
        <f t="shared" si="3"/>
        <v xml:space="preserve">     Frontal</v>
      </c>
      <c r="DJ3" s="433" t="str">
        <f t="shared" si="3"/>
        <v xml:space="preserve">     Offset High</v>
      </c>
      <c r="DK3" s="433" t="str">
        <f t="shared" si="3"/>
        <v xml:space="preserve">     Offset Low</v>
      </c>
      <c r="DL3" s="433" t="str">
        <f t="shared" si="3"/>
        <v xml:space="preserve">     Overhead</v>
      </c>
      <c r="DM3" s="433" t="str">
        <f t="shared" si="3"/>
        <v xml:space="preserve">     Seating Positions</v>
      </c>
      <c r="DN3" s="433" t="str">
        <f t="shared" si="3"/>
        <v xml:space="preserve">     Fusion</v>
      </c>
      <c r="DO3" s="433" t="str">
        <f t="shared" si="3"/>
        <v xml:space="preserve">     Ti Sitara</v>
      </c>
      <c r="DP3" s="433" t="str">
        <f t="shared" si="3"/>
        <v xml:space="preserve">     Ti TDA4 Entry</v>
      </c>
      <c r="DQ3" s="433" t="str">
        <f t="shared" si="3"/>
        <v xml:space="preserve">     Ti TDA4 Low</v>
      </c>
      <c r="DR3" s="433" t="str">
        <f t="shared" si="3"/>
        <v xml:space="preserve">     Ti TDA4 Mid</v>
      </c>
      <c r="DS3" s="433" t="str">
        <f t="shared" si="3"/>
        <v xml:space="preserve">     Ti TDA4 High</v>
      </c>
      <c r="DT3" s="433" t="str">
        <f t="shared" si="3"/>
        <v xml:space="preserve">     AMD Ultrascale Zync ZU1</v>
      </c>
      <c r="DU3" s="433" t="str">
        <f t="shared" si="3"/>
        <v xml:space="preserve">     QCM SA81xx</v>
      </c>
      <c r="DV3" s="433" t="str">
        <f t="shared" si="3"/>
        <v xml:space="preserve">     QCM SA86xx</v>
      </c>
      <c r="DW3" s="433" t="str">
        <f t="shared" si="3"/>
        <v xml:space="preserve">     Renesas R-Car V4H</v>
      </c>
      <c r="DX3" s="433" t="str">
        <f t="shared" si="3"/>
        <v xml:space="preserve">     FDM Occula 8.0</v>
      </c>
      <c r="DY3" s="433" t="str">
        <f t="shared" ref="DY3:EW3" si="4">_xlfn.CONCAT($D$1, DY2)</f>
        <v xml:space="preserve">     FDM Occula 8.2</v>
      </c>
      <c r="DZ3" s="433" t="str">
        <f t="shared" si="4"/>
        <v xml:space="preserve">     FDM Occula 8.3</v>
      </c>
      <c r="EA3" s="433" t="str">
        <f t="shared" si="4"/>
        <v xml:space="preserve">     OV OAX4600</v>
      </c>
      <c r="EB3" s="433" t="str">
        <f t="shared" si="4"/>
        <v xml:space="preserve">     Ambarella CV25</v>
      </c>
      <c r="EC3" s="433" t="str">
        <f t="shared" si="4"/>
        <v xml:space="preserve">     x86/64</v>
      </c>
      <c r="ED3" s="433" t="str">
        <f t="shared" si="4"/>
        <v xml:space="preserve">     eDME</v>
      </c>
      <c r="EE3" s="433" t="str">
        <f t="shared" si="4"/>
        <v xml:space="preserve">     TI Sitara 2 TOPS 2 GB RAM</v>
      </c>
      <c r="EF3" s="433" t="str">
        <f t="shared" si="4"/>
        <v xml:space="preserve">     TI Sitara 1 TOPS 8 GB RAM</v>
      </c>
      <c r="EG3" s="433" t="str">
        <f t="shared" si="4"/>
        <v xml:space="preserve">     Renesas R-Caar V4H</v>
      </c>
      <c r="EH3" s="433" t="str">
        <f t="shared" si="4"/>
        <v xml:space="preserve">     OMSiQ-LOW</v>
      </c>
      <c r="EI3" s="433" t="str">
        <f t="shared" si="4"/>
        <v xml:space="preserve">     OMSiQ-MID</v>
      </c>
      <c r="EJ3" s="433" t="str">
        <f t="shared" si="4"/>
        <v xml:space="preserve">     OMSiQ-HIGH</v>
      </c>
      <c r="EK3" s="433" t="str">
        <f t="shared" si="4"/>
        <v xml:space="preserve">     Bright Pupil</v>
      </c>
      <c r="EL3" s="433" t="str">
        <f t="shared" si="4"/>
        <v xml:space="preserve">     Dark Pupil</v>
      </c>
      <c r="EM3" s="433" t="str">
        <f t="shared" si="4"/>
        <v xml:space="preserve">     Smart Bright Pupil</v>
      </c>
      <c r="EN3" s="433" t="str">
        <f t="shared" si="4"/>
        <v xml:space="preserve">     NFOV</v>
      </c>
      <c r="EO3" s="433" t="str">
        <f t="shared" si="4"/>
        <v xml:space="preserve">     WFOV</v>
      </c>
      <c r="EP3" s="433" t="str">
        <f t="shared" si="4"/>
        <v xml:space="preserve">     Linux</v>
      </c>
      <c r="EQ3" s="433" t="str">
        <f t="shared" si="4"/>
        <v xml:space="preserve">     QNX</v>
      </c>
      <c r="ER3" s="433" t="str">
        <f t="shared" si="4"/>
        <v xml:space="preserve">     Pike OS</v>
      </c>
      <c r="ES3" s="433" t="str">
        <f t="shared" si="4"/>
        <v xml:space="preserve">     Android</v>
      </c>
      <c r="ET3" s="433" t="str">
        <f t="shared" si="4"/>
        <v xml:space="preserve">     N/A</v>
      </c>
      <c r="EU3" s="433" t="str">
        <f t="shared" si="4"/>
        <v xml:space="preserve">     GHS Integrity</v>
      </c>
      <c r="EV3" s="433" t="str">
        <f t="shared" si="4"/>
        <v xml:space="preserve">     Windows</v>
      </c>
      <c r="EW3" s="433" t="str">
        <f t="shared" si="4"/>
        <v xml:space="preserve">     PetaLinux</v>
      </c>
    </row>
  </sheetData>
  <mergeCells count="1">
    <mergeCell ref="A1:C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2FD57-1B0A-40D0-BE26-A3F063F09A50}">
  <sheetPr codeName="Sheet10" filterMode="1">
    <pageSetUpPr fitToPage="1"/>
  </sheetPr>
  <dimension ref="A1:BV101"/>
  <sheetViews>
    <sheetView workbookViewId="0"/>
  </sheetViews>
  <sheetFormatPr defaultColWidth="8.85546875" defaultRowHeight="15"/>
  <cols>
    <col min="1" max="1" width="18" style="41" customWidth="1"/>
    <col min="2" max="2" width="27.140625" bestFit="1" customWidth="1"/>
    <col min="3" max="3" width="30.42578125" style="14" customWidth="1"/>
    <col min="4" max="4" width="18.42578125" style="14" hidden="1" customWidth="1"/>
    <col min="5" max="5" width="15.5703125" style="14" customWidth="1"/>
    <col min="6" max="6" width="11.5703125" style="41" customWidth="1"/>
    <col min="7" max="7" width="12.42578125" style="267" customWidth="1"/>
    <col min="8" max="8" width="11.42578125" style="267" hidden="1" customWidth="1"/>
    <col min="9" max="9" width="12" hidden="1" customWidth="1"/>
    <col min="10" max="10" width="11.5703125" hidden="1" customWidth="1"/>
    <col min="11" max="11" width="11.5703125" style="267" customWidth="1"/>
    <col min="12" max="12" width="9.5703125" style="267" customWidth="1"/>
    <col min="13" max="13" width="11.85546875" style="267" customWidth="1"/>
    <col min="14" max="16" width="10.5703125" style="267" customWidth="1"/>
    <col min="17" max="17" width="18.5703125" style="267" customWidth="1"/>
    <col min="18" max="18" width="60.42578125" style="279" customWidth="1"/>
    <col min="19" max="23" width="13.7109375" hidden="1" customWidth="1"/>
    <col min="24" max="24" width="16" hidden="1" customWidth="1"/>
    <col min="25" max="25" width="18" hidden="1" customWidth="1"/>
    <col min="26" max="26" width="18.28515625" customWidth="1"/>
    <col min="27" max="27" width="15.140625" customWidth="1"/>
    <col min="28" max="28" width="22.42578125" customWidth="1"/>
    <col min="29" max="29" width="14.7109375" customWidth="1"/>
    <col min="30" max="31" width="18" customWidth="1"/>
    <col min="32" max="37" width="15.42578125" customWidth="1"/>
    <col min="38" max="38" width="13.140625" customWidth="1"/>
    <col min="39" max="43" width="10.5703125" customWidth="1"/>
    <col min="44" max="44" width="11.85546875" customWidth="1"/>
    <col min="45" max="67" width="10.5703125" customWidth="1"/>
  </cols>
  <sheetData>
    <row r="1" spans="1:74" ht="26.25">
      <c r="A1" s="613" t="e">
        <f>#REF!</f>
        <v>#REF!</v>
      </c>
      <c r="B1" s="613"/>
      <c r="C1" s="613"/>
      <c r="D1" s="613"/>
      <c r="E1" s="613"/>
      <c r="F1" s="613"/>
      <c r="G1" s="613"/>
      <c r="H1" s="613"/>
      <c r="I1" s="613"/>
      <c r="J1" s="613"/>
      <c r="K1" s="613"/>
      <c r="L1" s="613"/>
    </row>
    <row r="2" spans="1:74" ht="15.75" thickBot="1">
      <c r="C2" s="15"/>
      <c r="D2" s="15"/>
      <c r="E2" s="15"/>
      <c r="F2" s="265"/>
      <c r="G2" s="268"/>
      <c r="H2" s="268"/>
      <c r="I2" s="15"/>
      <c r="J2" s="15"/>
      <c r="K2" s="268"/>
      <c r="L2" s="268"/>
      <c r="M2" s="268"/>
      <c r="N2" s="268"/>
      <c r="O2" s="268"/>
      <c r="P2" s="268"/>
      <c r="Q2" s="268"/>
    </row>
    <row r="3" spans="1:74" ht="21.75" thickBot="1">
      <c r="A3" s="8" t="s">
        <v>997</v>
      </c>
      <c r="B3" s="597" t="e">
        <f>#REF!</f>
        <v>#REF!</v>
      </c>
      <c r="C3" s="598"/>
      <c r="D3" s="15"/>
      <c r="E3" s="15"/>
      <c r="F3" s="265"/>
      <c r="G3" s="268"/>
      <c r="H3" s="268"/>
      <c r="I3" s="15"/>
      <c r="J3" s="15"/>
      <c r="K3" s="268"/>
      <c r="L3" s="268"/>
      <c r="M3" s="268"/>
      <c r="N3" s="268"/>
      <c r="O3" s="268"/>
      <c r="P3" s="268"/>
      <c r="Q3" s="268"/>
      <c r="R3" s="280" t="s">
        <v>998</v>
      </c>
      <c r="S3" s="614">
        <v>2024</v>
      </c>
      <c r="T3" s="615"/>
      <c r="U3" s="615"/>
      <c r="V3" s="615"/>
      <c r="W3" s="615"/>
      <c r="X3" s="615"/>
      <c r="Y3" s="615"/>
      <c r="Z3" s="615"/>
      <c r="AA3" s="615"/>
      <c r="AB3" s="615"/>
      <c r="AC3" s="615"/>
      <c r="AD3" s="616"/>
      <c r="AE3" s="609">
        <v>2025</v>
      </c>
      <c r="AF3" s="588"/>
      <c r="AG3" s="588"/>
      <c r="AH3" s="588"/>
      <c r="AI3" s="588"/>
      <c r="AJ3" s="588"/>
      <c r="AK3" s="588"/>
      <c r="AL3" s="588"/>
      <c r="AM3" s="588"/>
      <c r="AN3" s="588"/>
      <c r="AO3" s="588"/>
      <c r="AP3" s="610"/>
      <c r="AQ3" s="588">
        <v>2026</v>
      </c>
      <c r="AR3" s="588"/>
      <c r="AS3" s="588"/>
      <c r="AT3" s="588"/>
      <c r="AU3" s="588"/>
      <c r="AV3" s="588"/>
      <c r="AW3" s="588"/>
      <c r="AX3" s="588"/>
      <c r="AY3" s="588"/>
      <c r="AZ3" s="588"/>
      <c r="BA3" s="588"/>
      <c r="BB3" s="588"/>
      <c r="BC3" s="609">
        <v>2027</v>
      </c>
      <c r="BD3" s="588"/>
      <c r="BE3" s="588"/>
      <c r="BF3" s="588"/>
      <c r="BG3" s="588"/>
      <c r="BH3" s="588"/>
      <c r="BI3" s="588"/>
      <c r="BJ3" s="588"/>
      <c r="BK3" s="588"/>
      <c r="BL3" s="588"/>
      <c r="BM3" s="588"/>
      <c r="BN3" s="610"/>
      <c r="BO3" s="588">
        <v>2028</v>
      </c>
      <c r="BP3" s="588"/>
      <c r="BQ3" s="588"/>
      <c r="BR3" s="588"/>
      <c r="BS3" s="588"/>
      <c r="BT3" s="610"/>
    </row>
    <row r="4" spans="1:74" ht="15.75" thickBot="1">
      <c r="A4" s="8" t="s">
        <v>999</v>
      </c>
      <c r="B4" s="597" t="e">
        <f>#REF!</f>
        <v>#REF!</v>
      </c>
      <c r="C4" s="598"/>
      <c r="D4" s="15"/>
      <c r="E4" s="15"/>
      <c r="F4" s="265"/>
      <c r="G4" s="268"/>
      <c r="H4" s="268"/>
      <c r="I4" s="15"/>
      <c r="J4" s="15"/>
      <c r="K4" s="268"/>
      <c r="L4" s="268"/>
      <c r="M4" s="268"/>
      <c r="N4" s="268"/>
      <c r="O4" s="268"/>
      <c r="P4" s="268"/>
      <c r="Q4" s="268"/>
      <c r="R4" s="281" t="s">
        <v>1000</v>
      </c>
      <c r="S4" s="67">
        <v>1</v>
      </c>
      <c r="T4" s="68">
        <v>6</v>
      </c>
      <c r="U4" s="68">
        <v>10</v>
      </c>
      <c r="V4" s="68">
        <v>14</v>
      </c>
      <c r="W4" s="68">
        <v>18</v>
      </c>
      <c r="X4" s="68">
        <v>23</v>
      </c>
      <c r="Y4" s="315">
        <v>27</v>
      </c>
      <c r="Z4" s="67">
        <v>32</v>
      </c>
      <c r="AA4" s="68">
        <v>36</v>
      </c>
      <c r="AB4" s="68">
        <v>40</v>
      </c>
      <c r="AC4" s="68">
        <v>45</v>
      </c>
      <c r="AD4" s="69">
        <v>49</v>
      </c>
      <c r="AE4" s="67">
        <v>1</v>
      </c>
      <c r="AF4" s="68">
        <v>6</v>
      </c>
      <c r="AG4" s="68">
        <v>10</v>
      </c>
      <c r="AH4" s="68">
        <v>14</v>
      </c>
      <c r="AI4" s="68">
        <v>19</v>
      </c>
      <c r="AJ4" s="68">
        <v>23</v>
      </c>
      <c r="AK4" s="68">
        <v>27</v>
      </c>
      <c r="AL4" s="68">
        <v>32</v>
      </c>
      <c r="AM4" s="68">
        <v>36</v>
      </c>
      <c r="AN4" s="68">
        <v>40</v>
      </c>
      <c r="AO4" s="68">
        <v>45</v>
      </c>
      <c r="AP4" s="69">
        <v>49</v>
      </c>
      <c r="AQ4" s="67">
        <v>1</v>
      </c>
      <c r="AR4" s="68">
        <v>5</v>
      </c>
      <c r="AS4" s="68">
        <v>9</v>
      </c>
      <c r="AT4" s="68">
        <v>14</v>
      </c>
      <c r="AU4" s="68">
        <v>18</v>
      </c>
      <c r="AV4" s="68">
        <v>22</v>
      </c>
      <c r="AW4" s="68">
        <v>27</v>
      </c>
      <c r="AX4" s="68">
        <v>31</v>
      </c>
      <c r="AY4" s="68">
        <v>35</v>
      </c>
      <c r="AZ4" s="68">
        <v>40</v>
      </c>
      <c r="BA4" s="68">
        <v>44</v>
      </c>
      <c r="BB4" s="69">
        <v>48</v>
      </c>
      <c r="BC4" s="67">
        <v>1</v>
      </c>
      <c r="BD4" s="68">
        <v>5</v>
      </c>
      <c r="BE4" s="68">
        <v>9</v>
      </c>
      <c r="BF4" s="68">
        <v>14</v>
      </c>
      <c r="BG4" s="68">
        <v>18</v>
      </c>
      <c r="BH4" s="68">
        <v>22</v>
      </c>
      <c r="BI4" s="68">
        <v>27</v>
      </c>
      <c r="BJ4" s="68">
        <v>31</v>
      </c>
      <c r="BK4" s="68">
        <v>36</v>
      </c>
      <c r="BL4" s="68">
        <v>40</v>
      </c>
      <c r="BM4" s="68">
        <v>44</v>
      </c>
      <c r="BN4" s="69">
        <v>49</v>
      </c>
      <c r="BO4" s="67">
        <v>1</v>
      </c>
      <c r="BP4" s="68">
        <v>5</v>
      </c>
      <c r="BQ4" s="68">
        <v>9</v>
      </c>
      <c r="BR4" s="68">
        <v>14</v>
      </c>
      <c r="BS4" s="68">
        <v>18</v>
      </c>
      <c r="BT4" s="69">
        <v>23</v>
      </c>
      <c r="BU4" s="70"/>
      <c r="BV4" s="70"/>
    </row>
    <row r="5" spans="1:74" ht="15.75" thickBot="1">
      <c r="A5" s="8" t="s">
        <v>1001</v>
      </c>
      <c r="B5" s="597" t="e">
        <f>#REF!</f>
        <v>#REF!</v>
      </c>
      <c r="C5" s="598"/>
      <c r="D5" s="15"/>
      <c r="E5" s="15"/>
      <c r="F5" s="265"/>
      <c r="G5" s="268"/>
      <c r="H5" s="268"/>
      <c r="I5" s="15"/>
      <c r="J5" s="15"/>
      <c r="K5" s="268"/>
      <c r="L5" s="268"/>
      <c r="M5" s="268"/>
      <c r="N5" s="268"/>
      <c r="O5" s="268"/>
      <c r="P5" s="268"/>
      <c r="Q5" s="268"/>
      <c r="R5" s="281" t="s">
        <v>1002</v>
      </c>
      <c r="S5" s="163" t="s">
        <v>1003</v>
      </c>
      <c r="T5" s="164" t="s">
        <v>1004</v>
      </c>
      <c r="U5" s="164" t="s">
        <v>1005</v>
      </c>
      <c r="V5" s="164" t="s">
        <v>1006</v>
      </c>
      <c r="W5" s="164" t="s">
        <v>1007</v>
      </c>
      <c r="X5" s="164" t="s">
        <v>1008</v>
      </c>
      <c r="Y5" s="316" t="s">
        <v>1009</v>
      </c>
      <c r="Z5" s="163" t="s">
        <v>1010</v>
      </c>
      <c r="AA5" s="289" t="s">
        <v>1011</v>
      </c>
      <c r="AB5" s="289" t="s">
        <v>1012</v>
      </c>
      <c r="AC5" s="289" t="s">
        <v>1013</v>
      </c>
      <c r="AD5" s="290" t="s">
        <v>1014</v>
      </c>
      <c r="AE5" s="291" t="s">
        <v>1003</v>
      </c>
      <c r="AF5" s="289" t="s">
        <v>1004</v>
      </c>
      <c r="AG5" s="289" t="s">
        <v>1005</v>
      </c>
      <c r="AH5" s="289" t="s">
        <v>1006</v>
      </c>
      <c r="AI5" s="289" t="s">
        <v>1007</v>
      </c>
      <c r="AJ5" s="289" t="s">
        <v>1008</v>
      </c>
      <c r="AK5" s="289" t="s">
        <v>1009</v>
      </c>
      <c r="AL5" s="292" t="s">
        <v>1010</v>
      </c>
      <c r="AM5" s="292" t="s">
        <v>1011</v>
      </c>
      <c r="AN5" s="72" t="s">
        <v>1012</v>
      </c>
      <c r="AO5" s="72" t="s">
        <v>1013</v>
      </c>
      <c r="AP5" s="73" t="s">
        <v>1014</v>
      </c>
      <c r="AQ5" s="71" t="s">
        <v>1003</v>
      </c>
      <c r="AR5" s="72" t="s">
        <v>1004</v>
      </c>
      <c r="AS5" s="72" t="s">
        <v>1005</v>
      </c>
      <c r="AT5" s="72" t="s">
        <v>1006</v>
      </c>
      <c r="AU5" s="72" t="s">
        <v>1007</v>
      </c>
      <c r="AV5" s="72" t="s">
        <v>1008</v>
      </c>
      <c r="AW5" s="72" t="s">
        <v>1009</v>
      </c>
      <c r="AX5" s="72" t="s">
        <v>1010</v>
      </c>
      <c r="AY5" s="72" t="s">
        <v>1011</v>
      </c>
      <c r="AZ5" s="72" t="s">
        <v>1012</v>
      </c>
      <c r="BA5" s="72" t="s">
        <v>1013</v>
      </c>
      <c r="BB5" s="73" t="s">
        <v>1014</v>
      </c>
      <c r="BC5" s="71" t="s">
        <v>1003</v>
      </c>
      <c r="BD5" s="72" t="s">
        <v>1004</v>
      </c>
      <c r="BE5" s="72" t="s">
        <v>1005</v>
      </c>
      <c r="BF5" s="72" t="s">
        <v>1006</v>
      </c>
      <c r="BG5" s="72" t="s">
        <v>1007</v>
      </c>
      <c r="BH5" s="72" t="s">
        <v>1008</v>
      </c>
      <c r="BI5" s="72" t="s">
        <v>1009</v>
      </c>
      <c r="BJ5" s="72" t="s">
        <v>1010</v>
      </c>
      <c r="BK5" s="72" t="s">
        <v>1011</v>
      </c>
      <c r="BL5" s="72" t="s">
        <v>1012</v>
      </c>
      <c r="BM5" s="72" t="s">
        <v>1013</v>
      </c>
      <c r="BN5" s="73" t="s">
        <v>1014</v>
      </c>
      <c r="BO5" s="71" t="s">
        <v>1003</v>
      </c>
      <c r="BP5" s="72" t="s">
        <v>1004</v>
      </c>
      <c r="BQ5" s="72" t="s">
        <v>1005</v>
      </c>
      <c r="BR5" s="72" t="s">
        <v>1006</v>
      </c>
      <c r="BS5" s="72" t="s">
        <v>1007</v>
      </c>
      <c r="BT5" s="73" t="s">
        <v>1008</v>
      </c>
    </row>
    <row r="6" spans="1:74" ht="21.95" customHeight="1" thickBot="1">
      <c r="A6" s="8" t="s">
        <v>1015</v>
      </c>
      <c r="B6" s="597" t="e">
        <f>#REF!</f>
        <v>#REF!</v>
      </c>
      <c r="C6" s="598"/>
      <c r="D6" s="15"/>
      <c r="E6" s="15"/>
      <c r="F6" s="265"/>
      <c r="G6" s="268"/>
      <c r="H6" s="268"/>
      <c r="I6" s="15"/>
      <c r="J6" s="15"/>
      <c r="K6" s="268"/>
      <c r="L6" s="268"/>
      <c r="M6" s="268"/>
      <c r="N6" s="268"/>
      <c r="O6" s="268"/>
      <c r="P6" s="268"/>
      <c r="Q6" s="268"/>
      <c r="R6" s="281" t="s">
        <v>1016</v>
      </c>
      <c r="S6" s="165" t="e">
        <f>#REF!</f>
        <v>#REF!</v>
      </c>
      <c r="T6" s="166" t="e">
        <f>#REF!</f>
        <v>#REF!</v>
      </c>
      <c r="U6" s="166" t="e">
        <f>#REF!</f>
        <v>#REF!</v>
      </c>
      <c r="V6" s="166" t="e">
        <f>#REF!</f>
        <v>#REF!</v>
      </c>
      <c r="W6" s="264" t="e">
        <f>#REF!</f>
        <v>#REF!</v>
      </c>
      <c r="X6" s="264" t="e">
        <f>#REF!</f>
        <v>#REF!</v>
      </c>
      <c r="Y6" s="317" t="e">
        <f>#REF!</f>
        <v>#REF!</v>
      </c>
      <c r="Z6" s="322" t="e">
        <f>#REF!</f>
        <v>#REF!</v>
      </c>
      <c r="AA6" s="264" t="e">
        <f>#REF!</f>
        <v>#REF!</v>
      </c>
      <c r="AB6" s="264" t="e">
        <f>#REF!</f>
        <v>#REF!</v>
      </c>
      <c r="AC6" s="264" t="e">
        <f>#REF!</f>
        <v>#REF!</v>
      </c>
      <c r="AD6" s="293" t="e">
        <f>#REF!</f>
        <v>#REF!</v>
      </c>
      <c r="AE6" s="264" t="e">
        <f>#REF!</f>
        <v>#REF!</v>
      </c>
      <c r="AF6" s="264" t="e">
        <f>#REF!</f>
        <v>#REF!</v>
      </c>
      <c r="AG6" s="264" t="e">
        <f>#REF!</f>
        <v>#REF!</v>
      </c>
      <c r="AH6" s="264" t="e">
        <f>#REF!</f>
        <v>#REF!</v>
      </c>
      <c r="AI6" s="264" t="e">
        <f>#REF!</f>
        <v>#REF!</v>
      </c>
      <c r="AJ6" s="264" t="e">
        <f>#REF!</f>
        <v>#REF!</v>
      </c>
      <c r="AK6" s="264" t="e">
        <f>#REF!</f>
        <v>#REF!</v>
      </c>
      <c r="AL6" s="294" t="e">
        <f>#REF!</f>
        <v>#REF!</v>
      </c>
      <c r="AM6" s="294" t="e">
        <f>#REF!</f>
        <v>#REF!</v>
      </c>
      <c r="AN6" s="112" t="e">
        <f>#REF!</f>
        <v>#REF!</v>
      </c>
      <c r="AO6" s="112" t="e">
        <f>#REF!</f>
        <v>#REF!</v>
      </c>
      <c r="AP6" s="113" t="e">
        <f>#REF!</f>
        <v>#REF!</v>
      </c>
      <c r="AQ6" s="111" t="e">
        <f>#REF!</f>
        <v>#REF!</v>
      </c>
      <c r="AR6" s="112" t="e">
        <f>#REF!</f>
        <v>#REF!</v>
      </c>
      <c r="AS6" s="112" t="e">
        <f>#REF!</f>
        <v>#REF!</v>
      </c>
      <c r="AT6" s="112" t="e">
        <f>#REF!</f>
        <v>#REF!</v>
      </c>
      <c r="AU6" s="112" t="e">
        <f>#REF!</f>
        <v>#REF!</v>
      </c>
      <c r="AV6" s="112" t="e">
        <f>#REF!</f>
        <v>#REF!</v>
      </c>
      <c r="AW6" s="112" t="e">
        <f>#REF!</f>
        <v>#REF!</v>
      </c>
      <c r="AX6" s="112" t="e">
        <f>#REF!</f>
        <v>#REF!</v>
      </c>
      <c r="AY6" s="112" t="e">
        <f>#REF!</f>
        <v>#REF!</v>
      </c>
      <c r="AZ6" s="112" t="e">
        <f>#REF!</f>
        <v>#REF!</v>
      </c>
      <c r="BA6" s="112" t="e">
        <f>#REF!</f>
        <v>#REF!</v>
      </c>
      <c r="BB6" s="113" t="e">
        <f>#REF!</f>
        <v>#REF!</v>
      </c>
      <c r="BC6" s="111" t="e">
        <f>#REF!</f>
        <v>#REF!</v>
      </c>
      <c r="BD6" s="112" t="e">
        <f>#REF!</f>
        <v>#REF!</v>
      </c>
      <c r="BE6" s="112" t="e">
        <f>#REF!</f>
        <v>#REF!</v>
      </c>
      <c r="BF6" s="112" t="e">
        <f>#REF!</f>
        <v>#REF!</v>
      </c>
      <c r="BG6" s="112" t="e">
        <f>#REF!</f>
        <v>#REF!</v>
      </c>
      <c r="BH6" s="112" t="e">
        <f>#REF!</f>
        <v>#REF!</v>
      </c>
      <c r="BI6" s="112" t="e">
        <f>#REF!</f>
        <v>#REF!</v>
      </c>
      <c r="BJ6" s="112" t="e">
        <f>#REF!</f>
        <v>#REF!</v>
      </c>
      <c r="BK6" s="112" t="e">
        <f>#REF!</f>
        <v>#REF!</v>
      </c>
      <c r="BL6" s="112" t="e">
        <f>#REF!</f>
        <v>#REF!</v>
      </c>
      <c r="BM6" s="112" t="e">
        <f>#REF!</f>
        <v>#REF!</v>
      </c>
      <c r="BN6" s="113" t="e">
        <f>#REF!</f>
        <v>#REF!</v>
      </c>
      <c r="BO6" s="111" t="e">
        <f>#REF!</f>
        <v>#REF!</v>
      </c>
      <c r="BP6" s="112" t="e">
        <f>#REF!</f>
        <v>#REF!</v>
      </c>
      <c r="BQ6" s="112" t="e">
        <f>#REF!</f>
        <v>#REF!</v>
      </c>
      <c r="BR6" s="112" t="e">
        <f>#REF!</f>
        <v>#REF!</v>
      </c>
      <c r="BS6" s="112" t="e">
        <f>#REF!</f>
        <v>#REF!</v>
      </c>
      <c r="BT6" s="113" t="e">
        <f>#REF!</f>
        <v>#REF!</v>
      </c>
    </row>
    <row r="7" spans="1:74" ht="15.75" thickBot="1">
      <c r="A7" s="8" t="s">
        <v>1017</v>
      </c>
      <c r="B7" s="601" t="e">
        <f>#REF!</f>
        <v>#REF!</v>
      </c>
      <c r="C7" s="602"/>
      <c r="D7" s="15"/>
      <c r="E7" s="15"/>
      <c r="F7" s="265"/>
      <c r="G7" s="268"/>
      <c r="H7" s="268"/>
      <c r="I7" s="15"/>
      <c r="J7" s="15"/>
      <c r="K7" s="268"/>
      <c r="L7" s="268"/>
      <c r="M7" s="268"/>
      <c r="N7" s="268"/>
      <c r="O7" s="268"/>
      <c r="P7" s="268"/>
      <c r="Q7" s="268"/>
      <c r="R7" s="281" t="s">
        <v>1018</v>
      </c>
      <c r="S7" s="165" t="e">
        <f>#REF!</f>
        <v>#REF!</v>
      </c>
      <c r="T7" s="166" t="e">
        <f>#REF!</f>
        <v>#REF!</v>
      </c>
      <c r="U7" s="166" t="e">
        <f>#REF!</f>
        <v>#REF!</v>
      </c>
      <c r="V7" s="166" t="e">
        <f>#REF!</f>
        <v>#REF!</v>
      </c>
      <c r="W7" s="166" t="e">
        <f>#REF!</f>
        <v>#REF!</v>
      </c>
      <c r="X7" s="166" t="e">
        <f>#REF!</f>
        <v>#REF!</v>
      </c>
      <c r="Y7" s="318" t="e">
        <f>#REF!</f>
        <v>#REF!</v>
      </c>
      <c r="Z7" s="165" t="e">
        <f>#REF!</f>
        <v>#REF!</v>
      </c>
      <c r="AA7" s="166" t="e">
        <f>#REF!</f>
        <v>#REF!</v>
      </c>
      <c r="AB7" s="166" t="e">
        <f>#REF!</f>
        <v>#REF!</v>
      </c>
      <c r="AC7" s="166" t="e">
        <f>#REF!</f>
        <v>#REF!</v>
      </c>
      <c r="AD7" s="167" t="e">
        <f>#REF!</f>
        <v>#REF!</v>
      </c>
      <c r="AE7" s="165" t="e">
        <f>#REF!</f>
        <v>#REF!</v>
      </c>
      <c r="AF7" s="166" t="e">
        <f>#REF!</f>
        <v>#REF!</v>
      </c>
      <c r="AG7" s="166" t="e">
        <f>#REF!</f>
        <v>#REF!</v>
      </c>
      <c r="AH7" s="166" t="e">
        <f>#REF!</f>
        <v>#REF!</v>
      </c>
      <c r="AI7" s="166" t="e">
        <f>#REF!</f>
        <v>#REF!</v>
      </c>
      <c r="AJ7" s="166" t="e">
        <f>#REF!</f>
        <v>#REF!</v>
      </c>
      <c r="AK7" s="166" t="e">
        <f>#REF!</f>
        <v>#REF!</v>
      </c>
      <c r="AL7" s="112" t="e">
        <f>#REF!</f>
        <v>#REF!</v>
      </c>
      <c r="AM7" s="112" t="e">
        <f>#REF!</f>
        <v>#REF!</v>
      </c>
      <c r="AN7" s="112" t="e">
        <f>#REF!</f>
        <v>#REF!</v>
      </c>
      <c r="AO7" s="112" t="e">
        <f>#REF!</f>
        <v>#REF!</v>
      </c>
      <c r="AP7" s="113" t="e">
        <f>#REF!</f>
        <v>#REF!</v>
      </c>
      <c r="AQ7" s="111" t="e">
        <f>#REF!</f>
        <v>#REF!</v>
      </c>
      <c r="AR7" s="155" t="e">
        <f>#REF!</f>
        <v>#REF!</v>
      </c>
      <c r="AS7" s="112" t="e">
        <f>#REF!</f>
        <v>#REF!</v>
      </c>
      <c r="AT7" s="112" t="e">
        <f>#REF!</f>
        <v>#REF!</v>
      </c>
      <c r="AU7" s="112" t="e">
        <f>#REF!</f>
        <v>#REF!</v>
      </c>
      <c r="AV7" s="112" t="e">
        <f>#REF!</f>
        <v>#REF!</v>
      </c>
      <c r="AW7" s="112" t="e">
        <f>#REF!</f>
        <v>#REF!</v>
      </c>
      <c r="AX7" s="112" t="e">
        <f>#REF!</f>
        <v>#REF!</v>
      </c>
      <c r="AY7" s="112" t="e">
        <f>#REF!</f>
        <v>#REF!</v>
      </c>
      <c r="AZ7" s="112" t="e">
        <f>#REF!</f>
        <v>#REF!</v>
      </c>
      <c r="BA7" s="112" t="e">
        <f>#REF!</f>
        <v>#REF!</v>
      </c>
      <c r="BB7" s="113" t="e">
        <f>#REF!</f>
        <v>#REF!</v>
      </c>
      <c r="BC7" s="111" t="e">
        <f>#REF!</f>
        <v>#REF!</v>
      </c>
      <c r="BD7" s="112" t="e">
        <f>#REF!</f>
        <v>#REF!</v>
      </c>
      <c r="BE7" s="112" t="e">
        <f>#REF!</f>
        <v>#REF!</v>
      </c>
      <c r="BF7" s="112" t="e">
        <f>#REF!</f>
        <v>#REF!</v>
      </c>
      <c r="BG7" s="112" t="e">
        <f>#REF!</f>
        <v>#REF!</v>
      </c>
      <c r="BH7" s="112" t="e">
        <f>#REF!</f>
        <v>#REF!</v>
      </c>
      <c r="BI7" s="112" t="e">
        <f>#REF!</f>
        <v>#REF!</v>
      </c>
      <c r="BJ7" s="112" t="e">
        <f>#REF!</f>
        <v>#REF!</v>
      </c>
      <c r="BK7" s="112" t="e">
        <f>#REF!</f>
        <v>#REF!</v>
      </c>
      <c r="BL7" s="112" t="e">
        <f>#REF!</f>
        <v>#REF!</v>
      </c>
      <c r="BM7" s="112" t="e">
        <f>#REF!</f>
        <v>#REF!</v>
      </c>
      <c r="BN7" s="113" t="e">
        <f>#REF!</f>
        <v>#REF!</v>
      </c>
      <c r="BO7" s="111" t="e">
        <f>#REF!</f>
        <v>#REF!</v>
      </c>
      <c r="BP7" s="112" t="e">
        <f>#REF!</f>
        <v>#REF!</v>
      </c>
      <c r="BQ7" s="112" t="e">
        <f>#REF!</f>
        <v>#REF!</v>
      </c>
      <c r="BR7" s="112" t="e">
        <f>#REF!</f>
        <v>#REF!</v>
      </c>
      <c r="BS7" s="112" t="e">
        <f>#REF!</f>
        <v>#REF!</v>
      </c>
      <c r="BT7" s="113" t="e">
        <f>#REF!</f>
        <v>#REF!</v>
      </c>
    </row>
    <row r="8" spans="1:74" ht="27.6" customHeight="1">
      <c r="D8" s="15"/>
      <c r="E8" s="15"/>
      <c r="F8" s="265"/>
      <c r="G8" s="268"/>
      <c r="H8" s="268"/>
      <c r="I8" s="15"/>
      <c r="J8" s="15"/>
      <c r="K8" s="268"/>
      <c r="L8" s="268"/>
      <c r="M8" s="268"/>
      <c r="N8" s="268"/>
      <c r="O8" s="268"/>
      <c r="P8" s="268"/>
      <c r="Q8" s="268"/>
      <c r="R8" s="281" t="s">
        <v>1019</v>
      </c>
      <c r="S8" s="168" t="e">
        <f>#REF!</f>
        <v>#REF!</v>
      </c>
      <c r="T8" s="169" t="e">
        <f>#REF!</f>
        <v>#REF!</v>
      </c>
      <c r="U8" s="169" t="e">
        <f>#REF!</f>
        <v>#REF!</v>
      </c>
      <c r="V8" s="169" t="e">
        <f>#REF!</f>
        <v>#REF!</v>
      </c>
      <c r="W8" s="169" t="e">
        <f>#REF!</f>
        <v>#REF!</v>
      </c>
      <c r="X8" s="166" t="e">
        <f>#REF!</f>
        <v>#REF!</v>
      </c>
      <c r="Y8" s="318" t="e">
        <f>#REF!</f>
        <v>#REF!</v>
      </c>
      <c r="Z8" s="165" t="e">
        <f>#REF!</f>
        <v>#REF!</v>
      </c>
      <c r="AA8" s="169" t="e">
        <f>#REF!</f>
        <v>#REF!</v>
      </c>
      <c r="AB8" s="169" t="e">
        <f>#REF!</f>
        <v>#REF!</v>
      </c>
      <c r="AC8" s="169" t="e">
        <f>#REF!</f>
        <v>#REF!</v>
      </c>
      <c r="AD8" s="170" t="e">
        <f>#REF!</f>
        <v>#REF!</v>
      </c>
      <c r="AE8" s="168" t="e">
        <f>#REF!</f>
        <v>#REF!</v>
      </c>
      <c r="AF8" s="169" t="e">
        <f>#REF!</f>
        <v>#REF!</v>
      </c>
      <c r="AG8" s="169" t="e">
        <f>#REF!</f>
        <v>#REF!</v>
      </c>
      <c r="AH8" s="169" t="e">
        <f>#REF!</f>
        <v>#REF!</v>
      </c>
      <c r="AI8" s="169" t="e">
        <f>#REF!</f>
        <v>#REF!</v>
      </c>
      <c r="AJ8" s="169" t="e">
        <f>#REF!</f>
        <v>#REF!</v>
      </c>
      <c r="AK8" s="169" t="e">
        <f>#REF!</f>
        <v>#REF!</v>
      </c>
      <c r="AL8" s="115" t="e">
        <f>#REF!</f>
        <v>#REF!</v>
      </c>
      <c r="AM8" s="115" t="e">
        <f>#REF!</f>
        <v>#REF!</v>
      </c>
      <c r="AN8" s="115" t="e">
        <f>#REF!</f>
        <v>#REF!</v>
      </c>
      <c r="AO8" s="115" t="e">
        <f>#REF!</f>
        <v>#REF!</v>
      </c>
      <c r="AP8" s="116" t="e">
        <f>#REF!</f>
        <v>#REF!</v>
      </c>
      <c r="AQ8" s="114" t="e">
        <f>#REF!</f>
        <v>#REF!</v>
      </c>
      <c r="AR8" s="161" t="e">
        <f>#REF!</f>
        <v>#REF!</v>
      </c>
      <c r="AS8" s="115" t="e">
        <f>#REF!</f>
        <v>#REF!</v>
      </c>
      <c r="AT8" s="115" t="e">
        <f>#REF!</f>
        <v>#REF!</v>
      </c>
      <c r="AU8" s="115" t="e">
        <f>#REF!</f>
        <v>#REF!</v>
      </c>
      <c r="AV8" s="115" t="e">
        <f>#REF!</f>
        <v>#REF!</v>
      </c>
      <c r="AW8" s="115" t="e">
        <f>#REF!</f>
        <v>#REF!</v>
      </c>
      <c r="AX8" s="115" t="e">
        <f>#REF!</f>
        <v>#REF!</v>
      </c>
      <c r="AY8" s="115" t="e">
        <f>#REF!</f>
        <v>#REF!</v>
      </c>
      <c r="AZ8" s="115" t="e">
        <f>#REF!</f>
        <v>#REF!</v>
      </c>
      <c r="BA8" s="115" t="e">
        <f>#REF!</f>
        <v>#REF!</v>
      </c>
      <c r="BB8" s="116" t="e">
        <f>#REF!</f>
        <v>#REF!</v>
      </c>
      <c r="BC8" s="114" t="e">
        <f>#REF!</f>
        <v>#REF!</v>
      </c>
      <c r="BD8" s="115" t="e">
        <f>#REF!</f>
        <v>#REF!</v>
      </c>
      <c r="BE8" s="115" t="e">
        <f>#REF!</f>
        <v>#REF!</v>
      </c>
      <c r="BF8" s="115" t="e">
        <f>#REF!</f>
        <v>#REF!</v>
      </c>
      <c r="BG8" s="115" t="e">
        <f>#REF!</f>
        <v>#REF!</v>
      </c>
      <c r="BH8" s="115" t="e">
        <f>#REF!</f>
        <v>#REF!</v>
      </c>
      <c r="BI8" s="115" t="e">
        <f>#REF!</f>
        <v>#REF!</v>
      </c>
      <c r="BJ8" s="115" t="e">
        <f>#REF!</f>
        <v>#REF!</v>
      </c>
      <c r="BK8" s="115" t="e">
        <f>#REF!</f>
        <v>#REF!</v>
      </c>
      <c r="BL8" s="115" t="e">
        <f>#REF!</f>
        <v>#REF!</v>
      </c>
      <c r="BM8" s="115" t="e">
        <f>#REF!</f>
        <v>#REF!</v>
      </c>
      <c r="BN8" s="116" t="e">
        <f>#REF!</f>
        <v>#REF!</v>
      </c>
      <c r="BO8" s="114" t="e">
        <f>#REF!</f>
        <v>#REF!</v>
      </c>
      <c r="BP8" s="115" t="e">
        <f>#REF!</f>
        <v>#REF!</v>
      </c>
      <c r="BQ8" s="115" t="e">
        <f>#REF!</f>
        <v>#REF!</v>
      </c>
      <c r="BR8" s="115" t="e">
        <f>#REF!</f>
        <v>#REF!</v>
      </c>
      <c r="BS8" s="115" t="e">
        <f>#REF!</f>
        <v>#REF!</v>
      </c>
      <c r="BT8" s="116" t="e">
        <f>#REF!</f>
        <v>#REF!</v>
      </c>
    </row>
    <row r="9" spans="1:74" ht="81.599999999999994" customHeight="1" thickBot="1">
      <c r="G9" s="41"/>
      <c r="H9" s="41"/>
      <c r="I9" s="14"/>
      <c r="J9" s="14"/>
      <c r="K9" s="41"/>
      <c r="R9" s="282" t="s">
        <v>1020</v>
      </c>
      <c r="S9" s="171" t="e">
        <f>#REF!</f>
        <v>#REF!</v>
      </c>
      <c r="T9" s="172" t="e">
        <f>#REF!</f>
        <v>#REF!</v>
      </c>
      <c r="U9" s="172" t="e">
        <f>#REF!</f>
        <v>#REF!</v>
      </c>
      <c r="V9" s="172" t="e">
        <f>#REF!</f>
        <v>#REF!</v>
      </c>
      <c r="W9" s="172" t="e">
        <f>#REF!</f>
        <v>#REF!</v>
      </c>
      <c r="X9" s="173" t="e">
        <f>#REF!</f>
        <v>#REF!</v>
      </c>
      <c r="Y9" s="319" t="e">
        <f>#REF!</f>
        <v>#REF!</v>
      </c>
      <c r="Z9" s="323" t="e">
        <f>#REF!</f>
        <v>#REF!</v>
      </c>
      <c r="AA9" s="172" t="e">
        <f>#REF!</f>
        <v>#REF!</v>
      </c>
      <c r="AB9" s="172" t="e">
        <f>#REF!</f>
        <v>#REF!</v>
      </c>
      <c r="AC9" s="172" t="e">
        <f>#REF!</f>
        <v>#REF!</v>
      </c>
      <c r="AD9" s="174" t="e">
        <f>#REF!</f>
        <v>#REF!</v>
      </c>
      <c r="AE9" s="171" t="e">
        <f>#REF!</f>
        <v>#REF!</v>
      </c>
      <c r="AF9" s="172" t="e">
        <f>#REF!</f>
        <v>#REF!</v>
      </c>
      <c r="AG9" s="172" t="e">
        <f>#REF!</f>
        <v>#REF!</v>
      </c>
      <c r="AH9" s="172" t="e">
        <f>#REF!</f>
        <v>#REF!</v>
      </c>
      <c r="AI9" s="172" t="e">
        <f>#REF!</f>
        <v>#REF!</v>
      </c>
      <c r="AJ9" s="172" t="e">
        <f>#REF!</f>
        <v>#REF!</v>
      </c>
      <c r="AK9" s="172" t="e">
        <f>#REF!</f>
        <v>#REF!</v>
      </c>
      <c r="AL9" s="118" t="e">
        <f>#REF!</f>
        <v>#REF!</v>
      </c>
      <c r="AM9" s="118" t="e">
        <f>#REF!</f>
        <v>#REF!</v>
      </c>
      <c r="AN9" s="118" t="e">
        <f>#REF!</f>
        <v>#REF!</v>
      </c>
      <c r="AO9" s="118" t="e">
        <f>#REF!</f>
        <v>#REF!</v>
      </c>
      <c r="AP9" s="119" t="e">
        <f>#REF!</f>
        <v>#REF!</v>
      </c>
      <c r="AQ9" s="117" t="e">
        <f>#REF!</f>
        <v>#REF!</v>
      </c>
      <c r="AR9" s="118" t="e">
        <f>#REF!</f>
        <v>#REF!</v>
      </c>
      <c r="AS9" s="118" t="e">
        <f>#REF!</f>
        <v>#REF!</v>
      </c>
      <c r="AT9" s="118" t="e">
        <f>#REF!</f>
        <v>#REF!</v>
      </c>
      <c r="AU9" s="118" t="e">
        <f>#REF!</f>
        <v>#REF!</v>
      </c>
      <c r="AV9" s="118" t="e">
        <f>#REF!</f>
        <v>#REF!</v>
      </c>
      <c r="AW9" s="118" t="e">
        <f>#REF!</f>
        <v>#REF!</v>
      </c>
      <c r="AX9" s="118" t="e">
        <f>#REF!</f>
        <v>#REF!</v>
      </c>
      <c r="AY9" s="118" t="e">
        <f>#REF!</f>
        <v>#REF!</v>
      </c>
      <c r="AZ9" s="118" t="e">
        <f>#REF!</f>
        <v>#REF!</v>
      </c>
      <c r="BA9" s="118" t="e">
        <f>#REF!</f>
        <v>#REF!</v>
      </c>
      <c r="BB9" s="119" t="e">
        <f>#REF!</f>
        <v>#REF!</v>
      </c>
      <c r="BC9" s="117" t="e">
        <f>#REF!</f>
        <v>#REF!</v>
      </c>
      <c r="BD9" s="118" t="e">
        <f>#REF!</f>
        <v>#REF!</v>
      </c>
      <c r="BE9" s="118" t="e">
        <f>#REF!</f>
        <v>#REF!</v>
      </c>
      <c r="BF9" s="118" t="e">
        <f>#REF!</f>
        <v>#REF!</v>
      </c>
      <c r="BG9" s="118" t="e">
        <f>#REF!</f>
        <v>#REF!</v>
      </c>
      <c r="BH9" s="118" t="e">
        <f>#REF!</f>
        <v>#REF!</v>
      </c>
      <c r="BI9" s="118" t="e">
        <f>#REF!</f>
        <v>#REF!</v>
      </c>
      <c r="BJ9" s="118" t="e">
        <f>#REF!</f>
        <v>#REF!</v>
      </c>
      <c r="BK9" s="118" t="e">
        <f>#REF!</f>
        <v>#REF!</v>
      </c>
      <c r="BL9" s="118" t="e">
        <f>#REF!</f>
        <v>#REF!</v>
      </c>
      <c r="BM9" s="118" t="e">
        <f>#REF!</f>
        <v>#REF!</v>
      </c>
      <c r="BN9" s="119" t="e">
        <f>#REF!</f>
        <v>#REF!</v>
      </c>
      <c r="BO9" s="117" t="e">
        <f>#REF!</f>
        <v>#REF!</v>
      </c>
      <c r="BP9" s="118" t="e">
        <f>#REF!</f>
        <v>#REF!</v>
      </c>
      <c r="BQ9" s="118" t="e">
        <f>#REF!</f>
        <v>#REF!</v>
      </c>
      <c r="BR9" s="118" t="e">
        <f>#REF!</f>
        <v>#REF!</v>
      </c>
      <c r="BS9" s="118" t="e">
        <f>#REF!</f>
        <v>#REF!</v>
      </c>
      <c r="BT9" s="119" t="e">
        <f>#REF!</f>
        <v>#REF!</v>
      </c>
    </row>
    <row r="10" spans="1:74" ht="18.600000000000001" customHeight="1">
      <c r="G10" s="41"/>
      <c r="H10" s="41"/>
      <c r="I10" s="14"/>
      <c r="J10" s="14"/>
      <c r="K10" s="41"/>
      <c r="Q10" s="599" t="s">
        <v>1021</v>
      </c>
      <c r="R10" s="283" t="e">
        <f>#REF!</f>
        <v>#REF!</v>
      </c>
      <c r="S10" s="175" t="e">
        <f>#REF!</f>
        <v>#REF!</v>
      </c>
      <c r="T10" s="162" t="e">
        <f>#REF!</f>
        <v>#REF!</v>
      </c>
      <c r="U10" s="162" t="e">
        <f>#REF!</f>
        <v>#REF!</v>
      </c>
      <c r="V10" s="162" t="e">
        <f>#REF!</f>
        <v>#REF!</v>
      </c>
      <c r="W10" s="162" t="e">
        <f>#REF!</f>
        <v>#REF!</v>
      </c>
      <c r="X10" s="154" t="e">
        <f>#REF!</f>
        <v>#REF!</v>
      </c>
      <c r="Y10" s="320" t="e">
        <f>#REF!</f>
        <v>#REF!</v>
      </c>
      <c r="Z10" s="324" t="e">
        <f>#REF!</f>
        <v>#REF!</v>
      </c>
      <c r="AA10" s="154" t="e">
        <f>#REF!</f>
        <v>#REF!</v>
      </c>
      <c r="AB10" s="154" t="e">
        <f>#REF!</f>
        <v>#REF!</v>
      </c>
      <c r="AC10" s="154" t="e">
        <f>#REF!</f>
        <v>#REF!</v>
      </c>
      <c r="AD10" s="142" t="e">
        <f>#REF!</f>
        <v>#REF!</v>
      </c>
      <c r="AE10" s="175" t="e">
        <f>#REF!</f>
        <v>#REF!</v>
      </c>
      <c r="AF10" s="162" t="e">
        <f>#REF!</f>
        <v>#REF!</v>
      </c>
      <c r="AG10" s="162" t="e">
        <f>#REF!</f>
        <v>#REF!</v>
      </c>
      <c r="AH10" s="162" t="e">
        <f>#REF!</f>
        <v>#REF!</v>
      </c>
      <c r="AI10" s="162" t="e">
        <f>#REF!</f>
        <v>#REF!</v>
      </c>
      <c r="AJ10" s="162" t="e">
        <f>#REF!</f>
        <v>#REF!</v>
      </c>
      <c r="AK10" s="162" t="e">
        <f>#REF!</f>
        <v>#REF!</v>
      </c>
      <c r="AL10" s="162" t="e">
        <f>#REF!</f>
        <v>#REF!</v>
      </c>
      <c r="AM10" s="162" t="e">
        <f>#REF!</f>
        <v>#REF!</v>
      </c>
      <c r="AN10" s="162" t="e">
        <f>#REF!</f>
        <v>#REF!</v>
      </c>
      <c r="AO10" s="162" t="e">
        <f>#REF!</f>
        <v>#REF!</v>
      </c>
      <c r="AP10" s="122" t="e">
        <f>#REF!</f>
        <v>#REF!</v>
      </c>
      <c r="AQ10" s="120" t="e">
        <f>#REF!</f>
        <v>#REF!</v>
      </c>
      <c r="AR10" s="121" t="e">
        <f>#REF!</f>
        <v>#REF!</v>
      </c>
      <c r="AS10" s="121" t="e">
        <f>#REF!</f>
        <v>#REF!</v>
      </c>
      <c r="AT10" s="121" t="e">
        <f>#REF!</f>
        <v>#REF!</v>
      </c>
      <c r="AU10" s="121" t="e">
        <f>#REF!</f>
        <v>#REF!</v>
      </c>
      <c r="AV10" s="121" t="e">
        <f>#REF!</f>
        <v>#REF!</v>
      </c>
      <c r="AW10" s="121" t="e">
        <f>#REF!</f>
        <v>#REF!</v>
      </c>
      <c r="AX10" s="121" t="e">
        <f>#REF!</f>
        <v>#REF!</v>
      </c>
      <c r="AY10" s="121" t="e">
        <f>#REF!</f>
        <v>#REF!</v>
      </c>
      <c r="AZ10" s="121" t="e">
        <f>#REF!</f>
        <v>#REF!</v>
      </c>
      <c r="BA10" s="121" t="e">
        <f>#REF!</f>
        <v>#REF!</v>
      </c>
      <c r="BB10" s="122" t="e">
        <f>#REF!</f>
        <v>#REF!</v>
      </c>
      <c r="BC10" s="120" t="e">
        <f>#REF!</f>
        <v>#REF!</v>
      </c>
      <c r="BD10" s="121" t="e">
        <f>#REF!</f>
        <v>#REF!</v>
      </c>
      <c r="BE10" s="121" t="e">
        <f>#REF!</f>
        <v>#REF!</v>
      </c>
      <c r="BF10" s="121" t="e">
        <f>#REF!</f>
        <v>#REF!</v>
      </c>
      <c r="BG10" s="121" t="e">
        <f>#REF!</f>
        <v>#REF!</v>
      </c>
      <c r="BH10" s="121" t="e">
        <f>#REF!</f>
        <v>#REF!</v>
      </c>
      <c r="BI10" s="121" t="e">
        <f>#REF!</f>
        <v>#REF!</v>
      </c>
      <c r="BJ10" s="121" t="e">
        <f>#REF!</f>
        <v>#REF!</v>
      </c>
      <c r="BK10" s="121" t="e">
        <f>#REF!</f>
        <v>#REF!</v>
      </c>
      <c r="BL10" s="121" t="e">
        <f>#REF!</f>
        <v>#REF!</v>
      </c>
      <c r="BM10" s="121" t="e">
        <f>#REF!</f>
        <v>#REF!</v>
      </c>
      <c r="BN10" s="122" t="e">
        <f>#REF!</f>
        <v>#REF!</v>
      </c>
      <c r="BO10" s="120" t="e">
        <f>#REF!</f>
        <v>#REF!</v>
      </c>
      <c r="BP10" s="121" t="e">
        <f>#REF!</f>
        <v>#REF!</v>
      </c>
      <c r="BQ10" s="121" t="e">
        <f>#REF!</f>
        <v>#REF!</v>
      </c>
      <c r="BR10" s="121" t="e">
        <f>#REF!</f>
        <v>#REF!</v>
      </c>
      <c r="BS10" s="121" t="e">
        <f>#REF!</f>
        <v>#REF!</v>
      </c>
      <c r="BT10" s="122" t="e">
        <f>#REF!</f>
        <v>#REF!</v>
      </c>
    </row>
    <row r="11" spans="1:74" ht="20.45" customHeight="1">
      <c r="G11" s="41"/>
      <c r="H11" s="41"/>
      <c r="I11" s="14"/>
      <c r="J11" s="14"/>
      <c r="K11" s="41"/>
      <c r="Q11" s="600"/>
      <c r="R11" s="284" t="e">
        <f>#REF!</f>
        <v>#REF!</v>
      </c>
      <c r="S11" s="176" t="e">
        <f>#REF!</f>
        <v>#REF!</v>
      </c>
      <c r="T11" s="177" t="e">
        <f>#REF!</f>
        <v>#REF!</v>
      </c>
      <c r="U11" s="177" t="e">
        <f>#REF!</f>
        <v>#REF!</v>
      </c>
      <c r="V11" s="177" t="e">
        <f>#REF!</f>
        <v>#REF!</v>
      </c>
      <c r="W11" s="177" t="e">
        <f>#REF!</f>
        <v>#REF!</v>
      </c>
      <c r="X11" s="155" t="e">
        <f>#REF!</f>
        <v>#REF!</v>
      </c>
      <c r="Y11" s="321" t="e">
        <f>#REF!</f>
        <v>#REF!</v>
      </c>
      <c r="Z11" s="325" t="e">
        <f>#REF!</f>
        <v>#REF!</v>
      </c>
      <c r="AA11" s="155" t="e">
        <f>#REF!</f>
        <v>#REF!</v>
      </c>
      <c r="AB11" s="161" t="e">
        <f>#REF!</f>
        <v>#REF!</v>
      </c>
      <c r="AC11" s="155" t="e">
        <f>#REF!</f>
        <v>#REF!</v>
      </c>
      <c r="AD11" s="178" t="e">
        <f>#REF!</f>
        <v>#REF!</v>
      </c>
      <c r="AE11" s="155" t="e">
        <f>#REF!</f>
        <v>#REF!</v>
      </c>
      <c r="AF11" s="177" t="e">
        <f>#REF!</f>
        <v>#REF!</v>
      </c>
      <c r="AG11" s="155" t="e">
        <f>#REF!</f>
        <v>#REF!</v>
      </c>
      <c r="AH11" s="177" t="e">
        <f>#REF!</f>
        <v>#REF!</v>
      </c>
      <c r="AI11" s="177" t="e">
        <f>#REF!</f>
        <v>#REF!</v>
      </c>
      <c r="AJ11" s="177" t="e">
        <f>#REF!</f>
        <v>#REF!</v>
      </c>
      <c r="AK11" s="177" t="e">
        <f>#REF!</f>
        <v>#REF!</v>
      </c>
      <c r="AL11" s="177" t="e">
        <f>#REF!</f>
        <v>#REF!</v>
      </c>
      <c r="AM11" s="177" t="e">
        <f>#REF!</f>
        <v>#REF!</v>
      </c>
      <c r="AN11" s="177" t="e">
        <f>#REF!</f>
        <v>#REF!</v>
      </c>
      <c r="AO11" s="177" t="e">
        <f>#REF!</f>
        <v>#REF!</v>
      </c>
      <c r="AP11" s="125" t="e">
        <f>#REF!</f>
        <v>#REF!</v>
      </c>
      <c r="AQ11" s="123" t="e">
        <f>#REF!</f>
        <v>#REF!</v>
      </c>
      <c r="AR11" s="124" t="e">
        <f>#REF!</f>
        <v>#REF!</v>
      </c>
      <c r="AS11" s="124" t="e">
        <f>#REF!</f>
        <v>#REF!</v>
      </c>
      <c r="AT11" s="124" t="e">
        <f>#REF!</f>
        <v>#REF!</v>
      </c>
      <c r="AU11" s="124" t="e">
        <f>#REF!</f>
        <v>#REF!</v>
      </c>
      <c r="AV11" s="124" t="e">
        <f>#REF!</f>
        <v>#REF!</v>
      </c>
      <c r="AW11" s="124" t="e">
        <f>#REF!</f>
        <v>#REF!</v>
      </c>
      <c r="AX11" s="124" t="e">
        <f>#REF!</f>
        <v>#REF!</v>
      </c>
      <c r="AY11" s="124" t="e">
        <f>#REF!</f>
        <v>#REF!</v>
      </c>
      <c r="AZ11" s="124" t="e">
        <f>#REF!</f>
        <v>#REF!</v>
      </c>
      <c r="BA11" s="124" t="e">
        <f>#REF!</f>
        <v>#REF!</v>
      </c>
      <c r="BB11" s="125" t="e">
        <f>#REF!</f>
        <v>#REF!</v>
      </c>
      <c r="BC11" s="123" t="e">
        <f>#REF!</f>
        <v>#REF!</v>
      </c>
      <c r="BD11" s="124" t="e">
        <f>#REF!</f>
        <v>#REF!</v>
      </c>
      <c r="BE11" s="124" t="e">
        <f>#REF!</f>
        <v>#REF!</v>
      </c>
      <c r="BF11" s="124" t="e">
        <f>#REF!</f>
        <v>#REF!</v>
      </c>
      <c r="BG11" s="124" t="e">
        <f>#REF!</f>
        <v>#REF!</v>
      </c>
      <c r="BH11" s="124" t="e">
        <f>#REF!</f>
        <v>#REF!</v>
      </c>
      <c r="BI11" s="124">
        <v>0</v>
      </c>
      <c r="BJ11" s="124" t="e">
        <f>#REF!</f>
        <v>#REF!</v>
      </c>
      <c r="BK11" s="124" t="e">
        <f>#REF!</f>
        <v>#REF!</v>
      </c>
      <c r="BL11" s="124" t="e">
        <f>#REF!</f>
        <v>#REF!</v>
      </c>
      <c r="BM11" s="124" t="e">
        <f>#REF!</f>
        <v>#REF!</v>
      </c>
      <c r="BN11" s="125" t="e">
        <f>#REF!</f>
        <v>#REF!</v>
      </c>
      <c r="BO11" s="123" t="e">
        <f>#REF!</f>
        <v>#REF!</v>
      </c>
      <c r="BP11" s="124" t="e">
        <f>#REF!</f>
        <v>#REF!</v>
      </c>
      <c r="BQ11" s="124" t="e">
        <f>#REF!</f>
        <v>#REF!</v>
      </c>
      <c r="BR11" s="124" t="e">
        <f>#REF!</f>
        <v>#REF!</v>
      </c>
      <c r="BS11" s="124" t="e">
        <f>#REF!</f>
        <v>#REF!</v>
      </c>
      <c r="BT11" s="125" t="e">
        <f>#REF!</f>
        <v>#REF!</v>
      </c>
    </row>
    <row r="12" spans="1:74" ht="50.45" customHeight="1">
      <c r="G12" s="41"/>
      <c r="H12" s="41"/>
      <c r="I12" s="14"/>
      <c r="J12" s="14"/>
      <c r="K12" s="41"/>
      <c r="Q12" s="600"/>
      <c r="R12" s="284" t="e">
        <f>#REF!</f>
        <v>#REF!</v>
      </c>
      <c r="S12" s="176" t="e">
        <f>#REF!</f>
        <v>#REF!</v>
      </c>
      <c r="T12" s="177" t="e">
        <f>#REF!</f>
        <v>#REF!</v>
      </c>
      <c r="U12" s="177" t="e">
        <f>#REF!</f>
        <v>#REF!</v>
      </c>
      <c r="V12" s="177" t="e">
        <f>#REF!</f>
        <v>#REF!</v>
      </c>
      <c r="W12" s="177" t="e">
        <f>#REF!</f>
        <v>#REF!</v>
      </c>
      <c r="X12" s="155" t="e">
        <f>#REF!</f>
        <v>#REF!</v>
      </c>
      <c r="Y12" s="321" t="e">
        <f>#REF!</f>
        <v>#REF!</v>
      </c>
      <c r="Z12" s="325" t="e">
        <f>#REF!</f>
        <v>#REF!</v>
      </c>
      <c r="AA12" s="155" t="e">
        <f>#REF!</f>
        <v>#REF!</v>
      </c>
      <c r="AB12" s="161" t="e">
        <f>#REF!</f>
        <v>#REF!</v>
      </c>
      <c r="AC12" s="155" t="e">
        <f>#REF!</f>
        <v>#REF!</v>
      </c>
      <c r="AD12" s="178" t="e">
        <f>#REF!</f>
        <v>#REF!</v>
      </c>
      <c r="AE12" s="155" t="e">
        <f>#REF!</f>
        <v>#REF!</v>
      </c>
      <c r="AF12" s="177" t="e">
        <f>#REF!</f>
        <v>#REF!</v>
      </c>
      <c r="AG12" s="155" t="e">
        <f>#REF!</f>
        <v>#REF!</v>
      </c>
      <c r="AH12" s="177" t="e">
        <f>#REF!</f>
        <v>#REF!</v>
      </c>
      <c r="AI12" s="177" t="e">
        <f>#REF!</f>
        <v>#REF!</v>
      </c>
      <c r="AJ12" s="177" t="e">
        <f>#REF!</f>
        <v>#REF!</v>
      </c>
      <c r="AK12" s="177" t="e">
        <f>#REF!</f>
        <v>#REF!</v>
      </c>
      <c r="AL12" s="177" t="e">
        <f>#REF!</f>
        <v>#REF!</v>
      </c>
      <c r="AM12" s="177" t="e">
        <f>#REF!</f>
        <v>#REF!</v>
      </c>
      <c r="AN12" s="177" t="e">
        <f>#REF!</f>
        <v>#REF!</v>
      </c>
      <c r="AO12" s="177" t="e">
        <f>#REF!</f>
        <v>#REF!</v>
      </c>
      <c r="AP12" s="125" t="e">
        <f>#REF!</f>
        <v>#REF!</v>
      </c>
      <c r="AQ12" s="123" t="e">
        <f>#REF!</f>
        <v>#REF!</v>
      </c>
      <c r="AR12" s="124" t="e">
        <f>#REF!</f>
        <v>#REF!</v>
      </c>
      <c r="AS12" s="124" t="e">
        <f>#REF!</f>
        <v>#REF!</v>
      </c>
      <c r="AT12" s="124" t="e">
        <f>#REF!</f>
        <v>#REF!</v>
      </c>
      <c r="AU12" s="124" t="e">
        <f>#REF!</f>
        <v>#REF!</v>
      </c>
      <c r="AV12" s="124" t="e">
        <f>#REF!</f>
        <v>#REF!</v>
      </c>
      <c r="AW12" s="124" t="e">
        <f>#REF!</f>
        <v>#REF!</v>
      </c>
      <c r="AX12" s="124" t="e">
        <f>#REF!</f>
        <v>#REF!</v>
      </c>
      <c r="AY12" s="124" t="e">
        <f>#REF!</f>
        <v>#REF!</v>
      </c>
      <c r="AZ12" s="124" t="e">
        <f>#REF!</f>
        <v>#REF!</v>
      </c>
      <c r="BA12" s="124" t="e">
        <f>#REF!</f>
        <v>#REF!</v>
      </c>
      <c r="BB12" s="125" t="e">
        <f>#REF!</f>
        <v>#REF!</v>
      </c>
      <c r="BC12" s="123" t="e">
        <f>#REF!</f>
        <v>#REF!</v>
      </c>
      <c r="BD12" s="124" t="e">
        <f>#REF!</f>
        <v>#REF!</v>
      </c>
      <c r="BE12" s="124" t="e">
        <f>#REF!</f>
        <v>#REF!</v>
      </c>
      <c r="BF12" s="124" t="e">
        <f>#REF!</f>
        <v>#REF!</v>
      </c>
      <c r="BG12" s="124" t="e">
        <f>#REF!</f>
        <v>#REF!</v>
      </c>
      <c r="BH12" s="124" t="e">
        <f>#REF!</f>
        <v>#REF!</v>
      </c>
      <c r="BI12" s="124">
        <v>0</v>
      </c>
      <c r="BJ12" s="124" t="e">
        <f>#REF!</f>
        <v>#REF!</v>
      </c>
      <c r="BK12" s="124" t="e">
        <f>#REF!</f>
        <v>#REF!</v>
      </c>
      <c r="BL12" s="124" t="e">
        <f>#REF!</f>
        <v>#REF!</v>
      </c>
      <c r="BM12" s="124" t="e">
        <f>#REF!</f>
        <v>#REF!</v>
      </c>
      <c r="BN12" s="125" t="e">
        <f>#REF!</f>
        <v>#REF!</v>
      </c>
      <c r="BO12" s="123" t="e">
        <f>#REF!</f>
        <v>#REF!</v>
      </c>
      <c r="BP12" s="124" t="e">
        <f>#REF!</f>
        <v>#REF!</v>
      </c>
      <c r="BQ12" s="124" t="e">
        <f>#REF!</f>
        <v>#REF!</v>
      </c>
      <c r="BR12" s="124" t="e">
        <f>#REF!</f>
        <v>#REF!</v>
      </c>
      <c r="BS12" s="124" t="e">
        <f>#REF!</f>
        <v>#REF!</v>
      </c>
      <c r="BT12" s="125" t="e">
        <f>#REF!</f>
        <v>#REF!</v>
      </c>
    </row>
    <row r="13" spans="1:74" ht="47.1" customHeight="1">
      <c r="G13" s="41"/>
      <c r="H13" s="41"/>
      <c r="I13" s="14"/>
      <c r="J13" s="14"/>
      <c r="K13" s="41"/>
      <c r="Q13" s="600"/>
      <c r="R13" s="284" t="s">
        <v>873</v>
      </c>
      <c r="S13" s="176" t="e">
        <f>#REF!</f>
        <v>#REF!</v>
      </c>
      <c r="T13" s="177" t="e">
        <f>#REF!</f>
        <v>#REF!</v>
      </c>
      <c r="U13" s="177" t="e">
        <f>#REF!</f>
        <v>#REF!</v>
      </c>
      <c r="V13" s="177" t="e">
        <f>#REF!</f>
        <v>#REF!</v>
      </c>
      <c r="W13" s="177" t="e">
        <f>#REF!</f>
        <v>#REF!</v>
      </c>
      <c r="X13" s="155" t="e">
        <f>#REF!</f>
        <v>#REF!</v>
      </c>
      <c r="Y13" s="321" t="e">
        <f>#REF!</f>
        <v>#REF!</v>
      </c>
      <c r="Z13" s="325" t="e">
        <f>#REF!</f>
        <v>#REF!</v>
      </c>
      <c r="AA13" s="155" t="e">
        <f>#REF!</f>
        <v>#REF!</v>
      </c>
      <c r="AB13" s="161" t="e">
        <f>#REF!</f>
        <v>#REF!</v>
      </c>
      <c r="AC13" s="155" t="e">
        <f>#REF!</f>
        <v>#REF!</v>
      </c>
      <c r="AD13" s="178" t="e">
        <f>#REF!</f>
        <v>#REF!</v>
      </c>
      <c r="AE13" s="155" t="e">
        <f>#REF!</f>
        <v>#REF!</v>
      </c>
      <c r="AF13" s="177" t="e">
        <f>#REF!</f>
        <v>#REF!</v>
      </c>
      <c r="AG13" s="155" t="e">
        <f>#REF!</f>
        <v>#REF!</v>
      </c>
      <c r="AH13" s="177" t="e">
        <f>#REF!</f>
        <v>#REF!</v>
      </c>
      <c r="AI13" s="177" t="e">
        <f>#REF!</f>
        <v>#REF!</v>
      </c>
      <c r="AJ13" s="177" t="e">
        <f>#REF!</f>
        <v>#REF!</v>
      </c>
      <c r="AK13" s="177" t="e">
        <f>#REF!</f>
        <v>#REF!</v>
      </c>
      <c r="AL13" s="177" t="e">
        <f>#REF!</f>
        <v>#REF!</v>
      </c>
      <c r="AM13" s="177" t="e">
        <f>#REF!</f>
        <v>#REF!</v>
      </c>
      <c r="AN13" s="177" t="e">
        <f>#REF!</f>
        <v>#REF!</v>
      </c>
      <c r="AO13" s="177" t="e">
        <f>#REF!</f>
        <v>#REF!</v>
      </c>
      <c r="AP13" s="125" t="e">
        <f>#REF!</f>
        <v>#REF!</v>
      </c>
      <c r="AQ13" s="123" t="e">
        <f>#REF!</f>
        <v>#REF!</v>
      </c>
      <c r="AR13" s="124" t="e">
        <f>#REF!</f>
        <v>#REF!</v>
      </c>
      <c r="AS13" s="124" t="e">
        <f>#REF!</f>
        <v>#REF!</v>
      </c>
      <c r="AT13" s="124" t="e">
        <f>#REF!</f>
        <v>#REF!</v>
      </c>
      <c r="AU13" s="124" t="e">
        <f>#REF!</f>
        <v>#REF!</v>
      </c>
      <c r="AV13" s="124" t="e">
        <f>#REF!</f>
        <v>#REF!</v>
      </c>
      <c r="AW13" s="124" t="e">
        <f>#REF!</f>
        <v>#REF!</v>
      </c>
      <c r="AX13" s="124" t="e">
        <f>#REF!</f>
        <v>#REF!</v>
      </c>
      <c r="AY13" s="124" t="e">
        <f>#REF!</f>
        <v>#REF!</v>
      </c>
      <c r="AZ13" s="124" t="e">
        <f>#REF!</f>
        <v>#REF!</v>
      </c>
      <c r="BA13" s="124" t="e">
        <f>#REF!</f>
        <v>#REF!</v>
      </c>
      <c r="BB13" s="125" t="e">
        <f>#REF!</f>
        <v>#REF!</v>
      </c>
      <c r="BC13" s="123" t="e">
        <f>#REF!</f>
        <v>#REF!</v>
      </c>
      <c r="BD13" s="124" t="e">
        <f>#REF!</f>
        <v>#REF!</v>
      </c>
      <c r="BE13" s="124" t="e">
        <f>#REF!</f>
        <v>#REF!</v>
      </c>
      <c r="BF13" s="124" t="e">
        <f>#REF!</f>
        <v>#REF!</v>
      </c>
      <c r="BG13" s="124" t="e">
        <f>#REF!</f>
        <v>#REF!</v>
      </c>
      <c r="BH13" s="124" t="e">
        <f>#REF!</f>
        <v>#REF!</v>
      </c>
      <c r="BI13" s="124">
        <v>0</v>
      </c>
      <c r="BJ13" s="124" t="e">
        <f>#REF!</f>
        <v>#REF!</v>
      </c>
      <c r="BK13" s="124" t="e">
        <f>#REF!</f>
        <v>#REF!</v>
      </c>
      <c r="BL13" s="124" t="e">
        <f>#REF!</f>
        <v>#REF!</v>
      </c>
      <c r="BM13" s="124" t="e">
        <f>#REF!</f>
        <v>#REF!</v>
      </c>
      <c r="BN13" s="125" t="e">
        <f>#REF!</f>
        <v>#REF!</v>
      </c>
      <c r="BO13" s="123" t="e">
        <f>#REF!</f>
        <v>#REF!</v>
      </c>
      <c r="BP13" s="124" t="e">
        <f>#REF!</f>
        <v>#REF!</v>
      </c>
      <c r="BQ13" s="124" t="e">
        <f>#REF!</f>
        <v>#REF!</v>
      </c>
      <c r="BR13" s="124" t="e">
        <f>#REF!</f>
        <v>#REF!</v>
      </c>
      <c r="BS13" s="124" t="e">
        <f>#REF!</f>
        <v>#REF!</v>
      </c>
      <c r="BT13" s="125" t="e">
        <f>#REF!</f>
        <v>#REF!</v>
      </c>
    </row>
    <row r="14" spans="1:74" ht="33.950000000000003" customHeight="1" thickBot="1">
      <c r="B14" s="160"/>
      <c r="G14" s="41"/>
      <c r="H14" s="41"/>
      <c r="I14" s="14"/>
      <c r="J14" s="14"/>
      <c r="K14" s="41"/>
      <c r="Q14" s="600"/>
      <c r="R14" s="284" t="e">
        <f>#REF!</f>
        <v>#REF!</v>
      </c>
      <c r="S14" s="176" t="e">
        <f>#REF!</f>
        <v>#REF!</v>
      </c>
      <c r="T14" s="177" t="e">
        <f>#REF!</f>
        <v>#REF!</v>
      </c>
      <c r="U14" s="177" t="e">
        <f>#REF!</f>
        <v>#REF!</v>
      </c>
      <c r="V14" s="177" t="e">
        <f>#REF!</f>
        <v>#REF!</v>
      </c>
      <c r="W14" s="177" t="e">
        <f>#REF!</f>
        <v>#REF!</v>
      </c>
      <c r="X14" s="155" t="e">
        <f>#REF!</f>
        <v>#REF!</v>
      </c>
      <c r="Y14" s="321" t="e">
        <f>#REF!</f>
        <v>#REF!</v>
      </c>
      <c r="Z14" s="325" t="e">
        <f>#REF!</f>
        <v>#REF!</v>
      </c>
      <c r="AA14" s="155" t="e">
        <f>#REF!</f>
        <v>#REF!</v>
      </c>
      <c r="AB14" s="161" t="e">
        <f>#REF!</f>
        <v>#REF!</v>
      </c>
      <c r="AC14" s="155" t="e">
        <f>#REF!</f>
        <v>#REF!</v>
      </c>
      <c r="AD14" s="178" t="e">
        <f>#REF!</f>
        <v>#REF!</v>
      </c>
      <c r="AE14" s="155" t="e">
        <f>#REF!</f>
        <v>#REF!</v>
      </c>
      <c r="AF14" s="177" t="e">
        <f>#REF!</f>
        <v>#REF!</v>
      </c>
      <c r="AG14" s="155" t="e">
        <f>#REF!</f>
        <v>#REF!</v>
      </c>
      <c r="AH14" s="177" t="e">
        <f>#REF!</f>
        <v>#REF!</v>
      </c>
      <c r="AI14" s="177" t="e">
        <f>#REF!</f>
        <v>#REF!</v>
      </c>
      <c r="AJ14" s="177" t="e">
        <f>#REF!</f>
        <v>#REF!</v>
      </c>
      <c r="AK14" s="177" t="e">
        <f>#REF!</f>
        <v>#REF!</v>
      </c>
      <c r="AL14" s="177" t="e">
        <f>#REF!</f>
        <v>#REF!</v>
      </c>
      <c r="AM14" s="177" t="e">
        <f>#REF!</f>
        <v>#REF!</v>
      </c>
      <c r="AN14" s="177" t="e">
        <f>#REF!</f>
        <v>#REF!</v>
      </c>
      <c r="AO14" s="177" t="e">
        <f>#REF!</f>
        <v>#REF!</v>
      </c>
      <c r="AP14" s="125" t="e">
        <f>#REF!</f>
        <v>#REF!</v>
      </c>
      <c r="AQ14" s="123" t="e">
        <f>#REF!</f>
        <v>#REF!</v>
      </c>
      <c r="AR14" s="124" t="e">
        <f>#REF!</f>
        <v>#REF!</v>
      </c>
      <c r="AS14" s="124" t="e">
        <f>#REF!</f>
        <v>#REF!</v>
      </c>
      <c r="AT14" s="124" t="e">
        <f>#REF!</f>
        <v>#REF!</v>
      </c>
      <c r="AU14" s="124" t="e">
        <f>#REF!</f>
        <v>#REF!</v>
      </c>
      <c r="AV14" s="124" t="e">
        <f>#REF!</f>
        <v>#REF!</v>
      </c>
      <c r="AW14" s="124" t="e">
        <f>#REF!</f>
        <v>#REF!</v>
      </c>
      <c r="AX14" s="124" t="e">
        <f>#REF!</f>
        <v>#REF!</v>
      </c>
      <c r="AY14" s="124" t="e">
        <f>#REF!</f>
        <v>#REF!</v>
      </c>
      <c r="AZ14" s="124" t="e">
        <f>#REF!</f>
        <v>#REF!</v>
      </c>
      <c r="BA14" s="124" t="e">
        <f>#REF!</f>
        <v>#REF!</v>
      </c>
      <c r="BB14" s="125" t="e">
        <f>#REF!</f>
        <v>#REF!</v>
      </c>
      <c r="BC14" s="123" t="e">
        <f>#REF!</f>
        <v>#REF!</v>
      </c>
      <c r="BD14" s="124" t="e">
        <f>#REF!</f>
        <v>#REF!</v>
      </c>
      <c r="BE14" s="124" t="e">
        <f>#REF!</f>
        <v>#REF!</v>
      </c>
      <c r="BF14" s="124" t="e">
        <f>#REF!</f>
        <v>#REF!</v>
      </c>
      <c r="BG14" s="124" t="e">
        <f>#REF!</f>
        <v>#REF!</v>
      </c>
      <c r="BH14" s="124" t="e">
        <f>#REF!</f>
        <v>#REF!</v>
      </c>
      <c r="BI14" s="124">
        <v>0</v>
      </c>
      <c r="BJ14" s="124" t="e">
        <f>#REF!</f>
        <v>#REF!</v>
      </c>
      <c r="BK14" s="124" t="e">
        <f>#REF!</f>
        <v>#REF!</v>
      </c>
      <c r="BL14" s="124" t="e">
        <f>#REF!</f>
        <v>#REF!</v>
      </c>
      <c r="BM14" s="124" t="e">
        <f>#REF!</f>
        <v>#REF!</v>
      </c>
      <c r="BN14" s="125" t="e">
        <f>#REF!</f>
        <v>#REF!</v>
      </c>
      <c r="BO14" s="123" t="e">
        <f>#REF!</f>
        <v>#REF!</v>
      </c>
      <c r="BP14" s="124" t="e">
        <f>#REF!</f>
        <v>#REF!</v>
      </c>
      <c r="BQ14" s="124" t="e">
        <f>#REF!</f>
        <v>#REF!</v>
      </c>
      <c r="BR14" s="124" t="e">
        <f>#REF!</f>
        <v>#REF!</v>
      </c>
      <c r="BS14" s="124" t="e">
        <f>#REF!</f>
        <v>#REF!</v>
      </c>
      <c r="BT14" s="125" t="e">
        <f>#REF!</f>
        <v>#REF!</v>
      </c>
    </row>
    <row r="15" spans="1:74" ht="54" hidden="1" customHeight="1" thickBot="1">
      <c r="B15" s="160"/>
      <c r="G15" s="41"/>
      <c r="H15" s="41"/>
      <c r="I15" s="14"/>
      <c r="J15" s="14"/>
      <c r="K15" s="41"/>
      <c r="Q15" s="617"/>
      <c r="R15" s="284" t="e">
        <f>#REF!</f>
        <v>#REF!</v>
      </c>
      <c r="S15" s="176" t="e">
        <f>#REF!</f>
        <v>#REF!</v>
      </c>
      <c r="T15" s="177" t="e">
        <f>#REF!</f>
        <v>#REF!</v>
      </c>
      <c r="U15" s="177" t="e">
        <f>#REF!</f>
        <v>#REF!</v>
      </c>
      <c r="V15" s="177" t="e">
        <f>#REF!</f>
        <v>#REF!</v>
      </c>
      <c r="W15" s="177" t="e">
        <f>#REF!</f>
        <v>#REF!</v>
      </c>
      <c r="X15" s="155" t="e">
        <f>#REF!</f>
        <v>#REF!</v>
      </c>
      <c r="Y15" s="155" t="e">
        <f>#REF!</f>
        <v>#REF!</v>
      </c>
      <c r="Z15" s="161" t="e">
        <f>#REF!</f>
        <v>#REF!</v>
      </c>
      <c r="AA15" s="155" t="e">
        <f>#REF!</f>
        <v>#REF!</v>
      </c>
      <c r="AB15" s="161" t="e">
        <f>#REF!</f>
        <v>#REF!</v>
      </c>
      <c r="AC15" s="155" t="e">
        <f>#REF!</f>
        <v>#REF!</v>
      </c>
      <c r="AD15" s="178" t="e">
        <f>#REF!</f>
        <v>#REF!</v>
      </c>
      <c r="AE15" s="155" t="e">
        <f>#REF!</f>
        <v>#REF!</v>
      </c>
      <c r="AF15" s="177" t="e">
        <f>#REF!</f>
        <v>#REF!</v>
      </c>
      <c r="AG15" s="155" t="e">
        <f>#REF!</f>
        <v>#REF!</v>
      </c>
      <c r="AH15" s="177" t="e">
        <f>#REF!</f>
        <v>#REF!</v>
      </c>
      <c r="AI15" s="177" t="e">
        <f>#REF!</f>
        <v>#REF!</v>
      </c>
      <c r="AJ15" s="177" t="e">
        <f>#REF!</f>
        <v>#REF!</v>
      </c>
      <c r="AK15" s="177" t="e">
        <f>#REF!</f>
        <v>#REF!</v>
      </c>
      <c r="AL15" s="177" t="e">
        <f>#REF!</f>
        <v>#REF!</v>
      </c>
      <c r="AM15" s="177" t="e">
        <f>#REF!</f>
        <v>#REF!</v>
      </c>
      <c r="AN15" s="177" t="e">
        <f>#REF!</f>
        <v>#REF!</v>
      </c>
      <c r="AO15" s="177" t="e">
        <f>#REF!</f>
        <v>#REF!</v>
      </c>
      <c r="AP15" s="125" t="e">
        <f>#REF!</f>
        <v>#REF!</v>
      </c>
      <c r="AQ15" s="123" t="e">
        <f>#REF!</f>
        <v>#REF!</v>
      </c>
      <c r="AR15" s="124" t="e">
        <f>#REF!</f>
        <v>#REF!</v>
      </c>
      <c r="AS15" s="124" t="e">
        <f>#REF!</f>
        <v>#REF!</v>
      </c>
      <c r="AT15" s="124" t="e">
        <f>#REF!</f>
        <v>#REF!</v>
      </c>
      <c r="AU15" s="124" t="e">
        <f>#REF!</f>
        <v>#REF!</v>
      </c>
      <c r="AV15" s="124" t="e">
        <f>#REF!</f>
        <v>#REF!</v>
      </c>
      <c r="AW15" s="124" t="e">
        <f>#REF!</f>
        <v>#REF!</v>
      </c>
      <c r="AX15" s="124" t="e">
        <f>#REF!</f>
        <v>#REF!</v>
      </c>
      <c r="AY15" s="124" t="e">
        <f>#REF!</f>
        <v>#REF!</v>
      </c>
      <c r="AZ15" s="124" t="e">
        <f>#REF!</f>
        <v>#REF!</v>
      </c>
      <c r="BA15" s="124" t="e">
        <f>#REF!</f>
        <v>#REF!</v>
      </c>
      <c r="BB15" s="125" t="e">
        <f>#REF!</f>
        <v>#REF!</v>
      </c>
      <c r="BC15" s="123" t="e">
        <f>#REF!</f>
        <v>#REF!</v>
      </c>
      <c r="BD15" s="124" t="e">
        <f>#REF!</f>
        <v>#REF!</v>
      </c>
      <c r="BE15" s="124" t="e">
        <f>#REF!</f>
        <v>#REF!</v>
      </c>
      <c r="BF15" s="124" t="e">
        <f>#REF!</f>
        <v>#REF!</v>
      </c>
      <c r="BG15" s="124" t="e">
        <f>#REF!</f>
        <v>#REF!</v>
      </c>
      <c r="BH15" s="124" t="e">
        <f>#REF!</f>
        <v>#REF!</v>
      </c>
      <c r="BI15" s="124">
        <v>0</v>
      </c>
      <c r="BJ15" s="124" t="e">
        <f>#REF!</f>
        <v>#REF!</v>
      </c>
      <c r="BK15" s="124" t="e">
        <f>#REF!</f>
        <v>#REF!</v>
      </c>
      <c r="BL15" s="124" t="e">
        <f>#REF!</f>
        <v>#REF!</v>
      </c>
      <c r="BM15" s="124" t="e">
        <f>#REF!</f>
        <v>#REF!</v>
      </c>
      <c r="BN15" s="125" t="e">
        <f>#REF!</f>
        <v>#REF!</v>
      </c>
      <c r="BO15" s="123" t="e">
        <f>#REF!</f>
        <v>#REF!</v>
      </c>
      <c r="BP15" s="124" t="e">
        <f>#REF!</f>
        <v>#REF!</v>
      </c>
      <c r="BQ15" s="124" t="e">
        <f>#REF!</f>
        <v>#REF!</v>
      </c>
      <c r="BR15" s="124" t="e">
        <f>#REF!</f>
        <v>#REF!</v>
      </c>
      <c r="BS15" s="124" t="e">
        <f>#REF!</f>
        <v>#REF!</v>
      </c>
      <c r="BT15" s="125" t="e">
        <f>#REF!</f>
        <v>#REF!</v>
      </c>
    </row>
    <row r="16" spans="1:74" s="15" customFormat="1" ht="34.5" hidden="1" customHeight="1">
      <c r="A16" s="159"/>
      <c r="C16" s="18"/>
      <c r="D16" s="18"/>
      <c r="E16" s="18"/>
      <c r="F16" s="265"/>
      <c r="G16" s="265"/>
      <c r="H16" s="41"/>
      <c r="I16" s="14"/>
      <c r="J16" s="14"/>
      <c r="K16" s="265"/>
      <c r="L16" s="268"/>
      <c r="M16" s="268"/>
      <c r="N16" s="268"/>
      <c r="O16" s="268"/>
      <c r="P16" s="268"/>
      <c r="Q16" s="599" t="s">
        <v>1022</v>
      </c>
      <c r="R16" s="283" t="e">
        <f>#REF!</f>
        <v>#REF!</v>
      </c>
      <c r="S16" s="140" t="e">
        <f>#REF!</f>
        <v>#REF!</v>
      </c>
      <c r="T16" s="141" t="e">
        <f>#REF!</f>
        <v>#REF!</v>
      </c>
      <c r="U16" s="141" t="e">
        <f>#REF!</f>
        <v>#REF!</v>
      </c>
      <c r="V16" s="146" t="e">
        <f>#REF!</f>
        <v>#REF!</v>
      </c>
      <c r="W16" s="141" t="e">
        <f>#REF!</f>
        <v>#REF!</v>
      </c>
      <c r="X16" s="146" t="e">
        <f>#REF!</f>
        <v>#REF!</v>
      </c>
      <c r="Y16" s="162" t="e">
        <f>#REF!</f>
        <v>#REF!</v>
      </c>
      <c r="Z16" s="141" t="e">
        <f>#REF!</f>
        <v>#REF!</v>
      </c>
      <c r="AA16" s="141" t="e">
        <f>#REF!</f>
        <v>#REF!</v>
      </c>
      <c r="AB16" s="141" t="e">
        <f>#REF!</f>
        <v>#REF!</v>
      </c>
      <c r="AC16" s="141" t="e">
        <f>#REF!</f>
        <v>#REF!</v>
      </c>
      <c r="AD16" s="148" t="e">
        <f>#REF!</f>
        <v>#REF!</v>
      </c>
      <c r="AE16" s="151" t="e">
        <f>#REF!</f>
        <v>#REF!</v>
      </c>
      <c r="AF16" s="141" t="e">
        <f>#REF!</f>
        <v>#REF!</v>
      </c>
      <c r="AG16" s="141" t="e">
        <f>#REF!</f>
        <v>#REF!</v>
      </c>
      <c r="AH16" s="141" t="e">
        <f>#REF!</f>
        <v>#REF!</v>
      </c>
      <c r="AI16" s="141" t="e">
        <f>#REF!</f>
        <v>#REF!</v>
      </c>
      <c r="AJ16" s="141" t="e">
        <f>#REF!</f>
        <v>#REF!</v>
      </c>
      <c r="AK16" s="141" t="e">
        <f>#REF!</f>
        <v>#REF!</v>
      </c>
      <c r="AL16" s="141" t="e">
        <f>#REF!</f>
        <v>#REF!</v>
      </c>
      <c r="AM16" s="141" t="e">
        <f>#REF!</f>
        <v>#REF!</v>
      </c>
      <c r="AN16" s="141" t="e">
        <f>#REF!</f>
        <v>#REF!</v>
      </c>
      <c r="AO16" s="141" t="e">
        <f>#REF!</f>
        <v>#REF!</v>
      </c>
      <c r="AP16" s="142" t="e">
        <f>#REF!</f>
        <v>#REF!</v>
      </c>
      <c r="AQ16" s="140" t="e">
        <f>#REF!</f>
        <v>#REF!</v>
      </c>
      <c r="AR16" s="141" t="e">
        <f>#REF!</f>
        <v>#REF!</v>
      </c>
      <c r="AS16" s="141" t="e">
        <f>#REF!</f>
        <v>#REF!</v>
      </c>
      <c r="AT16" s="141" t="e">
        <f>#REF!</f>
        <v>#REF!</v>
      </c>
      <c r="AU16" s="141" t="e">
        <f>#REF!</f>
        <v>#REF!</v>
      </c>
      <c r="AV16" s="141" t="e">
        <f>#REF!</f>
        <v>#REF!</v>
      </c>
      <c r="AW16" s="141" t="e">
        <f>#REF!</f>
        <v>#REF!</v>
      </c>
      <c r="AX16" s="141" t="e">
        <f>#REF!</f>
        <v>#REF!</v>
      </c>
      <c r="AY16" s="141" t="e">
        <f>#REF!</f>
        <v>#REF!</v>
      </c>
      <c r="AZ16" s="141" t="e">
        <f>#REF!</f>
        <v>#REF!</v>
      </c>
      <c r="BA16" s="141" t="e">
        <f>#REF!</f>
        <v>#REF!</v>
      </c>
      <c r="BB16" s="142" t="e">
        <f>#REF!</f>
        <v>#REF!</v>
      </c>
      <c r="BC16" s="140" t="e">
        <f>#REF!</f>
        <v>#REF!</v>
      </c>
      <c r="BD16" s="141" t="e">
        <f>#REF!</f>
        <v>#REF!</v>
      </c>
      <c r="BE16" s="141" t="e">
        <f>#REF!</f>
        <v>#REF!</v>
      </c>
      <c r="BF16" s="141" t="e">
        <f>#REF!</f>
        <v>#REF!</v>
      </c>
      <c r="BG16" s="141" t="e">
        <f>#REF!</f>
        <v>#REF!</v>
      </c>
      <c r="BH16" s="141" t="e">
        <f>#REF!</f>
        <v>#REF!</v>
      </c>
      <c r="BI16" s="141" t="e">
        <f>#REF!</f>
        <v>#REF!</v>
      </c>
      <c r="BJ16" s="141" t="e">
        <f>#REF!</f>
        <v>#REF!</v>
      </c>
      <c r="BK16" s="141" t="e">
        <f>#REF!</f>
        <v>#REF!</v>
      </c>
      <c r="BL16" s="141" t="e">
        <f>#REF!</f>
        <v>#REF!</v>
      </c>
      <c r="BM16" s="141" t="e">
        <f>#REF!</f>
        <v>#REF!</v>
      </c>
      <c r="BN16" s="142" t="e">
        <f>#REF!</f>
        <v>#REF!</v>
      </c>
      <c r="BO16" s="140" t="e">
        <f>#REF!</f>
        <v>#REF!</v>
      </c>
      <c r="BP16" s="141" t="e">
        <f>#REF!</f>
        <v>#REF!</v>
      </c>
      <c r="BQ16" s="141" t="e">
        <f>#REF!</f>
        <v>#REF!</v>
      </c>
      <c r="BR16" s="141" t="e">
        <f>#REF!</f>
        <v>#REF!</v>
      </c>
      <c r="BS16" s="141" t="e">
        <f>#REF!</f>
        <v>#REF!</v>
      </c>
      <c r="BT16" s="142" t="e">
        <f>#REF!</f>
        <v>#REF!</v>
      </c>
    </row>
    <row r="17" spans="1:72" s="15" customFormat="1" ht="51" hidden="1" customHeight="1">
      <c r="A17" s="159"/>
      <c r="C17" s="18"/>
      <c r="D17" s="18"/>
      <c r="E17" s="18"/>
      <c r="F17" s="265"/>
      <c r="G17" s="265"/>
      <c r="H17" s="41"/>
      <c r="I17" s="14"/>
      <c r="J17" s="14"/>
      <c r="K17" s="265"/>
      <c r="L17" s="268"/>
      <c r="M17" s="268"/>
      <c r="N17" s="268"/>
      <c r="O17" s="268"/>
      <c r="P17" s="268"/>
      <c r="Q17" s="600"/>
      <c r="R17" s="285" t="e">
        <f>#REF!</f>
        <v>#REF!</v>
      </c>
      <c r="S17" s="179" t="e">
        <f>#REF!</f>
        <v>#REF!</v>
      </c>
      <c r="T17" s="180" t="e">
        <f>#REF!</f>
        <v>#REF!</v>
      </c>
      <c r="U17" s="180" t="e">
        <f>#REF!</f>
        <v>#REF!</v>
      </c>
      <c r="V17" s="180" t="e">
        <f>#REF!</f>
        <v>#REF!</v>
      </c>
      <c r="W17" s="180" t="e">
        <f>#REF!</f>
        <v>#REF!</v>
      </c>
      <c r="X17" s="180" t="e">
        <f>#REF!</f>
        <v>#REF!</v>
      </c>
      <c r="Y17" s="180" t="e">
        <f>#REF!</f>
        <v>#REF!</v>
      </c>
      <c r="Z17" s="180" t="e">
        <f>#REF!</f>
        <v>#REF!</v>
      </c>
      <c r="AA17" s="180" t="e">
        <f>#REF!</f>
        <v>#REF!</v>
      </c>
      <c r="AB17" s="180" t="e">
        <f>#REF!</f>
        <v>#REF!</v>
      </c>
      <c r="AC17" s="180" t="e">
        <f>#REF!</f>
        <v>#REF!</v>
      </c>
      <c r="AD17" s="311" t="e">
        <f>#REF!</f>
        <v>#REF!</v>
      </c>
      <c r="AE17" s="312" t="e">
        <f>#REF!</f>
        <v>#REF!</v>
      </c>
      <c r="AF17" s="180" t="e">
        <f>#REF!</f>
        <v>#REF!</v>
      </c>
      <c r="AG17" s="180" t="e">
        <f>#REF!</f>
        <v>#REF!</v>
      </c>
      <c r="AH17" s="180" t="e">
        <f>#REF!</f>
        <v>#REF!</v>
      </c>
      <c r="AI17" s="180" t="e">
        <f>#REF!</f>
        <v>#REF!</v>
      </c>
      <c r="AJ17" s="180" t="e">
        <f>#REF!</f>
        <v>#REF!</v>
      </c>
      <c r="AK17" s="180" t="e">
        <f>#REF!</f>
        <v>#REF!</v>
      </c>
      <c r="AL17" s="180" t="e">
        <f>#REF!</f>
        <v>#REF!</v>
      </c>
      <c r="AM17" s="180" t="e">
        <f>#REF!</f>
        <v>#REF!</v>
      </c>
      <c r="AN17" s="180" t="e">
        <f>#REF!</f>
        <v>#REF!</v>
      </c>
      <c r="AO17" s="180" t="e">
        <f>#REF!</f>
        <v>#REF!</v>
      </c>
      <c r="AP17" s="184" t="e">
        <f>#REF!</f>
        <v>#REF!</v>
      </c>
      <c r="AQ17" s="179" t="e">
        <f>#REF!</f>
        <v>#REF!</v>
      </c>
      <c r="AR17" s="180" t="e">
        <f>#REF!</f>
        <v>#REF!</v>
      </c>
      <c r="AS17" s="180" t="e">
        <f>#REF!</f>
        <v>#REF!</v>
      </c>
      <c r="AT17" s="180" t="e">
        <f>#REF!</f>
        <v>#REF!</v>
      </c>
      <c r="AU17" s="180" t="e">
        <f>#REF!</f>
        <v>#REF!</v>
      </c>
      <c r="AV17" s="180" t="e">
        <f>#REF!</f>
        <v>#REF!</v>
      </c>
      <c r="AW17" s="180" t="e">
        <f>#REF!</f>
        <v>#REF!</v>
      </c>
      <c r="AX17" s="180" t="e">
        <f>#REF!</f>
        <v>#REF!</v>
      </c>
      <c r="AY17" s="180" t="e">
        <f>#REF!</f>
        <v>#REF!</v>
      </c>
      <c r="AZ17" s="180" t="e">
        <f>#REF!</f>
        <v>#REF!</v>
      </c>
      <c r="BA17" s="180" t="e">
        <f>#REF!</f>
        <v>#REF!</v>
      </c>
      <c r="BB17" s="184" t="e">
        <f>#REF!</f>
        <v>#REF!</v>
      </c>
      <c r="BC17" s="179" t="e">
        <f>#REF!</f>
        <v>#REF!</v>
      </c>
      <c r="BD17" s="180" t="e">
        <f>#REF!</f>
        <v>#REF!</v>
      </c>
      <c r="BE17" s="180" t="e">
        <f>#REF!</f>
        <v>#REF!</v>
      </c>
      <c r="BF17" s="180" t="e">
        <f>#REF!</f>
        <v>#REF!</v>
      </c>
      <c r="BG17" s="180" t="e">
        <f>#REF!</f>
        <v>#REF!</v>
      </c>
      <c r="BH17" s="180" t="e">
        <f>#REF!</f>
        <v>#REF!</v>
      </c>
      <c r="BI17" s="180" t="e">
        <f>#REF!</f>
        <v>#REF!</v>
      </c>
      <c r="BJ17" s="180" t="e">
        <f>#REF!</f>
        <v>#REF!</v>
      </c>
      <c r="BK17" s="180" t="e">
        <f>#REF!</f>
        <v>#REF!</v>
      </c>
      <c r="BL17" s="180" t="e">
        <f>#REF!</f>
        <v>#REF!</v>
      </c>
      <c r="BM17" s="180" t="e">
        <f>#REF!</f>
        <v>#REF!</v>
      </c>
      <c r="BN17" s="184" t="e">
        <f>#REF!</f>
        <v>#REF!</v>
      </c>
      <c r="BO17" s="179" t="e">
        <f>#REF!</f>
        <v>#REF!</v>
      </c>
      <c r="BP17" s="180" t="e">
        <f>#REF!</f>
        <v>#REF!</v>
      </c>
      <c r="BQ17" s="180" t="e">
        <f>#REF!</f>
        <v>#REF!</v>
      </c>
      <c r="BR17" s="180" t="e">
        <f>#REF!</f>
        <v>#REF!</v>
      </c>
      <c r="BS17" s="180" t="e">
        <f>#REF!</f>
        <v>#REF!</v>
      </c>
      <c r="BT17" s="184" t="e">
        <f>#REF!</f>
        <v>#REF!</v>
      </c>
    </row>
    <row r="18" spans="1:72" s="15" customFormat="1" ht="49.5" customHeight="1">
      <c r="A18" s="159"/>
      <c r="C18" s="18"/>
      <c r="D18" s="18"/>
      <c r="E18" s="18"/>
      <c r="F18" s="265"/>
      <c r="G18" s="265"/>
      <c r="H18" s="41"/>
      <c r="I18" s="14"/>
      <c r="J18" s="14"/>
      <c r="K18" s="265"/>
      <c r="L18" s="268"/>
      <c r="M18" s="268"/>
      <c r="N18" s="268"/>
      <c r="O18" s="268"/>
      <c r="P18" s="268"/>
      <c r="Q18" s="600"/>
      <c r="R18" s="280" t="e">
        <f>#REF!</f>
        <v>#REF!</v>
      </c>
      <c r="S18" s="140" t="e">
        <f>#REF!</f>
        <v>#REF!</v>
      </c>
      <c r="T18" s="141" t="e">
        <f>#REF!</f>
        <v>#REF!</v>
      </c>
      <c r="U18" s="141" t="e">
        <f>#REF!</f>
        <v>#REF!</v>
      </c>
      <c r="V18" s="141" t="e">
        <f>#REF!</f>
        <v>#REF!</v>
      </c>
      <c r="W18" s="141" t="e">
        <f>#REF!</f>
        <v>#REF!</v>
      </c>
      <c r="X18" s="141" t="e">
        <f>#REF!</f>
        <v>#REF!</v>
      </c>
      <c r="Y18" s="313" t="e">
        <f>#REF!</f>
        <v>#REF!</v>
      </c>
      <c r="Z18" s="314" t="e">
        <f>#REF!</f>
        <v>#REF!</v>
      </c>
      <c r="AA18" s="141" t="e">
        <f>#REF!</f>
        <v>#REF!</v>
      </c>
      <c r="AB18" s="141" t="e">
        <f>#REF!</f>
        <v>#REF!</v>
      </c>
      <c r="AC18" s="141" t="e">
        <f>#REF!</f>
        <v>#REF!</v>
      </c>
      <c r="AD18" s="313" t="e">
        <f>#REF!</f>
        <v>#REF!</v>
      </c>
      <c r="AE18" s="314" t="e">
        <f>#REF!</f>
        <v>#REF!</v>
      </c>
      <c r="AF18" s="141" t="e">
        <f>#REF!</f>
        <v>#REF!</v>
      </c>
      <c r="AG18" s="141" t="e">
        <f>#REF!</f>
        <v>#REF!</v>
      </c>
      <c r="AH18" s="141" t="e">
        <f>#REF!</f>
        <v>#REF!</v>
      </c>
      <c r="AI18" s="141" t="e">
        <f>#REF!</f>
        <v>#REF!</v>
      </c>
      <c r="AJ18" s="141" t="e">
        <f>#REF!</f>
        <v>#REF!</v>
      </c>
      <c r="AK18" s="141" t="e">
        <f>#REF!</f>
        <v>#REF!</v>
      </c>
      <c r="AL18" s="141" t="e">
        <f>#REF!</f>
        <v>#REF!</v>
      </c>
      <c r="AM18" s="141" t="e">
        <f>#REF!</f>
        <v>#REF!</v>
      </c>
      <c r="AN18" s="141" t="e">
        <f>#REF!</f>
        <v>#REF!</v>
      </c>
      <c r="AO18" s="141" t="e">
        <f>#REF!</f>
        <v>#REF!</v>
      </c>
      <c r="AP18" s="142" t="e">
        <f>#REF!</f>
        <v>#REF!</v>
      </c>
      <c r="AQ18" s="140" t="e">
        <f>#REF!</f>
        <v>#REF!</v>
      </c>
      <c r="AR18" s="141" t="e">
        <f>#REF!</f>
        <v>#REF!</v>
      </c>
      <c r="AS18" s="141" t="e">
        <f>#REF!</f>
        <v>#REF!</v>
      </c>
      <c r="AT18" s="141" t="e">
        <f>#REF!</f>
        <v>#REF!</v>
      </c>
      <c r="AU18" s="141" t="e">
        <f>#REF!</f>
        <v>#REF!</v>
      </c>
      <c r="AV18" s="141" t="e">
        <f>#REF!</f>
        <v>#REF!</v>
      </c>
      <c r="AW18" s="141" t="e">
        <f>#REF!</f>
        <v>#REF!</v>
      </c>
      <c r="AX18" s="141" t="e">
        <f>#REF!</f>
        <v>#REF!</v>
      </c>
      <c r="AY18" s="141" t="e">
        <f>#REF!</f>
        <v>#REF!</v>
      </c>
      <c r="AZ18" s="141" t="e">
        <f>#REF!</f>
        <v>#REF!</v>
      </c>
      <c r="BA18" s="141" t="e">
        <f>#REF!</f>
        <v>#REF!</v>
      </c>
      <c r="BB18" s="142" t="e">
        <f>#REF!</f>
        <v>#REF!</v>
      </c>
      <c r="BC18" s="140" t="e">
        <f>#REF!</f>
        <v>#REF!</v>
      </c>
      <c r="BD18" s="141" t="e">
        <f>#REF!</f>
        <v>#REF!</v>
      </c>
      <c r="BE18" s="141" t="e">
        <f>#REF!</f>
        <v>#REF!</v>
      </c>
      <c r="BF18" s="141" t="e">
        <f>#REF!</f>
        <v>#REF!</v>
      </c>
      <c r="BG18" s="141" t="e">
        <f>#REF!</f>
        <v>#REF!</v>
      </c>
      <c r="BH18" s="141" t="e">
        <f>#REF!</f>
        <v>#REF!</v>
      </c>
      <c r="BI18" s="141" t="e">
        <f>#REF!</f>
        <v>#REF!</v>
      </c>
      <c r="BJ18" s="141" t="e">
        <f>#REF!</f>
        <v>#REF!</v>
      </c>
      <c r="BK18" s="141" t="e">
        <f>#REF!</f>
        <v>#REF!</v>
      </c>
      <c r="BL18" s="141" t="e">
        <f>#REF!</f>
        <v>#REF!</v>
      </c>
      <c r="BM18" s="141" t="e">
        <f>#REF!</f>
        <v>#REF!</v>
      </c>
      <c r="BN18" s="142" t="e">
        <f>#REF!</f>
        <v>#REF!</v>
      </c>
      <c r="BO18" s="140" t="e">
        <f>#REF!</f>
        <v>#REF!</v>
      </c>
      <c r="BP18" s="141" t="e">
        <f>#REF!</f>
        <v>#REF!</v>
      </c>
      <c r="BQ18" s="141" t="e">
        <f>#REF!</f>
        <v>#REF!</v>
      </c>
      <c r="BR18" s="141" t="e">
        <f>#REF!</f>
        <v>#REF!</v>
      </c>
      <c r="BS18" s="141" t="e">
        <f>#REF!</f>
        <v>#REF!</v>
      </c>
      <c r="BT18" s="142" t="e">
        <f>#REF!</f>
        <v>#REF!</v>
      </c>
    </row>
    <row r="19" spans="1:72" s="15" customFormat="1">
      <c r="A19" s="159"/>
      <c r="C19" s="18"/>
      <c r="D19" s="18"/>
      <c r="E19" s="18"/>
      <c r="F19" s="265"/>
      <c r="G19" s="265"/>
      <c r="H19" s="41"/>
      <c r="I19" s="14"/>
      <c r="J19" s="14"/>
      <c r="K19" s="265"/>
      <c r="L19" s="268"/>
      <c r="M19" s="268"/>
      <c r="N19" s="268"/>
      <c r="O19" s="268"/>
      <c r="P19" s="268"/>
      <c r="Q19" s="600"/>
      <c r="R19" s="285" t="e">
        <f>#REF!</f>
        <v>#REF!</v>
      </c>
      <c r="S19" s="143" t="e">
        <f>#REF!</f>
        <v>#REF!</v>
      </c>
      <c r="T19" s="144" t="e">
        <f>#REF!</f>
        <v>#REF!</v>
      </c>
      <c r="U19" s="144" t="e">
        <f>#REF!</f>
        <v>#REF!</v>
      </c>
      <c r="V19" s="144" t="e">
        <f>#REF!</f>
        <v>#REF!</v>
      </c>
      <c r="W19" s="144" t="e">
        <f>#REF!</f>
        <v>#REF!</v>
      </c>
      <c r="X19" s="144" t="e">
        <f>#REF!</f>
        <v>#REF!</v>
      </c>
      <c r="Y19" s="149" t="e">
        <f>#REF!</f>
        <v>#REF!</v>
      </c>
      <c r="Z19" s="152" t="e">
        <f>#REF!</f>
        <v>#REF!</v>
      </c>
      <c r="AA19" s="144" t="e">
        <f>#REF!</f>
        <v>#REF!</v>
      </c>
      <c r="AB19" s="144" t="e">
        <f>#REF!</f>
        <v>#REF!</v>
      </c>
      <c r="AC19" s="144" t="e">
        <f>#REF!</f>
        <v>#REF!</v>
      </c>
      <c r="AD19" s="149" t="e">
        <f>#REF!</f>
        <v>#REF!</v>
      </c>
      <c r="AE19" s="152" t="e">
        <f>#REF!</f>
        <v>#REF!</v>
      </c>
      <c r="AF19" s="144" t="e">
        <f>#REF!</f>
        <v>#REF!</v>
      </c>
      <c r="AG19" s="144" t="e">
        <f>#REF!</f>
        <v>#REF!</v>
      </c>
      <c r="AH19" s="144" t="e">
        <f>#REF!</f>
        <v>#REF!</v>
      </c>
      <c r="AI19" s="144" t="e">
        <f>#REF!</f>
        <v>#REF!</v>
      </c>
      <c r="AJ19" s="144" t="e">
        <f>#REF!</f>
        <v>#REF!</v>
      </c>
      <c r="AK19" s="144" t="e">
        <f>#REF!</f>
        <v>#REF!</v>
      </c>
      <c r="AL19" s="144" t="e">
        <f>#REF!</f>
        <v>#REF!</v>
      </c>
      <c r="AM19" s="144" t="e">
        <f>#REF!</f>
        <v>#REF!</v>
      </c>
      <c r="AN19" s="144" t="e">
        <f>#REF!</f>
        <v>#REF!</v>
      </c>
      <c r="AO19" s="144" t="e">
        <f>#REF!</f>
        <v>#REF!</v>
      </c>
      <c r="AP19" s="145" t="e">
        <f>#REF!</f>
        <v>#REF!</v>
      </c>
      <c r="AQ19" s="143" t="e">
        <f>#REF!</f>
        <v>#REF!</v>
      </c>
      <c r="AR19" s="144" t="e">
        <f>#REF!</f>
        <v>#REF!</v>
      </c>
      <c r="AS19" s="144" t="e">
        <f>#REF!</f>
        <v>#REF!</v>
      </c>
      <c r="AT19" s="144" t="e">
        <f>#REF!</f>
        <v>#REF!</v>
      </c>
      <c r="AU19" s="144" t="e">
        <f>#REF!</f>
        <v>#REF!</v>
      </c>
      <c r="AV19" s="144" t="e">
        <f>#REF!</f>
        <v>#REF!</v>
      </c>
      <c r="AW19" s="144" t="e">
        <f>#REF!</f>
        <v>#REF!</v>
      </c>
      <c r="AX19" s="144" t="e">
        <f>#REF!</f>
        <v>#REF!</v>
      </c>
      <c r="AY19" s="144" t="e">
        <f>#REF!</f>
        <v>#REF!</v>
      </c>
      <c r="AZ19" s="144" t="e">
        <f>#REF!</f>
        <v>#REF!</v>
      </c>
      <c r="BA19" s="144" t="e">
        <f>#REF!</f>
        <v>#REF!</v>
      </c>
      <c r="BB19" s="145" t="e">
        <f>#REF!</f>
        <v>#REF!</v>
      </c>
      <c r="BC19" s="143" t="e">
        <f>#REF!</f>
        <v>#REF!</v>
      </c>
      <c r="BD19" s="144" t="e">
        <f>#REF!</f>
        <v>#REF!</v>
      </c>
      <c r="BE19" s="144" t="e">
        <f>#REF!</f>
        <v>#REF!</v>
      </c>
      <c r="BF19" s="144" t="e">
        <f>#REF!</f>
        <v>#REF!</v>
      </c>
      <c r="BG19" s="144" t="e">
        <f>#REF!</f>
        <v>#REF!</v>
      </c>
      <c r="BH19" s="144" t="e">
        <f>#REF!</f>
        <v>#REF!</v>
      </c>
      <c r="BI19" s="144" t="e">
        <f>#REF!</f>
        <v>#REF!</v>
      </c>
      <c r="BJ19" s="144" t="e">
        <f>#REF!</f>
        <v>#REF!</v>
      </c>
      <c r="BK19" s="144" t="e">
        <f>#REF!</f>
        <v>#REF!</v>
      </c>
      <c r="BL19" s="144" t="e">
        <f>#REF!</f>
        <v>#REF!</v>
      </c>
      <c r="BM19" s="144" t="e">
        <f>#REF!</f>
        <v>#REF!</v>
      </c>
      <c r="BN19" s="145" t="e">
        <f>#REF!</f>
        <v>#REF!</v>
      </c>
      <c r="BO19" s="143" t="e">
        <f>#REF!</f>
        <v>#REF!</v>
      </c>
      <c r="BP19" s="144" t="e">
        <f>#REF!</f>
        <v>#REF!</v>
      </c>
      <c r="BQ19" s="144" t="e">
        <f>#REF!</f>
        <v>#REF!</v>
      </c>
      <c r="BR19" s="144" t="e">
        <f>#REF!</f>
        <v>#REF!</v>
      </c>
      <c r="BS19" s="144" t="e">
        <f>#REF!</f>
        <v>#REF!</v>
      </c>
      <c r="BT19" s="145" t="e">
        <f>#REF!</f>
        <v>#REF!</v>
      </c>
    </row>
    <row r="20" spans="1:72" s="15" customFormat="1" ht="38.1" hidden="1" customHeight="1">
      <c r="A20" s="159"/>
      <c r="C20" s="18"/>
      <c r="D20" s="18"/>
      <c r="E20" s="18"/>
      <c r="F20" s="265"/>
      <c r="G20" s="265"/>
      <c r="H20" s="41"/>
      <c r="I20" s="14"/>
      <c r="J20" s="14"/>
      <c r="K20" s="265"/>
      <c r="L20" s="268"/>
      <c r="M20" s="268"/>
      <c r="N20" s="268"/>
      <c r="O20" s="268"/>
      <c r="P20" s="268"/>
      <c r="Q20" s="600"/>
      <c r="R20" s="285" t="e">
        <f>#REF!</f>
        <v>#REF!</v>
      </c>
      <c r="S20" s="143" t="e">
        <f>#REF!</f>
        <v>#REF!</v>
      </c>
      <c r="T20" s="144" t="e">
        <f>#REF!</f>
        <v>#REF!</v>
      </c>
      <c r="U20" s="144" t="e">
        <f>#REF!</f>
        <v>#REF!</v>
      </c>
      <c r="V20" s="144" t="e">
        <f>#REF!</f>
        <v>#REF!</v>
      </c>
      <c r="W20" s="144" t="e">
        <f>#REF!</f>
        <v>#REF!</v>
      </c>
      <c r="X20" s="144" t="e">
        <f>#REF!</f>
        <v>#REF!</v>
      </c>
      <c r="Y20" s="144" t="e">
        <f>#REF!</f>
        <v>#REF!</v>
      </c>
      <c r="Z20" s="144" t="e">
        <f>#REF!</f>
        <v>#REF!</v>
      </c>
      <c r="AA20" s="144" t="e">
        <f>#REF!</f>
        <v>#REF!</v>
      </c>
      <c r="AB20" s="144" t="e">
        <f>#REF!</f>
        <v>#REF!</v>
      </c>
      <c r="AC20" s="144" t="e">
        <f>#REF!</f>
        <v>#REF!</v>
      </c>
      <c r="AD20" s="149" t="e">
        <f>#REF!</f>
        <v>#REF!</v>
      </c>
      <c r="AE20" s="152" t="e">
        <f>#REF!</f>
        <v>#REF!</v>
      </c>
      <c r="AF20" s="144" t="e">
        <f>#REF!</f>
        <v>#REF!</v>
      </c>
      <c r="AG20" s="144" t="e">
        <f>#REF!</f>
        <v>#REF!</v>
      </c>
      <c r="AH20" s="144" t="e">
        <f>#REF!</f>
        <v>#REF!</v>
      </c>
      <c r="AI20" s="144" t="e">
        <f>#REF!</f>
        <v>#REF!</v>
      </c>
      <c r="AJ20" s="144" t="e">
        <f>#REF!</f>
        <v>#REF!</v>
      </c>
      <c r="AK20" s="144" t="e">
        <f>#REF!</f>
        <v>#REF!</v>
      </c>
      <c r="AL20" s="144" t="e">
        <f>#REF!</f>
        <v>#REF!</v>
      </c>
      <c r="AM20" s="144" t="e">
        <f>#REF!</f>
        <v>#REF!</v>
      </c>
      <c r="AN20" s="144" t="e">
        <f>#REF!</f>
        <v>#REF!</v>
      </c>
      <c r="AO20" s="144" t="e">
        <f>#REF!</f>
        <v>#REF!</v>
      </c>
      <c r="AP20" s="145" t="e">
        <f>#REF!</f>
        <v>#REF!</v>
      </c>
      <c r="AQ20" s="143" t="e">
        <f>#REF!</f>
        <v>#REF!</v>
      </c>
      <c r="AR20" s="144" t="e">
        <f>#REF!</f>
        <v>#REF!</v>
      </c>
      <c r="AS20" s="144" t="e">
        <f>#REF!</f>
        <v>#REF!</v>
      </c>
      <c r="AT20" s="144" t="e">
        <f>#REF!</f>
        <v>#REF!</v>
      </c>
      <c r="AU20" s="144" t="e">
        <f>#REF!</f>
        <v>#REF!</v>
      </c>
      <c r="AV20" s="144" t="e">
        <f>#REF!</f>
        <v>#REF!</v>
      </c>
      <c r="AW20" s="144" t="e">
        <f>#REF!</f>
        <v>#REF!</v>
      </c>
      <c r="AX20" s="144" t="e">
        <f>#REF!</f>
        <v>#REF!</v>
      </c>
      <c r="AY20" s="144" t="e">
        <f>#REF!</f>
        <v>#REF!</v>
      </c>
      <c r="AZ20" s="144" t="e">
        <f>#REF!</f>
        <v>#REF!</v>
      </c>
      <c r="BA20" s="144" t="e">
        <f>#REF!</f>
        <v>#REF!</v>
      </c>
      <c r="BB20" s="145" t="e">
        <f>#REF!</f>
        <v>#REF!</v>
      </c>
      <c r="BC20" s="143" t="e">
        <f>#REF!</f>
        <v>#REF!</v>
      </c>
      <c r="BD20" s="144" t="e">
        <f>#REF!</f>
        <v>#REF!</v>
      </c>
      <c r="BE20" s="144" t="e">
        <f>#REF!</f>
        <v>#REF!</v>
      </c>
      <c r="BF20" s="144" t="e">
        <f>#REF!</f>
        <v>#REF!</v>
      </c>
      <c r="BG20" s="144" t="e">
        <f>#REF!</f>
        <v>#REF!</v>
      </c>
      <c r="BH20" s="144" t="e">
        <f>#REF!</f>
        <v>#REF!</v>
      </c>
      <c r="BI20" s="144" t="e">
        <f>#REF!</f>
        <v>#REF!</v>
      </c>
      <c r="BJ20" s="144" t="e">
        <f>#REF!</f>
        <v>#REF!</v>
      </c>
      <c r="BK20" s="144" t="e">
        <f>#REF!</f>
        <v>#REF!</v>
      </c>
      <c r="BL20" s="144" t="e">
        <f>#REF!</f>
        <v>#REF!</v>
      </c>
      <c r="BM20" s="144" t="e">
        <f>#REF!</f>
        <v>#REF!</v>
      </c>
      <c r="BN20" s="145" t="e">
        <f>#REF!</f>
        <v>#REF!</v>
      </c>
      <c r="BO20" s="143" t="e">
        <f>#REF!</f>
        <v>#REF!</v>
      </c>
      <c r="BP20" s="144" t="e">
        <f>#REF!</f>
        <v>#REF!</v>
      </c>
      <c r="BQ20" s="144" t="e">
        <f>#REF!</f>
        <v>#REF!</v>
      </c>
      <c r="BR20" s="144" t="e">
        <f>#REF!</f>
        <v>#REF!</v>
      </c>
      <c r="BS20" s="144" t="e">
        <f>#REF!</f>
        <v>#REF!</v>
      </c>
      <c r="BT20" s="145" t="e">
        <f>#REF!</f>
        <v>#REF!</v>
      </c>
    </row>
    <row r="21" spans="1:72" ht="42.6" customHeight="1">
      <c r="A21" s="158"/>
      <c r="G21" s="41"/>
      <c r="H21" s="41"/>
      <c r="I21" s="14"/>
      <c r="J21" s="14"/>
      <c r="K21" s="41"/>
      <c r="Q21" s="600"/>
      <c r="R21" s="285" t="e">
        <f>#REF!</f>
        <v>#REF!</v>
      </c>
      <c r="S21" s="143" t="e">
        <f>#REF!</f>
        <v>#REF!</v>
      </c>
      <c r="T21" s="144" t="e">
        <f>#REF!</f>
        <v>#REF!</v>
      </c>
      <c r="U21" s="144" t="e">
        <f>#REF!</f>
        <v>#REF!</v>
      </c>
      <c r="V21" s="144" t="e">
        <f>#REF!</f>
        <v>#REF!</v>
      </c>
      <c r="W21" s="144" t="e">
        <f>#REF!</f>
        <v>#REF!</v>
      </c>
      <c r="X21" s="144" t="e">
        <f>#REF!</f>
        <v>#REF!</v>
      </c>
      <c r="Y21" s="150" t="e">
        <f>#REF!</f>
        <v>#REF!</v>
      </c>
      <c r="Z21" s="153" t="e">
        <f>#REF!</f>
        <v>#REF!</v>
      </c>
      <c r="AA21" s="144" t="e">
        <f>#REF!</f>
        <v>#REF!</v>
      </c>
      <c r="AB21" s="147" t="e">
        <f>#REF!</f>
        <v>#REF!</v>
      </c>
      <c r="AC21" s="144" t="e">
        <f>#REF!</f>
        <v>#REF!</v>
      </c>
      <c r="AD21" s="149" t="e">
        <f>#REF!</f>
        <v>#REF!</v>
      </c>
      <c r="AE21" s="152" t="e">
        <f>#REF!</f>
        <v>#REF!</v>
      </c>
      <c r="AF21" s="144" t="e">
        <f>#REF!</f>
        <v>#REF!</v>
      </c>
      <c r="AG21" s="144" t="e">
        <f>#REF!</f>
        <v>#REF!</v>
      </c>
      <c r="AH21" s="144" t="e">
        <f>#REF!</f>
        <v>#REF!</v>
      </c>
      <c r="AI21" s="144" t="e">
        <f>#REF!</f>
        <v>#REF!</v>
      </c>
      <c r="AJ21" s="144" t="e">
        <f>#REF!</f>
        <v>#REF!</v>
      </c>
      <c r="AK21" s="144" t="e">
        <f>#REF!</f>
        <v>#REF!</v>
      </c>
      <c r="AL21" s="144" t="e">
        <f>#REF!</f>
        <v>#REF!</v>
      </c>
      <c r="AM21" s="144" t="e">
        <f>#REF!</f>
        <v>#REF!</v>
      </c>
      <c r="AN21" s="144" t="e">
        <f>#REF!</f>
        <v>#REF!</v>
      </c>
      <c r="AO21" s="144" t="e">
        <f>#REF!</f>
        <v>#REF!</v>
      </c>
      <c r="AP21" s="145" t="e">
        <f>#REF!</f>
        <v>#REF!</v>
      </c>
      <c r="AQ21" s="143" t="e">
        <f>#REF!</f>
        <v>#REF!</v>
      </c>
      <c r="AR21" s="144" t="e">
        <f>#REF!</f>
        <v>#REF!</v>
      </c>
      <c r="AS21" s="144" t="e">
        <f>#REF!</f>
        <v>#REF!</v>
      </c>
      <c r="AT21" s="144" t="e">
        <f>#REF!</f>
        <v>#REF!</v>
      </c>
      <c r="AU21" s="144" t="e">
        <f>#REF!</f>
        <v>#REF!</v>
      </c>
      <c r="AV21" s="144" t="e">
        <f>#REF!</f>
        <v>#REF!</v>
      </c>
      <c r="AW21" s="144" t="e">
        <f>#REF!</f>
        <v>#REF!</v>
      </c>
      <c r="AX21" s="144" t="e">
        <f>#REF!</f>
        <v>#REF!</v>
      </c>
      <c r="AY21" s="144" t="e">
        <f>#REF!</f>
        <v>#REF!</v>
      </c>
      <c r="AZ21" s="144" t="e">
        <f>#REF!</f>
        <v>#REF!</v>
      </c>
      <c r="BA21" s="144" t="e">
        <f>#REF!</f>
        <v>#REF!</v>
      </c>
      <c r="BB21" s="145" t="e">
        <f>#REF!</f>
        <v>#REF!</v>
      </c>
      <c r="BC21" s="143" t="e">
        <f>#REF!</f>
        <v>#REF!</v>
      </c>
      <c r="BD21" s="144" t="e">
        <f>#REF!</f>
        <v>#REF!</v>
      </c>
      <c r="BE21" s="144" t="e">
        <f>#REF!</f>
        <v>#REF!</v>
      </c>
      <c r="BF21" s="144" t="e">
        <f>#REF!</f>
        <v>#REF!</v>
      </c>
      <c r="BG21" s="144" t="e">
        <f>#REF!</f>
        <v>#REF!</v>
      </c>
      <c r="BH21" s="144" t="e">
        <f>#REF!</f>
        <v>#REF!</v>
      </c>
      <c r="BI21" s="144" t="e">
        <f>#REF!</f>
        <v>#REF!</v>
      </c>
      <c r="BJ21" s="144" t="e">
        <f>#REF!</f>
        <v>#REF!</v>
      </c>
      <c r="BK21" s="144" t="e">
        <f>#REF!</f>
        <v>#REF!</v>
      </c>
      <c r="BL21" s="144" t="e">
        <f>#REF!</f>
        <v>#REF!</v>
      </c>
      <c r="BM21" s="144" t="e">
        <f>#REF!</f>
        <v>#REF!</v>
      </c>
      <c r="BN21" s="145" t="e">
        <f>#REF!</f>
        <v>#REF!</v>
      </c>
      <c r="BO21" s="143" t="e">
        <f>#REF!</f>
        <v>#REF!</v>
      </c>
      <c r="BP21" s="144" t="e">
        <f>#REF!</f>
        <v>#REF!</v>
      </c>
      <c r="BQ21" s="144" t="e">
        <f>#REF!</f>
        <v>#REF!</v>
      </c>
      <c r="BR21" s="144" t="e">
        <f>#REF!</f>
        <v>#REF!</v>
      </c>
      <c r="BS21" s="144" t="e">
        <f>#REF!</f>
        <v>#REF!</v>
      </c>
      <c r="BT21" s="145" t="e">
        <f>#REF!</f>
        <v>#REF!</v>
      </c>
    </row>
    <row r="22" spans="1:72" ht="31.5" customHeight="1">
      <c r="G22" s="41"/>
      <c r="H22" s="41"/>
      <c r="I22" s="14"/>
      <c r="J22" s="14"/>
      <c r="K22" s="41"/>
      <c r="Q22" s="600"/>
      <c r="R22" s="285" t="e">
        <f>#REF!</f>
        <v>#REF!</v>
      </c>
      <c r="S22" s="143" t="e">
        <f>#REF!</f>
        <v>#REF!</v>
      </c>
      <c r="T22" s="144" t="e">
        <f>#REF!</f>
        <v>#REF!</v>
      </c>
      <c r="U22" s="144" t="e">
        <f>#REF!</f>
        <v>#REF!</v>
      </c>
      <c r="V22" s="147" t="e">
        <f>#REF!</f>
        <v>#REF!</v>
      </c>
      <c r="W22" s="144" t="e">
        <f>#REF!</f>
        <v>#REF!</v>
      </c>
      <c r="X22" s="147" t="e">
        <f>#REF!</f>
        <v>#REF!</v>
      </c>
      <c r="Y22" s="150" t="e">
        <f>#REF!</f>
        <v>#REF!</v>
      </c>
      <c r="Z22" s="153" t="e">
        <f>#REF!</f>
        <v>#REF!</v>
      </c>
      <c r="AA22" s="144" t="e">
        <f>#REF!</f>
        <v>#REF!</v>
      </c>
      <c r="AB22" s="147" t="e">
        <f>#REF!</f>
        <v>#REF!</v>
      </c>
      <c r="AC22" s="144" t="e">
        <f>#REF!</f>
        <v>#REF!</v>
      </c>
      <c r="AD22" s="150" t="e">
        <f>#REF!</f>
        <v>#REF!</v>
      </c>
      <c r="AE22" s="153" t="e">
        <f>#REF!</f>
        <v>#REF!</v>
      </c>
      <c r="AF22" s="144" t="e">
        <f>#REF!</f>
        <v>#REF!</v>
      </c>
      <c r="AG22" s="144" t="e">
        <f>#REF!</f>
        <v>#REF!</v>
      </c>
      <c r="AH22" s="144" t="e">
        <f>#REF!</f>
        <v>#REF!</v>
      </c>
      <c r="AI22" s="144" t="e">
        <f>#REF!</f>
        <v>#REF!</v>
      </c>
      <c r="AJ22" s="144" t="e">
        <f>#REF!</f>
        <v>#REF!</v>
      </c>
      <c r="AK22" s="144" t="e">
        <f>#REF!</f>
        <v>#REF!</v>
      </c>
      <c r="AL22" s="144" t="e">
        <f>#REF!</f>
        <v>#REF!</v>
      </c>
      <c r="AM22" s="144" t="e">
        <f>#REF!</f>
        <v>#REF!</v>
      </c>
      <c r="AN22" s="144" t="e">
        <f>#REF!</f>
        <v>#REF!</v>
      </c>
      <c r="AO22" s="144" t="e">
        <f>#REF!</f>
        <v>#REF!</v>
      </c>
      <c r="AP22" s="145" t="e">
        <f>#REF!</f>
        <v>#REF!</v>
      </c>
      <c r="AQ22" s="143" t="e">
        <f>#REF!</f>
        <v>#REF!</v>
      </c>
      <c r="AR22" s="144" t="e">
        <f>#REF!</f>
        <v>#REF!</v>
      </c>
      <c r="AS22" s="144" t="e">
        <f>#REF!</f>
        <v>#REF!</v>
      </c>
      <c r="AT22" s="144" t="e">
        <f>#REF!</f>
        <v>#REF!</v>
      </c>
      <c r="AU22" s="144" t="e">
        <f>#REF!</f>
        <v>#REF!</v>
      </c>
      <c r="AV22" s="144" t="e">
        <f>#REF!</f>
        <v>#REF!</v>
      </c>
      <c r="AW22" s="144" t="e">
        <f>#REF!</f>
        <v>#REF!</v>
      </c>
      <c r="AX22" s="144" t="e">
        <f>#REF!</f>
        <v>#REF!</v>
      </c>
      <c r="AY22" s="144" t="e">
        <f>#REF!</f>
        <v>#REF!</v>
      </c>
      <c r="AZ22" s="144" t="e">
        <f>#REF!</f>
        <v>#REF!</v>
      </c>
      <c r="BA22" s="144" t="e">
        <f>#REF!</f>
        <v>#REF!</v>
      </c>
      <c r="BB22" s="145" t="e">
        <f>#REF!</f>
        <v>#REF!</v>
      </c>
      <c r="BC22" s="143" t="e">
        <f>#REF!</f>
        <v>#REF!</v>
      </c>
      <c r="BD22" s="144" t="e">
        <f>#REF!</f>
        <v>#REF!</v>
      </c>
      <c r="BE22" s="144" t="e">
        <f>#REF!</f>
        <v>#REF!</v>
      </c>
      <c r="BF22" s="144" t="e">
        <f>#REF!</f>
        <v>#REF!</v>
      </c>
      <c r="BG22" s="144" t="e">
        <f>#REF!</f>
        <v>#REF!</v>
      </c>
      <c r="BH22" s="144" t="e">
        <f>#REF!</f>
        <v>#REF!</v>
      </c>
      <c r="BI22" s="144" t="e">
        <f>#REF!</f>
        <v>#REF!</v>
      </c>
      <c r="BJ22" s="144" t="e">
        <f>#REF!</f>
        <v>#REF!</v>
      </c>
      <c r="BK22" s="144" t="e">
        <f>#REF!</f>
        <v>#REF!</v>
      </c>
      <c r="BL22" s="144" t="e">
        <f>#REF!</f>
        <v>#REF!</v>
      </c>
      <c r="BM22" s="144" t="e">
        <f>#REF!</f>
        <v>#REF!</v>
      </c>
      <c r="BN22" s="145" t="e">
        <f>#REF!</f>
        <v>#REF!</v>
      </c>
      <c r="BO22" s="143" t="e">
        <f>#REF!</f>
        <v>#REF!</v>
      </c>
      <c r="BP22" s="144" t="e">
        <f>#REF!</f>
        <v>#REF!</v>
      </c>
      <c r="BQ22" s="144" t="e">
        <f>#REF!</f>
        <v>#REF!</v>
      </c>
      <c r="BR22" s="144" t="e">
        <f>#REF!</f>
        <v>#REF!</v>
      </c>
      <c r="BS22" s="144" t="e">
        <f>#REF!</f>
        <v>#REF!</v>
      </c>
      <c r="BT22" s="145" t="e">
        <f>#REF!</f>
        <v>#REF!</v>
      </c>
    </row>
    <row r="23" spans="1:72" ht="48" customHeight="1" thickBot="1">
      <c r="G23" s="41"/>
      <c r="H23" s="41"/>
      <c r="I23" s="14"/>
      <c r="J23" s="14"/>
      <c r="K23" s="41"/>
      <c r="Q23" s="600"/>
      <c r="R23" s="285" t="e">
        <f>#REF!</f>
        <v>#REF!</v>
      </c>
      <c r="S23" s="143" t="e">
        <f>#REF!</f>
        <v>#REF!</v>
      </c>
      <c r="T23" s="144" t="e">
        <f>#REF!</f>
        <v>#REF!</v>
      </c>
      <c r="U23" s="144" t="e">
        <f>#REF!</f>
        <v>#REF!</v>
      </c>
      <c r="V23" s="144" t="e">
        <f>#REF!</f>
        <v>#REF!</v>
      </c>
      <c r="W23" s="144" t="e">
        <f>#REF!</f>
        <v>#REF!</v>
      </c>
      <c r="X23" s="144" t="e">
        <f>#REF!</f>
        <v>#REF!</v>
      </c>
      <c r="Y23" s="149" t="e">
        <f>#REF!</f>
        <v>#REF!</v>
      </c>
      <c r="Z23" s="152" t="e">
        <f>#REF!</f>
        <v>#REF!</v>
      </c>
      <c r="AA23" s="147" t="e">
        <f>#REF!</f>
        <v>#REF!</v>
      </c>
      <c r="AB23" s="147" t="e">
        <f>#REF!</f>
        <v>#REF!</v>
      </c>
      <c r="AC23" s="147" t="e">
        <f>#REF!</f>
        <v>#REF!</v>
      </c>
      <c r="AD23" s="150" t="e">
        <f>#REF!</f>
        <v>#REF!</v>
      </c>
      <c r="AE23" s="153" t="e">
        <f>#REF!</f>
        <v>#REF!</v>
      </c>
      <c r="AF23" s="144" t="e">
        <f>#REF!</f>
        <v>#REF!</v>
      </c>
      <c r="AG23" s="144" t="e">
        <f>#REF!</f>
        <v>#REF!</v>
      </c>
      <c r="AH23" s="144" t="e">
        <f>#REF!</f>
        <v>#REF!</v>
      </c>
      <c r="AI23" s="144" t="e">
        <f>#REF!</f>
        <v>#REF!</v>
      </c>
      <c r="AJ23" s="144" t="e">
        <f>#REF!</f>
        <v>#REF!</v>
      </c>
      <c r="AK23" s="144" t="e">
        <f>#REF!</f>
        <v>#REF!</v>
      </c>
      <c r="AL23" s="144" t="e">
        <f>#REF!</f>
        <v>#REF!</v>
      </c>
      <c r="AM23" s="144" t="e">
        <f>#REF!</f>
        <v>#REF!</v>
      </c>
      <c r="AN23" s="144" t="e">
        <f>#REF!</f>
        <v>#REF!</v>
      </c>
      <c r="AO23" s="144" t="e">
        <f>#REF!</f>
        <v>#REF!</v>
      </c>
      <c r="AP23" s="145" t="e">
        <f>#REF!</f>
        <v>#REF!</v>
      </c>
      <c r="AQ23" s="143" t="e">
        <f>#REF!</f>
        <v>#REF!</v>
      </c>
      <c r="AR23" s="144" t="e">
        <f>#REF!</f>
        <v>#REF!</v>
      </c>
      <c r="AS23" s="144" t="e">
        <f>#REF!</f>
        <v>#REF!</v>
      </c>
      <c r="AT23" s="144" t="e">
        <f>#REF!</f>
        <v>#REF!</v>
      </c>
      <c r="AU23" s="144" t="e">
        <f>#REF!</f>
        <v>#REF!</v>
      </c>
      <c r="AV23" s="144" t="e">
        <f>#REF!</f>
        <v>#REF!</v>
      </c>
      <c r="AW23" s="144" t="e">
        <f>#REF!</f>
        <v>#REF!</v>
      </c>
      <c r="AX23" s="144" t="e">
        <f>#REF!</f>
        <v>#REF!</v>
      </c>
      <c r="AY23" s="144" t="e">
        <f>#REF!</f>
        <v>#REF!</v>
      </c>
      <c r="AZ23" s="144" t="e">
        <f>#REF!</f>
        <v>#REF!</v>
      </c>
      <c r="BA23" s="144" t="e">
        <f>#REF!</f>
        <v>#REF!</v>
      </c>
      <c r="BB23" s="145" t="e">
        <f>#REF!</f>
        <v>#REF!</v>
      </c>
      <c r="BC23" s="143" t="e">
        <f>#REF!</f>
        <v>#REF!</v>
      </c>
      <c r="BD23" s="144" t="e">
        <f>#REF!</f>
        <v>#REF!</v>
      </c>
      <c r="BE23" s="144" t="e">
        <f>#REF!</f>
        <v>#REF!</v>
      </c>
      <c r="BF23" s="144" t="e">
        <f>#REF!</f>
        <v>#REF!</v>
      </c>
      <c r="BG23" s="144" t="e">
        <f>#REF!</f>
        <v>#REF!</v>
      </c>
      <c r="BH23" s="144" t="e">
        <f>#REF!</f>
        <v>#REF!</v>
      </c>
      <c r="BI23" s="144" t="e">
        <f>#REF!</f>
        <v>#REF!</v>
      </c>
      <c r="BJ23" s="144" t="e">
        <f>#REF!</f>
        <v>#REF!</v>
      </c>
      <c r="BK23" s="144" t="e">
        <f>#REF!</f>
        <v>#REF!</v>
      </c>
      <c r="BL23" s="144" t="e">
        <f>#REF!</f>
        <v>#REF!</v>
      </c>
      <c r="BM23" s="144" t="e">
        <f>#REF!</f>
        <v>#REF!</v>
      </c>
      <c r="BN23" s="145" t="e">
        <f>#REF!</f>
        <v>#REF!</v>
      </c>
      <c r="BO23" s="143" t="e">
        <f>#REF!</f>
        <v>#REF!</v>
      </c>
      <c r="BP23" s="144" t="e">
        <f>#REF!</f>
        <v>#REF!</v>
      </c>
      <c r="BQ23" s="144" t="e">
        <f>#REF!</f>
        <v>#REF!</v>
      </c>
      <c r="BR23" s="144" t="e">
        <f>#REF!</f>
        <v>#REF!</v>
      </c>
      <c r="BS23" s="144" t="e">
        <f>#REF!</f>
        <v>#REF!</v>
      </c>
      <c r="BT23" s="145" t="e">
        <f>#REF!</f>
        <v>#REF!</v>
      </c>
    </row>
    <row r="24" spans="1:72" ht="48" hidden="1" customHeight="1" thickBot="1">
      <c r="G24" s="41"/>
      <c r="H24" s="41"/>
      <c r="I24" s="14"/>
      <c r="J24" s="14"/>
      <c r="K24" s="41"/>
      <c r="Q24" s="269"/>
      <c r="R24" s="285" t="e">
        <f>#REF!</f>
        <v>#REF!</v>
      </c>
      <c r="S24" s="179" t="e">
        <f>#REF!</f>
        <v>#REF!</v>
      </c>
      <c r="T24" s="180" t="e">
        <f>#REF!</f>
        <v>#REF!</v>
      </c>
      <c r="U24" s="180" t="e">
        <f>#REF!</f>
        <v>#REF!</v>
      </c>
      <c r="V24" s="180" t="e">
        <f>#REF!</f>
        <v>#REF!</v>
      </c>
      <c r="W24" s="180" t="e">
        <f>#REF!</f>
        <v>#REF!</v>
      </c>
      <c r="X24" s="180" t="e">
        <f>#REF!</f>
        <v>#REF!</v>
      </c>
      <c r="Y24" s="180" t="e">
        <f>#REF!</f>
        <v>#REF!</v>
      </c>
      <c r="Z24" s="180" t="e">
        <f>#REF!</f>
        <v>#REF!</v>
      </c>
      <c r="AA24" s="181" t="e">
        <f>#REF!</f>
        <v>#REF!</v>
      </c>
      <c r="AB24" s="181" t="e">
        <f>#REF!</f>
        <v>#REF!</v>
      </c>
      <c r="AC24" s="181" t="e">
        <f>#REF!</f>
        <v>#REF!</v>
      </c>
      <c r="AD24" s="182" t="e">
        <f>#REF!</f>
        <v>#REF!</v>
      </c>
      <c r="AE24" s="183" t="e">
        <f>#REF!</f>
        <v>#REF!</v>
      </c>
      <c r="AF24" s="180" t="e">
        <f>#REF!</f>
        <v>#REF!</v>
      </c>
      <c r="AG24" s="180" t="e">
        <f>#REF!</f>
        <v>#REF!</v>
      </c>
      <c r="AH24" s="180" t="e">
        <f>#REF!</f>
        <v>#REF!</v>
      </c>
      <c r="AI24" s="180" t="e">
        <f>#REF!</f>
        <v>#REF!</v>
      </c>
      <c r="AJ24" s="180" t="e">
        <f>#REF!</f>
        <v>#REF!</v>
      </c>
      <c r="AK24" s="180" t="e">
        <f>#REF!</f>
        <v>#REF!</v>
      </c>
      <c r="AL24" s="180" t="e">
        <f>#REF!</f>
        <v>#REF!</v>
      </c>
      <c r="AM24" s="180" t="e">
        <f>#REF!</f>
        <v>#REF!</v>
      </c>
      <c r="AN24" s="180" t="e">
        <f>#REF!</f>
        <v>#REF!</v>
      </c>
      <c r="AO24" s="180" t="e">
        <f>#REF!</f>
        <v>#REF!</v>
      </c>
      <c r="AP24" s="184" t="e">
        <f>#REF!</f>
        <v>#REF!</v>
      </c>
      <c r="AQ24" s="179" t="e">
        <f>#REF!</f>
        <v>#REF!</v>
      </c>
      <c r="AR24" s="180" t="e">
        <f>#REF!</f>
        <v>#REF!</v>
      </c>
      <c r="AS24" s="180" t="e">
        <f>#REF!</f>
        <v>#REF!</v>
      </c>
      <c r="AT24" s="180" t="e">
        <f>#REF!</f>
        <v>#REF!</v>
      </c>
      <c r="AU24" s="180" t="e">
        <f>#REF!</f>
        <v>#REF!</v>
      </c>
      <c r="AV24" s="180" t="e">
        <f>#REF!</f>
        <v>#REF!</v>
      </c>
      <c r="AW24" s="180" t="e">
        <f>#REF!</f>
        <v>#REF!</v>
      </c>
      <c r="AX24" s="180" t="e">
        <f>#REF!</f>
        <v>#REF!</v>
      </c>
      <c r="AY24" s="180" t="e">
        <f>#REF!</f>
        <v>#REF!</v>
      </c>
      <c r="AZ24" s="180" t="e">
        <f>#REF!</f>
        <v>#REF!</v>
      </c>
      <c r="BA24" s="180" t="e">
        <f>#REF!</f>
        <v>#REF!</v>
      </c>
      <c r="BB24" s="184" t="e">
        <f>#REF!</f>
        <v>#REF!</v>
      </c>
      <c r="BC24" s="179" t="e">
        <f>#REF!</f>
        <v>#REF!</v>
      </c>
      <c r="BD24" s="180" t="e">
        <f>#REF!</f>
        <v>#REF!</v>
      </c>
      <c r="BE24" s="180" t="e">
        <f>#REF!</f>
        <v>#REF!</v>
      </c>
      <c r="BF24" s="180" t="e">
        <f>#REF!</f>
        <v>#REF!</v>
      </c>
      <c r="BG24" s="180" t="e">
        <f>#REF!</f>
        <v>#REF!</v>
      </c>
      <c r="BH24" s="180" t="e">
        <f>#REF!</f>
        <v>#REF!</v>
      </c>
      <c r="BI24" s="180" t="e">
        <f>#REF!</f>
        <v>#REF!</v>
      </c>
      <c r="BJ24" s="180" t="e">
        <f>#REF!</f>
        <v>#REF!</v>
      </c>
      <c r="BK24" s="180" t="e">
        <f>#REF!</f>
        <v>#REF!</v>
      </c>
      <c r="BL24" s="180" t="e">
        <f>#REF!</f>
        <v>#REF!</v>
      </c>
      <c r="BM24" s="180" t="e">
        <f>#REF!</f>
        <v>#REF!</v>
      </c>
      <c r="BN24" s="184" t="e">
        <f>#REF!</f>
        <v>#REF!</v>
      </c>
      <c r="BO24" s="179" t="e">
        <f>#REF!</f>
        <v>#REF!</v>
      </c>
      <c r="BP24" s="180" t="e">
        <f>#REF!</f>
        <v>#REF!</v>
      </c>
      <c r="BQ24" s="180" t="e">
        <f>#REF!</f>
        <v>#REF!</v>
      </c>
      <c r="BR24" s="180" t="e">
        <f>#REF!</f>
        <v>#REF!</v>
      </c>
      <c r="BS24" s="180" t="e">
        <f>#REF!</f>
        <v>#REF!</v>
      </c>
      <c r="BT24" s="184" t="e">
        <f>#REF!</f>
        <v>#REF!</v>
      </c>
    </row>
    <row r="25" spans="1:72" ht="15.75" thickBot="1">
      <c r="A25" s="585" t="s">
        <v>1023</v>
      </c>
      <c r="B25" s="575" t="s">
        <v>1024</v>
      </c>
      <c r="C25" s="591" t="s">
        <v>1025</v>
      </c>
      <c r="D25" s="618" t="s">
        <v>1026</v>
      </c>
      <c r="E25" s="594" t="s">
        <v>1027</v>
      </c>
      <c r="F25" s="583" t="e">
        <f>#REF!</f>
        <v>#REF!</v>
      </c>
      <c r="G25" s="579" t="e">
        <f>#REF!</f>
        <v>#REF!</v>
      </c>
      <c r="H25" s="581" t="e">
        <f>#REF!</f>
        <v>#REF!</v>
      </c>
      <c r="I25" s="603" t="e">
        <f>#REF!</f>
        <v>#REF!</v>
      </c>
      <c r="J25" s="605" t="e">
        <f>#REF!</f>
        <v>#REF!</v>
      </c>
      <c r="K25" s="620" t="s">
        <v>1028</v>
      </c>
      <c r="L25" s="621"/>
      <c r="M25" s="621"/>
      <c r="N25" s="621" t="s">
        <v>1029</v>
      </c>
      <c r="O25" s="621"/>
      <c r="P25" s="624"/>
      <c r="Q25" s="626" t="s">
        <v>1030</v>
      </c>
      <c r="R25" s="585" t="s">
        <v>1031</v>
      </c>
      <c r="S25" s="586"/>
      <c r="T25" s="607"/>
      <c r="U25" s="607"/>
      <c r="V25" s="607"/>
      <c r="W25" s="607"/>
      <c r="X25" s="607"/>
      <c r="Y25" s="607"/>
      <c r="Z25" s="607"/>
      <c r="AA25" s="607"/>
      <c r="AB25" s="607"/>
      <c r="AC25" s="607"/>
      <c r="AD25" s="611"/>
      <c r="AE25" s="586"/>
      <c r="AF25" s="607"/>
      <c r="AG25" s="607"/>
      <c r="AH25" s="607"/>
      <c r="AI25" s="607"/>
      <c r="AJ25" s="607"/>
      <c r="AK25" s="607"/>
      <c r="AL25" s="607"/>
      <c r="AM25" s="607"/>
      <c r="AN25" s="607"/>
      <c r="AO25" s="607"/>
      <c r="AP25" s="611"/>
      <c r="AQ25" s="586"/>
      <c r="AR25" s="607"/>
      <c r="AS25" s="607"/>
      <c r="AT25" s="607"/>
      <c r="AU25" s="607"/>
      <c r="AV25" s="607"/>
      <c r="AW25" s="607"/>
      <c r="AX25" s="607"/>
      <c r="AY25" s="607"/>
      <c r="AZ25" s="607"/>
      <c r="BA25" s="607"/>
      <c r="BB25" s="611"/>
      <c r="BC25" s="586"/>
      <c r="BD25" s="607"/>
      <c r="BE25" s="607"/>
      <c r="BF25" s="607"/>
      <c r="BG25" s="607"/>
      <c r="BH25" s="607"/>
      <c r="BI25" s="607"/>
      <c r="BJ25" s="607"/>
      <c r="BK25" s="607"/>
      <c r="BL25" s="607"/>
      <c r="BM25" s="607"/>
      <c r="BN25" s="611"/>
      <c r="BO25" s="586"/>
      <c r="BP25" s="607"/>
      <c r="BQ25" s="607"/>
      <c r="BR25" s="607"/>
      <c r="BS25" s="607"/>
      <c r="BT25" s="611"/>
    </row>
    <row r="26" spans="1:72" ht="20.100000000000001" customHeight="1" thickBot="1">
      <c r="A26" s="585"/>
      <c r="B26" s="575"/>
      <c r="C26" s="591"/>
      <c r="D26" s="619"/>
      <c r="E26" s="595"/>
      <c r="F26" s="584"/>
      <c r="G26" s="580"/>
      <c r="H26" s="582"/>
      <c r="I26" s="604"/>
      <c r="J26" s="606"/>
      <c r="K26" s="622"/>
      <c r="L26" s="623"/>
      <c r="M26" s="623"/>
      <c r="N26" s="623"/>
      <c r="O26" s="623"/>
      <c r="P26" s="625"/>
      <c r="Q26" s="627"/>
      <c r="R26" s="585"/>
      <c r="S26" s="587"/>
      <c r="T26" s="608"/>
      <c r="U26" s="608"/>
      <c r="V26" s="608"/>
      <c r="W26" s="608"/>
      <c r="X26" s="608"/>
      <c r="Y26" s="608"/>
      <c r="Z26" s="608"/>
      <c r="AA26" s="608"/>
      <c r="AB26" s="608"/>
      <c r="AC26" s="608"/>
      <c r="AD26" s="612"/>
      <c r="AE26" s="587"/>
      <c r="AF26" s="608"/>
      <c r="AG26" s="608"/>
      <c r="AH26" s="608"/>
      <c r="AI26" s="608"/>
      <c r="AJ26" s="608"/>
      <c r="AK26" s="608"/>
      <c r="AL26" s="608"/>
      <c r="AM26" s="608"/>
      <c r="AN26" s="608"/>
      <c r="AO26" s="608"/>
      <c r="AP26" s="612"/>
      <c r="AQ26" s="587"/>
      <c r="AR26" s="608"/>
      <c r="AS26" s="608"/>
      <c r="AT26" s="608"/>
      <c r="AU26" s="608"/>
      <c r="AV26" s="608"/>
      <c r="AW26" s="608"/>
      <c r="AX26" s="608"/>
      <c r="AY26" s="608"/>
      <c r="AZ26" s="608"/>
      <c r="BA26" s="608"/>
      <c r="BB26" s="612"/>
      <c r="BC26" s="587"/>
      <c r="BD26" s="608"/>
      <c r="BE26" s="608"/>
      <c r="BF26" s="608"/>
      <c r="BG26" s="608"/>
      <c r="BH26" s="608"/>
      <c r="BI26" s="608"/>
      <c r="BJ26" s="608"/>
      <c r="BK26" s="608"/>
      <c r="BL26" s="608"/>
      <c r="BM26" s="608"/>
      <c r="BN26" s="612"/>
      <c r="BO26" s="587"/>
      <c r="BP26" s="608"/>
      <c r="BQ26" s="608"/>
      <c r="BR26" s="608"/>
      <c r="BS26" s="608"/>
      <c r="BT26" s="612"/>
    </row>
    <row r="27" spans="1:72" ht="43.5" customHeight="1" thickBot="1">
      <c r="A27" s="585"/>
      <c r="B27" s="575"/>
      <c r="C27" s="591"/>
      <c r="D27" s="619"/>
      <c r="E27" s="596"/>
      <c r="F27" s="276" t="e">
        <f>#REF!</f>
        <v>#REF!</v>
      </c>
      <c r="G27" s="277" t="e">
        <f>#REF!</f>
        <v>#REF!</v>
      </c>
      <c r="H27" s="278" t="e">
        <f>#REF!</f>
        <v>#REF!</v>
      </c>
      <c r="I27" s="211" t="e">
        <f>#REF!</f>
        <v>#REF!</v>
      </c>
      <c r="J27" s="231" t="e">
        <f>#REF!</f>
        <v>#REF!</v>
      </c>
      <c r="K27" s="273" t="s">
        <v>1032</v>
      </c>
      <c r="L27" s="274" t="s">
        <v>1033</v>
      </c>
      <c r="M27" s="274" t="s">
        <v>1034</v>
      </c>
      <c r="N27" s="274" t="s">
        <v>1035</v>
      </c>
      <c r="O27" s="274" t="s">
        <v>1033</v>
      </c>
      <c r="P27" s="275" t="s">
        <v>1036</v>
      </c>
      <c r="Q27" s="627"/>
      <c r="R27" s="594"/>
      <c r="S27" s="587"/>
      <c r="T27" s="608"/>
      <c r="U27" s="608"/>
      <c r="V27" s="608"/>
      <c r="W27" s="608"/>
      <c r="X27" s="608"/>
      <c r="Y27" s="608"/>
      <c r="Z27" s="608"/>
      <c r="AA27" s="608"/>
      <c r="AB27" s="608"/>
      <c r="AC27" s="608"/>
      <c r="AD27" s="612"/>
      <c r="AE27" s="587"/>
      <c r="AF27" s="608"/>
      <c r="AG27" s="608"/>
      <c r="AH27" s="608"/>
      <c r="AI27" s="608"/>
      <c r="AJ27" s="608"/>
      <c r="AK27" s="608"/>
      <c r="AL27" s="608"/>
      <c r="AM27" s="608"/>
      <c r="AN27" s="608"/>
      <c r="AO27" s="608"/>
      <c r="AP27" s="612"/>
      <c r="AQ27" s="587"/>
      <c r="AR27" s="608"/>
      <c r="AS27" s="608"/>
      <c r="AT27" s="608"/>
      <c r="AU27" s="608"/>
      <c r="AV27" s="608"/>
      <c r="AW27" s="608"/>
      <c r="AX27" s="608"/>
      <c r="AY27" s="608"/>
      <c r="AZ27" s="608"/>
      <c r="BA27" s="608"/>
      <c r="BB27" s="612"/>
      <c r="BC27" s="587"/>
      <c r="BD27" s="608"/>
      <c r="BE27" s="608"/>
      <c r="BF27" s="608"/>
      <c r="BG27" s="608"/>
      <c r="BH27" s="608"/>
      <c r="BI27" s="608"/>
      <c r="BJ27" s="608"/>
      <c r="BK27" s="608"/>
      <c r="BL27" s="608"/>
      <c r="BM27" s="608"/>
      <c r="BN27" s="612"/>
      <c r="BO27" s="587"/>
      <c r="BP27" s="608"/>
      <c r="BQ27" s="608"/>
      <c r="BR27" s="608"/>
      <c r="BS27" s="608"/>
      <c r="BT27" s="612"/>
    </row>
    <row r="28" spans="1:72" s="15" customFormat="1" ht="21.6" customHeight="1">
      <c r="A28" s="223" t="s">
        <v>1037</v>
      </c>
      <c r="B28" s="576" t="s">
        <v>1038</v>
      </c>
      <c r="C28" s="237" t="s">
        <v>558</v>
      </c>
      <c r="D28" s="81" t="e">
        <f>IF(AND(#REF!="x",#REF!="N/A"),"x","N/A")</f>
        <v>#REF!</v>
      </c>
      <c r="E28" s="203" t="e">
        <f>#REF!</f>
        <v>#REF!</v>
      </c>
      <c r="F28" s="205" t="e">
        <f>#REF!</f>
        <v>#REF!</v>
      </c>
      <c r="G28" s="254" t="e">
        <f>#REF!</f>
        <v>#REF!</v>
      </c>
      <c r="H28" s="255" t="e">
        <f>#REF!</f>
        <v>#REF!</v>
      </c>
      <c r="I28" s="199" t="e">
        <f>#REF!</f>
        <v>#REF!</v>
      </c>
      <c r="J28" s="197" t="e">
        <f>#REF!</f>
        <v>#REF!</v>
      </c>
      <c r="K28" s="205" t="e">
        <f>#REF!</f>
        <v>#REF!</v>
      </c>
      <c r="L28" s="256" t="e">
        <f>#REF!</f>
        <v>#REF!</v>
      </c>
      <c r="M28" s="256" t="e">
        <f>#REF!</f>
        <v>#REF!</v>
      </c>
      <c r="N28" s="256" t="e">
        <f>#REF!</f>
        <v>#REF!</v>
      </c>
      <c r="O28" s="256" t="e">
        <f>#REF!</f>
        <v>#REF!</v>
      </c>
      <c r="P28" s="257" t="e">
        <f>#REF!</f>
        <v>#REF!</v>
      </c>
      <c r="Q28" s="270" t="e">
        <f>#REF!</f>
        <v>#REF!</v>
      </c>
      <c r="R28" s="272" t="e">
        <f>#REF!</f>
        <v>#REF!</v>
      </c>
      <c r="S28" s="45" t="e">
        <f>#REF!</f>
        <v>#REF!</v>
      </c>
      <c r="T28" s="5" t="e">
        <f>#REF!</f>
        <v>#REF!</v>
      </c>
      <c r="U28" s="5" t="e">
        <f>#REF!</f>
        <v>#REF!</v>
      </c>
      <c r="V28" s="5" t="e">
        <f>#REF!</f>
        <v>#REF!</v>
      </c>
      <c r="W28" s="5" t="e">
        <f>#REF!</f>
        <v>#REF!</v>
      </c>
      <c r="X28" s="5" t="e">
        <f>#REF!</f>
        <v>#REF!</v>
      </c>
      <c r="Y28" s="5" t="e">
        <f>#REF!</f>
        <v>#REF!</v>
      </c>
      <c r="Z28" s="5" t="e">
        <f>#REF!</f>
        <v>#REF!</v>
      </c>
      <c r="AA28" s="5" t="e">
        <f>#REF!</f>
        <v>#REF!</v>
      </c>
      <c r="AB28" s="5" t="e">
        <f>#REF!</f>
        <v>#REF!</v>
      </c>
      <c r="AC28" s="5" t="e">
        <f>#REF!</f>
        <v>#REF!</v>
      </c>
      <c r="AD28" s="219" t="e">
        <f>#REF!</f>
        <v>#REF!</v>
      </c>
      <c r="AE28" s="45" t="e">
        <f>#REF!</f>
        <v>#REF!</v>
      </c>
      <c r="AF28" s="5" t="e">
        <f>#REF!</f>
        <v>#REF!</v>
      </c>
      <c r="AG28" s="5" t="e">
        <f>#REF!</f>
        <v>#REF!</v>
      </c>
      <c r="AH28" s="5" t="e">
        <f>#REF!</f>
        <v>#REF!</v>
      </c>
      <c r="AI28" s="5" t="e">
        <f>#REF!</f>
        <v>#REF!</v>
      </c>
      <c r="AJ28" s="5" t="e">
        <f>#REF!</f>
        <v>#REF!</v>
      </c>
      <c r="AK28" s="5" t="e">
        <f>#REF!</f>
        <v>#REF!</v>
      </c>
      <c r="AL28" s="5" t="e">
        <f>#REF!</f>
        <v>#REF!</v>
      </c>
      <c r="AM28" s="5" t="e">
        <f>#REF!</f>
        <v>#REF!</v>
      </c>
      <c r="AN28" s="5" t="e">
        <f>#REF!</f>
        <v>#REF!</v>
      </c>
      <c r="AO28" s="5" t="e">
        <f>#REF!</f>
        <v>#REF!</v>
      </c>
      <c r="AP28" s="219" t="e">
        <f>#REF!</f>
        <v>#REF!</v>
      </c>
      <c r="AQ28" s="45" t="e">
        <f>#REF!</f>
        <v>#REF!</v>
      </c>
      <c r="AR28" s="5" t="e">
        <f>#REF!</f>
        <v>#REF!</v>
      </c>
      <c r="AS28" s="5" t="e">
        <f>#REF!</f>
        <v>#REF!</v>
      </c>
      <c r="AT28" s="5" t="e">
        <f>#REF!</f>
        <v>#REF!</v>
      </c>
      <c r="AU28" s="5" t="e">
        <f>#REF!</f>
        <v>#REF!</v>
      </c>
      <c r="AV28" s="5" t="e">
        <f>#REF!</f>
        <v>#REF!</v>
      </c>
      <c r="AW28" s="5" t="e">
        <f>#REF!</f>
        <v>#REF!</v>
      </c>
      <c r="AX28" s="5" t="e">
        <f>#REF!</f>
        <v>#REF!</v>
      </c>
      <c r="AY28" s="5" t="e">
        <f>#REF!</f>
        <v>#REF!</v>
      </c>
      <c r="AZ28" s="5" t="e">
        <f>#REF!</f>
        <v>#REF!</v>
      </c>
      <c r="BA28" s="5" t="e">
        <f>#REF!</f>
        <v>#REF!</v>
      </c>
      <c r="BB28" s="219" t="e">
        <f>#REF!</f>
        <v>#REF!</v>
      </c>
      <c r="BC28" s="45" t="e">
        <f>#REF!</f>
        <v>#REF!</v>
      </c>
      <c r="BD28" s="5" t="e">
        <f>#REF!</f>
        <v>#REF!</v>
      </c>
      <c r="BE28" s="5" t="e">
        <f>#REF!</f>
        <v>#REF!</v>
      </c>
      <c r="BF28" s="5" t="e">
        <f>#REF!</f>
        <v>#REF!</v>
      </c>
      <c r="BG28" s="5" t="e">
        <f>#REF!</f>
        <v>#REF!</v>
      </c>
      <c r="BH28" s="5" t="e">
        <f>#REF!</f>
        <v>#REF!</v>
      </c>
      <c r="BI28" s="5" t="e">
        <f>#REF!</f>
        <v>#REF!</v>
      </c>
      <c r="BJ28" s="5" t="e">
        <f>#REF!</f>
        <v>#REF!</v>
      </c>
      <c r="BK28" s="5" t="e">
        <f>#REF!</f>
        <v>#REF!</v>
      </c>
      <c r="BL28" s="5" t="e">
        <f>#REF!</f>
        <v>#REF!</v>
      </c>
      <c r="BM28" s="5" t="e">
        <f>#REF!</f>
        <v>#REF!</v>
      </c>
      <c r="BN28" s="219" t="e">
        <f>#REF!</f>
        <v>#REF!</v>
      </c>
      <c r="BO28" s="45" t="e">
        <f>#REF!</f>
        <v>#REF!</v>
      </c>
      <c r="BP28" s="5" t="e">
        <f>#REF!</f>
        <v>#REF!</v>
      </c>
      <c r="BQ28" s="5" t="e">
        <f>#REF!</f>
        <v>#REF!</v>
      </c>
      <c r="BR28" s="5" t="e">
        <f>#REF!</f>
        <v>#REF!</v>
      </c>
      <c r="BS28" s="5" t="e">
        <f>#REF!</f>
        <v>#REF!</v>
      </c>
      <c r="BT28" s="219" t="e">
        <f>#REF!</f>
        <v>#REF!</v>
      </c>
    </row>
    <row r="29" spans="1:72" ht="22.5" hidden="1" customHeight="1">
      <c r="A29" s="223" t="s">
        <v>1039</v>
      </c>
      <c r="B29" s="576"/>
      <c r="C29" s="237" t="s">
        <v>560</v>
      </c>
      <c r="D29" s="203" t="e">
        <f>IF(AND(#REF!="x",#REF!="N/A"),"x","N/A")</f>
        <v>#REF!</v>
      </c>
      <c r="E29" s="203" t="e">
        <f>#REF!</f>
        <v>#REF!</v>
      </c>
      <c r="F29" s="44" t="e">
        <f>#REF!</f>
        <v>#REF!</v>
      </c>
      <c r="G29" s="6" t="e">
        <f>#REF!</f>
        <v>#REF!</v>
      </c>
      <c r="H29" s="218" t="e">
        <f>#REF!</f>
        <v>#REF!</v>
      </c>
      <c r="I29" s="200" t="e">
        <f>#REF!</f>
        <v>#REF!</v>
      </c>
      <c r="J29" s="198" t="e">
        <f>#REF!</f>
        <v>#REF!</v>
      </c>
      <c r="K29" s="44" t="e">
        <f>#REF!</f>
        <v>#REF!</v>
      </c>
      <c r="L29" s="234" t="e">
        <f>#REF!</f>
        <v>#REF!</v>
      </c>
      <c r="M29" s="234" t="e">
        <f>#REF!</f>
        <v>#REF!</v>
      </c>
      <c r="N29" s="234" t="e">
        <f>#REF!</f>
        <v>#REF!</v>
      </c>
      <c r="O29" s="234" t="e">
        <f>#REF!</f>
        <v>#REF!</v>
      </c>
      <c r="P29" s="235" t="e">
        <f>#REF!</f>
        <v>#REF!</v>
      </c>
      <c r="Q29" s="204" t="e">
        <f>#REF!</f>
        <v>#REF!</v>
      </c>
      <c r="R29" s="286" t="e">
        <f>#REF!</f>
        <v>#REF!</v>
      </c>
      <c r="S29" s="188" t="e">
        <f>#REF!</f>
        <v>#REF!</v>
      </c>
      <c r="T29" s="189" t="e">
        <f>#REF!</f>
        <v>#REF!</v>
      </c>
      <c r="U29" s="189" t="e">
        <f>#REF!</f>
        <v>#REF!</v>
      </c>
      <c r="V29" s="189" t="e">
        <f>#REF!</f>
        <v>#REF!</v>
      </c>
      <c r="W29" s="189" t="e">
        <f>#REF!</f>
        <v>#REF!</v>
      </c>
      <c r="X29" s="189" t="e">
        <f>#REF!</f>
        <v>#REF!</v>
      </c>
      <c r="Y29" s="189" t="e">
        <f>#REF!</f>
        <v>#REF!</v>
      </c>
      <c r="Z29" s="189" t="e">
        <f>#REF!</f>
        <v>#REF!</v>
      </c>
      <c r="AA29" s="189" t="e">
        <f>#REF!</f>
        <v>#REF!</v>
      </c>
      <c r="AB29" s="189" t="e">
        <f>#REF!</f>
        <v>#REF!</v>
      </c>
      <c r="AC29" s="189" t="e">
        <f>#REF!</f>
        <v>#REF!</v>
      </c>
      <c r="AD29" s="190" t="e">
        <f>#REF!</f>
        <v>#REF!</v>
      </c>
      <c r="AE29" s="250" t="e">
        <f>#REF!</f>
        <v>#REF!</v>
      </c>
      <c r="AF29" s="189" t="e">
        <f>#REF!</f>
        <v>#REF!</v>
      </c>
      <c r="AG29" s="189" t="e">
        <f>#REF!</f>
        <v>#REF!</v>
      </c>
      <c r="AH29" s="189" t="e">
        <f>#REF!</f>
        <v>#REF!</v>
      </c>
      <c r="AI29" s="189"/>
      <c r="AJ29" s="189" t="e">
        <f>#REF!</f>
        <v>#REF!</v>
      </c>
      <c r="AK29" s="189" t="e">
        <f>#REF!</f>
        <v>#REF!</v>
      </c>
      <c r="AL29" s="189" t="e">
        <f>#REF!</f>
        <v>#REF!</v>
      </c>
      <c r="AM29" s="189" t="e">
        <f>#REF!</f>
        <v>#REF!</v>
      </c>
      <c r="AN29" s="189" t="e">
        <f>#REF!</f>
        <v>#REF!</v>
      </c>
      <c r="AO29" s="189" t="e">
        <f>#REF!</f>
        <v>#REF!</v>
      </c>
      <c r="AP29" s="190" t="e">
        <f>#REF!</f>
        <v>#REF!</v>
      </c>
      <c r="AQ29" s="188" t="e">
        <f>#REF!</f>
        <v>#REF!</v>
      </c>
      <c r="AR29" s="189" t="e">
        <f>#REF!</f>
        <v>#REF!</v>
      </c>
      <c r="AS29" s="189" t="e">
        <f>#REF!</f>
        <v>#REF!</v>
      </c>
      <c r="AT29" s="189" t="e">
        <f>#REF!</f>
        <v>#REF!</v>
      </c>
      <c r="AU29" s="189" t="e">
        <f>#REF!</f>
        <v>#REF!</v>
      </c>
      <c r="AV29" s="189" t="e">
        <f>#REF!</f>
        <v>#REF!</v>
      </c>
      <c r="AW29" s="189" t="e">
        <f>#REF!</f>
        <v>#REF!</v>
      </c>
      <c r="AX29" s="189" t="e">
        <f>#REF!</f>
        <v>#REF!</v>
      </c>
      <c r="AY29" s="189" t="e">
        <f>#REF!</f>
        <v>#REF!</v>
      </c>
      <c r="AZ29" s="189" t="e">
        <f>#REF!</f>
        <v>#REF!</v>
      </c>
      <c r="BA29" s="189" t="e">
        <f>#REF!</f>
        <v>#REF!</v>
      </c>
      <c r="BB29" s="190" t="e">
        <f>#REF!</f>
        <v>#REF!</v>
      </c>
      <c r="BC29" s="188" t="e">
        <f>#REF!</f>
        <v>#REF!</v>
      </c>
      <c r="BD29" s="189" t="e">
        <f>#REF!</f>
        <v>#REF!</v>
      </c>
      <c r="BE29" s="189" t="e">
        <f>#REF!</f>
        <v>#REF!</v>
      </c>
      <c r="BF29" s="189" t="e">
        <f>#REF!</f>
        <v>#REF!</v>
      </c>
      <c r="BG29" s="189" t="e">
        <f>#REF!</f>
        <v>#REF!</v>
      </c>
      <c r="BH29" s="189" t="e">
        <f>#REF!</f>
        <v>#REF!</v>
      </c>
      <c r="BI29" s="189" t="e">
        <f>#REF!</f>
        <v>#REF!</v>
      </c>
      <c r="BJ29" s="189" t="e">
        <f>#REF!</f>
        <v>#REF!</v>
      </c>
      <c r="BK29" s="189" t="e">
        <f>#REF!</f>
        <v>#REF!</v>
      </c>
      <c r="BL29" s="189" t="e">
        <f>#REF!</f>
        <v>#REF!</v>
      </c>
      <c r="BM29" s="189" t="e">
        <f>#REF!</f>
        <v>#REF!</v>
      </c>
      <c r="BN29" s="190" t="e">
        <f>#REF!</f>
        <v>#REF!</v>
      </c>
      <c r="BO29" s="188" t="e">
        <f>#REF!</f>
        <v>#REF!</v>
      </c>
      <c r="BP29" s="189" t="e">
        <f>#REF!</f>
        <v>#REF!</v>
      </c>
      <c r="BQ29" s="189" t="e">
        <f>#REF!</f>
        <v>#REF!</v>
      </c>
      <c r="BR29" s="189" t="e">
        <f>#REF!</f>
        <v>#REF!</v>
      </c>
      <c r="BS29" s="189" t="e">
        <f>#REF!</f>
        <v>#REF!</v>
      </c>
      <c r="BT29" s="190" t="e">
        <f>#REF!</f>
        <v>#REF!</v>
      </c>
    </row>
    <row r="30" spans="1:72" ht="22.5" hidden="1" customHeight="1">
      <c r="A30" s="224" t="s">
        <v>1040</v>
      </c>
      <c r="B30" s="577"/>
      <c r="C30" s="238" t="s">
        <v>556</v>
      </c>
      <c r="D30" s="201" t="e">
        <f>IF(AND(#REF!="x",#REF!="N/A"),"x","N/A")</f>
        <v>#REF!</v>
      </c>
      <c r="E30" s="201" t="e">
        <f>#REF!</f>
        <v>#REF!</v>
      </c>
      <c r="F30" s="44" t="e">
        <f>#REF!</f>
        <v>#REF!</v>
      </c>
      <c r="G30" s="6" t="e">
        <f>#REF!</f>
        <v>#REF!</v>
      </c>
      <c r="H30" s="218" t="e">
        <f>#REF!</f>
        <v>#REF!</v>
      </c>
      <c r="I30" s="200" t="e">
        <f>#REF!</f>
        <v>#REF!</v>
      </c>
      <c r="J30" s="198" t="e">
        <f>#REF!</f>
        <v>#REF!</v>
      </c>
      <c r="K30" s="44" t="e">
        <f>#REF!</f>
        <v>#REF!</v>
      </c>
      <c r="L30" s="234" t="e">
        <f>#REF!</f>
        <v>#REF!</v>
      </c>
      <c r="M30" s="234" t="e">
        <f>#REF!</f>
        <v>#REF!</v>
      </c>
      <c r="N30" s="234" t="e">
        <f>#REF!</f>
        <v>#REF!</v>
      </c>
      <c r="O30" s="234" t="e">
        <f>#REF!</f>
        <v>#REF!</v>
      </c>
      <c r="P30" s="235" t="e">
        <f>#REF!</f>
        <v>#REF!</v>
      </c>
      <c r="Q30" s="202" t="e">
        <f>#REF!</f>
        <v>#REF!</v>
      </c>
      <c r="R30" s="286" t="e">
        <f>#REF!</f>
        <v>#REF!</v>
      </c>
      <c r="S30" s="185" t="e">
        <f>#REF!</f>
        <v>#REF!</v>
      </c>
      <c r="T30" s="186" t="e">
        <f>#REF!</f>
        <v>#REF!</v>
      </c>
      <c r="U30" s="186" t="e">
        <f>#REF!</f>
        <v>#REF!</v>
      </c>
      <c r="V30" s="186" t="e">
        <f>#REF!</f>
        <v>#REF!</v>
      </c>
      <c r="W30" s="186" t="e">
        <f>#REF!</f>
        <v>#REF!</v>
      </c>
      <c r="X30" s="186" t="e">
        <f>#REF!</f>
        <v>#REF!</v>
      </c>
      <c r="Y30" s="186" t="e">
        <f>#REF!</f>
        <v>#REF!</v>
      </c>
      <c r="Z30" s="186" t="e">
        <f>#REF!</f>
        <v>#REF!</v>
      </c>
      <c r="AA30" s="186" t="e">
        <f>#REF!</f>
        <v>#REF!</v>
      </c>
      <c r="AB30" s="186" t="e">
        <f>#REF!</f>
        <v>#REF!</v>
      </c>
      <c r="AC30" s="186" t="e">
        <f>#REF!</f>
        <v>#REF!</v>
      </c>
      <c r="AD30" s="187" t="e">
        <f>#REF!</f>
        <v>#REF!</v>
      </c>
      <c r="AE30" s="251" t="e">
        <f>#REF!</f>
        <v>#REF!</v>
      </c>
      <c r="AF30" s="186" t="e">
        <f>#REF!</f>
        <v>#REF!</v>
      </c>
      <c r="AG30" s="186" t="e">
        <f>#REF!</f>
        <v>#REF!</v>
      </c>
      <c r="AH30" s="186" t="e">
        <f>#REF!</f>
        <v>#REF!</v>
      </c>
      <c r="AI30" s="186"/>
      <c r="AJ30" s="186" t="e">
        <f>#REF!</f>
        <v>#REF!</v>
      </c>
      <c r="AK30" s="186" t="e">
        <f>#REF!</f>
        <v>#REF!</v>
      </c>
      <c r="AL30" s="186" t="e">
        <f>#REF!</f>
        <v>#REF!</v>
      </c>
      <c r="AM30" s="186" t="e">
        <f>#REF!</f>
        <v>#REF!</v>
      </c>
      <c r="AN30" s="186" t="e">
        <f>#REF!</f>
        <v>#REF!</v>
      </c>
      <c r="AO30" s="186" t="e">
        <f>#REF!</f>
        <v>#REF!</v>
      </c>
      <c r="AP30" s="187" t="e">
        <f>#REF!</f>
        <v>#REF!</v>
      </c>
      <c r="AQ30" s="185" t="e">
        <f>#REF!</f>
        <v>#REF!</v>
      </c>
      <c r="AR30" s="186" t="e">
        <f>#REF!</f>
        <v>#REF!</v>
      </c>
      <c r="AS30" s="186" t="e">
        <f>#REF!</f>
        <v>#REF!</v>
      </c>
      <c r="AT30" s="186" t="e">
        <f>#REF!</f>
        <v>#REF!</v>
      </c>
      <c r="AU30" s="186" t="e">
        <f>#REF!</f>
        <v>#REF!</v>
      </c>
      <c r="AV30" s="186" t="e">
        <f>#REF!</f>
        <v>#REF!</v>
      </c>
      <c r="AW30" s="186" t="e">
        <f>#REF!</f>
        <v>#REF!</v>
      </c>
      <c r="AX30" s="186" t="e">
        <f>#REF!</f>
        <v>#REF!</v>
      </c>
      <c r="AY30" s="186" t="e">
        <f>#REF!</f>
        <v>#REF!</v>
      </c>
      <c r="AZ30" s="186" t="e">
        <f>#REF!</f>
        <v>#REF!</v>
      </c>
      <c r="BA30" s="186" t="e">
        <f>#REF!</f>
        <v>#REF!</v>
      </c>
      <c r="BB30" s="187" t="e">
        <f>#REF!</f>
        <v>#REF!</v>
      </c>
      <c r="BC30" s="185" t="e">
        <f>#REF!</f>
        <v>#REF!</v>
      </c>
      <c r="BD30" s="186" t="e">
        <f>#REF!</f>
        <v>#REF!</v>
      </c>
      <c r="BE30" s="186" t="e">
        <f>#REF!</f>
        <v>#REF!</v>
      </c>
      <c r="BF30" s="186" t="e">
        <f>#REF!</f>
        <v>#REF!</v>
      </c>
      <c r="BG30" s="186" t="e">
        <f>#REF!</f>
        <v>#REF!</v>
      </c>
      <c r="BH30" s="186" t="e">
        <f>#REF!</f>
        <v>#REF!</v>
      </c>
      <c r="BI30" s="186" t="e">
        <f>#REF!</f>
        <v>#REF!</v>
      </c>
      <c r="BJ30" s="186" t="e">
        <f>#REF!</f>
        <v>#REF!</v>
      </c>
      <c r="BK30" s="186" t="e">
        <f>#REF!</f>
        <v>#REF!</v>
      </c>
      <c r="BL30" s="186" t="e">
        <f>#REF!</f>
        <v>#REF!</v>
      </c>
      <c r="BM30" s="186" t="e">
        <f>#REF!</f>
        <v>#REF!</v>
      </c>
      <c r="BN30" s="187" t="e">
        <f>#REF!</f>
        <v>#REF!</v>
      </c>
      <c r="BO30" s="185" t="e">
        <f>#REF!</f>
        <v>#REF!</v>
      </c>
      <c r="BP30" s="186" t="e">
        <f>#REF!</f>
        <v>#REF!</v>
      </c>
      <c r="BQ30" s="186" t="e">
        <f>#REF!</f>
        <v>#REF!</v>
      </c>
      <c r="BR30" s="186" t="e">
        <f>#REF!</f>
        <v>#REF!</v>
      </c>
      <c r="BS30" s="186" t="e">
        <f>#REF!</f>
        <v>#REF!</v>
      </c>
      <c r="BT30" s="187" t="e">
        <f>#REF!</f>
        <v>#REF!</v>
      </c>
    </row>
    <row r="31" spans="1:72" s="15" customFormat="1" ht="20.100000000000001" customHeight="1">
      <c r="A31" s="222" t="s">
        <v>1041</v>
      </c>
      <c r="B31" s="573" t="s">
        <v>1042</v>
      </c>
      <c r="C31" s="240" t="s">
        <v>563</v>
      </c>
      <c r="D31" s="89" t="e">
        <f>IF(AND(#REF!="x",#REF!="N/A"),"x","N/A")</f>
        <v>#REF!</v>
      </c>
      <c r="E31" s="89" t="e">
        <f>#REF!</f>
        <v>#REF!</v>
      </c>
      <c r="F31" s="44" t="e">
        <f>#REF!</f>
        <v>#REF!</v>
      </c>
      <c r="G31" s="6" t="e">
        <f>#REF!</f>
        <v>#REF!</v>
      </c>
      <c r="H31" s="218" t="e">
        <f>#REF!</f>
        <v>#REF!</v>
      </c>
      <c r="I31" s="200" t="e">
        <f>#REF!</f>
        <v>#REF!</v>
      </c>
      <c r="J31" s="198" t="e">
        <f>#REF!</f>
        <v>#REF!</v>
      </c>
      <c r="K31" s="44" t="e">
        <f>#REF!</f>
        <v>#REF!</v>
      </c>
      <c r="L31" s="6" t="e">
        <f>#REF!</f>
        <v>#REF!</v>
      </c>
      <c r="M31" s="6" t="e">
        <f>#REF!</f>
        <v>#REF!</v>
      </c>
      <c r="N31" s="210" t="e">
        <f>#REF!</f>
        <v>#REF!</v>
      </c>
      <c r="O31" s="210" t="e">
        <f>#REF!</f>
        <v>#REF!</v>
      </c>
      <c r="P31" s="233" t="e">
        <f>#REF!</f>
        <v>#REF!</v>
      </c>
      <c r="Q31" s="270" t="e">
        <f>#REF!</f>
        <v>#REF!</v>
      </c>
      <c r="R31" s="286" t="e">
        <f>#REF!</f>
        <v>#REF!</v>
      </c>
      <c r="S31" s="45" t="e">
        <f>#REF!</f>
        <v>#REF!</v>
      </c>
      <c r="T31" s="5" t="e">
        <f>#REF!</f>
        <v>#REF!</v>
      </c>
      <c r="U31" s="5" t="e">
        <f>#REF!</f>
        <v>#REF!</v>
      </c>
      <c r="V31" s="5" t="e">
        <f>#REF!</f>
        <v>#REF!</v>
      </c>
      <c r="W31" s="5" t="e">
        <f>#REF!</f>
        <v>#REF!</v>
      </c>
      <c r="X31" s="5" t="e">
        <f>#REF!</f>
        <v>#REF!</v>
      </c>
      <c r="Y31" s="5" t="e">
        <f>#REF!</f>
        <v>#REF!</v>
      </c>
      <c r="Z31" s="5" t="e">
        <f>#REF!</f>
        <v>#REF!</v>
      </c>
      <c r="AA31" s="5" t="e">
        <f>#REF!</f>
        <v>#REF!</v>
      </c>
      <c r="AB31" s="5" t="e">
        <f>#REF!</f>
        <v>#REF!</v>
      </c>
      <c r="AC31" s="5" t="e">
        <f>#REF!</f>
        <v>#REF!</v>
      </c>
      <c r="AD31" s="219" t="e">
        <f>#REF!</f>
        <v>#REF!</v>
      </c>
      <c r="AE31" s="45" t="e">
        <f>#REF!</f>
        <v>#REF!</v>
      </c>
      <c r="AF31" s="5" t="e">
        <f>#REF!</f>
        <v>#REF!</v>
      </c>
      <c r="AG31" s="5" t="e">
        <f>#REF!</f>
        <v>#REF!</v>
      </c>
      <c r="AH31" s="5" t="e">
        <f>#REF!</f>
        <v>#REF!</v>
      </c>
      <c r="AI31" s="5" t="e">
        <f>#REF!</f>
        <v>#REF!</v>
      </c>
      <c r="AJ31" s="5" t="e">
        <f>#REF!</f>
        <v>#REF!</v>
      </c>
      <c r="AK31" s="5" t="e">
        <f>#REF!</f>
        <v>#REF!</v>
      </c>
      <c r="AL31" s="5" t="e">
        <f>#REF!</f>
        <v>#REF!</v>
      </c>
      <c r="AM31" s="5" t="e">
        <f>#REF!</f>
        <v>#REF!</v>
      </c>
      <c r="AN31" s="5" t="e">
        <f>#REF!</f>
        <v>#REF!</v>
      </c>
      <c r="AO31" s="5" t="e">
        <f>#REF!</f>
        <v>#REF!</v>
      </c>
      <c r="AP31" s="219" t="e">
        <f>#REF!</f>
        <v>#REF!</v>
      </c>
      <c r="AQ31" s="45" t="e">
        <f>#REF!</f>
        <v>#REF!</v>
      </c>
      <c r="AR31" s="5" t="e">
        <f>#REF!</f>
        <v>#REF!</v>
      </c>
      <c r="AS31" s="5" t="e">
        <f>#REF!</f>
        <v>#REF!</v>
      </c>
      <c r="AT31" s="5" t="e">
        <f>#REF!</f>
        <v>#REF!</v>
      </c>
      <c r="AU31" s="5" t="e">
        <f>#REF!</f>
        <v>#REF!</v>
      </c>
      <c r="AV31" s="5" t="e">
        <f>#REF!</f>
        <v>#REF!</v>
      </c>
      <c r="AW31" s="5" t="e">
        <f>#REF!</f>
        <v>#REF!</v>
      </c>
      <c r="AX31" s="5" t="e">
        <f>#REF!</f>
        <v>#REF!</v>
      </c>
      <c r="AY31" s="5" t="e">
        <f>#REF!</f>
        <v>#REF!</v>
      </c>
      <c r="AZ31" s="5" t="e">
        <f>#REF!</f>
        <v>#REF!</v>
      </c>
      <c r="BA31" s="5" t="e">
        <f>#REF!</f>
        <v>#REF!</v>
      </c>
      <c r="BB31" s="219" t="e">
        <f>#REF!</f>
        <v>#REF!</v>
      </c>
      <c r="BC31" s="45" t="e">
        <f>#REF!</f>
        <v>#REF!</v>
      </c>
      <c r="BD31" s="5" t="e">
        <f>#REF!</f>
        <v>#REF!</v>
      </c>
      <c r="BE31" s="5" t="e">
        <f>#REF!</f>
        <v>#REF!</v>
      </c>
      <c r="BF31" s="5" t="e">
        <f>#REF!</f>
        <v>#REF!</v>
      </c>
      <c r="BG31" s="5" t="e">
        <f>#REF!</f>
        <v>#REF!</v>
      </c>
      <c r="BH31" s="5" t="e">
        <f>#REF!</f>
        <v>#REF!</v>
      </c>
      <c r="BI31" s="5" t="e">
        <f>#REF!</f>
        <v>#REF!</v>
      </c>
      <c r="BJ31" s="5" t="e">
        <f>#REF!</f>
        <v>#REF!</v>
      </c>
      <c r="BK31" s="5" t="e">
        <f>#REF!</f>
        <v>#REF!</v>
      </c>
      <c r="BL31" s="5" t="e">
        <f>#REF!</f>
        <v>#REF!</v>
      </c>
      <c r="BM31" s="5" t="e">
        <f>#REF!</f>
        <v>#REF!</v>
      </c>
      <c r="BN31" s="219" t="e">
        <f>#REF!</f>
        <v>#REF!</v>
      </c>
      <c r="BO31" s="45" t="e">
        <f>#REF!</f>
        <v>#REF!</v>
      </c>
      <c r="BP31" s="5" t="e">
        <f>#REF!</f>
        <v>#REF!</v>
      </c>
      <c r="BQ31" s="5" t="e">
        <f>#REF!</f>
        <v>#REF!</v>
      </c>
      <c r="BR31" s="5" t="e">
        <f>#REF!</f>
        <v>#REF!</v>
      </c>
      <c r="BS31" s="5" t="e">
        <f>#REF!</f>
        <v>#REF!</v>
      </c>
      <c r="BT31" s="219" t="e">
        <f>#REF!</f>
        <v>#REF!</v>
      </c>
    </row>
    <row r="32" spans="1:72" s="15" customFormat="1" ht="20.100000000000001" customHeight="1">
      <c r="A32" s="222" t="s">
        <v>1043</v>
      </c>
      <c r="B32" s="573"/>
      <c r="C32" s="240" t="s">
        <v>567</v>
      </c>
      <c r="D32" s="89" t="e">
        <f>IF(AND(#REF!="x",#REF!="N/A"),"x","N/A")</f>
        <v>#REF!</v>
      </c>
      <c r="E32" s="89" t="e">
        <f>#REF!</f>
        <v>#REF!</v>
      </c>
      <c r="F32" s="44" t="e">
        <f>#REF!</f>
        <v>#REF!</v>
      </c>
      <c r="G32" s="6" t="e">
        <f>#REF!</f>
        <v>#REF!</v>
      </c>
      <c r="H32" s="218" t="e">
        <f>#REF!</f>
        <v>#REF!</v>
      </c>
      <c r="I32" s="200" t="e">
        <f>#REF!</f>
        <v>#REF!</v>
      </c>
      <c r="J32" s="198" t="e">
        <f>#REF!</f>
        <v>#REF!</v>
      </c>
      <c r="K32" s="44" t="e">
        <f>#REF!</f>
        <v>#REF!</v>
      </c>
      <c r="L32" s="6" t="e">
        <f>#REF!</f>
        <v>#REF!</v>
      </c>
      <c r="M32" s="6" t="e">
        <f>#REF!</f>
        <v>#REF!</v>
      </c>
      <c r="N32" s="210" t="e">
        <f>#REF!</f>
        <v>#REF!</v>
      </c>
      <c r="O32" s="210" t="e">
        <f>#REF!</f>
        <v>#REF!</v>
      </c>
      <c r="P32" s="233" t="e">
        <f>#REF!</f>
        <v>#REF!</v>
      </c>
      <c r="Q32" s="270" t="e">
        <f>#REF!</f>
        <v>#REF!</v>
      </c>
      <c r="R32" s="286" t="e">
        <f>#REF!</f>
        <v>#REF!</v>
      </c>
      <c r="S32" s="45" t="e">
        <f>#REF!</f>
        <v>#REF!</v>
      </c>
      <c r="T32" s="5" t="e">
        <f>#REF!</f>
        <v>#REF!</v>
      </c>
      <c r="U32" s="5" t="e">
        <f>#REF!</f>
        <v>#REF!</v>
      </c>
      <c r="V32" s="5" t="e">
        <f>#REF!</f>
        <v>#REF!</v>
      </c>
      <c r="W32" s="5" t="e">
        <f>#REF!</f>
        <v>#REF!</v>
      </c>
      <c r="X32" s="5" t="e">
        <f>#REF!</f>
        <v>#REF!</v>
      </c>
      <c r="Y32" s="5" t="e">
        <f>#REF!</f>
        <v>#REF!</v>
      </c>
      <c r="Z32" s="5" t="e">
        <f>#REF!</f>
        <v>#REF!</v>
      </c>
      <c r="AA32" s="5" t="e">
        <f>#REF!</f>
        <v>#REF!</v>
      </c>
      <c r="AB32" s="5" t="e">
        <f>#REF!</f>
        <v>#REF!</v>
      </c>
      <c r="AC32" s="5" t="e">
        <f>#REF!</f>
        <v>#REF!</v>
      </c>
      <c r="AD32" s="219" t="e">
        <f>#REF!</f>
        <v>#REF!</v>
      </c>
      <c r="AE32" s="45" t="e">
        <f>#REF!</f>
        <v>#REF!</v>
      </c>
      <c r="AF32" s="5" t="e">
        <f>#REF!</f>
        <v>#REF!</v>
      </c>
      <c r="AG32" s="5" t="e">
        <f>#REF!</f>
        <v>#REF!</v>
      </c>
      <c r="AH32" s="5" t="e">
        <f>#REF!</f>
        <v>#REF!</v>
      </c>
      <c r="AI32" s="5" t="e">
        <f>#REF!</f>
        <v>#REF!</v>
      </c>
      <c r="AJ32" s="5" t="e">
        <f>#REF!</f>
        <v>#REF!</v>
      </c>
      <c r="AK32" s="5" t="e">
        <f>#REF!</f>
        <v>#REF!</v>
      </c>
      <c r="AL32" s="5" t="e">
        <f>#REF!</f>
        <v>#REF!</v>
      </c>
      <c r="AM32" s="5" t="e">
        <f>#REF!</f>
        <v>#REF!</v>
      </c>
      <c r="AN32" s="5" t="e">
        <f>#REF!</f>
        <v>#REF!</v>
      </c>
      <c r="AO32" s="5" t="e">
        <f>#REF!</f>
        <v>#REF!</v>
      </c>
      <c r="AP32" s="219" t="e">
        <f>#REF!</f>
        <v>#REF!</v>
      </c>
      <c r="AQ32" s="45" t="e">
        <f>#REF!</f>
        <v>#REF!</v>
      </c>
      <c r="AR32" s="5" t="e">
        <f>#REF!</f>
        <v>#REF!</v>
      </c>
      <c r="AS32" s="5" t="e">
        <f>#REF!</f>
        <v>#REF!</v>
      </c>
      <c r="AT32" s="5" t="e">
        <f>#REF!</f>
        <v>#REF!</v>
      </c>
      <c r="AU32" s="5" t="e">
        <f>#REF!</f>
        <v>#REF!</v>
      </c>
      <c r="AV32" s="5" t="e">
        <f>#REF!</f>
        <v>#REF!</v>
      </c>
      <c r="AW32" s="5" t="e">
        <f>#REF!</f>
        <v>#REF!</v>
      </c>
      <c r="AX32" s="5" t="e">
        <f>#REF!</f>
        <v>#REF!</v>
      </c>
      <c r="AY32" s="5" t="e">
        <f>#REF!</f>
        <v>#REF!</v>
      </c>
      <c r="AZ32" s="5" t="e">
        <f>#REF!</f>
        <v>#REF!</v>
      </c>
      <c r="BA32" s="5" t="e">
        <f>#REF!</f>
        <v>#REF!</v>
      </c>
      <c r="BB32" s="219" t="e">
        <f>#REF!</f>
        <v>#REF!</v>
      </c>
      <c r="BC32" s="45" t="e">
        <f>#REF!</f>
        <v>#REF!</v>
      </c>
      <c r="BD32" s="5" t="e">
        <f>#REF!</f>
        <v>#REF!</v>
      </c>
      <c r="BE32" s="5" t="e">
        <f>#REF!</f>
        <v>#REF!</v>
      </c>
      <c r="BF32" s="5" t="e">
        <f>#REF!</f>
        <v>#REF!</v>
      </c>
      <c r="BG32" s="5" t="e">
        <f>#REF!</f>
        <v>#REF!</v>
      </c>
      <c r="BH32" s="5" t="e">
        <f>#REF!</f>
        <v>#REF!</v>
      </c>
      <c r="BI32" s="5" t="e">
        <f>#REF!</f>
        <v>#REF!</v>
      </c>
      <c r="BJ32" s="5" t="e">
        <f>#REF!</f>
        <v>#REF!</v>
      </c>
      <c r="BK32" s="5" t="e">
        <f>#REF!</f>
        <v>#REF!</v>
      </c>
      <c r="BL32" s="5" t="e">
        <f>#REF!</f>
        <v>#REF!</v>
      </c>
      <c r="BM32" s="5" t="e">
        <f>#REF!</f>
        <v>#REF!</v>
      </c>
      <c r="BN32" s="219" t="e">
        <f>#REF!</f>
        <v>#REF!</v>
      </c>
      <c r="BO32" s="45" t="e">
        <f>#REF!</f>
        <v>#REF!</v>
      </c>
      <c r="BP32" s="5" t="e">
        <f>#REF!</f>
        <v>#REF!</v>
      </c>
      <c r="BQ32" s="5" t="e">
        <f>#REF!</f>
        <v>#REF!</v>
      </c>
      <c r="BR32" s="5" t="e">
        <f>#REF!</f>
        <v>#REF!</v>
      </c>
      <c r="BS32" s="5" t="e">
        <f>#REF!</f>
        <v>#REF!</v>
      </c>
      <c r="BT32" s="219" t="e">
        <f>#REF!</f>
        <v>#REF!</v>
      </c>
    </row>
    <row r="33" spans="1:72" ht="20.100000000000001" hidden="1" customHeight="1">
      <c r="A33" s="223" t="s">
        <v>1044</v>
      </c>
      <c r="B33" s="574"/>
      <c r="C33" s="242" t="s">
        <v>570</v>
      </c>
      <c r="D33" s="203" t="e">
        <f>IF(AND(#REF!="x",#REF!="N/A"),"x","N/A")</f>
        <v>#REF!</v>
      </c>
      <c r="E33" s="203" t="e">
        <f>#REF!</f>
        <v>#REF!</v>
      </c>
      <c r="F33" s="44" t="e">
        <f>#REF!</f>
        <v>#REF!</v>
      </c>
      <c r="G33" s="6" t="e">
        <f>#REF!</f>
        <v>#REF!</v>
      </c>
      <c r="H33" s="218" t="e">
        <f>#REF!</f>
        <v>#REF!</v>
      </c>
      <c r="I33" s="200" t="e">
        <f>#REF!</f>
        <v>#REF!</v>
      </c>
      <c r="J33" s="198" t="e">
        <f>#REF!</f>
        <v>#REF!</v>
      </c>
      <c r="K33" s="44" t="e">
        <f>#REF!</f>
        <v>#REF!</v>
      </c>
      <c r="L33" s="6" t="e">
        <f>#REF!</f>
        <v>#REF!</v>
      </c>
      <c r="M33" s="6" t="e">
        <f>#REF!</f>
        <v>#REF!</v>
      </c>
      <c r="N33" s="234" t="e">
        <f>#REF!</f>
        <v>#REF!</v>
      </c>
      <c r="O33" s="234" t="e">
        <f>#REF!</f>
        <v>#REF!</v>
      </c>
      <c r="P33" s="235" t="e">
        <f>#REF!</f>
        <v>#REF!</v>
      </c>
      <c r="Q33" s="204" t="e">
        <f>#REF!</f>
        <v>#REF!</v>
      </c>
      <c r="R33" s="286" t="e">
        <f>#REF!</f>
        <v>#REF!</v>
      </c>
      <c r="S33" s="188" t="e">
        <f>#REF!</f>
        <v>#REF!</v>
      </c>
      <c r="T33" s="189" t="e">
        <f>#REF!</f>
        <v>#REF!</v>
      </c>
      <c r="U33" s="189" t="e">
        <f>#REF!</f>
        <v>#REF!</v>
      </c>
      <c r="V33" s="189" t="e">
        <f>#REF!</f>
        <v>#REF!</v>
      </c>
      <c r="W33" s="189" t="e">
        <f>#REF!</f>
        <v>#REF!</v>
      </c>
      <c r="X33" s="189" t="e">
        <f>#REF!</f>
        <v>#REF!</v>
      </c>
      <c r="Y33" s="189" t="e">
        <f>#REF!</f>
        <v>#REF!</v>
      </c>
      <c r="Z33" s="189" t="e">
        <f>#REF!</f>
        <v>#REF!</v>
      </c>
      <c r="AA33" s="189" t="e">
        <f>#REF!</f>
        <v>#REF!</v>
      </c>
      <c r="AB33" s="5" t="e">
        <f>#REF!</f>
        <v>#REF!</v>
      </c>
      <c r="AC33" s="189" t="e">
        <f>#REF!</f>
        <v>#REF!</v>
      </c>
      <c r="AD33" s="190" t="e">
        <f>#REF!</f>
        <v>#REF!</v>
      </c>
      <c r="AE33" s="250" t="e">
        <f>#REF!</f>
        <v>#REF!</v>
      </c>
      <c r="AF33" s="189" t="e">
        <f>#REF!</f>
        <v>#REF!</v>
      </c>
      <c r="AG33" s="189" t="e">
        <f>#REF!</f>
        <v>#REF!</v>
      </c>
      <c r="AH33" s="189" t="e">
        <f>#REF!</f>
        <v>#REF!</v>
      </c>
      <c r="AI33" s="189" t="e">
        <f>#REF!</f>
        <v>#REF!</v>
      </c>
      <c r="AJ33" s="189" t="e">
        <f>#REF!</f>
        <v>#REF!</v>
      </c>
      <c r="AK33" s="189" t="e">
        <f>#REF!</f>
        <v>#REF!</v>
      </c>
      <c r="AL33" s="189" t="e">
        <f>#REF!</f>
        <v>#REF!</v>
      </c>
      <c r="AM33" s="189" t="e">
        <f>#REF!</f>
        <v>#REF!</v>
      </c>
      <c r="AN33" s="189" t="e">
        <f>#REF!</f>
        <v>#REF!</v>
      </c>
      <c r="AO33" s="189" t="e">
        <f>#REF!</f>
        <v>#REF!</v>
      </c>
      <c r="AP33" s="190" t="e">
        <f>#REF!</f>
        <v>#REF!</v>
      </c>
      <c r="AQ33" s="188" t="e">
        <f>#REF!</f>
        <v>#REF!</v>
      </c>
      <c r="AR33" s="189" t="e">
        <f>#REF!</f>
        <v>#REF!</v>
      </c>
      <c r="AS33" s="189" t="e">
        <f>#REF!</f>
        <v>#REF!</v>
      </c>
      <c r="AT33" s="189" t="e">
        <f>#REF!</f>
        <v>#REF!</v>
      </c>
      <c r="AU33" s="189" t="e">
        <f>#REF!</f>
        <v>#REF!</v>
      </c>
      <c r="AV33" s="189" t="e">
        <f>#REF!</f>
        <v>#REF!</v>
      </c>
      <c r="AW33" s="189" t="e">
        <f>#REF!</f>
        <v>#REF!</v>
      </c>
      <c r="AX33" s="189" t="e">
        <f>#REF!</f>
        <v>#REF!</v>
      </c>
      <c r="AY33" s="189" t="e">
        <f>#REF!</f>
        <v>#REF!</v>
      </c>
      <c r="AZ33" s="189" t="e">
        <f>#REF!</f>
        <v>#REF!</v>
      </c>
      <c r="BA33" s="189" t="e">
        <f>#REF!</f>
        <v>#REF!</v>
      </c>
      <c r="BB33" s="190" t="e">
        <f>#REF!</f>
        <v>#REF!</v>
      </c>
      <c r="BC33" s="188" t="e">
        <f>#REF!</f>
        <v>#REF!</v>
      </c>
      <c r="BD33" s="189" t="e">
        <f>#REF!</f>
        <v>#REF!</v>
      </c>
      <c r="BE33" s="189" t="e">
        <f>#REF!</f>
        <v>#REF!</v>
      </c>
      <c r="BF33" s="189" t="e">
        <f>#REF!</f>
        <v>#REF!</v>
      </c>
      <c r="BG33" s="189" t="e">
        <f>#REF!</f>
        <v>#REF!</v>
      </c>
      <c r="BH33" s="189" t="e">
        <f>#REF!</f>
        <v>#REF!</v>
      </c>
      <c r="BI33" s="189" t="e">
        <f>#REF!</f>
        <v>#REF!</v>
      </c>
      <c r="BJ33" s="189" t="e">
        <f>#REF!</f>
        <v>#REF!</v>
      </c>
      <c r="BK33" s="189" t="e">
        <f>#REF!</f>
        <v>#REF!</v>
      </c>
      <c r="BL33" s="189" t="e">
        <f>#REF!</f>
        <v>#REF!</v>
      </c>
      <c r="BM33" s="189" t="e">
        <f>#REF!</f>
        <v>#REF!</v>
      </c>
      <c r="BN33" s="190" t="e">
        <f>#REF!</f>
        <v>#REF!</v>
      </c>
      <c r="BO33" s="188" t="e">
        <f>#REF!</f>
        <v>#REF!</v>
      </c>
      <c r="BP33" s="189" t="e">
        <f>#REF!</f>
        <v>#REF!</v>
      </c>
      <c r="BQ33" s="189" t="e">
        <f>#REF!</f>
        <v>#REF!</v>
      </c>
      <c r="BR33" s="189" t="e">
        <f>#REF!</f>
        <v>#REF!</v>
      </c>
      <c r="BS33" s="189" t="e">
        <f>#REF!</f>
        <v>#REF!</v>
      </c>
      <c r="BT33" s="190" t="e">
        <f>#REF!</f>
        <v>#REF!</v>
      </c>
    </row>
    <row r="34" spans="1:72" ht="20.100000000000001" hidden="1" customHeight="1">
      <c r="A34" s="222" t="s">
        <v>1045</v>
      </c>
      <c r="B34" s="239" t="s">
        <v>1046</v>
      </c>
      <c r="C34" s="216" t="s">
        <v>1047</v>
      </c>
      <c r="D34" s="157" t="e">
        <f>IF(AND(#REF!="x",#REF!="N/A"),"x","N/A")</f>
        <v>#REF!</v>
      </c>
      <c r="E34" s="157" t="e">
        <f>#REF!</f>
        <v>#REF!</v>
      </c>
      <c r="F34" s="236" t="e">
        <f>#REF!</f>
        <v>#REF!</v>
      </c>
      <c r="G34" s="234" t="e">
        <f>#REF!</f>
        <v>#REF!</v>
      </c>
      <c r="H34" s="235" t="e">
        <f>#REF!</f>
        <v>#REF!</v>
      </c>
      <c r="I34" s="230" t="e">
        <f>#REF!</f>
        <v>#REF!</v>
      </c>
      <c r="J34" s="232" t="e">
        <f>#REF!</f>
        <v>#REF!</v>
      </c>
      <c r="K34" s="236" t="e">
        <f>#REF!</f>
        <v>#REF!</v>
      </c>
      <c r="L34" s="234" t="e">
        <f>#REF!</f>
        <v>#REF!</v>
      </c>
      <c r="M34" s="234" t="e">
        <f>#REF!</f>
        <v>#REF!</v>
      </c>
      <c r="N34" s="234" t="e">
        <f>#REF!</f>
        <v>#REF!</v>
      </c>
      <c r="O34" s="234" t="e">
        <f>#REF!</f>
        <v>#REF!</v>
      </c>
      <c r="P34" s="235" t="e">
        <f>#REF!</f>
        <v>#REF!</v>
      </c>
      <c r="Q34" s="156" t="e">
        <f>#REF!</f>
        <v>#REF!</v>
      </c>
      <c r="R34" s="286" t="e">
        <f>#REF!</f>
        <v>#REF!</v>
      </c>
      <c r="S34" s="108" t="e">
        <f>#REF!</f>
        <v>#REF!</v>
      </c>
      <c r="T34" s="109" t="e">
        <f>#REF!</f>
        <v>#REF!</v>
      </c>
      <c r="U34" s="109" t="e">
        <f>#REF!</f>
        <v>#REF!</v>
      </c>
      <c r="V34" s="109" t="e">
        <f>#REF!</f>
        <v>#REF!</v>
      </c>
      <c r="W34" s="109" t="e">
        <f>#REF!</f>
        <v>#REF!</v>
      </c>
      <c r="X34" s="109" t="e">
        <f>#REF!</f>
        <v>#REF!</v>
      </c>
      <c r="Y34" s="109" t="e">
        <f>#REF!</f>
        <v>#REF!</v>
      </c>
      <c r="Z34" s="109" t="e">
        <f>#REF!</f>
        <v>#REF!</v>
      </c>
      <c r="AA34" s="109" t="e">
        <f>#REF!</f>
        <v>#REF!</v>
      </c>
      <c r="AB34" s="5" t="e">
        <f>#REF!</f>
        <v>#REF!</v>
      </c>
      <c r="AC34" s="109" t="e">
        <f>#REF!</f>
        <v>#REF!</v>
      </c>
      <c r="AD34" s="110" t="e">
        <f>#REF!</f>
        <v>#REF!</v>
      </c>
      <c r="AE34" s="252" t="e">
        <f>#REF!</f>
        <v>#REF!</v>
      </c>
      <c r="AF34" s="109" t="e">
        <f>#REF!</f>
        <v>#REF!</v>
      </c>
      <c r="AG34" s="109" t="e">
        <f>#REF!</f>
        <v>#REF!</v>
      </c>
      <c r="AH34" s="109" t="e">
        <f>#REF!</f>
        <v>#REF!</v>
      </c>
      <c r="AI34" s="109" t="e">
        <f>#REF!</f>
        <v>#REF!</v>
      </c>
      <c r="AJ34" s="109" t="e">
        <f>#REF!</f>
        <v>#REF!</v>
      </c>
      <c r="AK34" s="109" t="e">
        <f>#REF!</f>
        <v>#REF!</v>
      </c>
      <c r="AL34" s="109" t="e">
        <f>#REF!</f>
        <v>#REF!</v>
      </c>
      <c r="AM34" s="109" t="e">
        <f>#REF!</f>
        <v>#REF!</v>
      </c>
      <c r="AN34" s="109" t="e">
        <f>#REF!</f>
        <v>#REF!</v>
      </c>
      <c r="AO34" s="109" t="e">
        <f>#REF!</f>
        <v>#REF!</v>
      </c>
      <c r="AP34" s="110" t="e">
        <f>#REF!</f>
        <v>#REF!</v>
      </c>
      <c r="AQ34" s="108" t="e">
        <f>#REF!</f>
        <v>#REF!</v>
      </c>
      <c r="AR34" s="109" t="e">
        <f>#REF!</f>
        <v>#REF!</v>
      </c>
      <c r="AS34" s="109" t="e">
        <f>#REF!</f>
        <v>#REF!</v>
      </c>
      <c r="AT34" s="109" t="e">
        <f>#REF!</f>
        <v>#REF!</v>
      </c>
      <c r="AU34" s="109" t="e">
        <f>#REF!</f>
        <v>#REF!</v>
      </c>
      <c r="AV34" s="109" t="e">
        <f>#REF!</f>
        <v>#REF!</v>
      </c>
      <c r="AW34" s="109" t="e">
        <f>#REF!</f>
        <v>#REF!</v>
      </c>
      <c r="AX34" s="109" t="e">
        <f>#REF!</f>
        <v>#REF!</v>
      </c>
      <c r="AY34" s="109" t="e">
        <f>#REF!</f>
        <v>#REF!</v>
      </c>
      <c r="AZ34" s="109" t="e">
        <f>#REF!</f>
        <v>#REF!</v>
      </c>
      <c r="BA34" s="109" t="e">
        <f>#REF!</f>
        <v>#REF!</v>
      </c>
      <c r="BB34" s="110" t="e">
        <f>#REF!</f>
        <v>#REF!</v>
      </c>
      <c r="BC34" s="108" t="e">
        <f>#REF!</f>
        <v>#REF!</v>
      </c>
      <c r="BD34" s="109" t="e">
        <f>#REF!</f>
        <v>#REF!</v>
      </c>
      <c r="BE34" s="109" t="e">
        <f>#REF!</f>
        <v>#REF!</v>
      </c>
      <c r="BF34" s="109" t="e">
        <f>#REF!</f>
        <v>#REF!</v>
      </c>
      <c r="BG34" s="109" t="e">
        <f>#REF!</f>
        <v>#REF!</v>
      </c>
      <c r="BH34" s="109" t="e">
        <f>#REF!</f>
        <v>#REF!</v>
      </c>
      <c r="BI34" s="109" t="e">
        <f>#REF!</f>
        <v>#REF!</v>
      </c>
      <c r="BJ34" s="109" t="e">
        <f>#REF!</f>
        <v>#REF!</v>
      </c>
      <c r="BK34" s="109" t="e">
        <f>#REF!</f>
        <v>#REF!</v>
      </c>
      <c r="BL34" s="109" t="e">
        <f>#REF!</f>
        <v>#REF!</v>
      </c>
      <c r="BM34" s="109" t="e">
        <f>#REF!</f>
        <v>#REF!</v>
      </c>
      <c r="BN34" s="110" t="e">
        <f>#REF!</f>
        <v>#REF!</v>
      </c>
      <c r="BO34" s="108" t="e">
        <f>#REF!</f>
        <v>#REF!</v>
      </c>
      <c r="BP34" s="109" t="e">
        <f>#REF!</f>
        <v>#REF!</v>
      </c>
      <c r="BQ34" s="109" t="e">
        <f>#REF!</f>
        <v>#REF!</v>
      </c>
      <c r="BR34" s="109" t="e">
        <f>#REF!</f>
        <v>#REF!</v>
      </c>
      <c r="BS34" s="109" t="e">
        <f>#REF!</f>
        <v>#REF!</v>
      </c>
      <c r="BT34" s="110" t="e">
        <f>#REF!</f>
        <v>#REF!</v>
      </c>
    </row>
    <row r="35" spans="1:72" ht="20.100000000000001" hidden="1" customHeight="1">
      <c r="A35" s="222" t="s">
        <v>1048</v>
      </c>
      <c r="B35" s="239" t="s">
        <v>1049</v>
      </c>
      <c r="C35" s="216" t="s">
        <v>1050</v>
      </c>
      <c r="D35" s="157" t="e">
        <f>IF(AND(#REF!="x",#REF!="N/A"),"x","N/A")</f>
        <v>#REF!</v>
      </c>
      <c r="E35" s="157" t="e">
        <f>#REF!</f>
        <v>#REF!</v>
      </c>
      <c r="F35" s="236" t="e">
        <f>#REF!</f>
        <v>#REF!</v>
      </c>
      <c r="G35" s="234" t="e">
        <f>#REF!</f>
        <v>#REF!</v>
      </c>
      <c r="H35" s="235" t="e">
        <f>#REF!</f>
        <v>#REF!</v>
      </c>
      <c r="I35" s="230" t="e">
        <f>#REF!</f>
        <v>#REF!</v>
      </c>
      <c r="J35" s="232" t="e">
        <f>#REF!</f>
        <v>#REF!</v>
      </c>
      <c r="K35" s="236" t="e">
        <f>#REF!</f>
        <v>#REF!</v>
      </c>
      <c r="L35" s="234" t="e">
        <f>#REF!</f>
        <v>#REF!</v>
      </c>
      <c r="M35" s="234" t="e">
        <f>#REF!</f>
        <v>#REF!</v>
      </c>
      <c r="N35" s="234" t="e">
        <f>#REF!</f>
        <v>#REF!</v>
      </c>
      <c r="O35" s="234" t="e">
        <f>#REF!</f>
        <v>#REF!</v>
      </c>
      <c r="P35" s="235" t="e">
        <f>#REF!</f>
        <v>#REF!</v>
      </c>
      <c r="Q35" s="156" t="e">
        <f>#REF!</f>
        <v>#REF!</v>
      </c>
      <c r="R35" s="286" t="e">
        <f>#REF!</f>
        <v>#REF!</v>
      </c>
      <c r="S35" s="108" t="e">
        <f>#REF!</f>
        <v>#REF!</v>
      </c>
      <c r="T35" s="109" t="e">
        <f>#REF!</f>
        <v>#REF!</v>
      </c>
      <c r="U35" s="109" t="e">
        <f>#REF!</f>
        <v>#REF!</v>
      </c>
      <c r="V35" s="109" t="e">
        <f>#REF!</f>
        <v>#REF!</v>
      </c>
      <c r="W35" s="109" t="e">
        <f>#REF!</f>
        <v>#REF!</v>
      </c>
      <c r="X35" s="109" t="e">
        <f>#REF!</f>
        <v>#REF!</v>
      </c>
      <c r="Y35" s="109" t="e">
        <f>#REF!</f>
        <v>#REF!</v>
      </c>
      <c r="Z35" s="109" t="e">
        <f>#REF!</f>
        <v>#REF!</v>
      </c>
      <c r="AA35" s="109" t="e">
        <f>#REF!</f>
        <v>#REF!</v>
      </c>
      <c r="AB35" s="5" t="e">
        <f>#REF!</f>
        <v>#REF!</v>
      </c>
      <c r="AC35" s="109" t="e">
        <f>#REF!</f>
        <v>#REF!</v>
      </c>
      <c r="AD35" s="110" t="e">
        <f>#REF!</f>
        <v>#REF!</v>
      </c>
      <c r="AE35" s="252" t="e">
        <f>#REF!</f>
        <v>#REF!</v>
      </c>
      <c r="AF35" s="109" t="e">
        <f>#REF!</f>
        <v>#REF!</v>
      </c>
      <c r="AG35" s="109" t="e">
        <f>#REF!</f>
        <v>#REF!</v>
      </c>
      <c r="AH35" s="109" t="e">
        <f>#REF!</f>
        <v>#REF!</v>
      </c>
      <c r="AI35" s="109" t="e">
        <f>#REF!</f>
        <v>#REF!</v>
      </c>
      <c r="AJ35" s="109" t="e">
        <f>#REF!</f>
        <v>#REF!</v>
      </c>
      <c r="AK35" s="109" t="e">
        <f>#REF!</f>
        <v>#REF!</v>
      </c>
      <c r="AL35" s="109" t="e">
        <f>#REF!</f>
        <v>#REF!</v>
      </c>
      <c r="AM35" s="109" t="e">
        <f>#REF!</f>
        <v>#REF!</v>
      </c>
      <c r="AN35" s="109" t="e">
        <f>#REF!</f>
        <v>#REF!</v>
      </c>
      <c r="AO35" s="109" t="e">
        <f>#REF!</f>
        <v>#REF!</v>
      </c>
      <c r="AP35" s="110" t="e">
        <f>#REF!</f>
        <v>#REF!</v>
      </c>
      <c r="AQ35" s="108" t="e">
        <f>#REF!</f>
        <v>#REF!</v>
      </c>
      <c r="AR35" s="109" t="e">
        <f>#REF!</f>
        <v>#REF!</v>
      </c>
      <c r="AS35" s="109" t="e">
        <f>#REF!</f>
        <v>#REF!</v>
      </c>
      <c r="AT35" s="109" t="e">
        <f>#REF!</f>
        <v>#REF!</v>
      </c>
      <c r="AU35" s="109" t="e">
        <f>#REF!</f>
        <v>#REF!</v>
      </c>
      <c r="AV35" s="109" t="e">
        <f>#REF!</f>
        <v>#REF!</v>
      </c>
      <c r="AW35" s="109" t="e">
        <f>#REF!</f>
        <v>#REF!</v>
      </c>
      <c r="AX35" s="109" t="e">
        <f>#REF!</f>
        <v>#REF!</v>
      </c>
      <c r="AY35" s="109" t="e">
        <f>#REF!</f>
        <v>#REF!</v>
      </c>
      <c r="AZ35" s="109" t="e">
        <f>#REF!</f>
        <v>#REF!</v>
      </c>
      <c r="BA35" s="109" t="e">
        <f>#REF!</f>
        <v>#REF!</v>
      </c>
      <c r="BB35" s="110" t="e">
        <f>#REF!</f>
        <v>#REF!</v>
      </c>
      <c r="BC35" s="108" t="e">
        <f>#REF!</f>
        <v>#REF!</v>
      </c>
      <c r="BD35" s="109" t="e">
        <f>#REF!</f>
        <v>#REF!</v>
      </c>
      <c r="BE35" s="109" t="e">
        <f>#REF!</f>
        <v>#REF!</v>
      </c>
      <c r="BF35" s="109" t="e">
        <f>#REF!</f>
        <v>#REF!</v>
      </c>
      <c r="BG35" s="109" t="e">
        <f>#REF!</f>
        <v>#REF!</v>
      </c>
      <c r="BH35" s="109" t="e">
        <f>#REF!</f>
        <v>#REF!</v>
      </c>
      <c r="BI35" s="109" t="e">
        <f>#REF!</f>
        <v>#REF!</v>
      </c>
      <c r="BJ35" s="109" t="e">
        <f>#REF!</f>
        <v>#REF!</v>
      </c>
      <c r="BK35" s="109" t="e">
        <f>#REF!</f>
        <v>#REF!</v>
      </c>
      <c r="BL35" s="109" t="e">
        <f>#REF!</f>
        <v>#REF!</v>
      </c>
      <c r="BM35" s="109" t="e">
        <f>#REF!</f>
        <v>#REF!</v>
      </c>
      <c r="BN35" s="110" t="e">
        <f>#REF!</f>
        <v>#REF!</v>
      </c>
      <c r="BO35" s="108" t="e">
        <f>#REF!</f>
        <v>#REF!</v>
      </c>
      <c r="BP35" s="109" t="e">
        <f>#REF!</f>
        <v>#REF!</v>
      </c>
      <c r="BQ35" s="109" t="e">
        <f>#REF!</f>
        <v>#REF!</v>
      </c>
      <c r="BR35" s="109" t="e">
        <f>#REF!</f>
        <v>#REF!</v>
      </c>
      <c r="BS35" s="109" t="e">
        <f>#REF!</f>
        <v>#REF!</v>
      </c>
      <c r="BT35" s="110" t="e">
        <f>#REF!</f>
        <v>#REF!</v>
      </c>
    </row>
    <row r="36" spans="1:72" ht="20.100000000000001" hidden="1" customHeight="1">
      <c r="A36" s="201" t="s">
        <v>1051</v>
      </c>
      <c r="B36" s="572" t="s">
        <v>1052</v>
      </c>
      <c r="C36" s="244" t="s">
        <v>682</v>
      </c>
      <c r="D36" s="201" t="e">
        <f>IF(AND(#REF!="x",#REF!="N/A"),"x","N/A")</f>
        <v>#REF!</v>
      </c>
      <c r="E36" s="201" t="e">
        <f>#REF!</f>
        <v>#REF!</v>
      </c>
      <c r="F36" s="44" t="e">
        <f>#REF!</f>
        <v>#REF!</v>
      </c>
      <c r="G36" s="6" t="e">
        <f>#REF!</f>
        <v>#REF!</v>
      </c>
      <c r="H36" s="218" t="e">
        <f>#REF!</f>
        <v>#REF!</v>
      </c>
      <c r="I36" s="200" t="e">
        <f>#REF!</f>
        <v>#REF!</v>
      </c>
      <c r="J36" s="198" t="e">
        <f>#REF!</f>
        <v>#REF!</v>
      </c>
      <c r="K36" s="44" t="e">
        <f>#REF!</f>
        <v>#REF!</v>
      </c>
      <c r="L36" s="6" t="e">
        <f>#REF!</f>
        <v>#REF!</v>
      </c>
      <c r="M36" s="6" t="e">
        <f>#REF!</f>
        <v>#REF!</v>
      </c>
      <c r="N36" s="234" t="e">
        <f>#REF!</f>
        <v>#REF!</v>
      </c>
      <c r="O36" s="234" t="e">
        <f>#REF!</f>
        <v>#REF!</v>
      </c>
      <c r="P36" s="235" t="e">
        <f>#REF!</f>
        <v>#REF!</v>
      </c>
      <c r="Q36" s="202" t="e">
        <f>#REF!</f>
        <v>#REF!</v>
      </c>
      <c r="R36" s="286" t="e">
        <f>#REF!</f>
        <v>#REF!</v>
      </c>
      <c r="S36" s="185" t="e">
        <f>#REF!</f>
        <v>#REF!</v>
      </c>
      <c r="T36" s="186" t="e">
        <f>#REF!</f>
        <v>#REF!</v>
      </c>
      <c r="U36" s="186" t="e">
        <f>#REF!</f>
        <v>#REF!</v>
      </c>
      <c r="V36" s="186" t="e">
        <f>#REF!</f>
        <v>#REF!</v>
      </c>
      <c r="W36" s="186" t="e">
        <f>#REF!</f>
        <v>#REF!</v>
      </c>
      <c r="X36" s="186" t="e">
        <f>#REF!</f>
        <v>#REF!</v>
      </c>
      <c r="Y36" s="186" t="e">
        <f>#REF!</f>
        <v>#REF!</v>
      </c>
      <c r="Z36" s="186" t="e">
        <f>#REF!</f>
        <v>#REF!</v>
      </c>
      <c r="AA36" s="186" t="e">
        <f>#REF!</f>
        <v>#REF!</v>
      </c>
      <c r="AB36" s="5" t="e">
        <f>#REF!</f>
        <v>#REF!</v>
      </c>
      <c r="AC36" s="186" t="e">
        <f>#REF!</f>
        <v>#REF!</v>
      </c>
      <c r="AD36" s="187" t="e">
        <f>#REF!</f>
        <v>#REF!</v>
      </c>
      <c r="AE36" s="251" t="e">
        <f>#REF!</f>
        <v>#REF!</v>
      </c>
      <c r="AF36" s="186" t="e">
        <f>#REF!</f>
        <v>#REF!</v>
      </c>
      <c r="AG36" s="186" t="e">
        <f>#REF!</f>
        <v>#REF!</v>
      </c>
      <c r="AH36" s="186" t="e">
        <f>#REF!</f>
        <v>#REF!</v>
      </c>
      <c r="AI36" s="186" t="e">
        <f>#REF!</f>
        <v>#REF!</v>
      </c>
      <c r="AJ36" s="186" t="e">
        <f>#REF!</f>
        <v>#REF!</v>
      </c>
      <c r="AK36" s="186" t="e">
        <f>#REF!</f>
        <v>#REF!</v>
      </c>
      <c r="AL36" s="186" t="e">
        <f>#REF!</f>
        <v>#REF!</v>
      </c>
      <c r="AM36" s="186" t="e">
        <f>#REF!</f>
        <v>#REF!</v>
      </c>
      <c r="AN36" s="186" t="e">
        <f>#REF!</f>
        <v>#REF!</v>
      </c>
      <c r="AO36" s="186" t="e">
        <f>#REF!</f>
        <v>#REF!</v>
      </c>
      <c r="AP36" s="187" t="e">
        <f>#REF!</f>
        <v>#REF!</v>
      </c>
      <c r="AQ36" s="185" t="e">
        <f>#REF!</f>
        <v>#REF!</v>
      </c>
      <c r="AR36" s="186" t="e">
        <f>#REF!</f>
        <v>#REF!</v>
      </c>
      <c r="AS36" s="186" t="e">
        <f>#REF!</f>
        <v>#REF!</v>
      </c>
      <c r="AT36" s="186" t="e">
        <f>#REF!</f>
        <v>#REF!</v>
      </c>
      <c r="AU36" s="186" t="e">
        <f>#REF!</f>
        <v>#REF!</v>
      </c>
      <c r="AV36" s="186" t="e">
        <f>#REF!</f>
        <v>#REF!</v>
      </c>
      <c r="AW36" s="186" t="e">
        <f>#REF!</f>
        <v>#REF!</v>
      </c>
      <c r="AX36" s="186" t="e">
        <f>#REF!</f>
        <v>#REF!</v>
      </c>
      <c r="AY36" s="186" t="e">
        <f>#REF!</f>
        <v>#REF!</v>
      </c>
      <c r="AZ36" s="186" t="e">
        <f>#REF!</f>
        <v>#REF!</v>
      </c>
      <c r="BA36" s="186" t="e">
        <f>#REF!</f>
        <v>#REF!</v>
      </c>
      <c r="BB36" s="187" t="e">
        <f>#REF!</f>
        <v>#REF!</v>
      </c>
      <c r="BC36" s="185" t="e">
        <f>#REF!</f>
        <v>#REF!</v>
      </c>
      <c r="BD36" s="186" t="e">
        <f>#REF!</f>
        <v>#REF!</v>
      </c>
      <c r="BE36" s="186" t="e">
        <f>#REF!</f>
        <v>#REF!</v>
      </c>
      <c r="BF36" s="186" t="e">
        <f>#REF!</f>
        <v>#REF!</v>
      </c>
      <c r="BG36" s="186" t="e">
        <f>#REF!</f>
        <v>#REF!</v>
      </c>
      <c r="BH36" s="186" t="e">
        <f>#REF!</f>
        <v>#REF!</v>
      </c>
      <c r="BI36" s="186" t="e">
        <f>#REF!</f>
        <v>#REF!</v>
      </c>
      <c r="BJ36" s="186" t="e">
        <f>#REF!</f>
        <v>#REF!</v>
      </c>
      <c r="BK36" s="186" t="e">
        <f>#REF!</f>
        <v>#REF!</v>
      </c>
      <c r="BL36" s="186" t="e">
        <f>#REF!</f>
        <v>#REF!</v>
      </c>
      <c r="BM36" s="186" t="e">
        <f>#REF!</f>
        <v>#REF!</v>
      </c>
      <c r="BN36" s="187" t="e">
        <f>#REF!</f>
        <v>#REF!</v>
      </c>
      <c r="BO36" s="185" t="e">
        <f>#REF!</f>
        <v>#REF!</v>
      </c>
      <c r="BP36" s="186" t="e">
        <f>#REF!</f>
        <v>#REF!</v>
      </c>
      <c r="BQ36" s="186" t="e">
        <f>#REF!</f>
        <v>#REF!</v>
      </c>
      <c r="BR36" s="186" t="e">
        <f>#REF!</f>
        <v>#REF!</v>
      </c>
      <c r="BS36" s="186" t="e">
        <f>#REF!</f>
        <v>#REF!</v>
      </c>
      <c r="BT36" s="187" t="e">
        <f>#REF!</f>
        <v>#REF!</v>
      </c>
    </row>
    <row r="37" spans="1:72" s="15" customFormat="1" ht="20.100000000000001" customHeight="1">
      <c r="A37" s="89" t="s">
        <v>1053</v>
      </c>
      <c r="B37" s="573"/>
      <c r="C37" s="216" t="s">
        <v>680</v>
      </c>
      <c r="D37" s="89" t="e">
        <f>IF(AND(#REF!="x",#REF!="N/A"),"x","N/A")</f>
        <v>#REF!</v>
      </c>
      <c r="E37" s="89" t="e">
        <f>#REF!</f>
        <v>#REF!</v>
      </c>
      <c r="F37" s="44" t="e">
        <f>#REF!</f>
        <v>#REF!</v>
      </c>
      <c r="G37" s="6" t="e">
        <f>#REF!</f>
        <v>#REF!</v>
      </c>
      <c r="H37" s="218" t="e">
        <f>#REF!</f>
        <v>#REF!</v>
      </c>
      <c r="I37" s="200" t="e">
        <f>#REF!</f>
        <v>#REF!</v>
      </c>
      <c r="J37" s="198" t="e">
        <f>#REF!</f>
        <v>#REF!</v>
      </c>
      <c r="K37" s="44" t="e">
        <f>#REF!</f>
        <v>#REF!</v>
      </c>
      <c r="L37" s="6" t="e">
        <f>#REF!</f>
        <v>#REF!</v>
      </c>
      <c r="M37" s="6" t="e">
        <f>#REF!</f>
        <v>#REF!</v>
      </c>
      <c r="N37" s="210" t="e">
        <f>#REF!</f>
        <v>#REF!</v>
      </c>
      <c r="O37" s="210" t="e">
        <f>#REF!</f>
        <v>#REF!</v>
      </c>
      <c r="P37" s="233" t="e">
        <f>#REF!</f>
        <v>#REF!</v>
      </c>
      <c r="Q37" s="270" t="e">
        <f>#REF!</f>
        <v>#REF!</v>
      </c>
      <c r="R37" s="286" t="e">
        <f>#REF!</f>
        <v>#REF!</v>
      </c>
      <c r="S37" s="45" t="e">
        <f>#REF!</f>
        <v>#REF!</v>
      </c>
      <c r="T37" s="5" t="e">
        <f>#REF!</f>
        <v>#REF!</v>
      </c>
      <c r="U37" s="5" t="e">
        <f>#REF!</f>
        <v>#REF!</v>
      </c>
      <c r="V37" s="5" t="e">
        <f>#REF!</f>
        <v>#REF!</v>
      </c>
      <c r="W37" s="5" t="e">
        <f>#REF!</f>
        <v>#REF!</v>
      </c>
      <c r="X37" s="5" t="e">
        <f>#REF!</f>
        <v>#REF!</v>
      </c>
      <c r="Y37" s="5" t="e">
        <f>#REF!</f>
        <v>#REF!</v>
      </c>
      <c r="Z37" s="5" t="e">
        <f>#REF!</f>
        <v>#REF!</v>
      </c>
      <c r="AA37" s="5" t="e">
        <f>#REF!</f>
        <v>#REF!</v>
      </c>
      <c r="AB37" s="5" t="e">
        <f>#REF!</f>
        <v>#REF!</v>
      </c>
      <c r="AC37" s="5" t="e">
        <f>#REF!</f>
        <v>#REF!</v>
      </c>
      <c r="AD37" s="219" t="e">
        <f>#REF!</f>
        <v>#REF!</v>
      </c>
      <c r="AE37" s="45" t="e">
        <f>#REF!</f>
        <v>#REF!</v>
      </c>
      <c r="AF37" s="5" t="e">
        <f>#REF!</f>
        <v>#REF!</v>
      </c>
      <c r="AG37" s="5" t="e">
        <f>#REF!</f>
        <v>#REF!</v>
      </c>
      <c r="AH37" s="5" t="e">
        <f>#REF!</f>
        <v>#REF!</v>
      </c>
      <c r="AI37" s="5" t="e">
        <f>#REF!</f>
        <v>#REF!</v>
      </c>
      <c r="AJ37" s="5" t="e">
        <f>#REF!</f>
        <v>#REF!</v>
      </c>
      <c r="AK37" s="5" t="e">
        <f>#REF!</f>
        <v>#REF!</v>
      </c>
      <c r="AL37" s="5" t="e">
        <f>#REF!</f>
        <v>#REF!</v>
      </c>
      <c r="AM37" s="5" t="e">
        <f>#REF!</f>
        <v>#REF!</v>
      </c>
      <c r="AN37" s="5" t="e">
        <f>#REF!</f>
        <v>#REF!</v>
      </c>
      <c r="AO37" s="5" t="e">
        <f>#REF!</f>
        <v>#REF!</v>
      </c>
      <c r="AP37" s="219" t="e">
        <f>#REF!</f>
        <v>#REF!</v>
      </c>
      <c r="AQ37" s="45" t="e">
        <f>#REF!</f>
        <v>#REF!</v>
      </c>
      <c r="AR37" s="5" t="e">
        <f>#REF!</f>
        <v>#REF!</v>
      </c>
      <c r="AS37" s="5" t="e">
        <f>#REF!</f>
        <v>#REF!</v>
      </c>
      <c r="AT37" s="5" t="e">
        <f>#REF!</f>
        <v>#REF!</v>
      </c>
      <c r="AU37" s="5" t="e">
        <f>#REF!</f>
        <v>#REF!</v>
      </c>
      <c r="AV37" s="5" t="e">
        <f>#REF!</f>
        <v>#REF!</v>
      </c>
      <c r="AW37" s="5" t="e">
        <f>#REF!</f>
        <v>#REF!</v>
      </c>
      <c r="AX37" s="5" t="e">
        <f>#REF!</f>
        <v>#REF!</v>
      </c>
      <c r="AY37" s="5" t="e">
        <f>#REF!</f>
        <v>#REF!</v>
      </c>
      <c r="AZ37" s="5" t="e">
        <f>#REF!</f>
        <v>#REF!</v>
      </c>
      <c r="BA37" s="5" t="e">
        <f>#REF!</f>
        <v>#REF!</v>
      </c>
      <c r="BB37" s="219" t="e">
        <f>#REF!</f>
        <v>#REF!</v>
      </c>
      <c r="BC37" s="45" t="e">
        <f>#REF!</f>
        <v>#REF!</v>
      </c>
      <c r="BD37" s="5" t="e">
        <f>#REF!</f>
        <v>#REF!</v>
      </c>
      <c r="BE37" s="5" t="e">
        <f>#REF!</f>
        <v>#REF!</v>
      </c>
      <c r="BF37" s="5" t="e">
        <f>#REF!</f>
        <v>#REF!</v>
      </c>
      <c r="BG37" s="5" t="e">
        <f>#REF!</f>
        <v>#REF!</v>
      </c>
      <c r="BH37" s="5" t="e">
        <f>#REF!</f>
        <v>#REF!</v>
      </c>
      <c r="BI37" s="5" t="e">
        <f>#REF!</f>
        <v>#REF!</v>
      </c>
      <c r="BJ37" s="5" t="e">
        <f>#REF!</f>
        <v>#REF!</v>
      </c>
      <c r="BK37" s="5" t="e">
        <f>#REF!</f>
        <v>#REF!</v>
      </c>
      <c r="BL37" s="5" t="e">
        <f>#REF!</f>
        <v>#REF!</v>
      </c>
      <c r="BM37" s="5" t="e">
        <f>#REF!</f>
        <v>#REF!</v>
      </c>
      <c r="BN37" s="219" t="e">
        <f>#REF!</f>
        <v>#REF!</v>
      </c>
      <c r="BO37" s="45" t="e">
        <f>#REF!</f>
        <v>#REF!</v>
      </c>
      <c r="BP37" s="5" t="e">
        <f>#REF!</f>
        <v>#REF!</v>
      </c>
      <c r="BQ37" s="5" t="e">
        <f>#REF!</f>
        <v>#REF!</v>
      </c>
      <c r="BR37" s="5" t="e">
        <f>#REF!</f>
        <v>#REF!</v>
      </c>
      <c r="BS37" s="5" t="e">
        <f>#REF!</f>
        <v>#REF!</v>
      </c>
      <c r="BT37" s="219" t="e">
        <f>#REF!</f>
        <v>#REF!</v>
      </c>
    </row>
    <row r="38" spans="1:72" s="15" customFormat="1" ht="20.100000000000001" customHeight="1">
      <c r="A38" s="89" t="s">
        <v>1054</v>
      </c>
      <c r="B38" s="573"/>
      <c r="C38" s="216" t="s">
        <v>678</v>
      </c>
      <c r="D38" s="89" t="e">
        <f>IF(AND(#REF!="x",#REF!="N/A"),"x","N/A")</f>
        <v>#REF!</v>
      </c>
      <c r="E38" s="89" t="e">
        <f>#REF!</f>
        <v>#REF!</v>
      </c>
      <c r="F38" s="44" t="e">
        <f>#REF!</f>
        <v>#REF!</v>
      </c>
      <c r="G38" s="6" t="e">
        <f>#REF!</f>
        <v>#REF!</v>
      </c>
      <c r="H38" s="218" t="e">
        <f>#REF!</f>
        <v>#REF!</v>
      </c>
      <c r="I38" s="200" t="e">
        <f>#REF!</f>
        <v>#REF!</v>
      </c>
      <c r="J38" s="198" t="e">
        <f>#REF!</f>
        <v>#REF!</v>
      </c>
      <c r="K38" s="44" t="e">
        <f>#REF!</f>
        <v>#REF!</v>
      </c>
      <c r="L38" s="6" t="e">
        <f>#REF!</f>
        <v>#REF!</v>
      </c>
      <c r="M38" s="6" t="e">
        <f>#REF!</f>
        <v>#REF!</v>
      </c>
      <c r="N38" s="210" t="e">
        <f>#REF!</f>
        <v>#REF!</v>
      </c>
      <c r="O38" s="210" t="e">
        <f>#REF!</f>
        <v>#REF!</v>
      </c>
      <c r="P38" s="233" t="e">
        <f>#REF!</f>
        <v>#REF!</v>
      </c>
      <c r="Q38" s="270" t="e">
        <f>#REF!</f>
        <v>#REF!</v>
      </c>
      <c r="R38" s="286" t="e">
        <f>#REF!</f>
        <v>#REF!</v>
      </c>
      <c r="S38" s="45" t="e">
        <f>#REF!</f>
        <v>#REF!</v>
      </c>
      <c r="T38" s="5" t="e">
        <f>#REF!</f>
        <v>#REF!</v>
      </c>
      <c r="U38" s="5" t="e">
        <f>#REF!</f>
        <v>#REF!</v>
      </c>
      <c r="V38" s="5" t="e">
        <f>#REF!</f>
        <v>#REF!</v>
      </c>
      <c r="W38" s="5" t="e">
        <f>#REF!</f>
        <v>#REF!</v>
      </c>
      <c r="X38" s="5" t="e">
        <f>#REF!</f>
        <v>#REF!</v>
      </c>
      <c r="Y38" s="5" t="e">
        <f>#REF!</f>
        <v>#REF!</v>
      </c>
      <c r="Z38" s="5" t="e">
        <f>#REF!</f>
        <v>#REF!</v>
      </c>
      <c r="AA38" s="5" t="e">
        <f>#REF!</f>
        <v>#REF!</v>
      </c>
      <c r="AB38" s="5" t="e">
        <f>#REF!</f>
        <v>#REF!</v>
      </c>
      <c r="AC38" s="5" t="e">
        <f>#REF!</f>
        <v>#REF!</v>
      </c>
      <c r="AD38" s="219" t="e">
        <f>#REF!</f>
        <v>#REF!</v>
      </c>
      <c r="AE38" s="45" t="e">
        <f>#REF!</f>
        <v>#REF!</v>
      </c>
      <c r="AF38" s="5" t="e">
        <f>#REF!</f>
        <v>#REF!</v>
      </c>
      <c r="AG38" s="5" t="e">
        <f>#REF!</f>
        <v>#REF!</v>
      </c>
      <c r="AH38" s="5" t="e">
        <f>#REF!</f>
        <v>#REF!</v>
      </c>
      <c r="AI38" s="5" t="e">
        <f>#REF!</f>
        <v>#REF!</v>
      </c>
      <c r="AJ38" s="5" t="e">
        <f>#REF!</f>
        <v>#REF!</v>
      </c>
      <c r="AK38" s="5" t="e">
        <f>#REF!</f>
        <v>#REF!</v>
      </c>
      <c r="AL38" s="5" t="e">
        <f>#REF!</f>
        <v>#REF!</v>
      </c>
      <c r="AM38" s="5" t="e">
        <f>#REF!</f>
        <v>#REF!</v>
      </c>
      <c r="AN38" s="5" t="e">
        <f>#REF!</f>
        <v>#REF!</v>
      </c>
      <c r="AO38" s="5" t="e">
        <f>#REF!</f>
        <v>#REF!</v>
      </c>
      <c r="AP38" s="219" t="e">
        <f>#REF!</f>
        <v>#REF!</v>
      </c>
      <c r="AQ38" s="45" t="e">
        <f>#REF!</f>
        <v>#REF!</v>
      </c>
      <c r="AR38" s="5" t="e">
        <f>#REF!</f>
        <v>#REF!</v>
      </c>
      <c r="AS38" s="5" t="e">
        <f>#REF!</f>
        <v>#REF!</v>
      </c>
      <c r="AT38" s="5" t="e">
        <f>#REF!</f>
        <v>#REF!</v>
      </c>
      <c r="AU38" s="5" t="e">
        <f>#REF!</f>
        <v>#REF!</v>
      </c>
      <c r="AV38" s="5" t="e">
        <f>#REF!</f>
        <v>#REF!</v>
      </c>
      <c r="AW38" s="5" t="e">
        <f>#REF!</f>
        <v>#REF!</v>
      </c>
      <c r="AX38" s="5" t="e">
        <f>#REF!</f>
        <v>#REF!</v>
      </c>
      <c r="AY38" s="5" t="e">
        <f>#REF!</f>
        <v>#REF!</v>
      </c>
      <c r="AZ38" s="5" t="e">
        <f>#REF!</f>
        <v>#REF!</v>
      </c>
      <c r="BA38" s="5" t="e">
        <f>#REF!</f>
        <v>#REF!</v>
      </c>
      <c r="BB38" s="219" t="e">
        <f>#REF!</f>
        <v>#REF!</v>
      </c>
      <c r="BC38" s="45" t="e">
        <f>#REF!</f>
        <v>#REF!</v>
      </c>
      <c r="BD38" s="5" t="e">
        <f>#REF!</f>
        <v>#REF!</v>
      </c>
      <c r="BE38" s="5" t="e">
        <f>#REF!</f>
        <v>#REF!</v>
      </c>
      <c r="BF38" s="5" t="e">
        <f>#REF!</f>
        <v>#REF!</v>
      </c>
      <c r="BG38" s="5" t="e">
        <f>#REF!</f>
        <v>#REF!</v>
      </c>
      <c r="BH38" s="5" t="e">
        <f>#REF!</f>
        <v>#REF!</v>
      </c>
      <c r="BI38" s="5" t="e">
        <f>#REF!</f>
        <v>#REF!</v>
      </c>
      <c r="BJ38" s="5" t="e">
        <f>#REF!</f>
        <v>#REF!</v>
      </c>
      <c r="BK38" s="5" t="e">
        <f>#REF!</f>
        <v>#REF!</v>
      </c>
      <c r="BL38" s="5" t="e">
        <f>#REF!</f>
        <v>#REF!</v>
      </c>
      <c r="BM38" s="5" t="e">
        <f>#REF!</f>
        <v>#REF!</v>
      </c>
      <c r="BN38" s="219" t="e">
        <f>#REF!</f>
        <v>#REF!</v>
      </c>
      <c r="BO38" s="45" t="e">
        <f>#REF!</f>
        <v>#REF!</v>
      </c>
      <c r="BP38" s="5" t="e">
        <f>#REF!</f>
        <v>#REF!</v>
      </c>
      <c r="BQ38" s="5" t="e">
        <f>#REF!</f>
        <v>#REF!</v>
      </c>
      <c r="BR38" s="5" t="e">
        <f>#REF!</f>
        <v>#REF!</v>
      </c>
      <c r="BS38" s="5" t="e">
        <f>#REF!</f>
        <v>#REF!</v>
      </c>
      <c r="BT38" s="219" t="e">
        <f>#REF!</f>
        <v>#REF!</v>
      </c>
    </row>
    <row r="39" spans="1:72" s="15" customFormat="1" ht="20.100000000000001" hidden="1" customHeight="1">
      <c r="A39" s="89" t="s">
        <v>1055</v>
      </c>
      <c r="B39" s="573"/>
      <c r="C39" s="216" t="s">
        <v>684</v>
      </c>
      <c r="D39" s="89" t="e">
        <f>IF(AND(#REF!="x",#REF!="N/A"),"x","N/A")</f>
        <v>#REF!</v>
      </c>
      <c r="E39" s="89" t="e">
        <f>#REF!</f>
        <v>#REF!</v>
      </c>
      <c r="F39" s="44" t="e">
        <f>#REF!</f>
        <v>#REF!</v>
      </c>
      <c r="G39" s="6" t="e">
        <f>#REF!</f>
        <v>#REF!</v>
      </c>
      <c r="H39" s="218" t="e">
        <f>#REF!</f>
        <v>#REF!</v>
      </c>
      <c r="I39" s="200" t="e">
        <f>#REF!</f>
        <v>#REF!</v>
      </c>
      <c r="J39" s="198" t="e">
        <f>#REF!</f>
        <v>#REF!</v>
      </c>
      <c r="K39" s="44" t="e">
        <f>#REF!</f>
        <v>#REF!</v>
      </c>
      <c r="L39" s="6" t="e">
        <f>#REF!</f>
        <v>#REF!</v>
      </c>
      <c r="M39" s="6" t="e">
        <f>#REF!</f>
        <v>#REF!</v>
      </c>
      <c r="N39" s="210" t="e">
        <f>#REF!</f>
        <v>#REF!</v>
      </c>
      <c r="O39" s="210" t="e">
        <f>#REF!</f>
        <v>#REF!</v>
      </c>
      <c r="P39" s="233" t="e">
        <f>#REF!</f>
        <v>#REF!</v>
      </c>
      <c r="Q39" s="270" t="e">
        <f>#REF!</f>
        <v>#REF!</v>
      </c>
      <c r="R39" s="286" t="e">
        <f>#REF!</f>
        <v>#REF!</v>
      </c>
      <c r="S39" s="45" t="e">
        <f>#REF!</f>
        <v>#REF!</v>
      </c>
      <c r="T39" s="5" t="e">
        <f>#REF!</f>
        <v>#REF!</v>
      </c>
      <c r="U39" s="5" t="e">
        <f>#REF!</f>
        <v>#REF!</v>
      </c>
      <c r="V39" s="5" t="e">
        <f>#REF!</f>
        <v>#REF!</v>
      </c>
      <c r="W39" s="5"/>
      <c r="X39" s="5"/>
      <c r="Y39" s="5"/>
      <c r="Z39" s="5"/>
      <c r="AA39" s="5"/>
      <c r="AB39" s="5"/>
      <c r="AC39" s="5"/>
      <c r="AD39" s="219"/>
      <c r="AE39" s="45"/>
      <c r="AF39" s="5"/>
      <c r="AG39" s="5"/>
      <c r="AH39" s="5"/>
      <c r="AI39" s="5"/>
      <c r="AJ39" s="5"/>
      <c r="AK39" s="5"/>
      <c r="AL39" s="5"/>
      <c r="AM39" s="5" t="e">
        <f>#REF!</f>
        <v>#REF!</v>
      </c>
      <c r="AN39" s="5" t="e">
        <f>#REF!</f>
        <v>#REF!</v>
      </c>
      <c r="AO39" s="5" t="e">
        <f>#REF!</f>
        <v>#REF!</v>
      </c>
      <c r="AP39" s="219" t="e">
        <f>#REF!</f>
        <v>#REF!</v>
      </c>
      <c r="AQ39" s="45" t="e">
        <f>#REF!</f>
        <v>#REF!</v>
      </c>
      <c r="AR39" s="5" t="e">
        <f>#REF!</f>
        <v>#REF!</v>
      </c>
      <c r="AS39" s="5" t="e">
        <f>#REF!</f>
        <v>#REF!</v>
      </c>
      <c r="AT39" s="5" t="e">
        <f>#REF!</f>
        <v>#REF!</v>
      </c>
      <c r="AU39" s="5" t="e">
        <f>#REF!</f>
        <v>#REF!</v>
      </c>
      <c r="AV39" s="5" t="e">
        <f>#REF!</f>
        <v>#REF!</v>
      </c>
      <c r="AW39" s="5" t="e">
        <f>#REF!</f>
        <v>#REF!</v>
      </c>
      <c r="AX39" s="5" t="e">
        <f>#REF!</f>
        <v>#REF!</v>
      </c>
      <c r="AY39" s="5" t="e">
        <f>#REF!</f>
        <v>#REF!</v>
      </c>
      <c r="AZ39" s="5" t="e">
        <f>#REF!</f>
        <v>#REF!</v>
      </c>
      <c r="BA39" s="5" t="e">
        <f>#REF!</f>
        <v>#REF!</v>
      </c>
      <c r="BB39" s="219" t="e">
        <f>#REF!</f>
        <v>#REF!</v>
      </c>
      <c r="BC39" s="45" t="e">
        <f>#REF!</f>
        <v>#REF!</v>
      </c>
      <c r="BD39" s="5" t="e">
        <f>#REF!</f>
        <v>#REF!</v>
      </c>
      <c r="BE39" s="5" t="e">
        <f>#REF!</f>
        <v>#REF!</v>
      </c>
      <c r="BF39" s="5" t="e">
        <f>#REF!</f>
        <v>#REF!</v>
      </c>
      <c r="BG39" s="5" t="e">
        <f>#REF!</f>
        <v>#REF!</v>
      </c>
      <c r="BH39" s="5" t="e">
        <f>#REF!</f>
        <v>#REF!</v>
      </c>
      <c r="BI39" s="5" t="e">
        <f>#REF!</f>
        <v>#REF!</v>
      </c>
      <c r="BJ39" s="5" t="e">
        <f>#REF!</f>
        <v>#REF!</v>
      </c>
      <c r="BK39" s="5" t="e">
        <f>#REF!</f>
        <v>#REF!</v>
      </c>
      <c r="BL39" s="5" t="e">
        <f>#REF!</f>
        <v>#REF!</v>
      </c>
      <c r="BM39" s="5" t="e">
        <f>#REF!</f>
        <v>#REF!</v>
      </c>
      <c r="BN39" s="219" t="e">
        <f>#REF!</f>
        <v>#REF!</v>
      </c>
      <c r="BO39" s="45" t="e">
        <f>#REF!</f>
        <v>#REF!</v>
      </c>
      <c r="BP39" s="5" t="e">
        <f>#REF!</f>
        <v>#REF!</v>
      </c>
      <c r="BQ39" s="5" t="e">
        <f>#REF!</f>
        <v>#REF!</v>
      </c>
      <c r="BR39" s="5" t="e">
        <f>#REF!</f>
        <v>#REF!</v>
      </c>
      <c r="BS39" s="5" t="e">
        <f>#REF!</f>
        <v>#REF!</v>
      </c>
      <c r="BT39" s="219" t="e">
        <f>#REF!</f>
        <v>#REF!</v>
      </c>
    </row>
    <row r="40" spans="1:72" ht="20.100000000000001" hidden="1" customHeight="1">
      <c r="A40" s="203" t="s">
        <v>1056</v>
      </c>
      <c r="B40" s="241" t="s">
        <v>1057</v>
      </c>
      <c r="C40" s="245" t="s">
        <v>708</v>
      </c>
      <c r="D40" s="203" t="e">
        <f>IF(AND(#REF!="x",#REF!="N/A"),"x","N/A")</f>
        <v>#REF!</v>
      </c>
      <c r="E40" s="203" t="e">
        <f>#REF!</f>
        <v>#REF!</v>
      </c>
      <c r="F40" s="44" t="e">
        <f>#REF!</f>
        <v>#REF!</v>
      </c>
      <c r="G40" s="6" t="e">
        <f>#REF!</f>
        <v>#REF!</v>
      </c>
      <c r="H40" s="218" t="e">
        <f>#REF!</f>
        <v>#REF!</v>
      </c>
      <c r="I40" s="200" t="e">
        <f>#REF!</f>
        <v>#REF!</v>
      </c>
      <c r="J40" s="198" t="e">
        <f>#REF!</f>
        <v>#REF!</v>
      </c>
      <c r="K40" s="44" t="e">
        <f>#REF!</f>
        <v>#REF!</v>
      </c>
      <c r="L40" s="6" t="e">
        <f>#REF!</f>
        <v>#REF!</v>
      </c>
      <c r="M40" s="6" t="e">
        <f>#REF!</f>
        <v>#REF!</v>
      </c>
      <c r="N40" s="234" t="e">
        <f>#REF!</f>
        <v>#REF!</v>
      </c>
      <c r="O40" s="234" t="e">
        <f>#REF!</f>
        <v>#REF!</v>
      </c>
      <c r="P40" s="235" t="e">
        <f>#REF!</f>
        <v>#REF!</v>
      </c>
      <c r="Q40" s="204" t="e">
        <f>#REF!</f>
        <v>#REF!</v>
      </c>
      <c r="R40" s="286" t="e">
        <f>#REF!</f>
        <v>#REF!</v>
      </c>
      <c r="S40" s="188" t="e">
        <f>#REF!</f>
        <v>#REF!</v>
      </c>
      <c r="T40" s="189" t="e">
        <f>#REF!</f>
        <v>#REF!</v>
      </c>
      <c r="U40" s="189" t="e">
        <f>#REF!</f>
        <v>#REF!</v>
      </c>
      <c r="V40" s="189" t="e">
        <f>#REF!</f>
        <v>#REF!</v>
      </c>
      <c r="W40" s="189" t="e">
        <f>#REF!</f>
        <v>#REF!</v>
      </c>
      <c r="X40" s="189" t="e">
        <f>#REF!</f>
        <v>#REF!</v>
      </c>
      <c r="Y40" s="189" t="e">
        <f>#REF!</f>
        <v>#REF!</v>
      </c>
      <c r="Z40" s="189" t="e">
        <f>#REF!</f>
        <v>#REF!</v>
      </c>
      <c r="AA40" s="189" t="e">
        <f>#REF!</f>
        <v>#REF!</v>
      </c>
      <c r="AB40" s="5" t="e">
        <f>#REF!</f>
        <v>#REF!</v>
      </c>
      <c r="AC40" s="189" t="e">
        <f>#REF!</f>
        <v>#REF!</v>
      </c>
      <c r="AD40" s="190" t="e">
        <f>#REF!</f>
        <v>#REF!</v>
      </c>
      <c r="AE40" s="250" t="e">
        <f>#REF!</f>
        <v>#REF!</v>
      </c>
      <c r="AF40" s="189" t="e">
        <f>#REF!</f>
        <v>#REF!</v>
      </c>
      <c r="AG40" s="189" t="e">
        <f>#REF!</f>
        <v>#REF!</v>
      </c>
      <c r="AH40" s="189" t="e">
        <f>#REF!</f>
        <v>#REF!</v>
      </c>
      <c r="AI40" s="189" t="e">
        <f>#REF!</f>
        <v>#REF!</v>
      </c>
      <c r="AJ40" s="189" t="e">
        <f>#REF!</f>
        <v>#REF!</v>
      </c>
      <c r="AK40" s="189" t="e">
        <f>#REF!</f>
        <v>#REF!</v>
      </c>
      <c r="AL40" s="189" t="e">
        <f>#REF!</f>
        <v>#REF!</v>
      </c>
      <c r="AM40" s="189" t="e">
        <f>#REF!</f>
        <v>#REF!</v>
      </c>
      <c r="AN40" s="189" t="e">
        <f>#REF!</f>
        <v>#REF!</v>
      </c>
      <c r="AO40" s="189" t="e">
        <f>#REF!</f>
        <v>#REF!</v>
      </c>
      <c r="AP40" s="190" t="e">
        <f>#REF!</f>
        <v>#REF!</v>
      </c>
      <c r="AQ40" s="188" t="e">
        <f>#REF!</f>
        <v>#REF!</v>
      </c>
      <c r="AR40" s="189" t="e">
        <f>#REF!</f>
        <v>#REF!</v>
      </c>
      <c r="AS40" s="189" t="e">
        <f>#REF!</f>
        <v>#REF!</v>
      </c>
      <c r="AT40" s="189" t="e">
        <f>#REF!</f>
        <v>#REF!</v>
      </c>
      <c r="AU40" s="189" t="e">
        <f>#REF!</f>
        <v>#REF!</v>
      </c>
      <c r="AV40" s="189" t="e">
        <f>#REF!</f>
        <v>#REF!</v>
      </c>
      <c r="AW40" s="189" t="e">
        <f>#REF!</f>
        <v>#REF!</v>
      </c>
      <c r="AX40" s="189" t="e">
        <f>#REF!</f>
        <v>#REF!</v>
      </c>
      <c r="AY40" s="189" t="e">
        <f>#REF!</f>
        <v>#REF!</v>
      </c>
      <c r="AZ40" s="189" t="e">
        <f>#REF!</f>
        <v>#REF!</v>
      </c>
      <c r="BA40" s="189" t="e">
        <f>#REF!</f>
        <v>#REF!</v>
      </c>
      <c r="BB40" s="190" t="e">
        <f>#REF!</f>
        <v>#REF!</v>
      </c>
      <c r="BC40" s="188" t="e">
        <f>#REF!</f>
        <v>#REF!</v>
      </c>
      <c r="BD40" s="189" t="e">
        <f>#REF!</f>
        <v>#REF!</v>
      </c>
      <c r="BE40" s="189" t="e">
        <f>#REF!</f>
        <v>#REF!</v>
      </c>
      <c r="BF40" s="189" t="e">
        <f>#REF!</f>
        <v>#REF!</v>
      </c>
      <c r="BG40" s="189" t="e">
        <f>#REF!</f>
        <v>#REF!</v>
      </c>
      <c r="BH40" s="189" t="e">
        <f>#REF!</f>
        <v>#REF!</v>
      </c>
      <c r="BI40" s="189" t="e">
        <f>#REF!</f>
        <v>#REF!</v>
      </c>
      <c r="BJ40" s="189" t="e">
        <f>#REF!</f>
        <v>#REF!</v>
      </c>
      <c r="BK40" s="189" t="e">
        <f>#REF!</f>
        <v>#REF!</v>
      </c>
      <c r="BL40" s="189" t="e">
        <f>#REF!</f>
        <v>#REF!</v>
      </c>
      <c r="BM40" s="189" t="e">
        <f>#REF!</f>
        <v>#REF!</v>
      </c>
      <c r="BN40" s="190" t="e">
        <f>#REF!</f>
        <v>#REF!</v>
      </c>
      <c r="BO40" s="188" t="e">
        <f>#REF!</f>
        <v>#REF!</v>
      </c>
      <c r="BP40" s="189" t="e">
        <f>#REF!</f>
        <v>#REF!</v>
      </c>
      <c r="BQ40" s="189" t="e">
        <f>#REF!</f>
        <v>#REF!</v>
      </c>
      <c r="BR40" s="189" t="e">
        <f>#REF!</f>
        <v>#REF!</v>
      </c>
      <c r="BS40" s="189" t="e">
        <f>#REF!</f>
        <v>#REF!</v>
      </c>
      <c r="BT40" s="190" t="e">
        <f>#REF!</f>
        <v>#REF!</v>
      </c>
    </row>
    <row r="41" spans="1:72" s="15" customFormat="1" ht="19.5" customHeight="1">
      <c r="A41" s="89" t="s">
        <v>1058</v>
      </c>
      <c r="B41" s="573" t="s">
        <v>1059</v>
      </c>
      <c r="C41" s="266" t="s">
        <v>1060</v>
      </c>
      <c r="D41" s="89" t="e">
        <f>IF(AND(#REF!="x",#REF!="N/A"),"x","N/A")</f>
        <v>#REF!</v>
      </c>
      <c r="E41" s="89" t="e">
        <f>#REF!</f>
        <v>#REF!</v>
      </c>
      <c r="F41" s="44" t="e">
        <f>#REF!</f>
        <v>#REF!</v>
      </c>
      <c r="G41" s="6" t="e">
        <f>#REF!</f>
        <v>#REF!</v>
      </c>
      <c r="H41" s="218" t="e">
        <f>#REF!</f>
        <v>#REF!</v>
      </c>
      <c r="I41" s="200" t="e">
        <f>#REF!</f>
        <v>#REF!</v>
      </c>
      <c r="J41" s="198" t="e">
        <f>#REF!</f>
        <v>#REF!</v>
      </c>
      <c r="K41" s="44" t="e">
        <f>#REF!</f>
        <v>#REF!</v>
      </c>
      <c r="L41" s="6" t="e">
        <f>#REF!</f>
        <v>#REF!</v>
      </c>
      <c r="M41" s="6" t="e">
        <f>#REF!</f>
        <v>#REF!</v>
      </c>
      <c r="N41" s="6" t="e">
        <f>#REF!</f>
        <v>#REF!</v>
      </c>
      <c r="O41" s="6" t="e">
        <f>#REF!</f>
        <v>#REF!</v>
      </c>
      <c r="P41" s="218" t="e">
        <f>#REF!</f>
        <v>#REF!</v>
      </c>
      <c r="Q41" s="270" t="e">
        <f>#REF!</f>
        <v>#REF!</v>
      </c>
      <c r="R41" s="286" t="e">
        <f>#REF!</f>
        <v>#REF!</v>
      </c>
      <c r="S41" s="45" t="e">
        <f>#REF!</f>
        <v>#REF!</v>
      </c>
      <c r="T41" s="5" t="e">
        <f>#REF!</f>
        <v>#REF!</v>
      </c>
      <c r="U41" s="5" t="e">
        <f>#REF!</f>
        <v>#REF!</v>
      </c>
      <c r="V41" s="5" t="e">
        <f>#REF!</f>
        <v>#REF!</v>
      </c>
      <c r="W41" s="5" t="e">
        <f>#REF!</f>
        <v>#REF!</v>
      </c>
      <c r="X41" s="5" t="e">
        <f>#REF!</f>
        <v>#REF!</v>
      </c>
      <c r="Y41" s="5" t="e">
        <f>#REF!</f>
        <v>#REF!</v>
      </c>
      <c r="Z41" s="5" t="e">
        <f>#REF!</f>
        <v>#REF!</v>
      </c>
      <c r="AA41" s="5" t="e">
        <f>#REF!</f>
        <v>#REF!</v>
      </c>
      <c r="AB41" s="5" t="e">
        <f>#REF!</f>
        <v>#REF!</v>
      </c>
      <c r="AC41" s="5" t="e">
        <f>#REF!</f>
        <v>#REF!</v>
      </c>
      <c r="AD41" s="219" t="e">
        <f>#REF!</f>
        <v>#REF!</v>
      </c>
      <c r="AE41" s="45" t="e">
        <f>#REF!</f>
        <v>#REF!</v>
      </c>
      <c r="AF41" s="5" t="e">
        <f>#REF!</f>
        <v>#REF!</v>
      </c>
      <c r="AG41" s="5" t="e">
        <f>#REF!</f>
        <v>#REF!</v>
      </c>
      <c r="AH41" s="5" t="e">
        <f>#REF!</f>
        <v>#REF!</v>
      </c>
      <c r="AI41" s="5" t="e">
        <f>#REF!</f>
        <v>#REF!</v>
      </c>
      <c r="AJ41" s="5" t="e">
        <f>#REF!</f>
        <v>#REF!</v>
      </c>
      <c r="AK41" s="5" t="e">
        <f>#REF!</f>
        <v>#REF!</v>
      </c>
      <c r="AL41" s="5" t="e">
        <f>#REF!</f>
        <v>#REF!</v>
      </c>
      <c r="AM41" s="5" t="e">
        <f>#REF!</f>
        <v>#REF!</v>
      </c>
      <c r="AN41" s="5" t="e">
        <f>#REF!</f>
        <v>#REF!</v>
      </c>
      <c r="AO41" s="5" t="e">
        <f>#REF!</f>
        <v>#REF!</v>
      </c>
      <c r="AP41" s="219" t="e">
        <f>#REF!</f>
        <v>#REF!</v>
      </c>
      <c r="AQ41" s="45" t="e">
        <f>#REF!</f>
        <v>#REF!</v>
      </c>
      <c r="AR41" s="5" t="e">
        <f>#REF!</f>
        <v>#REF!</v>
      </c>
      <c r="AS41" s="5" t="e">
        <f>#REF!</f>
        <v>#REF!</v>
      </c>
      <c r="AT41" s="5" t="e">
        <f>#REF!</f>
        <v>#REF!</v>
      </c>
      <c r="AU41" s="5" t="e">
        <f>#REF!</f>
        <v>#REF!</v>
      </c>
      <c r="AV41" s="5" t="e">
        <f>#REF!</f>
        <v>#REF!</v>
      </c>
      <c r="AW41" s="5" t="e">
        <f>#REF!</f>
        <v>#REF!</v>
      </c>
      <c r="AX41" s="5" t="e">
        <f>#REF!</f>
        <v>#REF!</v>
      </c>
      <c r="AY41" s="5" t="e">
        <f>#REF!</f>
        <v>#REF!</v>
      </c>
      <c r="AZ41" s="5" t="e">
        <f>#REF!</f>
        <v>#REF!</v>
      </c>
      <c r="BA41" s="5" t="e">
        <f>#REF!</f>
        <v>#REF!</v>
      </c>
      <c r="BB41" s="219" t="e">
        <f>#REF!</f>
        <v>#REF!</v>
      </c>
      <c r="BC41" s="45" t="e">
        <f>#REF!</f>
        <v>#REF!</v>
      </c>
      <c r="BD41" s="5" t="e">
        <f>#REF!</f>
        <v>#REF!</v>
      </c>
      <c r="BE41" s="5" t="e">
        <f>#REF!</f>
        <v>#REF!</v>
      </c>
      <c r="BF41" s="5" t="e">
        <f>#REF!</f>
        <v>#REF!</v>
      </c>
      <c r="BG41" s="5" t="e">
        <f>#REF!</f>
        <v>#REF!</v>
      </c>
      <c r="BH41" s="5" t="e">
        <f>#REF!</f>
        <v>#REF!</v>
      </c>
      <c r="BI41" s="5" t="e">
        <f>#REF!</f>
        <v>#REF!</v>
      </c>
      <c r="BJ41" s="5" t="e">
        <f>#REF!</f>
        <v>#REF!</v>
      </c>
      <c r="BK41" s="5" t="e">
        <f>#REF!</f>
        <v>#REF!</v>
      </c>
      <c r="BL41" s="5" t="e">
        <f>#REF!</f>
        <v>#REF!</v>
      </c>
      <c r="BM41" s="5" t="e">
        <f>#REF!</f>
        <v>#REF!</v>
      </c>
      <c r="BN41" s="219" t="e">
        <f>#REF!</f>
        <v>#REF!</v>
      </c>
      <c r="BO41" s="45" t="e">
        <f>#REF!</f>
        <v>#REF!</v>
      </c>
      <c r="BP41" s="5" t="e">
        <f>#REF!</f>
        <v>#REF!</v>
      </c>
      <c r="BQ41" s="5" t="e">
        <f>#REF!</f>
        <v>#REF!</v>
      </c>
      <c r="BR41" s="5" t="e">
        <f>#REF!</f>
        <v>#REF!</v>
      </c>
      <c r="BS41" s="5" t="e">
        <f>#REF!</f>
        <v>#REF!</v>
      </c>
      <c r="BT41" s="219" t="e">
        <f>#REF!</f>
        <v>#REF!</v>
      </c>
    </row>
    <row r="42" spans="1:72" ht="14.45" hidden="1" customHeight="1">
      <c r="A42" s="206" t="s">
        <v>1061</v>
      </c>
      <c r="B42" s="578"/>
      <c r="C42" s="247" t="s">
        <v>732</v>
      </c>
      <c r="D42" s="206" t="e">
        <f>IF(AND(#REF!="x",#REF!="N/A"),"x","N/A")</f>
        <v>#REF!</v>
      </c>
      <c r="E42" s="206" t="e">
        <f>#REF!</f>
        <v>#REF!</v>
      </c>
      <c r="F42" s="44" t="e">
        <f>#REF!</f>
        <v>#REF!</v>
      </c>
      <c r="G42" s="6" t="e">
        <f>#REF!</f>
        <v>#REF!</v>
      </c>
      <c r="H42" s="218" t="e">
        <f>#REF!</f>
        <v>#REF!</v>
      </c>
      <c r="I42" s="200" t="e">
        <f>#REF!</f>
        <v>#REF!</v>
      </c>
      <c r="J42" s="198" t="e">
        <f>#REF!</f>
        <v>#REF!</v>
      </c>
      <c r="K42" s="44" t="e">
        <f>#REF!</f>
        <v>#REF!</v>
      </c>
      <c r="L42" s="6" t="e">
        <f>#REF!</f>
        <v>#REF!</v>
      </c>
      <c r="M42" s="6" t="e">
        <f>#REF!</f>
        <v>#REF!</v>
      </c>
      <c r="N42" s="234" t="e">
        <f>#REF!</f>
        <v>#REF!</v>
      </c>
      <c r="O42" s="234" t="e">
        <f>#REF!</f>
        <v>#REF!</v>
      </c>
      <c r="P42" s="235" t="e">
        <f>#REF!</f>
        <v>#REF!</v>
      </c>
      <c r="Q42" s="207" t="e">
        <f>#REF!</f>
        <v>#REF!</v>
      </c>
      <c r="R42" s="286" t="e">
        <f>#REF!</f>
        <v>#REF!</v>
      </c>
      <c r="S42" s="191" t="e">
        <f>#REF!</f>
        <v>#REF!</v>
      </c>
      <c r="T42" s="192" t="e">
        <f>#REF!</f>
        <v>#REF!</v>
      </c>
      <c r="U42" s="192" t="e">
        <f>#REF!</f>
        <v>#REF!</v>
      </c>
      <c r="V42" s="192" t="e">
        <f>#REF!</f>
        <v>#REF!</v>
      </c>
      <c r="W42" s="192" t="e">
        <f>#REF!</f>
        <v>#REF!</v>
      </c>
      <c r="X42" s="192" t="e">
        <f>#REF!</f>
        <v>#REF!</v>
      </c>
      <c r="Y42" s="192" t="e">
        <f>#REF!</f>
        <v>#REF!</v>
      </c>
      <c r="Z42" s="192" t="e">
        <f>#REF!</f>
        <v>#REF!</v>
      </c>
      <c r="AA42" s="192" t="e">
        <f>#REF!</f>
        <v>#REF!</v>
      </c>
      <c r="AB42" s="5" t="e">
        <f>#REF!</f>
        <v>#REF!</v>
      </c>
      <c r="AC42" s="192" t="e">
        <f>#REF!</f>
        <v>#REF!</v>
      </c>
      <c r="AD42" s="193" t="e">
        <f>#REF!</f>
        <v>#REF!</v>
      </c>
      <c r="AE42" s="253" t="e">
        <f>#REF!</f>
        <v>#REF!</v>
      </c>
      <c r="AF42" s="192" t="e">
        <f>#REF!</f>
        <v>#REF!</v>
      </c>
      <c r="AG42" s="192" t="e">
        <f>#REF!</f>
        <v>#REF!</v>
      </c>
      <c r="AH42" s="192" t="e">
        <f>#REF!</f>
        <v>#REF!</v>
      </c>
      <c r="AI42" s="192" t="e">
        <f>#REF!</f>
        <v>#REF!</v>
      </c>
      <c r="AJ42" s="192" t="e">
        <f>#REF!</f>
        <v>#REF!</v>
      </c>
      <c r="AK42" s="192" t="e">
        <f>#REF!</f>
        <v>#REF!</v>
      </c>
      <c r="AL42" s="192" t="e">
        <f>#REF!</f>
        <v>#REF!</v>
      </c>
      <c r="AM42" s="192" t="e">
        <f>#REF!</f>
        <v>#REF!</v>
      </c>
      <c r="AN42" s="192" t="e">
        <f>#REF!</f>
        <v>#REF!</v>
      </c>
      <c r="AO42" s="192" t="e">
        <f>#REF!</f>
        <v>#REF!</v>
      </c>
      <c r="AP42" s="193" t="e">
        <f>#REF!</f>
        <v>#REF!</v>
      </c>
      <c r="AQ42" s="191" t="e">
        <f>#REF!</f>
        <v>#REF!</v>
      </c>
      <c r="AR42" s="192" t="e">
        <f>#REF!</f>
        <v>#REF!</v>
      </c>
      <c r="AS42" s="192" t="e">
        <f>#REF!</f>
        <v>#REF!</v>
      </c>
      <c r="AT42" s="192" t="e">
        <f>#REF!</f>
        <v>#REF!</v>
      </c>
      <c r="AU42" s="192" t="e">
        <f>#REF!</f>
        <v>#REF!</v>
      </c>
      <c r="AV42" s="192" t="e">
        <f>#REF!</f>
        <v>#REF!</v>
      </c>
      <c r="AW42" s="192" t="e">
        <f>#REF!</f>
        <v>#REF!</v>
      </c>
      <c r="AX42" s="192" t="e">
        <f>#REF!</f>
        <v>#REF!</v>
      </c>
      <c r="AY42" s="192" t="e">
        <f>#REF!</f>
        <v>#REF!</v>
      </c>
      <c r="AZ42" s="192" t="e">
        <f>#REF!</f>
        <v>#REF!</v>
      </c>
      <c r="BA42" s="192" t="e">
        <f>#REF!</f>
        <v>#REF!</v>
      </c>
      <c r="BB42" s="193" t="e">
        <f>#REF!</f>
        <v>#REF!</v>
      </c>
      <c r="BC42" s="191" t="e">
        <f>#REF!</f>
        <v>#REF!</v>
      </c>
      <c r="BD42" s="192" t="e">
        <f>#REF!</f>
        <v>#REF!</v>
      </c>
      <c r="BE42" s="192" t="e">
        <f>#REF!</f>
        <v>#REF!</v>
      </c>
      <c r="BF42" s="192" t="e">
        <f>#REF!</f>
        <v>#REF!</v>
      </c>
      <c r="BG42" s="192" t="e">
        <f>#REF!</f>
        <v>#REF!</v>
      </c>
      <c r="BH42" s="192" t="e">
        <f>#REF!</f>
        <v>#REF!</v>
      </c>
      <c r="BI42" s="192" t="e">
        <f>#REF!</f>
        <v>#REF!</v>
      </c>
      <c r="BJ42" s="192" t="e">
        <f>#REF!</f>
        <v>#REF!</v>
      </c>
      <c r="BK42" s="192" t="e">
        <f>#REF!</f>
        <v>#REF!</v>
      </c>
      <c r="BL42" s="192" t="e">
        <f>#REF!</f>
        <v>#REF!</v>
      </c>
      <c r="BM42" s="192" t="e">
        <f>#REF!</f>
        <v>#REF!</v>
      </c>
      <c r="BN42" s="193" t="e">
        <f>#REF!</f>
        <v>#REF!</v>
      </c>
      <c r="BO42" s="191" t="e">
        <f>#REF!</f>
        <v>#REF!</v>
      </c>
      <c r="BP42" s="192" t="e">
        <f>#REF!</f>
        <v>#REF!</v>
      </c>
      <c r="BQ42" s="192" t="e">
        <f>#REF!</f>
        <v>#REF!</v>
      </c>
      <c r="BR42" s="192" t="e">
        <f>#REF!</f>
        <v>#REF!</v>
      </c>
      <c r="BS42" s="192" t="e">
        <f>#REF!</f>
        <v>#REF!</v>
      </c>
      <c r="BT42" s="193" t="e">
        <f>#REF!</f>
        <v>#REF!</v>
      </c>
    </row>
    <row r="43" spans="1:72" s="15" customFormat="1" ht="20.100000000000001" customHeight="1">
      <c r="A43" s="89" t="s">
        <v>1062</v>
      </c>
      <c r="B43" s="573"/>
      <c r="C43" s="266" t="s">
        <v>748</v>
      </c>
      <c r="D43" s="89" t="e">
        <f>IF(AND(#REF!="x",#REF!="N/A"),"x","N/A")</f>
        <v>#REF!</v>
      </c>
      <c r="E43" s="89" t="e">
        <f>#REF!</f>
        <v>#REF!</v>
      </c>
      <c r="F43" s="44" t="e">
        <f>#REF!</f>
        <v>#REF!</v>
      </c>
      <c r="G43" s="6" t="e">
        <f>#REF!</f>
        <v>#REF!</v>
      </c>
      <c r="H43" s="218" t="e">
        <f>#REF!</f>
        <v>#REF!</v>
      </c>
      <c r="I43" s="200" t="e">
        <f>#REF!</f>
        <v>#REF!</v>
      </c>
      <c r="J43" s="198" t="e">
        <f>#REF!</f>
        <v>#REF!</v>
      </c>
      <c r="K43" s="44" t="e">
        <f>#REF!</f>
        <v>#REF!</v>
      </c>
      <c r="L43" s="6" t="e">
        <f>#REF!</f>
        <v>#REF!</v>
      </c>
      <c r="M43" s="6" t="e">
        <f>#REF!</f>
        <v>#REF!</v>
      </c>
      <c r="N43" s="210" t="e">
        <f>#REF!</f>
        <v>#REF!</v>
      </c>
      <c r="O43" s="210" t="e">
        <f>#REF!</f>
        <v>#REF!</v>
      </c>
      <c r="P43" s="233" t="e">
        <f>#REF!</f>
        <v>#REF!</v>
      </c>
      <c r="Q43" s="270" t="e">
        <f>#REF!</f>
        <v>#REF!</v>
      </c>
      <c r="R43" s="295" t="e">
        <f>#REF!</f>
        <v>#REF!</v>
      </c>
      <c r="S43" s="45" t="e">
        <f>#REF!</f>
        <v>#REF!</v>
      </c>
      <c r="T43" s="5" t="e">
        <f>#REF!</f>
        <v>#REF!</v>
      </c>
      <c r="U43" s="5" t="e">
        <f>#REF!</f>
        <v>#REF!</v>
      </c>
      <c r="V43" s="5" t="e">
        <f>#REF!</f>
        <v>#REF!</v>
      </c>
      <c r="W43" s="5" t="e">
        <f>#REF!</f>
        <v>#REF!</v>
      </c>
      <c r="X43" s="5" t="e">
        <f>#REF!</f>
        <v>#REF!</v>
      </c>
      <c r="Y43" s="5" t="e">
        <f>#REF!</f>
        <v>#REF!</v>
      </c>
      <c r="Z43" s="5" t="e">
        <f>#REF!</f>
        <v>#REF!</v>
      </c>
      <c r="AA43" s="5" t="e">
        <f>#REF!</f>
        <v>#REF!</v>
      </c>
      <c r="AB43" s="5">
        <v>0</v>
      </c>
      <c r="AC43" s="5" t="e">
        <f>#REF!</f>
        <v>#REF!</v>
      </c>
      <c r="AD43" s="219" t="e">
        <f>#REF!</f>
        <v>#REF!</v>
      </c>
      <c r="AE43" s="45" t="e">
        <f>#REF!</f>
        <v>#REF!</v>
      </c>
      <c r="AF43" s="5" t="e">
        <f>#REF!</f>
        <v>#REF!</v>
      </c>
      <c r="AG43" s="5" t="e">
        <f>#REF!</f>
        <v>#REF!</v>
      </c>
      <c r="AH43" s="5" t="e">
        <f>#REF!</f>
        <v>#REF!</v>
      </c>
      <c r="AI43" s="5" t="e">
        <f>#REF!</f>
        <v>#REF!</v>
      </c>
      <c r="AJ43" s="5" t="e">
        <f>#REF!</f>
        <v>#REF!</v>
      </c>
      <c r="AK43" s="5" t="e">
        <f>#REF!</f>
        <v>#REF!</v>
      </c>
      <c r="AL43" s="5" t="e">
        <f>#REF!</f>
        <v>#REF!</v>
      </c>
      <c r="AM43" s="5" t="e">
        <f>#REF!</f>
        <v>#REF!</v>
      </c>
      <c r="AN43" s="5" t="e">
        <f>#REF!</f>
        <v>#REF!</v>
      </c>
      <c r="AO43" s="5" t="e">
        <f>#REF!</f>
        <v>#REF!</v>
      </c>
      <c r="AP43" s="219" t="e">
        <f>#REF!</f>
        <v>#REF!</v>
      </c>
      <c r="AQ43" s="45" t="e">
        <f>#REF!</f>
        <v>#REF!</v>
      </c>
      <c r="AR43" s="5" t="e">
        <f>#REF!</f>
        <v>#REF!</v>
      </c>
      <c r="AS43" s="5" t="e">
        <f>#REF!</f>
        <v>#REF!</v>
      </c>
      <c r="AT43" s="5" t="e">
        <f>#REF!</f>
        <v>#REF!</v>
      </c>
      <c r="AU43" s="5" t="e">
        <f>#REF!</f>
        <v>#REF!</v>
      </c>
      <c r="AV43" s="5" t="e">
        <f>#REF!</f>
        <v>#REF!</v>
      </c>
      <c r="AW43" s="5" t="e">
        <f>#REF!</f>
        <v>#REF!</v>
      </c>
      <c r="AX43" s="5" t="e">
        <f>#REF!</f>
        <v>#REF!</v>
      </c>
      <c r="AY43" s="5" t="e">
        <f>#REF!</f>
        <v>#REF!</v>
      </c>
      <c r="AZ43" s="5" t="e">
        <f>#REF!</f>
        <v>#REF!</v>
      </c>
      <c r="BA43" s="5" t="e">
        <f>#REF!</f>
        <v>#REF!</v>
      </c>
      <c r="BB43" s="219" t="e">
        <f>#REF!</f>
        <v>#REF!</v>
      </c>
      <c r="BC43" s="45" t="e">
        <f>#REF!</f>
        <v>#REF!</v>
      </c>
      <c r="BD43" s="5" t="e">
        <f>#REF!</f>
        <v>#REF!</v>
      </c>
      <c r="BE43" s="5" t="e">
        <f>#REF!</f>
        <v>#REF!</v>
      </c>
      <c r="BF43" s="5" t="e">
        <f>#REF!</f>
        <v>#REF!</v>
      </c>
      <c r="BG43" s="5" t="e">
        <f>#REF!</f>
        <v>#REF!</v>
      </c>
      <c r="BH43" s="5" t="e">
        <f>#REF!</f>
        <v>#REF!</v>
      </c>
      <c r="BI43" s="5" t="e">
        <f>#REF!</f>
        <v>#REF!</v>
      </c>
      <c r="BJ43" s="5" t="e">
        <f>#REF!</f>
        <v>#REF!</v>
      </c>
      <c r="BK43" s="5" t="e">
        <f>#REF!</f>
        <v>#REF!</v>
      </c>
      <c r="BL43" s="5" t="e">
        <f>#REF!</f>
        <v>#REF!</v>
      </c>
      <c r="BM43" s="5" t="e">
        <f>#REF!</f>
        <v>#REF!</v>
      </c>
      <c r="BN43" s="219" t="e">
        <f>#REF!</f>
        <v>#REF!</v>
      </c>
      <c r="BO43" s="45" t="e">
        <f>#REF!</f>
        <v>#REF!</v>
      </c>
      <c r="BP43" s="5" t="e">
        <f>#REF!</f>
        <v>#REF!</v>
      </c>
      <c r="BQ43" s="5" t="e">
        <f>#REF!</f>
        <v>#REF!</v>
      </c>
      <c r="BR43" s="5" t="e">
        <f>#REF!</f>
        <v>#REF!</v>
      </c>
      <c r="BS43" s="5" t="e">
        <f>#REF!</f>
        <v>#REF!</v>
      </c>
      <c r="BT43" s="219" t="e">
        <f>#REF!</f>
        <v>#REF!</v>
      </c>
    </row>
    <row r="44" spans="1:72" s="15" customFormat="1" ht="20.100000000000001" hidden="1" customHeight="1">
      <c r="A44" s="89" t="s">
        <v>1063</v>
      </c>
      <c r="B44" s="573"/>
      <c r="C44" s="266" t="s">
        <v>750</v>
      </c>
      <c r="D44" s="89" t="e">
        <f>IF(AND(#REF!="x",#REF!="N/A"),"x","N/A")</f>
        <v>#REF!</v>
      </c>
      <c r="E44" s="89" t="e">
        <f>#REF!</f>
        <v>#REF!</v>
      </c>
      <c r="F44" s="44" t="e">
        <f>#REF!</f>
        <v>#REF!</v>
      </c>
      <c r="G44" s="6" t="e">
        <f>#REF!</f>
        <v>#REF!</v>
      </c>
      <c r="H44" s="218" t="e">
        <f>#REF!</f>
        <v>#REF!</v>
      </c>
      <c r="I44" s="200" t="e">
        <f>#REF!</f>
        <v>#REF!</v>
      </c>
      <c r="J44" s="198" t="e">
        <f>#REF!</f>
        <v>#REF!</v>
      </c>
      <c r="K44" s="44" t="e">
        <f>#REF!</f>
        <v>#REF!</v>
      </c>
      <c r="L44" s="6" t="e">
        <f>#REF!</f>
        <v>#REF!</v>
      </c>
      <c r="M44" s="6" t="e">
        <f>#REF!</f>
        <v>#REF!</v>
      </c>
      <c r="N44" s="210" t="e">
        <f>#REF!</f>
        <v>#REF!</v>
      </c>
      <c r="O44" s="210" t="e">
        <f>#REF!</f>
        <v>#REF!</v>
      </c>
      <c r="P44" s="233" t="e">
        <f>#REF!</f>
        <v>#REF!</v>
      </c>
      <c r="Q44" s="270" t="e">
        <f>#REF!</f>
        <v>#REF!</v>
      </c>
      <c r="R44" s="295" t="e">
        <f>#REF!</f>
        <v>#REF!</v>
      </c>
      <c r="S44" s="45" t="e">
        <f>#REF!</f>
        <v>#REF!</v>
      </c>
      <c r="T44" s="5" t="e">
        <f>#REF!</f>
        <v>#REF!</v>
      </c>
      <c r="U44" s="5" t="e">
        <f>#REF!</f>
        <v>#REF!</v>
      </c>
      <c r="V44" s="5" t="e">
        <f>#REF!</f>
        <v>#REF!</v>
      </c>
      <c r="W44" s="5" t="e">
        <f>#REF!</f>
        <v>#REF!</v>
      </c>
      <c r="X44" s="5"/>
      <c r="Y44" s="5"/>
      <c r="Z44" s="5"/>
      <c r="AA44" s="5"/>
      <c r="AB44" s="5"/>
      <c r="AC44" s="5"/>
      <c r="AD44" s="219"/>
      <c r="AE44" s="45"/>
      <c r="AF44" s="5"/>
      <c r="AG44" s="5"/>
      <c r="AH44" s="5"/>
      <c r="AI44" s="5"/>
      <c r="AJ44" s="5"/>
      <c r="AK44" s="5"/>
      <c r="AL44" s="5"/>
      <c r="AM44" s="5"/>
      <c r="AN44" s="5" t="e">
        <f>#REF!</f>
        <v>#REF!</v>
      </c>
      <c r="AO44" s="5" t="e">
        <f>#REF!</f>
        <v>#REF!</v>
      </c>
      <c r="AP44" s="219" t="e">
        <f>#REF!</f>
        <v>#REF!</v>
      </c>
      <c r="AQ44" s="45" t="e">
        <f>#REF!</f>
        <v>#REF!</v>
      </c>
      <c r="AR44" s="5" t="e">
        <f>#REF!</f>
        <v>#REF!</v>
      </c>
      <c r="AS44" s="5" t="e">
        <f>#REF!</f>
        <v>#REF!</v>
      </c>
      <c r="AT44" s="5" t="e">
        <f>#REF!</f>
        <v>#REF!</v>
      </c>
      <c r="AU44" s="5" t="e">
        <f>#REF!</f>
        <v>#REF!</v>
      </c>
      <c r="AV44" s="5" t="e">
        <f>#REF!</f>
        <v>#REF!</v>
      </c>
      <c r="AW44" s="5" t="e">
        <f>#REF!</f>
        <v>#REF!</v>
      </c>
      <c r="AX44" s="5" t="e">
        <f>#REF!</f>
        <v>#REF!</v>
      </c>
      <c r="AY44" s="5" t="e">
        <f>#REF!</f>
        <v>#REF!</v>
      </c>
      <c r="AZ44" s="5" t="e">
        <f>#REF!</f>
        <v>#REF!</v>
      </c>
      <c r="BA44" s="5" t="e">
        <f>#REF!</f>
        <v>#REF!</v>
      </c>
      <c r="BB44" s="219" t="e">
        <f>#REF!</f>
        <v>#REF!</v>
      </c>
      <c r="BC44" s="45" t="e">
        <f>#REF!</f>
        <v>#REF!</v>
      </c>
      <c r="BD44" s="5" t="e">
        <f>#REF!</f>
        <v>#REF!</v>
      </c>
      <c r="BE44" s="5" t="e">
        <f>#REF!</f>
        <v>#REF!</v>
      </c>
      <c r="BF44" s="5" t="e">
        <f>#REF!</f>
        <v>#REF!</v>
      </c>
      <c r="BG44" s="5" t="e">
        <f>#REF!</f>
        <v>#REF!</v>
      </c>
      <c r="BH44" s="5" t="e">
        <f>#REF!</f>
        <v>#REF!</v>
      </c>
      <c r="BI44" s="5" t="e">
        <f>#REF!</f>
        <v>#REF!</v>
      </c>
      <c r="BJ44" s="5" t="e">
        <f>#REF!</f>
        <v>#REF!</v>
      </c>
      <c r="BK44" s="5" t="e">
        <f>#REF!</f>
        <v>#REF!</v>
      </c>
      <c r="BL44" s="5" t="e">
        <f>#REF!</f>
        <v>#REF!</v>
      </c>
      <c r="BM44" s="5" t="e">
        <f>#REF!</f>
        <v>#REF!</v>
      </c>
      <c r="BN44" s="219" t="e">
        <f>#REF!</f>
        <v>#REF!</v>
      </c>
      <c r="BO44" s="45" t="e">
        <f>#REF!</f>
        <v>#REF!</v>
      </c>
      <c r="BP44" s="5" t="e">
        <f>#REF!</f>
        <v>#REF!</v>
      </c>
      <c r="BQ44" s="5" t="e">
        <f>#REF!</f>
        <v>#REF!</v>
      </c>
      <c r="BR44" s="5" t="e">
        <f>#REF!</f>
        <v>#REF!</v>
      </c>
      <c r="BS44" s="5" t="e">
        <f>#REF!</f>
        <v>#REF!</v>
      </c>
      <c r="BT44" s="219" t="e">
        <f>#REF!</f>
        <v>#REF!</v>
      </c>
    </row>
    <row r="45" spans="1:72" ht="20.100000000000001" hidden="1" customHeight="1">
      <c r="A45" s="206" t="s">
        <v>1064</v>
      </c>
      <c r="B45" s="578"/>
      <c r="C45" s="296" t="s">
        <v>740</v>
      </c>
      <c r="D45" s="203" t="e">
        <f>IF(AND(#REF!="x",#REF!="N/A"),"x","N/A")</f>
        <v>#REF!</v>
      </c>
      <c r="E45" s="203" t="e">
        <f>#REF!</f>
        <v>#REF!</v>
      </c>
      <c r="F45" s="44" t="e">
        <f>#REF!</f>
        <v>#REF!</v>
      </c>
      <c r="G45" s="6" t="e">
        <f>#REF!</f>
        <v>#REF!</v>
      </c>
      <c r="H45" s="218" t="e">
        <f>#REF!</f>
        <v>#REF!</v>
      </c>
      <c r="I45" s="200" t="e">
        <f>#REF!</f>
        <v>#REF!</v>
      </c>
      <c r="J45" s="198" t="e">
        <f>#REF!</f>
        <v>#REF!</v>
      </c>
      <c r="K45" s="44" t="e">
        <f>#REF!</f>
        <v>#REF!</v>
      </c>
      <c r="L45" s="6" t="e">
        <f>#REF!</f>
        <v>#REF!</v>
      </c>
      <c r="M45" s="6" t="e">
        <f>#REF!</f>
        <v>#REF!</v>
      </c>
      <c r="N45" s="234" t="e">
        <f>#REF!</f>
        <v>#REF!</v>
      </c>
      <c r="O45" s="234" t="e">
        <f>#REF!</f>
        <v>#REF!</v>
      </c>
      <c r="P45" s="235" t="e">
        <f>#REF!</f>
        <v>#REF!</v>
      </c>
      <c r="Q45" s="297" t="e">
        <f>#REF!</f>
        <v>#REF!</v>
      </c>
      <c r="R45" s="295" t="e">
        <f>#REF!</f>
        <v>#REF!</v>
      </c>
      <c r="S45" s="188" t="e">
        <f>#REF!</f>
        <v>#REF!</v>
      </c>
      <c r="T45" s="189" t="e">
        <f>#REF!</f>
        <v>#REF!</v>
      </c>
      <c r="U45" s="189" t="e">
        <f>#REF!</f>
        <v>#REF!</v>
      </c>
      <c r="V45" s="189" t="e">
        <f>#REF!</f>
        <v>#REF!</v>
      </c>
      <c r="W45" s="189" t="e">
        <f>#REF!</f>
        <v>#REF!</v>
      </c>
      <c r="X45" s="189" t="e">
        <f>#REF!</f>
        <v>#REF!</v>
      </c>
      <c r="Y45" s="189" t="e">
        <f>#REF!</f>
        <v>#REF!</v>
      </c>
      <c r="Z45" s="189" t="e">
        <f>#REF!</f>
        <v>#REF!</v>
      </c>
      <c r="AA45" s="189" t="e">
        <f>#REF!</f>
        <v>#REF!</v>
      </c>
      <c r="AB45" s="5" t="e">
        <f>#REF!</f>
        <v>#REF!</v>
      </c>
      <c r="AC45" s="189" t="e">
        <f>#REF!</f>
        <v>#REF!</v>
      </c>
      <c r="AD45" s="190" t="e">
        <f>#REF!</f>
        <v>#REF!</v>
      </c>
      <c r="AE45" s="250" t="e">
        <f>#REF!</f>
        <v>#REF!</v>
      </c>
      <c r="AF45" s="189" t="e">
        <f>#REF!</f>
        <v>#REF!</v>
      </c>
      <c r="AG45" s="189" t="e">
        <f>#REF!</f>
        <v>#REF!</v>
      </c>
      <c r="AH45" s="189" t="e">
        <f>#REF!</f>
        <v>#REF!</v>
      </c>
      <c r="AI45" s="189" t="e">
        <f>#REF!</f>
        <v>#REF!</v>
      </c>
      <c r="AJ45" s="189" t="e">
        <f>#REF!</f>
        <v>#REF!</v>
      </c>
      <c r="AK45" s="189" t="e">
        <f>#REF!</f>
        <v>#REF!</v>
      </c>
      <c r="AL45" s="189" t="e">
        <f>#REF!</f>
        <v>#REF!</v>
      </c>
      <c r="AM45" s="189" t="e">
        <f>#REF!</f>
        <v>#REF!</v>
      </c>
      <c r="AN45" s="189" t="e">
        <f>#REF!</f>
        <v>#REF!</v>
      </c>
      <c r="AO45" s="189" t="e">
        <f>#REF!</f>
        <v>#REF!</v>
      </c>
      <c r="AP45" s="190" t="e">
        <f>#REF!</f>
        <v>#REF!</v>
      </c>
      <c r="AQ45" s="188" t="e">
        <f>#REF!</f>
        <v>#REF!</v>
      </c>
      <c r="AR45" s="189" t="e">
        <f>#REF!</f>
        <v>#REF!</v>
      </c>
      <c r="AS45" s="189" t="e">
        <f>#REF!</f>
        <v>#REF!</v>
      </c>
      <c r="AT45" s="189" t="e">
        <f>#REF!</f>
        <v>#REF!</v>
      </c>
      <c r="AU45" s="189" t="e">
        <f>#REF!</f>
        <v>#REF!</v>
      </c>
      <c r="AV45" s="189" t="e">
        <f>#REF!</f>
        <v>#REF!</v>
      </c>
      <c r="AW45" s="189" t="e">
        <f>#REF!</f>
        <v>#REF!</v>
      </c>
      <c r="AX45" s="189" t="e">
        <f>#REF!</f>
        <v>#REF!</v>
      </c>
      <c r="AY45" s="189" t="e">
        <f>#REF!</f>
        <v>#REF!</v>
      </c>
      <c r="AZ45" s="189" t="e">
        <f>#REF!</f>
        <v>#REF!</v>
      </c>
      <c r="BA45" s="189" t="e">
        <f>#REF!</f>
        <v>#REF!</v>
      </c>
      <c r="BB45" s="190" t="e">
        <f>#REF!</f>
        <v>#REF!</v>
      </c>
      <c r="BC45" s="188" t="e">
        <f>#REF!</f>
        <v>#REF!</v>
      </c>
      <c r="BD45" s="189" t="e">
        <f>#REF!</f>
        <v>#REF!</v>
      </c>
      <c r="BE45" s="189" t="e">
        <f>#REF!</f>
        <v>#REF!</v>
      </c>
      <c r="BF45" s="189" t="e">
        <f>#REF!</f>
        <v>#REF!</v>
      </c>
      <c r="BG45" s="189" t="e">
        <f>#REF!</f>
        <v>#REF!</v>
      </c>
      <c r="BH45" s="189" t="e">
        <f>#REF!</f>
        <v>#REF!</v>
      </c>
      <c r="BI45" s="189" t="e">
        <f>#REF!</f>
        <v>#REF!</v>
      </c>
      <c r="BJ45" s="189" t="e">
        <f>#REF!</f>
        <v>#REF!</v>
      </c>
      <c r="BK45" s="189" t="e">
        <f>#REF!</f>
        <v>#REF!</v>
      </c>
      <c r="BL45" s="189" t="e">
        <f>#REF!</f>
        <v>#REF!</v>
      </c>
      <c r="BM45" s="189" t="e">
        <f>#REF!</f>
        <v>#REF!</v>
      </c>
      <c r="BN45" s="190" t="e">
        <f>#REF!</f>
        <v>#REF!</v>
      </c>
      <c r="BO45" s="188" t="e">
        <f>#REF!</f>
        <v>#REF!</v>
      </c>
      <c r="BP45" s="189" t="e">
        <f>#REF!</f>
        <v>#REF!</v>
      </c>
      <c r="BQ45" s="189" t="e">
        <f>#REF!</f>
        <v>#REF!</v>
      </c>
      <c r="BR45" s="189" t="e">
        <f>#REF!</f>
        <v>#REF!</v>
      </c>
      <c r="BS45" s="189" t="e">
        <f>#REF!</f>
        <v>#REF!</v>
      </c>
      <c r="BT45" s="190" t="e">
        <f>#REF!</f>
        <v>#REF!</v>
      </c>
    </row>
    <row r="46" spans="1:72" ht="20.100000000000001" hidden="1" customHeight="1">
      <c r="A46" s="89" t="s">
        <v>1065</v>
      </c>
      <c r="B46" s="578"/>
      <c r="C46" s="266" t="s">
        <v>734</v>
      </c>
      <c r="D46" s="89" t="e">
        <f>IF(AND(#REF!="x",#REF!="N/A"),"x","N/A")</f>
        <v>#REF!</v>
      </c>
      <c r="E46" s="89" t="e">
        <f>#REF!</f>
        <v>#REF!</v>
      </c>
      <c r="F46" s="44" t="e">
        <f>#REF!</f>
        <v>#REF!</v>
      </c>
      <c r="G46" s="6" t="e">
        <f>#REF!</f>
        <v>#REF!</v>
      </c>
      <c r="H46" s="218" t="e">
        <f>#REF!</f>
        <v>#REF!</v>
      </c>
      <c r="I46" s="200" t="e">
        <f>#REF!</f>
        <v>#REF!</v>
      </c>
      <c r="J46" s="198" t="e">
        <f>#REF!</f>
        <v>#REF!</v>
      </c>
      <c r="K46" s="44" t="e">
        <f>#REF!</f>
        <v>#REF!</v>
      </c>
      <c r="L46" s="6" t="e">
        <f>#REF!</f>
        <v>#REF!</v>
      </c>
      <c r="M46" s="6" t="e">
        <f>#REF!</f>
        <v>#REF!</v>
      </c>
      <c r="N46" s="234" t="e">
        <f>#REF!</f>
        <v>#REF!</v>
      </c>
      <c r="O46" s="234" t="e">
        <f>#REF!</f>
        <v>#REF!</v>
      </c>
      <c r="P46" s="235" t="e">
        <f>#REF!</f>
        <v>#REF!</v>
      </c>
      <c r="Q46" s="270" t="e">
        <f>#REF!</f>
        <v>#REF!</v>
      </c>
      <c r="R46" s="295" t="e">
        <f>#REF!</f>
        <v>#REF!</v>
      </c>
      <c r="S46" s="108" t="e">
        <f>#REF!</f>
        <v>#REF!</v>
      </c>
      <c r="T46" s="109" t="e">
        <f>#REF!</f>
        <v>#REF!</v>
      </c>
      <c r="U46" s="109" t="e">
        <f>#REF!</f>
        <v>#REF!</v>
      </c>
      <c r="V46" s="109" t="e">
        <f>#REF!</f>
        <v>#REF!</v>
      </c>
      <c r="W46" s="109" t="e">
        <f>#REF!</f>
        <v>#REF!</v>
      </c>
      <c r="X46" s="109" t="e">
        <f>#REF!</f>
        <v>#REF!</v>
      </c>
      <c r="Y46" s="109" t="e">
        <f>#REF!</f>
        <v>#REF!</v>
      </c>
      <c r="Z46" s="109" t="e">
        <f>#REF!</f>
        <v>#REF!</v>
      </c>
      <c r="AA46" s="109" t="e">
        <f>#REF!</f>
        <v>#REF!</v>
      </c>
      <c r="AB46" s="5" t="e">
        <f>#REF!</f>
        <v>#REF!</v>
      </c>
      <c r="AC46" s="109" t="e">
        <f>#REF!</f>
        <v>#REF!</v>
      </c>
      <c r="AD46" s="110" t="e">
        <f>#REF!</f>
        <v>#REF!</v>
      </c>
      <c r="AE46" s="252" t="e">
        <f>#REF!</f>
        <v>#REF!</v>
      </c>
      <c r="AF46" s="109" t="e">
        <f>#REF!</f>
        <v>#REF!</v>
      </c>
      <c r="AG46" s="109" t="e">
        <f>#REF!</f>
        <v>#REF!</v>
      </c>
      <c r="AH46" s="109" t="e">
        <f>#REF!</f>
        <v>#REF!</v>
      </c>
      <c r="AI46" s="109" t="e">
        <f>#REF!</f>
        <v>#REF!</v>
      </c>
      <c r="AJ46" s="109" t="e">
        <f>#REF!</f>
        <v>#REF!</v>
      </c>
      <c r="AK46" s="109" t="e">
        <f>#REF!</f>
        <v>#REF!</v>
      </c>
      <c r="AL46" s="109" t="e">
        <f>#REF!</f>
        <v>#REF!</v>
      </c>
      <c r="AM46" s="109" t="e">
        <f>#REF!</f>
        <v>#REF!</v>
      </c>
      <c r="AN46" s="109" t="e">
        <f>#REF!</f>
        <v>#REF!</v>
      </c>
      <c r="AO46" s="109" t="e">
        <f>#REF!</f>
        <v>#REF!</v>
      </c>
      <c r="AP46" s="110" t="e">
        <f>#REF!</f>
        <v>#REF!</v>
      </c>
      <c r="AQ46" s="108" t="e">
        <f>#REF!</f>
        <v>#REF!</v>
      </c>
      <c r="AR46" s="109" t="e">
        <f>#REF!</f>
        <v>#REF!</v>
      </c>
      <c r="AS46" s="109" t="e">
        <f>#REF!</f>
        <v>#REF!</v>
      </c>
      <c r="AT46" s="109" t="e">
        <f>#REF!</f>
        <v>#REF!</v>
      </c>
      <c r="AU46" s="109" t="e">
        <f>#REF!</f>
        <v>#REF!</v>
      </c>
      <c r="AV46" s="109" t="e">
        <f>#REF!</f>
        <v>#REF!</v>
      </c>
      <c r="AW46" s="109" t="e">
        <f>#REF!</f>
        <v>#REF!</v>
      </c>
      <c r="AX46" s="109" t="e">
        <f>#REF!</f>
        <v>#REF!</v>
      </c>
      <c r="AY46" s="109" t="e">
        <f>#REF!</f>
        <v>#REF!</v>
      </c>
      <c r="AZ46" s="109" t="e">
        <f>#REF!</f>
        <v>#REF!</v>
      </c>
      <c r="BA46" s="109" t="e">
        <f>#REF!</f>
        <v>#REF!</v>
      </c>
      <c r="BB46" s="110" t="e">
        <f>#REF!</f>
        <v>#REF!</v>
      </c>
      <c r="BC46" s="108" t="e">
        <f>#REF!</f>
        <v>#REF!</v>
      </c>
      <c r="BD46" s="109" t="e">
        <f>#REF!</f>
        <v>#REF!</v>
      </c>
      <c r="BE46" s="109" t="e">
        <f>#REF!</f>
        <v>#REF!</v>
      </c>
      <c r="BF46" s="109" t="e">
        <f>#REF!</f>
        <v>#REF!</v>
      </c>
      <c r="BG46" s="109" t="e">
        <f>#REF!</f>
        <v>#REF!</v>
      </c>
      <c r="BH46" s="109" t="e">
        <f>#REF!</f>
        <v>#REF!</v>
      </c>
      <c r="BI46" s="109" t="e">
        <f>#REF!</f>
        <v>#REF!</v>
      </c>
      <c r="BJ46" s="109" t="e">
        <f>#REF!</f>
        <v>#REF!</v>
      </c>
      <c r="BK46" s="109" t="e">
        <f>#REF!</f>
        <v>#REF!</v>
      </c>
      <c r="BL46" s="109" t="e">
        <f>#REF!</f>
        <v>#REF!</v>
      </c>
      <c r="BM46" s="109" t="e">
        <f>#REF!</f>
        <v>#REF!</v>
      </c>
      <c r="BN46" s="110" t="e">
        <f>#REF!</f>
        <v>#REF!</v>
      </c>
      <c r="BO46" s="108" t="e">
        <f>#REF!</f>
        <v>#REF!</v>
      </c>
      <c r="BP46" s="109" t="e">
        <f>#REF!</f>
        <v>#REF!</v>
      </c>
      <c r="BQ46" s="109" t="e">
        <f>#REF!</f>
        <v>#REF!</v>
      </c>
      <c r="BR46" s="109" t="e">
        <f>#REF!</f>
        <v>#REF!</v>
      </c>
      <c r="BS46" s="109" t="e">
        <f>#REF!</f>
        <v>#REF!</v>
      </c>
      <c r="BT46" s="110" t="e">
        <f>#REF!</f>
        <v>#REF!</v>
      </c>
    </row>
    <row r="47" spans="1:72" ht="20.100000000000001" hidden="1" customHeight="1">
      <c r="A47" s="201" t="s">
        <v>1066</v>
      </c>
      <c r="B47" s="578"/>
      <c r="C47" s="248" t="s">
        <v>730</v>
      </c>
      <c r="D47" s="201" t="e">
        <f>IF(AND(#REF!="x",#REF!="N/A"),"x","N/A")</f>
        <v>#REF!</v>
      </c>
      <c r="E47" s="201" t="e">
        <f>#REF!</f>
        <v>#REF!</v>
      </c>
      <c r="F47" s="44" t="e">
        <f>#REF!</f>
        <v>#REF!</v>
      </c>
      <c r="G47" s="6" t="e">
        <f>#REF!</f>
        <v>#REF!</v>
      </c>
      <c r="H47" s="218" t="e">
        <f>#REF!</f>
        <v>#REF!</v>
      </c>
      <c r="I47" s="200" t="e">
        <f>#REF!</f>
        <v>#REF!</v>
      </c>
      <c r="J47" s="198" t="e">
        <f>#REF!</f>
        <v>#REF!</v>
      </c>
      <c r="K47" s="44" t="e">
        <f>#REF!</f>
        <v>#REF!</v>
      </c>
      <c r="L47" s="6" t="e">
        <f>#REF!</f>
        <v>#REF!</v>
      </c>
      <c r="M47" s="6" t="e">
        <f>#REF!</f>
        <v>#REF!</v>
      </c>
      <c r="N47" s="234" t="e">
        <f>#REF!</f>
        <v>#REF!</v>
      </c>
      <c r="O47" s="234" t="e">
        <f>#REF!</f>
        <v>#REF!</v>
      </c>
      <c r="P47" s="235" t="e">
        <f>#REF!</f>
        <v>#REF!</v>
      </c>
      <c r="Q47" s="298" t="e">
        <f>#REF!</f>
        <v>#REF!</v>
      </c>
      <c r="R47" s="295" t="e">
        <f>#REF!</f>
        <v>#REF!</v>
      </c>
      <c r="S47" s="185" t="e">
        <f>#REF!</f>
        <v>#REF!</v>
      </c>
      <c r="T47" s="186" t="e">
        <f>#REF!</f>
        <v>#REF!</v>
      </c>
      <c r="U47" s="186" t="e">
        <f>#REF!</f>
        <v>#REF!</v>
      </c>
      <c r="V47" s="186" t="e">
        <f>#REF!</f>
        <v>#REF!</v>
      </c>
      <c r="W47" s="186" t="e">
        <f>#REF!</f>
        <v>#REF!</v>
      </c>
      <c r="X47" s="186" t="e">
        <f>#REF!</f>
        <v>#REF!</v>
      </c>
      <c r="Y47" s="186" t="e">
        <f>#REF!</f>
        <v>#REF!</v>
      </c>
      <c r="Z47" s="186" t="e">
        <f>#REF!</f>
        <v>#REF!</v>
      </c>
      <c r="AA47" s="186" t="e">
        <f>#REF!</f>
        <v>#REF!</v>
      </c>
      <c r="AB47" s="5" t="e">
        <f>#REF!</f>
        <v>#REF!</v>
      </c>
      <c r="AC47" s="186" t="e">
        <f>#REF!</f>
        <v>#REF!</v>
      </c>
      <c r="AD47" s="187" t="e">
        <f>#REF!</f>
        <v>#REF!</v>
      </c>
      <c r="AE47" s="251" t="e">
        <f>#REF!</f>
        <v>#REF!</v>
      </c>
      <c r="AF47" s="186" t="e">
        <f>#REF!</f>
        <v>#REF!</v>
      </c>
      <c r="AG47" s="186" t="e">
        <f>#REF!</f>
        <v>#REF!</v>
      </c>
      <c r="AH47" s="186" t="e">
        <f>#REF!</f>
        <v>#REF!</v>
      </c>
      <c r="AI47" s="186" t="e">
        <f>#REF!</f>
        <v>#REF!</v>
      </c>
      <c r="AJ47" s="186" t="e">
        <f>#REF!</f>
        <v>#REF!</v>
      </c>
      <c r="AK47" s="186" t="e">
        <f>#REF!</f>
        <v>#REF!</v>
      </c>
      <c r="AL47" s="186" t="e">
        <f>#REF!</f>
        <v>#REF!</v>
      </c>
      <c r="AM47" s="186" t="e">
        <f>#REF!</f>
        <v>#REF!</v>
      </c>
      <c r="AN47" s="186" t="e">
        <f>#REF!</f>
        <v>#REF!</v>
      </c>
      <c r="AO47" s="186" t="e">
        <f>#REF!</f>
        <v>#REF!</v>
      </c>
      <c r="AP47" s="187" t="e">
        <f>#REF!</f>
        <v>#REF!</v>
      </c>
      <c r="AQ47" s="185" t="e">
        <f>#REF!</f>
        <v>#REF!</v>
      </c>
      <c r="AR47" s="186" t="e">
        <f>#REF!</f>
        <v>#REF!</v>
      </c>
      <c r="AS47" s="186" t="e">
        <f>#REF!</f>
        <v>#REF!</v>
      </c>
      <c r="AT47" s="186" t="e">
        <f>#REF!</f>
        <v>#REF!</v>
      </c>
      <c r="AU47" s="186" t="e">
        <f>#REF!</f>
        <v>#REF!</v>
      </c>
      <c r="AV47" s="186" t="e">
        <f>#REF!</f>
        <v>#REF!</v>
      </c>
      <c r="AW47" s="186" t="e">
        <f>#REF!</f>
        <v>#REF!</v>
      </c>
      <c r="AX47" s="186" t="e">
        <f>#REF!</f>
        <v>#REF!</v>
      </c>
      <c r="AY47" s="186" t="e">
        <f>#REF!</f>
        <v>#REF!</v>
      </c>
      <c r="AZ47" s="186" t="e">
        <f>#REF!</f>
        <v>#REF!</v>
      </c>
      <c r="BA47" s="186" t="e">
        <f>#REF!</f>
        <v>#REF!</v>
      </c>
      <c r="BB47" s="187" t="e">
        <f>#REF!</f>
        <v>#REF!</v>
      </c>
      <c r="BC47" s="185" t="e">
        <f>#REF!</f>
        <v>#REF!</v>
      </c>
      <c r="BD47" s="186" t="e">
        <f>#REF!</f>
        <v>#REF!</v>
      </c>
      <c r="BE47" s="186" t="e">
        <f>#REF!</f>
        <v>#REF!</v>
      </c>
      <c r="BF47" s="186" t="e">
        <f>#REF!</f>
        <v>#REF!</v>
      </c>
      <c r="BG47" s="186" t="e">
        <f>#REF!</f>
        <v>#REF!</v>
      </c>
      <c r="BH47" s="186" t="e">
        <f>#REF!</f>
        <v>#REF!</v>
      </c>
      <c r="BI47" s="186" t="e">
        <f>#REF!</f>
        <v>#REF!</v>
      </c>
      <c r="BJ47" s="186" t="e">
        <f>#REF!</f>
        <v>#REF!</v>
      </c>
      <c r="BK47" s="186" t="e">
        <f>#REF!</f>
        <v>#REF!</v>
      </c>
      <c r="BL47" s="186" t="e">
        <f>#REF!</f>
        <v>#REF!</v>
      </c>
      <c r="BM47" s="186" t="e">
        <f>#REF!</f>
        <v>#REF!</v>
      </c>
      <c r="BN47" s="187" t="e">
        <f>#REF!</f>
        <v>#REF!</v>
      </c>
      <c r="BO47" s="185" t="e">
        <f>#REF!</f>
        <v>#REF!</v>
      </c>
      <c r="BP47" s="186" t="e">
        <f>#REF!</f>
        <v>#REF!</v>
      </c>
      <c r="BQ47" s="186" t="e">
        <f>#REF!</f>
        <v>#REF!</v>
      </c>
      <c r="BR47" s="186" t="e">
        <f>#REF!</f>
        <v>#REF!</v>
      </c>
      <c r="BS47" s="186" t="e">
        <f>#REF!</f>
        <v>#REF!</v>
      </c>
      <c r="BT47" s="187" t="e">
        <f>#REF!</f>
        <v>#REF!</v>
      </c>
    </row>
    <row r="48" spans="1:72" s="15" customFormat="1" ht="20.100000000000001" customHeight="1">
      <c r="A48" s="89" t="s">
        <v>1067</v>
      </c>
      <c r="B48" s="573" t="s">
        <v>1068</v>
      </c>
      <c r="C48" s="266" t="s">
        <v>722</v>
      </c>
      <c r="D48" s="89" t="e">
        <f>IF(AND(#REF!="x",#REF!="N/A"),"x","N/A")</f>
        <v>#REF!</v>
      </c>
      <c r="E48" s="89" t="e">
        <f>#REF!</f>
        <v>#REF!</v>
      </c>
      <c r="F48" s="44" t="e">
        <f>#REF!</f>
        <v>#REF!</v>
      </c>
      <c r="G48" s="6" t="e">
        <f>#REF!</f>
        <v>#REF!</v>
      </c>
      <c r="H48" s="218" t="e">
        <f>#REF!</f>
        <v>#REF!</v>
      </c>
      <c r="I48" s="200" t="e">
        <f>#REF!</f>
        <v>#REF!</v>
      </c>
      <c r="J48" s="198" t="e">
        <f>#REF!</f>
        <v>#REF!</v>
      </c>
      <c r="K48" s="44" t="e">
        <f>#REF!</f>
        <v>#REF!</v>
      </c>
      <c r="L48" s="6" t="e">
        <f>#REF!</f>
        <v>#REF!</v>
      </c>
      <c r="M48" s="6" t="e">
        <f>#REF!</f>
        <v>#REF!</v>
      </c>
      <c r="N48" s="210" t="e">
        <f>#REF!</f>
        <v>#REF!</v>
      </c>
      <c r="O48" s="210" t="e">
        <f>#REF!</f>
        <v>#REF!</v>
      </c>
      <c r="P48" s="233" t="e">
        <f>#REF!</f>
        <v>#REF!</v>
      </c>
      <c r="Q48" s="270" t="e">
        <f>#REF!</f>
        <v>#REF!</v>
      </c>
      <c r="R48" s="295" t="e">
        <f>#REF!</f>
        <v>#REF!</v>
      </c>
      <c r="S48" s="45" t="e">
        <f>#REF!</f>
        <v>#REF!</v>
      </c>
      <c r="T48" s="5" t="e">
        <f>#REF!</f>
        <v>#REF!</v>
      </c>
      <c r="U48" s="5" t="e">
        <f>#REF!</f>
        <v>#REF!</v>
      </c>
      <c r="V48" s="5" t="e">
        <f>#REF!</f>
        <v>#REF!</v>
      </c>
      <c r="W48" s="5" t="e">
        <f>#REF!</f>
        <v>#REF!</v>
      </c>
      <c r="X48" s="5" t="e">
        <f>#REF!</f>
        <v>#REF!</v>
      </c>
      <c r="Y48" s="5" t="e">
        <f>#REF!</f>
        <v>#REF!</v>
      </c>
      <c r="Z48" s="5" t="e">
        <f>#REF!</f>
        <v>#REF!</v>
      </c>
      <c r="AA48" s="5" t="e">
        <f>#REF!</f>
        <v>#REF!</v>
      </c>
      <c r="AB48" s="5" t="e">
        <f>#REF!</f>
        <v>#REF!</v>
      </c>
      <c r="AC48" s="5" t="e">
        <f>#REF!</f>
        <v>#REF!</v>
      </c>
      <c r="AD48" s="219" t="e">
        <f>#REF!</f>
        <v>#REF!</v>
      </c>
      <c r="AE48" s="45" t="e">
        <f>#REF!</f>
        <v>#REF!</v>
      </c>
      <c r="AF48" s="5" t="e">
        <f>#REF!</f>
        <v>#REF!</v>
      </c>
      <c r="AG48" s="5" t="e">
        <f>#REF!</f>
        <v>#REF!</v>
      </c>
      <c r="AH48" s="5" t="e">
        <f>#REF!</f>
        <v>#REF!</v>
      </c>
      <c r="AI48" s="5" t="e">
        <f>#REF!</f>
        <v>#REF!</v>
      </c>
      <c r="AJ48" s="5" t="e">
        <f>#REF!</f>
        <v>#REF!</v>
      </c>
      <c r="AK48" s="5" t="e">
        <f>#REF!</f>
        <v>#REF!</v>
      </c>
      <c r="AL48" s="5" t="e">
        <f>#REF!</f>
        <v>#REF!</v>
      </c>
      <c r="AM48" s="5" t="e">
        <f>#REF!</f>
        <v>#REF!</v>
      </c>
      <c r="AN48" s="5" t="e">
        <f>#REF!</f>
        <v>#REF!</v>
      </c>
      <c r="AO48" s="5" t="e">
        <f>#REF!</f>
        <v>#REF!</v>
      </c>
      <c r="AP48" s="219" t="e">
        <f>#REF!</f>
        <v>#REF!</v>
      </c>
      <c r="AQ48" s="45" t="e">
        <f>#REF!</f>
        <v>#REF!</v>
      </c>
      <c r="AR48" s="5" t="e">
        <f>#REF!</f>
        <v>#REF!</v>
      </c>
      <c r="AS48" s="5" t="e">
        <f>#REF!</f>
        <v>#REF!</v>
      </c>
      <c r="AT48" s="5" t="e">
        <f>#REF!</f>
        <v>#REF!</v>
      </c>
      <c r="AU48" s="5" t="e">
        <f>#REF!</f>
        <v>#REF!</v>
      </c>
      <c r="AV48" s="5" t="e">
        <f>#REF!</f>
        <v>#REF!</v>
      </c>
      <c r="AW48" s="5" t="e">
        <f>#REF!</f>
        <v>#REF!</v>
      </c>
      <c r="AX48" s="5" t="e">
        <f>#REF!</f>
        <v>#REF!</v>
      </c>
      <c r="AY48" s="5" t="e">
        <f>#REF!</f>
        <v>#REF!</v>
      </c>
      <c r="AZ48" s="5" t="e">
        <f>#REF!</f>
        <v>#REF!</v>
      </c>
      <c r="BA48" s="5" t="e">
        <f>#REF!</f>
        <v>#REF!</v>
      </c>
      <c r="BB48" s="219" t="e">
        <f>#REF!</f>
        <v>#REF!</v>
      </c>
      <c r="BC48" s="45" t="e">
        <f>#REF!</f>
        <v>#REF!</v>
      </c>
      <c r="BD48" s="5" t="e">
        <f>#REF!</f>
        <v>#REF!</v>
      </c>
      <c r="BE48" s="5" t="e">
        <f>#REF!</f>
        <v>#REF!</v>
      </c>
      <c r="BF48" s="5" t="e">
        <f>#REF!</f>
        <v>#REF!</v>
      </c>
      <c r="BG48" s="5" t="e">
        <f>#REF!</f>
        <v>#REF!</v>
      </c>
      <c r="BH48" s="5" t="e">
        <f>#REF!</f>
        <v>#REF!</v>
      </c>
      <c r="BI48" s="5" t="e">
        <f>#REF!</f>
        <v>#REF!</v>
      </c>
      <c r="BJ48" s="5" t="e">
        <f>#REF!</f>
        <v>#REF!</v>
      </c>
      <c r="BK48" s="5" t="e">
        <f>#REF!</f>
        <v>#REF!</v>
      </c>
      <c r="BL48" s="5" t="e">
        <f>#REF!</f>
        <v>#REF!</v>
      </c>
      <c r="BM48" s="5" t="e">
        <f>#REF!</f>
        <v>#REF!</v>
      </c>
      <c r="BN48" s="219" t="e">
        <f>#REF!</f>
        <v>#REF!</v>
      </c>
      <c r="BO48" s="45" t="e">
        <f>#REF!</f>
        <v>#REF!</v>
      </c>
      <c r="BP48" s="5" t="e">
        <f>#REF!</f>
        <v>#REF!</v>
      </c>
      <c r="BQ48" s="5" t="e">
        <f>#REF!</f>
        <v>#REF!</v>
      </c>
      <c r="BR48" s="5" t="e">
        <f>#REF!</f>
        <v>#REF!</v>
      </c>
      <c r="BS48" s="5" t="e">
        <f>#REF!</f>
        <v>#REF!</v>
      </c>
      <c r="BT48" s="219" t="e">
        <f>#REF!</f>
        <v>#REF!</v>
      </c>
    </row>
    <row r="49" spans="1:72" s="15" customFormat="1" ht="20.100000000000001" customHeight="1">
      <c r="A49" s="89" t="s">
        <v>1069</v>
      </c>
      <c r="B49" s="573"/>
      <c r="C49" s="266" t="s">
        <v>726</v>
      </c>
      <c r="D49" s="89" t="e">
        <f>IF(AND(#REF!="x",#REF!="N/A"),"x","N/A")</f>
        <v>#REF!</v>
      </c>
      <c r="E49" s="89" t="e">
        <f>#REF!</f>
        <v>#REF!</v>
      </c>
      <c r="F49" s="44" t="e">
        <f>#REF!</f>
        <v>#REF!</v>
      </c>
      <c r="G49" s="6" t="e">
        <f>#REF!</f>
        <v>#REF!</v>
      </c>
      <c r="H49" s="218" t="e">
        <f>#REF!</f>
        <v>#REF!</v>
      </c>
      <c r="I49" s="200" t="e">
        <f>#REF!</f>
        <v>#REF!</v>
      </c>
      <c r="J49" s="198" t="e">
        <f>#REF!</f>
        <v>#REF!</v>
      </c>
      <c r="K49" s="44" t="e">
        <f>#REF!</f>
        <v>#REF!</v>
      </c>
      <c r="L49" s="6" t="e">
        <f>#REF!</f>
        <v>#REF!</v>
      </c>
      <c r="M49" s="6" t="e">
        <f>#REF!</f>
        <v>#REF!</v>
      </c>
      <c r="N49" s="210" t="e">
        <f>#REF!</f>
        <v>#REF!</v>
      </c>
      <c r="O49" s="210" t="e">
        <f>#REF!</f>
        <v>#REF!</v>
      </c>
      <c r="P49" s="233" t="e">
        <f>#REF!</f>
        <v>#REF!</v>
      </c>
      <c r="Q49" s="270" t="e">
        <f>#REF!</f>
        <v>#REF!</v>
      </c>
      <c r="R49" s="295" t="e">
        <f>#REF!</f>
        <v>#REF!</v>
      </c>
      <c r="S49" s="45" t="e">
        <f>#REF!</f>
        <v>#REF!</v>
      </c>
      <c r="T49" s="5" t="e">
        <f>#REF!</f>
        <v>#REF!</v>
      </c>
      <c r="U49" s="5" t="e">
        <f>#REF!</f>
        <v>#REF!</v>
      </c>
      <c r="V49" s="5" t="e">
        <f>#REF!</f>
        <v>#REF!</v>
      </c>
      <c r="W49" s="5" t="e">
        <f>#REF!</f>
        <v>#REF!</v>
      </c>
      <c r="X49" s="5" t="e">
        <f>#REF!</f>
        <v>#REF!</v>
      </c>
      <c r="Y49" s="5" t="e">
        <f>#REF!</f>
        <v>#REF!</v>
      </c>
      <c r="Z49" s="5" t="e">
        <f>#REF!</f>
        <v>#REF!</v>
      </c>
      <c r="AA49" s="5" t="e">
        <f>#REF!</f>
        <v>#REF!</v>
      </c>
      <c r="AB49" s="5" t="e">
        <f>#REF!</f>
        <v>#REF!</v>
      </c>
      <c r="AC49" s="5" t="e">
        <f>#REF!</f>
        <v>#REF!</v>
      </c>
      <c r="AD49" s="219" t="e">
        <f>#REF!</f>
        <v>#REF!</v>
      </c>
      <c r="AE49" s="45" t="e">
        <f>#REF!</f>
        <v>#REF!</v>
      </c>
      <c r="AF49" s="5" t="e">
        <f>#REF!</f>
        <v>#REF!</v>
      </c>
      <c r="AG49" s="5" t="e">
        <f>#REF!</f>
        <v>#REF!</v>
      </c>
      <c r="AH49" s="5" t="e">
        <f>#REF!</f>
        <v>#REF!</v>
      </c>
      <c r="AI49" s="5" t="e">
        <f>#REF!</f>
        <v>#REF!</v>
      </c>
      <c r="AJ49" s="5" t="e">
        <f>#REF!</f>
        <v>#REF!</v>
      </c>
      <c r="AK49" s="5" t="e">
        <f>#REF!</f>
        <v>#REF!</v>
      </c>
      <c r="AL49" s="5" t="e">
        <f>#REF!</f>
        <v>#REF!</v>
      </c>
      <c r="AM49" s="5" t="e">
        <f>#REF!</f>
        <v>#REF!</v>
      </c>
      <c r="AN49" s="5" t="e">
        <f>#REF!</f>
        <v>#REF!</v>
      </c>
      <c r="AO49" s="5" t="e">
        <f>#REF!</f>
        <v>#REF!</v>
      </c>
      <c r="AP49" s="219" t="e">
        <f>#REF!</f>
        <v>#REF!</v>
      </c>
      <c r="AQ49" s="45" t="e">
        <f>#REF!</f>
        <v>#REF!</v>
      </c>
      <c r="AR49" s="5" t="e">
        <f>#REF!</f>
        <v>#REF!</v>
      </c>
      <c r="AS49" s="5" t="e">
        <f>#REF!</f>
        <v>#REF!</v>
      </c>
      <c r="AT49" s="5" t="e">
        <f>#REF!</f>
        <v>#REF!</v>
      </c>
      <c r="AU49" s="5" t="e">
        <f>#REF!</f>
        <v>#REF!</v>
      </c>
      <c r="AV49" s="5" t="e">
        <f>#REF!</f>
        <v>#REF!</v>
      </c>
      <c r="AW49" s="5" t="e">
        <f>#REF!</f>
        <v>#REF!</v>
      </c>
      <c r="AX49" s="5" t="e">
        <f>#REF!</f>
        <v>#REF!</v>
      </c>
      <c r="AY49" s="5" t="e">
        <f>#REF!</f>
        <v>#REF!</v>
      </c>
      <c r="AZ49" s="5" t="e">
        <f>#REF!</f>
        <v>#REF!</v>
      </c>
      <c r="BA49" s="5" t="e">
        <f>#REF!</f>
        <v>#REF!</v>
      </c>
      <c r="BB49" s="219" t="e">
        <f>#REF!</f>
        <v>#REF!</v>
      </c>
      <c r="BC49" s="45" t="e">
        <f>#REF!</f>
        <v>#REF!</v>
      </c>
      <c r="BD49" s="5" t="e">
        <f>#REF!</f>
        <v>#REF!</v>
      </c>
      <c r="BE49" s="5" t="e">
        <f>#REF!</f>
        <v>#REF!</v>
      </c>
      <c r="BF49" s="5" t="e">
        <f>#REF!</f>
        <v>#REF!</v>
      </c>
      <c r="BG49" s="5" t="e">
        <f>#REF!</f>
        <v>#REF!</v>
      </c>
      <c r="BH49" s="5" t="e">
        <f>#REF!</f>
        <v>#REF!</v>
      </c>
      <c r="BI49" s="5" t="e">
        <f>#REF!</f>
        <v>#REF!</v>
      </c>
      <c r="BJ49" s="5" t="e">
        <f>#REF!</f>
        <v>#REF!</v>
      </c>
      <c r="BK49" s="5" t="e">
        <f>#REF!</f>
        <v>#REF!</v>
      </c>
      <c r="BL49" s="5" t="e">
        <f>#REF!</f>
        <v>#REF!</v>
      </c>
      <c r="BM49" s="5" t="e">
        <f>#REF!</f>
        <v>#REF!</v>
      </c>
      <c r="BN49" s="219" t="e">
        <f>#REF!</f>
        <v>#REF!</v>
      </c>
      <c r="BO49" s="45" t="e">
        <f>#REF!</f>
        <v>#REF!</v>
      </c>
      <c r="BP49" s="5" t="e">
        <f>#REF!</f>
        <v>#REF!</v>
      </c>
      <c r="BQ49" s="5" t="e">
        <f>#REF!</f>
        <v>#REF!</v>
      </c>
      <c r="BR49" s="5" t="e">
        <f>#REF!</f>
        <v>#REF!</v>
      </c>
      <c r="BS49" s="5" t="e">
        <f>#REF!</f>
        <v>#REF!</v>
      </c>
      <c r="BT49" s="219" t="e">
        <f>#REF!</f>
        <v>#REF!</v>
      </c>
    </row>
    <row r="50" spans="1:72" s="15" customFormat="1" ht="20.100000000000001" hidden="1" customHeight="1">
      <c r="A50" s="89" t="s">
        <v>1070</v>
      </c>
      <c r="B50" s="573"/>
      <c r="C50" s="266" t="s">
        <v>720</v>
      </c>
      <c r="D50" s="89" t="e">
        <f>IF(AND(#REF!="x",#REF!="N/A"),"x","N/A")</f>
        <v>#REF!</v>
      </c>
      <c r="E50" s="89" t="e">
        <f>#REF!</f>
        <v>#REF!</v>
      </c>
      <c r="F50" s="44" t="e">
        <f>#REF!</f>
        <v>#REF!</v>
      </c>
      <c r="G50" s="6" t="e">
        <f>#REF!</f>
        <v>#REF!</v>
      </c>
      <c r="H50" s="218" t="e">
        <f>#REF!</f>
        <v>#REF!</v>
      </c>
      <c r="I50" s="200" t="e">
        <f>#REF!</f>
        <v>#REF!</v>
      </c>
      <c r="J50" s="198" t="e">
        <f>#REF!</f>
        <v>#REF!</v>
      </c>
      <c r="K50" s="44" t="e">
        <f>#REF!</f>
        <v>#REF!</v>
      </c>
      <c r="L50" s="6" t="e">
        <f>#REF!</f>
        <v>#REF!</v>
      </c>
      <c r="M50" s="6" t="e">
        <f>#REF!</f>
        <v>#REF!</v>
      </c>
      <c r="N50" s="210" t="e">
        <f>#REF!</f>
        <v>#REF!</v>
      </c>
      <c r="O50" s="210" t="e">
        <f>#REF!</f>
        <v>#REF!</v>
      </c>
      <c r="P50" s="233" t="e">
        <f>#REF!</f>
        <v>#REF!</v>
      </c>
      <c r="Q50" s="270" t="e">
        <f>#REF!</f>
        <v>#REF!</v>
      </c>
      <c r="R50" s="295" t="e">
        <f>#REF!</f>
        <v>#REF!</v>
      </c>
      <c r="S50" s="45" t="e">
        <f>#REF!</f>
        <v>#REF!</v>
      </c>
      <c r="T50" s="5" t="e">
        <f>#REF!</f>
        <v>#REF!</v>
      </c>
      <c r="U50" s="5" t="e">
        <f>#REF!</f>
        <v>#REF!</v>
      </c>
      <c r="V50" s="5" t="e">
        <f>#REF!</f>
        <v>#REF!</v>
      </c>
      <c r="W50" s="5" t="e">
        <f>#REF!</f>
        <v>#REF!</v>
      </c>
      <c r="X50" s="5"/>
      <c r="Y50" s="5"/>
      <c r="Z50" s="5"/>
      <c r="AA50" s="5"/>
      <c r="AB50" s="5"/>
      <c r="AC50" s="5"/>
      <c r="AD50" s="5"/>
      <c r="AE50" s="45"/>
      <c r="AF50" s="5"/>
      <c r="AG50" s="5"/>
      <c r="AH50" s="5"/>
      <c r="AI50" s="5"/>
      <c r="AJ50" s="5"/>
      <c r="AK50" s="5"/>
      <c r="AL50" s="5"/>
      <c r="AM50" s="5"/>
      <c r="AN50" s="5"/>
      <c r="AO50" s="5" t="e">
        <f>#REF!</f>
        <v>#REF!</v>
      </c>
      <c r="AP50" s="219" t="e">
        <f>#REF!</f>
        <v>#REF!</v>
      </c>
      <c r="AQ50" s="45" t="e">
        <f>#REF!</f>
        <v>#REF!</v>
      </c>
      <c r="AR50" s="5" t="e">
        <f>#REF!</f>
        <v>#REF!</v>
      </c>
      <c r="AS50" s="5" t="e">
        <f>#REF!</f>
        <v>#REF!</v>
      </c>
      <c r="AT50" s="5" t="e">
        <f>#REF!</f>
        <v>#REF!</v>
      </c>
      <c r="AU50" s="5" t="e">
        <f>#REF!</f>
        <v>#REF!</v>
      </c>
      <c r="AV50" s="5" t="e">
        <f>#REF!</f>
        <v>#REF!</v>
      </c>
      <c r="AW50" s="5" t="e">
        <f>#REF!</f>
        <v>#REF!</v>
      </c>
      <c r="AX50" s="5" t="e">
        <f>#REF!</f>
        <v>#REF!</v>
      </c>
      <c r="AY50" s="5" t="e">
        <f>#REF!</f>
        <v>#REF!</v>
      </c>
      <c r="AZ50" s="5" t="e">
        <f>#REF!</f>
        <v>#REF!</v>
      </c>
      <c r="BA50" s="5" t="e">
        <f>#REF!</f>
        <v>#REF!</v>
      </c>
      <c r="BB50" s="219" t="e">
        <f>#REF!</f>
        <v>#REF!</v>
      </c>
      <c r="BC50" s="45" t="e">
        <f>#REF!</f>
        <v>#REF!</v>
      </c>
      <c r="BD50" s="5" t="e">
        <f>#REF!</f>
        <v>#REF!</v>
      </c>
      <c r="BE50" s="5" t="e">
        <f>#REF!</f>
        <v>#REF!</v>
      </c>
      <c r="BF50" s="5" t="e">
        <f>#REF!</f>
        <v>#REF!</v>
      </c>
      <c r="BG50" s="5" t="e">
        <f>#REF!</f>
        <v>#REF!</v>
      </c>
      <c r="BH50" s="5" t="e">
        <f>#REF!</f>
        <v>#REF!</v>
      </c>
      <c r="BI50" s="5" t="e">
        <f>#REF!</f>
        <v>#REF!</v>
      </c>
      <c r="BJ50" s="5" t="e">
        <f>#REF!</f>
        <v>#REF!</v>
      </c>
      <c r="BK50" s="5" t="e">
        <f>#REF!</f>
        <v>#REF!</v>
      </c>
      <c r="BL50" s="5" t="e">
        <f>#REF!</f>
        <v>#REF!</v>
      </c>
      <c r="BM50" s="5" t="e">
        <f>#REF!</f>
        <v>#REF!</v>
      </c>
      <c r="BN50" s="219" t="e">
        <f>#REF!</f>
        <v>#REF!</v>
      </c>
      <c r="BO50" s="45" t="e">
        <f>#REF!</f>
        <v>#REF!</v>
      </c>
      <c r="BP50" s="5" t="e">
        <f>#REF!</f>
        <v>#REF!</v>
      </c>
      <c r="BQ50" s="5" t="e">
        <f>#REF!</f>
        <v>#REF!</v>
      </c>
      <c r="BR50" s="5" t="e">
        <f>#REF!</f>
        <v>#REF!</v>
      </c>
      <c r="BS50" s="5" t="e">
        <f>#REF!</f>
        <v>#REF!</v>
      </c>
      <c r="BT50" s="219" t="e">
        <f>#REF!</f>
        <v>#REF!</v>
      </c>
    </row>
    <row r="51" spans="1:72" s="15" customFormat="1" ht="20.100000000000001" customHeight="1">
      <c r="A51" s="89" t="s">
        <v>1071</v>
      </c>
      <c r="B51" s="573"/>
      <c r="C51" s="266" t="s">
        <v>718</v>
      </c>
      <c r="D51" s="89" t="e">
        <f>IF(AND(#REF!="x",#REF!="N/A"),"x","N/A")</f>
        <v>#REF!</v>
      </c>
      <c r="E51" s="89" t="e">
        <f>#REF!</f>
        <v>#REF!</v>
      </c>
      <c r="F51" s="44" t="e">
        <f>#REF!</f>
        <v>#REF!</v>
      </c>
      <c r="G51" s="6" t="e">
        <f>#REF!</f>
        <v>#REF!</v>
      </c>
      <c r="H51" s="218" t="e">
        <f>#REF!</f>
        <v>#REF!</v>
      </c>
      <c r="I51" s="200" t="e">
        <f>#REF!</f>
        <v>#REF!</v>
      </c>
      <c r="J51" s="198" t="e">
        <f>#REF!</f>
        <v>#REF!</v>
      </c>
      <c r="K51" s="44" t="e">
        <f>#REF!</f>
        <v>#REF!</v>
      </c>
      <c r="L51" s="6" t="e">
        <f>#REF!</f>
        <v>#REF!</v>
      </c>
      <c r="M51" s="6" t="e">
        <f>#REF!</f>
        <v>#REF!</v>
      </c>
      <c r="N51" s="210" t="e">
        <f>#REF!</f>
        <v>#REF!</v>
      </c>
      <c r="O51" s="210" t="e">
        <f>#REF!</f>
        <v>#REF!</v>
      </c>
      <c r="P51" s="233" t="e">
        <f>#REF!</f>
        <v>#REF!</v>
      </c>
      <c r="Q51" s="270" t="e">
        <f>#REF!</f>
        <v>#REF!</v>
      </c>
      <c r="R51" s="295" t="e">
        <f>#REF!</f>
        <v>#REF!</v>
      </c>
      <c r="S51" s="45" t="e">
        <f>#REF!</f>
        <v>#REF!</v>
      </c>
      <c r="T51" s="5" t="e">
        <f>#REF!</f>
        <v>#REF!</v>
      </c>
      <c r="U51" s="5" t="e">
        <f>#REF!</f>
        <v>#REF!</v>
      </c>
      <c r="V51" s="5" t="e">
        <f>#REF!</f>
        <v>#REF!</v>
      </c>
      <c r="W51" s="5" t="e">
        <f>#REF!</f>
        <v>#REF!</v>
      </c>
      <c r="X51" s="5" t="e">
        <f>#REF!</f>
        <v>#REF!</v>
      </c>
      <c r="Y51" s="5" t="e">
        <f>#REF!</f>
        <v>#REF!</v>
      </c>
      <c r="Z51" s="5" t="e">
        <f>#REF!</f>
        <v>#REF!</v>
      </c>
      <c r="AA51" s="5" t="e">
        <f>#REF!</f>
        <v>#REF!</v>
      </c>
      <c r="AB51" s="5" t="e">
        <f>#REF!</f>
        <v>#REF!</v>
      </c>
      <c r="AC51" s="5" t="e">
        <f>#REF!</f>
        <v>#REF!</v>
      </c>
      <c r="AD51" s="219" t="e">
        <f>#REF!</f>
        <v>#REF!</v>
      </c>
      <c r="AE51" s="45" t="e">
        <f>#REF!</f>
        <v>#REF!</v>
      </c>
      <c r="AF51" s="5" t="e">
        <f>#REF!</f>
        <v>#REF!</v>
      </c>
      <c r="AG51" s="5" t="e">
        <f>#REF!</f>
        <v>#REF!</v>
      </c>
      <c r="AH51" s="5" t="e">
        <f>#REF!</f>
        <v>#REF!</v>
      </c>
      <c r="AI51" s="5" t="e">
        <f>#REF!</f>
        <v>#REF!</v>
      </c>
      <c r="AJ51" s="5" t="e">
        <f>#REF!</f>
        <v>#REF!</v>
      </c>
      <c r="AK51" s="5" t="e">
        <f>#REF!</f>
        <v>#REF!</v>
      </c>
      <c r="AL51" s="5" t="e">
        <f>#REF!</f>
        <v>#REF!</v>
      </c>
      <c r="AM51" s="5" t="e">
        <f>#REF!</f>
        <v>#REF!</v>
      </c>
      <c r="AN51" s="5" t="e">
        <f>#REF!</f>
        <v>#REF!</v>
      </c>
      <c r="AO51" s="5" t="e">
        <f>#REF!</f>
        <v>#REF!</v>
      </c>
      <c r="AP51" s="219" t="e">
        <f>#REF!</f>
        <v>#REF!</v>
      </c>
      <c r="AQ51" s="45" t="e">
        <f>#REF!</f>
        <v>#REF!</v>
      </c>
      <c r="AR51" s="5" t="e">
        <f>#REF!</f>
        <v>#REF!</v>
      </c>
      <c r="AS51" s="5" t="e">
        <f>#REF!</f>
        <v>#REF!</v>
      </c>
      <c r="AT51" s="5" t="e">
        <f>#REF!</f>
        <v>#REF!</v>
      </c>
      <c r="AU51" s="5" t="e">
        <f>#REF!</f>
        <v>#REF!</v>
      </c>
      <c r="AV51" s="5" t="e">
        <f>#REF!</f>
        <v>#REF!</v>
      </c>
      <c r="AW51" s="5" t="e">
        <f>#REF!</f>
        <v>#REF!</v>
      </c>
      <c r="AX51" s="5" t="e">
        <f>#REF!</f>
        <v>#REF!</v>
      </c>
      <c r="AY51" s="5" t="e">
        <f>#REF!</f>
        <v>#REF!</v>
      </c>
      <c r="AZ51" s="5" t="e">
        <f>#REF!</f>
        <v>#REF!</v>
      </c>
      <c r="BA51" s="5" t="e">
        <f>#REF!</f>
        <v>#REF!</v>
      </c>
      <c r="BB51" s="219" t="e">
        <f>#REF!</f>
        <v>#REF!</v>
      </c>
      <c r="BC51" s="45" t="e">
        <f>#REF!</f>
        <v>#REF!</v>
      </c>
      <c r="BD51" s="5" t="e">
        <f>#REF!</f>
        <v>#REF!</v>
      </c>
      <c r="BE51" s="5" t="e">
        <f>#REF!</f>
        <v>#REF!</v>
      </c>
      <c r="BF51" s="5" t="e">
        <f>#REF!</f>
        <v>#REF!</v>
      </c>
      <c r="BG51" s="5" t="e">
        <f>#REF!</f>
        <v>#REF!</v>
      </c>
      <c r="BH51" s="5" t="e">
        <f>#REF!</f>
        <v>#REF!</v>
      </c>
      <c r="BI51" s="5" t="e">
        <f>#REF!</f>
        <v>#REF!</v>
      </c>
      <c r="BJ51" s="5" t="e">
        <f>#REF!</f>
        <v>#REF!</v>
      </c>
      <c r="BK51" s="5" t="e">
        <f>#REF!</f>
        <v>#REF!</v>
      </c>
      <c r="BL51" s="5" t="e">
        <f>#REF!</f>
        <v>#REF!</v>
      </c>
      <c r="BM51" s="5" t="e">
        <f>#REF!</f>
        <v>#REF!</v>
      </c>
      <c r="BN51" s="219" t="e">
        <f>#REF!</f>
        <v>#REF!</v>
      </c>
      <c r="BO51" s="45" t="e">
        <f>#REF!</f>
        <v>#REF!</v>
      </c>
      <c r="BP51" s="5" t="e">
        <f>#REF!</f>
        <v>#REF!</v>
      </c>
      <c r="BQ51" s="5" t="e">
        <f>#REF!</f>
        <v>#REF!</v>
      </c>
      <c r="BR51" s="5" t="e">
        <f>#REF!</f>
        <v>#REF!</v>
      </c>
      <c r="BS51" s="5" t="e">
        <f>#REF!</f>
        <v>#REF!</v>
      </c>
      <c r="BT51" s="219" t="e">
        <f>#REF!</f>
        <v>#REF!</v>
      </c>
    </row>
    <row r="52" spans="1:72" s="15" customFormat="1" ht="20.100000000000001" hidden="1" customHeight="1">
      <c r="A52" s="89" t="s">
        <v>1072</v>
      </c>
      <c r="B52" s="573"/>
      <c r="C52" s="266" t="s">
        <v>714</v>
      </c>
      <c r="D52" s="89" t="e">
        <f>IF(AND(#REF!="x",#REF!="N/A"),"x","N/A")</f>
        <v>#REF!</v>
      </c>
      <c r="E52" s="89" t="e">
        <f>#REF!</f>
        <v>#REF!</v>
      </c>
      <c r="F52" s="44" t="e">
        <f>#REF!</f>
        <v>#REF!</v>
      </c>
      <c r="G52" s="6" t="e">
        <f>#REF!</f>
        <v>#REF!</v>
      </c>
      <c r="H52" s="218" t="e">
        <f>#REF!</f>
        <v>#REF!</v>
      </c>
      <c r="I52" s="200" t="e">
        <f>#REF!</f>
        <v>#REF!</v>
      </c>
      <c r="J52" s="198" t="e">
        <f>#REF!</f>
        <v>#REF!</v>
      </c>
      <c r="K52" s="44" t="e">
        <f>#REF!</f>
        <v>#REF!</v>
      </c>
      <c r="L52" s="6" t="e">
        <f>#REF!</f>
        <v>#REF!</v>
      </c>
      <c r="M52" s="6" t="e">
        <f>#REF!</f>
        <v>#REF!</v>
      </c>
      <c r="N52" s="210" t="e">
        <f>#REF!</f>
        <v>#REF!</v>
      </c>
      <c r="O52" s="210" t="e">
        <f>#REF!</f>
        <v>#REF!</v>
      </c>
      <c r="P52" s="233" t="e">
        <f>#REF!</f>
        <v>#REF!</v>
      </c>
      <c r="Q52" s="270" t="e">
        <f>#REF!</f>
        <v>#REF!</v>
      </c>
      <c r="R52" s="295" t="e">
        <f>#REF!</f>
        <v>#REF!</v>
      </c>
      <c r="S52" s="45" t="e">
        <f>#REF!</f>
        <v>#REF!</v>
      </c>
      <c r="T52" s="5" t="e">
        <f>#REF!</f>
        <v>#REF!</v>
      </c>
      <c r="U52" s="5" t="e">
        <f>#REF!</f>
        <v>#REF!</v>
      </c>
      <c r="V52" s="5" t="e">
        <f>#REF!</f>
        <v>#REF!</v>
      </c>
      <c r="W52" s="5" t="e">
        <f>#REF!</f>
        <v>#REF!</v>
      </c>
      <c r="X52" s="5"/>
      <c r="Y52" s="5"/>
      <c r="Z52" s="5"/>
      <c r="AA52" s="5"/>
      <c r="AB52" s="5"/>
      <c r="AC52" s="5"/>
      <c r="AD52" s="5"/>
      <c r="AE52" s="45"/>
      <c r="AF52" s="5"/>
      <c r="AG52" s="5"/>
      <c r="AH52" s="5"/>
      <c r="AI52" s="5"/>
      <c r="AJ52" s="5"/>
      <c r="AK52" s="5"/>
      <c r="AL52" s="5"/>
      <c r="AM52" s="5"/>
      <c r="AN52" s="5"/>
      <c r="AO52" s="5" t="e">
        <f>#REF!</f>
        <v>#REF!</v>
      </c>
      <c r="AP52" s="219" t="e">
        <f>#REF!</f>
        <v>#REF!</v>
      </c>
      <c r="AQ52" s="45" t="e">
        <f>#REF!</f>
        <v>#REF!</v>
      </c>
      <c r="AR52" s="5" t="e">
        <f>#REF!</f>
        <v>#REF!</v>
      </c>
      <c r="AS52" s="5" t="e">
        <f>#REF!</f>
        <v>#REF!</v>
      </c>
      <c r="AT52" s="5" t="e">
        <f>#REF!</f>
        <v>#REF!</v>
      </c>
      <c r="AU52" s="5" t="e">
        <f>#REF!</f>
        <v>#REF!</v>
      </c>
      <c r="AV52" s="5" t="e">
        <f>#REF!</f>
        <v>#REF!</v>
      </c>
      <c r="AW52" s="5" t="e">
        <f>#REF!</f>
        <v>#REF!</v>
      </c>
      <c r="AX52" s="5" t="e">
        <f>#REF!</f>
        <v>#REF!</v>
      </c>
      <c r="AY52" s="5" t="e">
        <f>#REF!</f>
        <v>#REF!</v>
      </c>
      <c r="AZ52" s="5" t="e">
        <f>#REF!</f>
        <v>#REF!</v>
      </c>
      <c r="BA52" s="5" t="e">
        <f>#REF!</f>
        <v>#REF!</v>
      </c>
      <c r="BB52" s="219" t="e">
        <f>#REF!</f>
        <v>#REF!</v>
      </c>
      <c r="BC52" s="45" t="e">
        <f>#REF!</f>
        <v>#REF!</v>
      </c>
      <c r="BD52" s="5" t="e">
        <f>#REF!</f>
        <v>#REF!</v>
      </c>
      <c r="BE52" s="5" t="e">
        <f>#REF!</f>
        <v>#REF!</v>
      </c>
      <c r="BF52" s="5" t="e">
        <f>#REF!</f>
        <v>#REF!</v>
      </c>
      <c r="BG52" s="5" t="e">
        <f>#REF!</f>
        <v>#REF!</v>
      </c>
      <c r="BH52" s="5" t="e">
        <f>#REF!</f>
        <v>#REF!</v>
      </c>
      <c r="BI52" s="5" t="e">
        <f>#REF!</f>
        <v>#REF!</v>
      </c>
      <c r="BJ52" s="5" t="e">
        <f>#REF!</f>
        <v>#REF!</v>
      </c>
      <c r="BK52" s="5" t="e">
        <f>#REF!</f>
        <v>#REF!</v>
      </c>
      <c r="BL52" s="5" t="e">
        <f>#REF!</f>
        <v>#REF!</v>
      </c>
      <c r="BM52" s="5" t="e">
        <f>#REF!</f>
        <v>#REF!</v>
      </c>
      <c r="BN52" s="219" t="e">
        <f>#REF!</f>
        <v>#REF!</v>
      </c>
      <c r="BO52" s="45" t="e">
        <f>#REF!</f>
        <v>#REF!</v>
      </c>
      <c r="BP52" s="5" t="e">
        <f>#REF!</f>
        <v>#REF!</v>
      </c>
      <c r="BQ52" s="5" t="e">
        <f>#REF!</f>
        <v>#REF!</v>
      </c>
      <c r="BR52" s="5" t="e">
        <f>#REF!</f>
        <v>#REF!</v>
      </c>
      <c r="BS52" s="5" t="e">
        <f>#REF!</f>
        <v>#REF!</v>
      </c>
      <c r="BT52" s="219" t="e">
        <f>#REF!</f>
        <v>#REF!</v>
      </c>
    </row>
    <row r="53" spans="1:72" s="15" customFormat="1" ht="20.100000000000001" customHeight="1">
      <c r="A53" s="89" t="s">
        <v>1073</v>
      </c>
      <c r="B53" s="239" t="s">
        <v>1074</v>
      </c>
      <c r="C53" s="266" t="s">
        <v>456</v>
      </c>
      <c r="D53" s="89" t="e">
        <f>IF(AND(#REF!="x",#REF!="N/A"),"x","N/A")</f>
        <v>#REF!</v>
      </c>
      <c r="E53" s="89" t="e">
        <f>#REF!</f>
        <v>#REF!</v>
      </c>
      <c r="F53" s="44" t="e">
        <f>#REF!</f>
        <v>#REF!</v>
      </c>
      <c r="G53" s="6" t="e">
        <f>#REF!</f>
        <v>#REF!</v>
      </c>
      <c r="H53" s="218" t="e">
        <f>#REF!</f>
        <v>#REF!</v>
      </c>
      <c r="I53" s="200" t="e">
        <f>#REF!</f>
        <v>#REF!</v>
      </c>
      <c r="J53" s="198" t="e">
        <f>#REF!</f>
        <v>#REF!</v>
      </c>
      <c r="K53" s="44" t="e">
        <f>#REF!</f>
        <v>#REF!</v>
      </c>
      <c r="L53" s="6" t="e">
        <f>#REF!</f>
        <v>#REF!</v>
      </c>
      <c r="M53" s="6" t="e">
        <f>#REF!</f>
        <v>#REF!</v>
      </c>
      <c r="N53" s="210" t="e">
        <f>#REF!</f>
        <v>#REF!</v>
      </c>
      <c r="O53" s="210" t="e">
        <f>#REF!</f>
        <v>#REF!</v>
      </c>
      <c r="P53" s="233" t="e">
        <f>#REF!</f>
        <v>#REF!</v>
      </c>
      <c r="Q53" s="270" t="e">
        <f>#REF!</f>
        <v>#REF!</v>
      </c>
      <c r="R53" s="295" t="e">
        <f>#REF!</f>
        <v>#REF!</v>
      </c>
      <c r="S53" s="45" t="e">
        <f>#REF!</f>
        <v>#REF!</v>
      </c>
      <c r="T53" s="5" t="e">
        <f>#REF!</f>
        <v>#REF!</v>
      </c>
      <c r="U53" s="5" t="e">
        <f>#REF!</f>
        <v>#REF!</v>
      </c>
      <c r="V53" s="5" t="e">
        <f>#REF!</f>
        <v>#REF!</v>
      </c>
      <c r="W53" s="5" t="e">
        <f>#REF!</f>
        <v>#REF!</v>
      </c>
      <c r="X53" s="5" t="e">
        <f>#REF!</f>
        <v>#REF!</v>
      </c>
      <c r="Y53" s="5" t="e">
        <f>#REF!</f>
        <v>#REF!</v>
      </c>
      <c r="Z53" s="5" t="e">
        <f>#REF!</f>
        <v>#REF!</v>
      </c>
      <c r="AA53" s="5" t="e">
        <f>#REF!</f>
        <v>#REF!</v>
      </c>
      <c r="AB53" s="5" t="e">
        <f>#REF!</f>
        <v>#REF!</v>
      </c>
      <c r="AC53" s="5" t="e">
        <f>#REF!</f>
        <v>#REF!</v>
      </c>
      <c r="AD53" s="219" t="e">
        <f>#REF!</f>
        <v>#REF!</v>
      </c>
      <c r="AE53" s="45" t="e">
        <f>#REF!</f>
        <v>#REF!</v>
      </c>
      <c r="AF53" s="5" t="e">
        <f>#REF!</f>
        <v>#REF!</v>
      </c>
      <c r="AG53" s="5" t="e">
        <f>#REF!</f>
        <v>#REF!</v>
      </c>
      <c r="AH53" s="5" t="e">
        <f>#REF!</f>
        <v>#REF!</v>
      </c>
      <c r="AI53" s="5" t="e">
        <f>#REF!</f>
        <v>#REF!</v>
      </c>
      <c r="AJ53" s="5" t="e">
        <f>#REF!</f>
        <v>#REF!</v>
      </c>
      <c r="AK53" s="5" t="e">
        <f>#REF!</f>
        <v>#REF!</v>
      </c>
      <c r="AL53" s="5" t="e">
        <f>#REF!</f>
        <v>#REF!</v>
      </c>
      <c r="AM53" s="5" t="e">
        <f>#REF!</f>
        <v>#REF!</v>
      </c>
      <c r="AN53" s="5" t="e">
        <f>#REF!</f>
        <v>#REF!</v>
      </c>
      <c r="AO53" s="5" t="e">
        <f>#REF!</f>
        <v>#REF!</v>
      </c>
      <c r="AP53" s="219" t="e">
        <f>#REF!</f>
        <v>#REF!</v>
      </c>
      <c r="AQ53" s="45" t="e">
        <f>#REF!</f>
        <v>#REF!</v>
      </c>
      <c r="AR53" s="5" t="e">
        <f>#REF!</f>
        <v>#REF!</v>
      </c>
      <c r="AS53" s="5" t="e">
        <f>#REF!</f>
        <v>#REF!</v>
      </c>
      <c r="AT53" s="5" t="e">
        <f>#REF!</f>
        <v>#REF!</v>
      </c>
      <c r="AU53" s="5" t="e">
        <f>#REF!</f>
        <v>#REF!</v>
      </c>
      <c r="AV53" s="5" t="e">
        <f>#REF!</f>
        <v>#REF!</v>
      </c>
      <c r="AW53" s="5" t="e">
        <f>#REF!</f>
        <v>#REF!</v>
      </c>
      <c r="AX53" s="5" t="e">
        <f>#REF!</f>
        <v>#REF!</v>
      </c>
      <c r="AY53" s="5" t="e">
        <f>#REF!</f>
        <v>#REF!</v>
      </c>
      <c r="AZ53" s="5" t="e">
        <f>#REF!</f>
        <v>#REF!</v>
      </c>
      <c r="BA53" s="5" t="e">
        <f>#REF!</f>
        <v>#REF!</v>
      </c>
      <c r="BB53" s="219" t="e">
        <f>#REF!</f>
        <v>#REF!</v>
      </c>
      <c r="BC53" s="45" t="e">
        <f>#REF!</f>
        <v>#REF!</v>
      </c>
      <c r="BD53" s="5" t="e">
        <f>#REF!</f>
        <v>#REF!</v>
      </c>
      <c r="BE53" s="5" t="e">
        <f>#REF!</f>
        <v>#REF!</v>
      </c>
      <c r="BF53" s="5" t="e">
        <f>#REF!</f>
        <v>#REF!</v>
      </c>
      <c r="BG53" s="5" t="e">
        <f>#REF!</f>
        <v>#REF!</v>
      </c>
      <c r="BH53" s="5" t="e">
        <f>#REF!</f>
        <v>#REF!</v>
      </c>
      <c r="BI53" s="5" t="e">
        <f>#REF!</f>
        <v>#REF!</v>
      </c>
      <c r="BJ53" s="5" t="e">
        <f>#REF!</f>
        <v>#REF!</v>
      </c>
      <c r="BK53" s="5" t="e">
        <f>#REF!</f>
        <v>#REF!</v>
      </c>
      <c r="BL53" s="5" t="e">
        <f>#REF!</f>
        <v>#REF!</v>
      </c>
      <c r="BM53" s="5" t="e">
        <f>#REF!</f>
        <v>#REF!</v>
      </c>
      <c r="BN53" s="219" t="e">
        <f>#REF!</f>
        <v>#REF!</v>
      </c>
      <c r="BO53" s="45" t="e">
        <f>#REF!</f>
        <v>#REF!</v>
      </c>
      <c r="BP53" s="5" t="e">
        <f>#REF!</f>
        <v>#REF!</v>
      </c>
      <c r="BQ53" s="5" t="e">
        <f>#REF!</f>
        <v>#REF!</v>
      </c>
      <c r="BR53" s="5" t="e">
        <f>#REF!</f>
        <v>#REF!</v>
      </c>
      <c r="BS53" s="5" t="e">
        <f>#REF!</f>
        <v>#REF!</v>
      </c>
      <c r="BT53" s="219" t="e">
        <f>#REF!</f>
        <v>#REF!</v>
      </c>
    </row>
    <row r="54" spans="1:72" ht="20.100000000000001" hidden="1" customHeight="1">
      <c r="A54" s="225" t="s">
        <v>1075</v>
      </c>
      <c r="B54" s="578" t="s">
        <v>1076</v>
      </c>
      <c r="C54" s="299" t="s">
        <v>692</v>
      </c>
      <c r="D54" s="206" t="e">
        <f>IF(AND(#REF!="x",#REF!="N/A"),"x","N/A")</f>
        <v>#REF!</v>
      </c>
      <c r="E54" s="206" t="e">
        <f>#REF!</f>
        <v>#REF!</v>
      </c>
      <c r="F54" s="44" t="e">
        <f>#REF!</f>
        <v>#REF!</v>
      </c>
      <c r="G54" s="6" t="e">
        <f>#REF!</f>
        <v>#REF!</v>
      </c>
      <c r="H54" s="218" t="e">
        <f>#REF!</f>
        <v>#REF!</v>
      </c>
      <c r="I54" s="200" t="e">
        <f>#REF!</f>
        <v>#REF!</v>
      </c>
      <c r="J54" s="198" t="e">
        <f>#REF!</f>
        <v>#REF!</v>
      </c>
      <c r="K54" s="44" t="e">
        <f>#REF!</f>
        <v>#REF!</v>
      </c>
      <c r="L54" s="6" t="e">
        <f>#REF!</f>
        <v>#REF!</v>
      </c>
      <c r="M54" s="6" t="e">
        <f>#REF!</f>
        <v>#REF!</v>
      </c>
      <c r="N54" s="234" t="e">
        <f>#REF!</f>
        <v>#REF!</v>
      </c>
      <c r="O54" s="234" t="e">
        <f>#REF!</f>
        <v>#REF!</v>
      </c>
      <c r="P54" s="235" t="e">
        <f>#REF!</f>
        <v>#REF!</v>
      </c>
      <c r="Q54" s="300" t="e">
        <f>#REF!</f>
        <v>#REF!</v>
      </c>
      <c r="R54" s="295" t="e">
        <f>#REF!</f>
        <v>#REF!</v>
      </c>
      <c r="S54" s="191" t="e">
        <f>#REF!</f>
        <v>#REF!</v>
      </c>
      <c r="T54" s="192" t="e">
        <f>#REF!</f>
        <v>#REF!</v>
      </c>
      <c r="U54" s="192" t="e">
        <f>#REF!</f>
        <v>#REF!</v>
      </c>
      <c r="V54" s="192" t="e">
        <f>#REF!</f>
        <v>#REF!</v>
      </c>
      <c r="W54" s="192" t="e">
        <f>#REF!</f>
        <v>#REF!</v>
      </c>
      <c r="X54" s="192" t="e">
        <f>#REF!</f>
        <v>#REF!</v>
      </c>
      <c r="Y54" s="192" t="e">
        <f>#REF!</f>
        <v>#REF!</v>
      </c>
      <c r="Z54" s="192" t="e">
        <f>#REF!</f>
        <v>#REF!</v>
      </c>
      <c r="AA54" s="192" t="e">
        <f>#REF!</f>
        <v>#REF!</v>
      </c>
      <c r="AB54" s="5" t="e">
        <f>#REF!</f>
        <v>#REF!</v>
      </c>
      <c r="AC54" s="192" t="e">
        <f>#REF!</f>
        <v>#REF!</v>
      </c>
      <c r="AD54" s="5" t="e">
        <f>#REF!</f>
        <v>#REF!</v>
      </c>
      <c r="AE54" s="253" t="e">
        <f>#REF!</f>
        <v>#REF!</v>
      </c>
      <c r="AF54" s="192" t="e">
        <f>#REF!</f>
        <v>#REF!</v>
      </c>
      <c r="AG54" s="192" t="e">
        <f>#REF!</f>
        <v>#REF!</v>
      </c>
      <c r="AH54" s="192" t="e">
        <f>#REF!</f>
        <v>#REF!</v>
      </c>
      <c r="AI54" s="192" t="e">
        <f>#REF!</f>
        <v>#REF!</v>
      </c>
      <c r="AJ54" s="192" t="e">
        <f>#REF!</f>
        <v>#REF!</v>
      </c>
      <c r="AK54" s="192" t="e">
        <f>#REF!</f>
        <v>#REF!</v>
      </c>
      <c r="AL54" s="192" t="e">
        <f>#REF!</f>
        <v>#REF!</v>
      </c>
      <c r="AM54" s="192" t="e">
        <f>#REF!</f>
        <v>#REF!</v>
      </c>
      <c r="AN54" s="192" t="e">
        <f>#REF!</f>
        <v>#REF!</v>
      </c>
      <c r="AO54" s="192" t="e">
        <f>#REF!</f>
        <v>#REF!</v>
      </c>
      <c r="AP54" s="193" t="e">
        <f>#REF!</f>
        <v>#REF!</v>
      </c>
      <c r="AQ54" s="191" t="e">
        <f>#REF!</f>
        <v>#REF!</v>
      </c>
      <c r="AR54" s="192" t="e">
        <f>#REF!</f>
        <v>#REF!</v>
      </c>
      <c r="AS54" s="192" t="e">
        <f>#REF!</f>
        <v>#REF!</v>
      </c>
      <c r="AT54" s="192" t="e">
        <f>#REF!</f>
        <v>#REF!</v>
      </c>
      <c r="AU54" s="192" t="e">
        <f>#REF!</f>
        <v>#REF!</v>
      </c>
      <c r="AV54" s="192" t="e">
        <f>#REF!</f>
        <v>#REF!</v>
      </c>
      <c r="AW54" s="192" t="e">
        <f>#REF!</f>
        <v>#REF!</v>
      </c>
      <c r="AX54" s="192" t="e">
        <f>#REF!</f>
        <v>#REF!</v>
      </c>
      <c r="AY54" s="192" t="e">
        <f>#REF!</f>
        <v>#REF!</v>
      </c>
      <c r="AZ54" s="192" t="e">
        <f>#REF!</f>
        <v>#REF!</v>
      </c>
      <c r="BA54" s="192" t="e">
        <f>#REF!</f>
        <v>#REF!</v>
      </c>
      <c r="BB54" s="193" t="e">
        <f>#REF!</f>
        <v>#REF!</v>
      </c>
      <c r="BC54" s="191" t="e">
        <f>#REF!</f>
        <v>#REF!</v>
      </c>
      <c r="BD54" s="192" t="e">
        <f>#REF!</f>
        <v>#REF!</v>
      </c>
      <c r="BE54" s="192" t="e">
        <f>#REF!</f>
        <v>#REF!</v>
      </c>
      <c r="BF54" s="192" t="e">
        <f>#REF!</f>
        <v>#REF!</v>
      </c>
      <c r="BG54" s="192" t="e">
        <f>#REF!</f>
        <v>#REF!</v>
      </c>
      <c r="BH54" s="192" t="e">
        <f>#REF!</f>
        <v>#REF!</v>
      </c>
      <c r="BI54" s="192" t="e">
        <f>#REF!</f>
        <v>#REF!</v>
      </c>
      <c r="BJ54" s="192" t="e">
        <f>#REF!</f>
        <v>#REF!</v>
      </c>
      <c r="BK54" s="192" t="e">
        <f>#REF!</f>
        <v>#REF!</v>
      </c>
      <c r="BL54" s="192" t="e">
        <f>#REF!</f>
        <v>#REF!</v>
      </c>
      <c r="BM54" s="192" t="e">
        <f>#REF!</f>
        <v>#REF!</v>
      </c>
      <c r="BN54" s="193" t="e">
        <f>#REF!</f>
        <v>#REF!</v>
      </c>
      <c r="BO54" s="191" t="e">
        <f>#REF!</f>
        <v>#REF!</v>
      </c>
      <c r="BP54" s="192" t="e">
        <f>#REF!</f>
        <v>#REF!</v>
      </c>
      <c r="BQ54" s="192" t="e">
        <f>#REF!</f>
        <v>#REF!</v>
      </c>
      <c r="BR54" s="192" t="e">
        <f>#REF!</f>
        <v>#REF!</v>
      </c>
      <c r="BS54" s="192" t="e">
        <f>#REF!</f>
        <v>#REF!</v>
      </c>
      <c r="BT54" s="193" t="e">
        <f>#REF!</f>
        <v>#REF!</v>
      </c>
    </row>
    <row r="55" spans="1:72" s="15" customFormat="1" ht="20.100000000000001" customHeight="1">
      <c r="A55" s="221" t="s">
        <v>1077</v>
      </c>
      <c r="B55" s="573"/>
      <c r="C55" s="266" t="s">
        <v>694</v>
      </c>
      <c r="D55" s="89" t="e">
        <f>IF(AND(#REF!="x",#REF!="N/A"),"x","N/A")</f>
        <v>#REF!</v>
      </c>
      <c r="E55" s="89" t="e">
        <f>#REF!</f>
        <v>#REF!</v>
      </c>
      <c r="F55" s="44" t="e">
        <f>#REF!</f>
        <v>#REF!</v>
      </c>
      <c r="G55" s="6" t="e">
        <f>#REF!</f>
        <v>#REF!</v>
      </c>
      <c r="H55" s="218" t="e">
        <f>#REF!</f>
        <v>#REF!</v>
      </c>
      <c r="I55" s="200" t="e">
        <f>#REF!</f>
        <v>#REF!</v>
      </c>
      <c r="J55" s="198" t="e">
        <f>#REF!</f>
        <v>#REF!</v>
      </c>
      <c r="K55" s="44" t="e">
        <f>#REF!</f>
        <v>#REF!</v>
      </c>
      <c r="L55" s="6" t="e">
        <f>#REF!</f>
        <v>#REF!</v>
      </c>
      <c r="M55" s="6" t="e">
        <f>#REF!</f>
        <v>#REF!</v>
      </c>
      <c r="N55" s="210" t="e">
        <f>#REF!</f>
        <v>#REF!</v>
      </c>
      <c r="O55" s="210" t="e">
        <f>#REF!</f>
        <v>#REF!</v>
      </c>
      <c r="P55" s="233" t="e">
        <f>#REF!</f>
        <v>#REF!</v>
      </c>
      <c r="Q55" s="270" t="e">
        <f>#REF!</f>
        <v>#REF!</v>
      </c>
      <c r="R55" s="295" t="e">
        <f>#REF!</f>
        <v>#REF!</v>
      </c>
      <c r="S55" s="45" t="e">
        <f>#REF!</f>
        <v>#REF!</v>
      </c>
      <c r="T55" s="5" t="e">
        <f>#REF!</f>
        <v>#REF!</v>
      </c>
      <c r="U55" s="5" t="e">
        <f>#REF!</f>
        <v>#REF!</v>
      </c>
      <c r="V55" s="5" t="e">
        <f>#REF!</f>
        <v>#REF!</v>
      </c>
      <c r="W55" s="5" t="e">
        <f>#REF!</f>
        <v>#REF!</v>
      </c>
      <c r="X55" s="5" t="e">
        <f>#REF!</f>
        <v>#REF!</v>
      </c>
      <c r="Y55" s="5" t="e">
        <f>#REF!</f>
        <v>#REF!</v>
      </c>
      <c r="Z55" s="5" t="e">
        <f>#REF!</f>
        <v>#REF!</v>
      </c>
      <c r="AA55" s="5" t="e">
        <f>#REF!</f>
        <v>#REF!</v>
      </c>
      <c r="AB55" s="5" t="e">
        <f>#REF!</f>
        <v>#REF!</v>
      </c>
      <c r="AC55" s="5" t="e">
        <f>#REF!</f>
        <v>#REF!</v>
      </c>
      <c r="AD55" s="219" t="e">
        <f>#REF!</f>
        <v>#REF!</v>
      </c>
      <c r="AE55" s="45" t="e">
        <f>#REF!</f>
        <v>#REF!</v>
      </c>
      <c r="AF55" s="5" t="e">
        <f>#REF!</f>
        <v>#REF!</v>
      </c>
      <c r="AG55" s="5" t="e">
        <f>#REF!</f>
        <v>#REF!</v>
      </c>
      <c r="AH55" s="5" t="e">
        <f>#REF!</f>
        <v>#REF!</v>
      </c>
      <c r="AI55" s="5" t="e">
        <f>#REF!</f>
        <v>#REF!</v>
      </c>
      <c r="AJ55" s="5" t="e">
        <f>#REF!</f>
        <v>#REF!</v>
      </c>
      <c r="AK55" s="5" t="e">
        <f>#REF!</f>
        <v>#REF!</v>
      </c>
      <c r="AL55" s="5" t="e">
        <f>#REF!</f>
        <v>#REF!</v>
      </c>
      <c r="AM55" s="5" t="e">
        <f>#REF!</f>
        <v>#REF!</v>
      </c>
      <c r="AN55" s="5" t="e">
        <f>#REF!</f>
        <v>#REF!</v>
      </c>
      <c r="AO55" s="5" t="e">
        <f>#REF!</f>
        <v>#REF!</v>
      </c>
      <c r="AP55" s="219" t="e">
        <f>#REF!</f>
        <v>#REF!</v>
      </c>
      <c r="AQ55" s="45" t="e">
        <f>#REF!</f>
        <v>#REF!</v>
      </c>
      <c r="AR55" s="5" t="e">
        <f>#REF!</f>
        <v>#REF!</v>
      </c>
      <c r="AS55" s="5" t="e">
        <f>#REF!</f>
        <v>#REF!</v>
      </c>
      <c r="AT55" s="5" t="e">
        <f>#REF!</f>
        <v>#REF!</v>
      </c>
      <c r="AU55" s="5" t="e">
        <f>#REF!</f>
        <v>#REF!</v>
      </c>
      <c r="AV55" s="5" t="e">
        <f>#REF!</f>
        <v>#REF!</v>
      </c>
      <c r="AW55" s="5" t="e">
        <f>#REF!</f>
        <v>#REF!</v>
      </c>
      <c r="AX55" s="5" t="e">
        <f>#REF!</f>
        <v>#REF!</v>
      </c>
      <c r="AY55" s="5" t="e">
        <f>#REF!</f>
        <v>#REF!</v>
      </c>
      <c r="AZ55" s="5" t="e">
        <f>#REF!</f>
        <v>#REF!</v>
      </c>
      <c r="BA55" s="5" t="e">
        <f>#REF!</f>
        <v>#REF!</v>
      </c>
      <c r="BB55" s="219" t="e">
        <f>#REF!</f>
        <v>#REF!</v>
      </c>
      <c r="BC55" s="45" t="e">
        <f>#REF!</f>
        <v>#REF!</v>
      </c>
      <c r="BD55" s="5" t="e">
        <f>#REF!</f>
        <v>#REF!</v>
      </c>
      <c r="BE55" s="5" t="e">
        <f>#REF!</f>
        <v>#REF!</v>
      </c>
      <c r="BF55" s="5" t="e">
        <f>#REF!</f>
        <v>#REF!</v>
      </c>
      <c r="BG55" s="5" t="e">
        <f>#REF!</f>
        <v>#REF!</v>
      </c>
      <c r="BH55" s="5" t="e">
        <f>#REF!</f>
        <v>#REF!</v>
      </c>
      <c r="BI55" s="5" t="e">
        <f>#REF!</f>
        <v>#REF!</v>
      </c>
      <c r="BJ55" s="5" t="e">
        <f>#REF!</f>
        <v>#REF!</v>
      </c>
      <c r="BK55" s="5" t="e">
        <f>#REF!</f>
        <v>#REF!</v>
      </c>
      <c r="BL55" s="5" t="e">
        <f>#REF!</f>
        <v>#REF!</v>
      </c>
      <c r="BM55" s="5" t="e">
        <f>#REF!</f>
        <v>#REF!</v>
      </c>
      <c r="BN55" s="219" t="e">
        <f>#REF!</f>
        <v>#REF!</v>
      </c>
      <c r="BO55" s="45" t="e">
        <f>#REF!</f>
        <v>#REF!</v>
      </c>
      <c r="BP55" s="5" t="e">
        <f>#REF!</f>
        <v>#REF!</v>
      </c>
      <c r="BQ55" s="5" t="e">
        <f>#REF!</f>
        <v>#REF!</v>
      </c>
      <c r="BR55" s="5" t="e">
        <f>#REF!</f>
        <v>#REF!</v>
      </c>
      <c r="BS55" s="5" t="e">
        <f>#REF!</f>
        <v>#REF!</v>
      </c>
      <c r="BT55" s="219" t="e">
        <f>#REF!</f>
        <v>#REF!</v>
      </c>
    </row>
    <row r="56" spans="1:72" s="15" customFormat="1" ht="20.100000000000001" customHeight="1">
      <c r="A56" s="221" t="s">
        <v>1078</v>
      </c>
      <c r="B56" s="573"/>
      <c r="C56" s="266" t="s">
        <v>695</v>
      </c>
      <c r="D56" s="89" t="e">
        <f>IF(AND(#REF!="x",#REF!="N/A"),"x","N/A")</f>
        <v>#REF!</v>
      </c>
      <c r="E56" s="89" t="e">
        <f>#REF!</f>
        <v>#REF!</v>
      </c>
      <c r="F56" s="44" t="e">
        <f>#REF!</f>
        <v>#REF!</v>
      </c>
      <c r="G56" s="6" t="e">
        <f>#REF!</f>
        <v>#REF!</v>
      </c>
      <c r="H56" s="218" t="e">
        <f>#REF!</f>
        <v>#REF!</v>
      </c>
      <c r="I56" s="200" t="e">
        <f>#REF!</f>
        <v>#REF!</v>
      </c>
      <c r="J56" s="198" t="e">
        <f>#REF!</f>
        <v>#REF!</v>
      </c>
      <c r="K56" s="44" t="e">
        <f>#REF!</f>
        <v>#REF!</v>
      </c>
      <c r="L56" s="6" t="e">
        <f>#REF!</f>
        <v>#REF!</v>
      </c>
      <c r="M56" s="6" t="e">
        <f>#REF!</f>
        <v>#REF!</v>
      </c>
      <c r="N56" s="210" t="e">
        <f>#REF!</f>
        <v>#REF!</v>
      </c>
      <c r="O56" s="210" t="e">
        <f>#REF!</f>
        <v>#REF!</v>
      </c>
      <c r="P56" s="233" t="e">
        <f>#REF!</f>
        <v>#REF!</v>
      </c>
      <c r="Q56" s="270" t="e">
        <f>#REF!</f>
        <v>#REF!</v>
      </c>
      <c r="R56" s="295" t="e">
        <f>#REF!</f>
        <v>#REF!</v>
      </c>
      <c r="S56" s="45" t="e">
        <f>#REF!</f>
        <v>#REF!</v>
      </c>
      <c r="T56" s="5" t="e">
        <f>#REF!</f>
        <v>#REF!</v>
      </c>
      <c r="U56" s="5" t="e">
        <f>#REF!</f>
        <v>#REF!</v>
      </c>
      <c r="V56" s="5" t="e">
        <f>#REF!</f>
        <v>#REF!</v>
      </c>
      <c r="W56" s="5" t="e">
        <f>#REF!</f>
        <v>#REF!</v>
      </c>
      <c r="X56" s="5" t="e">
        <f>#REF!</f>
        <v>#REF!</v>
      </c>
      <c r="Y56" s="5" t="e">
        <f>#REF!</f>
        <v>#REF!</v>
      </c>
      <c r="Z56" s="5" t="e">
        <f>#REF!</f>
        <v>#REF!</v>
      </c>
      <c r="AA56" s="5" t="e">
        <f>#REF!</f>
        <v>#REF!</v>
      </c>
      <c r="AB56" s="5" t="e">
        <f>#REF!</f>
        <v>#REF!</v>
      </c>
      <c r="AC56" s="5" t="e">
        <f>#REF!</f>
        <v>#REF!</v>
      </c>
      <c r="AD56" s="219" t="e">
        <f>#REF!</f>
        <v>#REF!</v>
      </c>
      <c r="AE56" s="45" t="e">
        <f>#REF!</f>
        <v>#REF!</v>
      </c>
      <c r="AF56" s="5" t="e">
        <f>#REF!</f>
        <v>#REF!</v>
      </c>
      <c r="AG56" s="5" t="e">
        <f>#REF!</f>
        <v>#REF!</v>
      </c>
      <c r="AH56" s="5" t="e">
        <f>#REF!</f>
        <v>#REF!</v>
      </c>
      <c r="AI56" s="5" t="e">
        <f>#REF!</f>
        <v>#REF!</v>
      </c>
      <c r="AJ56" s="5" t="e">
        <f>#REF!</f>
        <v>#REF!</v>
      </c>
      <c r="AK56" s="5" t="e">
        <f>#REF!</f>
        <v>#REF!</v>
      </c>
      <c r="AL56" s="5" t="e">
        <f>#REF!</f>
        <v>#REF!</v>
      </c>
      <c r="AM56" s="5" t="e">
        <f>#REF!</f>
        <v>#REF!</v>
      </c>
      <c r="AN56" s="5" t="e">
        <f>#REF!</f>
        <v>#REF!</v>
      </c>
      <c r="AO56" s="5" t="e">
        <f>#REF!</f>
        <v>#REF!</v>
      </c>
      <c r="AP56" s="219" t="e">
        <f>#REF!</f>
        <v>#REF!</v>
      </c>
      <c r="AQ56" s="45" t="e">
        <f>#REF!</f>
        <v>#REF!</v>
      </c>
      <c r="AR56" s="5" t="e">
        <f>#REF!</f>
        <v>#REF!</v>
      </c>
      <c r="AS56" s="5" t="e">
        <f>#REF!</f>
        <v>#REF!</v>
      </c>
      <c r="AT56" s="5" t="e">
        <f>#REF!</f>
        <v>#REF!</v>
      </c>
      <c r="AU56" s="5" t="e">
        <f>#REF!</f>
        <v>#REF!</v>
      </c>
      <c r="AV56" s="5" t="e">
        <f>#REF!</f>
        <v>#REF!</v>
      </c>
      <c r="AW56" s="5" t="e">
        <f>#REF!</f>
        <v>#REF!</v>
      </c>
      <c r="AX56" s="5" t="e">
        <f>#REF!</f>
        <v>#REF!</v>
      </c>
      <c r="AY56" s="5" t="e">
        <f>#REF!</f>
        <v>#REF!</v>
      </c>
      <c r="AZ56" s="5" t="e">
        <f>#REF!</f>
        <v>#REF!</v>
      </c>
      <c r="BA56" s="5" t="e">
        <f>#REF!</f>
        <v>#REF!</v>
      </c>
      <c r="BB56" s="219" t="e">
        <f>#REF!</f>
        <v>#REF!</v>
      </c>
      <c r="BC56" s="45" t="e">
        <f>#REF!</f>
        <v>#REF!</v>
      </c>
      <c r="BD56" s="5" t="e">
        <f>#REF!</f>
        <v>#REF!</v>
      </c>
      <c r="BE56" s="5" t="e">
        <f>#REF!</f>
        <v>#REF!</v>
      </c>
      <c r="BF56" s="5" t="e">
        <f>#REF!</f>
        <v>#REF!</v>
      </c>
      <c r="BG56" s="5" t="e">
        <f>#REF!</f>
        <v>#REF!</v>
      </c>
      <c r="BH56" s="5" t="e">
        <f>#REF!</f>
        <v>#REF!</v>
      </c>
      <c r="BI56" s="5" t="e">
        <f>#REF!</f>
        <v>#REF!</v>
      </c>
      <c r="BJ56" s="5" t="e">
        <f>#REF!</f>
        <v>#REF!</v>
      </c>
      <c r="BK56" s="5" t="e">
        <f>#REF!</f>
        <v>#REF!</v>
      </c>
      <c r="BL56" s="5" t="e">
        <f>#REF!</f>
        <v>#REF!</v>
      </c>
      <c r="BM56" s="5" t="e">
        <f>#REF!</f>
        <v>#REF!</v>
      </c>
      <c r="BN56" s="219" t="e">
        <f>#REF!</f>
        <v>#REF!</v>
      </c>
      <c r="BO56" s="45" t="e">
        <f>#REF!</f>
        <v>#REF!</v>
      </c>
      <c r="BP56" s="5" t="e">
        <f>#REF!</f>
        <v>#REF!</v>
      </c>
      <c r="BQ56" s="5" t="e">
        <f>#REF!</f>
        <v>#REF!</v>
      </c>
      <c r="BR56" s="5" t="e">
        <f>#REF!</f>
        <v>#REF!</v>
      </c>
      <c r="BS56" s="5" t="e">
        <f>#REF!</f>
        <v>#REF!</v>
      </c>
      <c r="BT56" s="219" t="e">
        <f>#REF!</f>
        <v>#REF!</v>
      </c>
    </row>
    <row r="57" spans="1:72" s="15" customFormat="1" ht="20.100000000000001" hidden="1" customHeight="1">
      <c r="A57" s="221" t="s">
        <v>1079</v>
      </c>
      <c r="B57" s="573"/>
      <c r="C57" s="266" t="s">
        <v>697</v>
      </c>
      <c r="D57" s="89" t="e">
        <f>IF(AND(#REF!="x",#REF!="N/A"),"x","N/A")</f>
        <v>#REF!</v>
      </c>
      <c r="E57" s="89" t="e">
        <f>#REF!</f>
        <v>#REF!</v>
      </c>
      <c r="F57" s="44" t="e">
        <f>#REF!</f>
        <v>#REF!</v>
      </c>
      <c r="G57" s="6" t="e">
        <f>#REF!</f>
        <v>#REF!</v>
      </c>
      <c r="H57" s="218" t="e">
        <f>#REF!</f>
        <v>#REF!</v>
      </c>
      <c r="I57" s="200" t="e">
        <f>#REF!</f>
        <v>#REF!</v>
      </c>
      <c r="J57" s="198" t="e">
        <f>#REF!</f>
        <v>#REF!</v>
      </c>
      <c r="K57" s="44" t="e">
        <f>#REF!</f>
        <v>#REF!</v>
      </c>
      <c r="L57" s="6" t="e">
        <f>#REF!</f>
        <v>#REF!</v>
      </c>
      <c r="M57" s="6" t="e">
        <f>#REF!</f>
        <v>#REF!</v>
      </c>
      <c r="N57" s="210" t="e">
        <f>#REF!</f>
        <v>#REF!</v>
      </c>
      <c r="O57" s="210" t="e">
        <f>#REF!</f>
        <v>#REF!</v>
      </c>
      <c r="P57" s="233" t="e">
        <f>#REF!</f>
        <v>#REF!</v>
      </c>
      <c r="Q57" s="270" t="e">
        <f>#REF!</f>
        <v>#REF!</v>
      </c>
      <c r="R57" s="295" t="e">
        <f>#REF!</f>
        <v>#REF!</v>
      </c>
      <c r="S57" s="45" t="e">
        <f>#REF!</f>
        <v>#REF!</v>
      </c>
      <c r="T57" s="5" t="e">
        <f>#REF!</f>
        <v>#REF!</v>
      </c>
      <c r="U57" s="5" t="e">
        <f>#REF!</f>
        <v>#REF!</v>
      </c>
      <c r="V57" s="5" t="e">
        <f>#REF!</f>
        <v>#REF!</v>
      </c>
      <c r="W57" s="5" t="e">
        <f>#REF!</f>
        <v>#REF!</v>
      </c>
      <c r="X57" s="5"/>
      <c r="Y57" s="5"/>
      <c r="Z57" s="5"/>
      <c r="AA57" s="5"/>
      <c r="AB57" s="5"/>
      <c r="AC57" s="5"/>
      <c r="AD57" s="5"/>
      <c r="AE57" s="45"/>
      <c r="AF57" s="5"/>
      <c r="AG57" s="5"/>
      <c r="AH57" s="5"/>
      <c r="AI57" s="5"/>
      <c r="AJ57" s="5"/>
      <c r="AK57" s="5"/>
      <c r="AL57" s="5"/>
      <c r="AM57" s="5"/>
      <c r="AN57" s="5"/>
      <c r="AO57" s="5" t="e">
        <f>#REF!</f>
        <v>#REF!</v>
      </c>
      <c r="AP57" s="219" t="e">
        <f>#REF!</f>
        <v>#REF!</v>
      </c>
      <c r="AQ57" s="45" t="e">
        <f>#REF!</f>
        <v>#REF!</v>
      </c>
      <c r="AR57" s="5" t="e">
        <f>#REF!</f>
        <v>#REF!</v>
      </c>
      <c r="AS57" s="5" t="e">
        <f>#REF!</f>
        <v>#REF!</v>
      </c>
      <c r="AT57" s="5" t="e">
        <f>#REF!</f>
        <v>#REF!</v>
      </c>
      <c r="AU57" s="5" t="e">
        <f>#REF!</f>
        <v>#REF!</v>
      </c>
      <c r="AV57" s="5" t="e">
        <f>#REF!</f>
        <v>#REF!</v>
      </c>
      <c r="AW57" s="5" t="e">
        <f>#REF!</f>
        <v>#REF!</v>
      </c>
      <c r="AX57" s="5" t="e">
        <f>#REF!</f>
        <v>#REF!</v>
      </c>
      <c r="AY57" s="5" t="e">
        <f>#REF!</f>
        <v>#REF!</v>
      </c>
      <c r="AZ57" s="5" t="e">
        <f>#REF!</f>
        <v>#REF!</v>
      </c>
      <c r="BA57" s="5" t="e">
        <f>#REF!</f>
        <v>#REF!</v>
      </c>
      <c r="BB57" s="219" t="e">
        <f>#REF!</f>
        <v>#REF!</v>
      </c>
      <c r="BC57" s="45" t="e">
        <f>#REF!</f>
        <v>#REF!</v>
      </c>
      <c r="BD57" s="5" t="e">
        <f>#REF!</f>
        <v>#REF!</v>
      </c>
      <c r="BE57" s="5" t="e">
        <f>#REF!</f>
        <v>#REF!</v>
      </c>
      <c r="BF57" s="5" t="e">
        <f>#REF!</f>
        <v>#REF!</v>
      </c>
      <c r="BG57" s="5" t="e">
        <f>#REF!</f>
        <v>#REF!</v>
      </c>
      <c r="BH57" s="5" t="e">
        <f>#REF!</f>
        <v>#REF!</v>
      </c>
      <c r="BI57" s="5" t="e">
        <f>#REF!</f>
        <v>#REF!</v>
      </c>
      <c r="BJ57" s="5" t="e">
        <f>#REF!</f>
        <v>#REF!</v>
      </c>
      <c r="BK57" s="5" t="e">
        <f>#REF!</f>
        <v>#REF!</v>
      </c>
      <c r="BL57" s="5" t="e">
        <f>#REF!</f>
        <v>#REF!</v>
      </c>
      <c r="BM57" s="5" t="e">
        <f>#REF!</f>
        <v>#REF!</v>
      </c>
      <c r="BN57" s="219" t="e">
        <f>#REF!</f>
        <v>#REF!</v>
      </c>
      <c r="BO57" s="45" t="e">
        <f>#REF!</f>
        <v>#REF!</v>
      </c>
      <c r="BP57" s="5" t="e">
        <f>#REF!</f>
        <v>#REF!</v>
      </c>
      <c r="BQ57" s="5" t="e">
        <f>#REF!</f>
        <v>#REF!</v>
      </c>
      <c r="BR57" s="5" t="e">
        <f>#REF!</f>
        <v>#REF!</v>
      </c>
      <c r="BS57" s="5" t="e">
        <f>#REF!</f>
        <v>#REF!</v>
      </c>
      <c r="BT57" s="219" t="e">
        <f>#REF!</f>
        <v>#REF!</v>
      </c>
    </row>
    <row r="58" spans="1:72" s="15" customFormat="1" ht="20.100000000000001" customHeight="1">
      <c r="A58" s="89" t="s">
        <v>1080</v>
      </c>
      <c r="B58" s="239" t="s">
        <v>1081</v>
      </c>
      <c r="C58" s="266" t="s">
        <v>457</v>
      </c>
      <c r="D58" s="89" t="e">
        <f>IF(AND(#REF!="x",#REF!="N/A"),"x","N/A")</f>
        <v>#REF!</v>
      </c>
      <c r="E58" s="89" t="e">
        <f>#REF!</f>
        <v>#REF!</v>
      </c>
      <c r="F58" s="44" t="e">
        <f>#REF!</f>
        <v>#REF!</v>
      </c>
      <c r="G58" s="6" t="e">
        <f>#REF!</f>
        <v>#REF!</v>
      </c>
      <c r="H58" s="218" t="e">
        <f>#REF!</f>
        <v>#REF!</v>
      </c>
      <c r="I58" s="200" t="e">
        <f>#REF!</f>
        <v>#REF!</v>
      </c>
      <c r="J58" s="198" t="e">
        <f>#REF!</f>
        <v>#REF!</v>
      </c>
      <c r="K58" s="44" t="e">
        <f>#REF!</f>
        <v>#REF!</v>
      </c>
      <c r="L58" s="6" t="e">
        <f>#REF!</f>
        <v>#REF!</v>
      </c>
      <c r="M58" s="6" t="e">
        <f>#REF!</f>
        <v>#REF!</v>
      </c>
      <c r="N58" s="210" t="e">
        <f>#REF!</f>
        <v>#REF!</v>
      </c>
      <c r="O58" s="210" t="e">
        <f>#REF!</f>
        <v>#REF!</v>
      </c>
      <c r="P58" s="233" t="e">
        <f>#REF!</f>
        <v>#REF!</v>
      </c>
      <c r="Q58" s="270" t="e">
        <f>#REF!</f>
        <v>#REF!</v>
      </c>
      <c r="R58" s="295" t="e">
        <f>#REF!</f>
        <v>#REF!</v>
      </c>
      <c r="S58" s="45" t="e">
        <f>#REF!</f>
        <v>#REF!</v>
      </c>
      <c r="T58" s="5" t="e">
        <f>#REF!</f>
        <v>#REF!</v>
      </c>
      <c r="U58" s="5" t="e">
        <f>#REF!</f>
        <v>#REF!</v>
      </c>
      <c r="V58" s="5" t="e">
        <f>#REF!</f>
        <v>#REF!</v>
      </c>
      <c r="W58" s="5" t="e">
        <f>#REF!</f>
        <v>#REF!</v>
      </c>
      <c r="X58" s="5" t="e">
        <f>#REF!</f>
        <v>#REF!</v>
      </c>
      <c r="Y58" s="5" t="e">
        <f>#REF!</f>
        <v>#REF!</v>
      </c>
      <c r="Z58" s="5" t="e">
        <f>#REF!</f>
        <v>#REF!</v>
      </c>
      <c r="AA58" s="5" t="e">
        <f>#REF!</f>
        <v>#REF!</v>
      </c>
      <c r="AB58" s="5" t="e">
        <f>#REF!</f>
        <v>#REF!</v>
      </c>
      <c r="AC58" s="5" t="e">
        <f>#REF!</f>
        <v>#REF!</v>
      </c>
      <c r="AD58" s="219" t="e">
        <f>#REF!</f>
        <v>#REF!</v>
      </c>
      <c r="AE58" s="45" t="e">
        <f>#REF!</f>
        <v>#REF!</v>
      </c>
      <c r="AF58" s="5" t="e">
        <f>#REF!</f>
        <v>#REF!</v>
      </c>
      <c r="AG58" s="5" t="e">
        <f>#REF!</f>
        <v>#REF!</v>
      </c>
      <c r="AH58" s="5" t="e">
        <f>#REF!</f>
        <v>#REF!</v>
      </c>
      <c r="AI58" s="5" t="e">
        <f>#REF!</f>
        <v>#REF!</v>
      </c>
      <c r="AJ58" s="5" t="e">
        <f>#REF!</f>
        <v>#REF!</v>
      </c>
      <c r="AK58" s="5" t="e">
        <f>#REF!</f>
        <v>#REF!</v>
      </c>
      <c r="AL58" s="5" t="e">
        <f>#REF!</f>
        <v>#REF!</v>
      </c>
      <c r="AM58" s="5" t="e">
        <f>#REF!</f>
        <v>#REF!</v>
      </c>
      <c r="AN58" s="5" t="e">
        <f>#REF!</f>
        <v>#REF!</v>
      </c>
      <c r="AO58" s="5" t="e">
        <f>#REF!</f>
        <v>#REF!</v>
      </c>
      <c r="AP58" s="219" t="e">
        <f>#REF!</f>
        <v>#REF!</v>
      </c>
      <c r="AQ58" s="45" t="e">
        <f>#REF!</f>
        <v>#REF!</v>
      </c>
      <c r="AR58" s="5" t="e">
        <f>#REF!</f>
        <v>#REF!</v>
      </c>
      <c r="AS58" s="5" t="e">
        <f>#REF!</f>
        <v>#REF!</v>
      </c>
      <c r="AT58" s="5" t="e">
        <f>#REF!</f>
        <v>#REF!</v>
      </c>
      <c r="AU58" s="5" t="e">
        <f>#REF!</f>
        <v>#REF!</v>
      </c>
      <c r="AV58" s="5" t="e">
        <f>#REF!</f>
        <v>#REF!</v>
      </c>
      <c r="AW58" s="5" t="e">
        <f>#REF!</f>
        <v>#REF!</v>
      </c>
      <c r="AX58" s="5" t="e">
        <f>#REF!</f>
        <v>#REF!</v>
      </c>
      <c r="AY58" s="5" t="e">
        <f>#REF!</f>
        <v>#REF!</v>
      </c>
      <c r="AZ58" s="5" t="e">
        <f>#REF!</f>
        <v>#REF!</v>
      </c>
      <c r="BA58" s="5" t="e">
        <f>#REF!</f>
        <v>#REF!</v>
      </c>
      <c r="BB58" s="219" t="e">
        <f>#REF!</f>
        <v>#REF!</v>
      </c>
      <c r="BC58" s="45" t="e">
        <f>#REF!</f>
        <v>#REF!</v>
      </c>
      <c r="BD58" s="5" t="e">
        <f>#REF!</f>
        <v>#REF!</v>
      </c>
      <c r="BE58" s="5" t="e">
        <f>#REF!</f>
        <v>#REF!</v>
      </c>
      <c r="BF58" s="5" t="e">
        <f>#REF!</f>
        <v>#REF!</v>
      </c>
      <c r="BG58" s="5" t="e">
        <f>#REF!</f>
        <v>#REF!</v>
      </c>
      <c r="BH58" s="5" t="e">
        <f>#REF!</f>
        <v>#REF!</v>
      </c>
      <c r="BI58" s="5" t="e">
        <f>#REF!</f>
        <v>#REF!</v>
      </c>
      <c r="BJ58" s="5" t="e">
        <f>#REF!</f>
        <v>#REF!</v>
      </c>
      <c r="BK58" s="5" t="e">
        <f>#REF!</f>
        <v>#REF!</v>
      </c>
      <c r="BL58" s="5" t="e">
        <f>#REF!</f>
        <v>#REF!</v>
      </c>
      <c r="BM58" s="5" t="e">
        <f>#REF!</f>
        <v>#REF!</v>
      </c>
      <c r="BN58" s="219" t="e">
        <f>#REF!</f>
        <v>#REF!</v>
      </c>
      <c r="BO58" s="45" t="e">
        <f>#REF!</f>
        <v>#REF!</v>
      </c>
      <c r="BP58" s="5" t="e">
        <f>#REF!</f>
        <v>#REF!</v>
      </c>
      <c r="BQ58" s="5" t="e">
        <f>#REF!</f>
        <v>#REF!</v>
      </c>
      <c r="BR58" s="5" t="e">
        <f>#REF!</f>
        <v>#REF!</v>
      </c>
      <c r="BS58" s="5" t="e">
        <f>#REF!</f>
        <v>#REF!</v>
      </c>
      <c r="BT58" s="219" t="e">
        <f>#REF!</f>
        <v>#REF!</v>
      </c>
    </row>
    <row r="59" spans="1:72" ht="20.100000000000001" hidden="1" customHeight="1">
      <c r="A59" s="203" t="s">
        <v>1082</v>
      </c>
      <c r="B59" s="241" t="s">
        <v>1083</v>
      </c>
      <c r="C59" s="296" t="s">
        <v>636</v>
      </c>
      <c r="D59" s="203" t="e">
        <f>IF(AND(#REF!="x",#REF!="N/A"),"x","N/A")</f>
        <v>#REF!</v>
      </c>
      <c r="E59" s="203" t="e">
        <f>#REF!</f>
        <v>#REF!</v>
      </c>
      <c r="F59" s="44" t="e">
        <f>#REF!</f>
        <v>#REF!</v>
      </c>
      <c r="G59" s="6" t="e">
        <f>#REF!</f>
        <v>#REF!</v>
      </c>
      <c r="H59" s="218" t="e">
        <f>#REF!</f>
        <v>#REF!</v>
      </c>
      <c r="I59" s="200" t="e">
        <f>#REF!</f>
        <v>#REF!</v>
      </c>
      <c r="J59" s="198" t="e">
        <f>#REF!</f>
        <v>#REF!</v>
      </c>
      <c r="K59" s="44" t="e">
        <f>#REF!</f>
        <v>#REF!</v>
      </c>
      <c r="L59" s="6" t="e">
        <f>#REF!</f>
        <v>#REF!</v>
      </c>
      <c r="M59" s="6" t="e">
        <f>#REF!</f>
        <v>#REF!</v>
      </c>
      <c r="N59" s="234" t="e">
        <f>#REF!</f>
        <v>#REF!</v>
      </c>
      <c r="O59" s="234" t="e">
        <f>#REF!</f>
        <v>#REF!</v>
      </c>
      <c r="P59" s="235" t="e">
        <f>#REF!</f>
        <v>#REF!</v>
      </c>
      <c r="Q59" s="297" t="e">
        <f>#REF!</f>
        <v>#REF!</v>
      </c>
      <c r="R59" s="295" t="e">
        <f>#REF!</f>
        <v>#REF!</v>
      </c>
      <c r="S59" s="188" t="e">
        <f>#REF!</f>
        <v>#REF!</v>
      </c>
      <c r="T59" s="189" t="e">
        <f>#REF!</f>
        <v>#REF!</v>
      </c>
      <c r="U59" s="189" t="e">
        <f>#REF!</f>
        <v>#REF!</v>
      </c>
      <c r="V59" s="189" t="e">
        <f>#REF!</f>
        <v>#REF!</v>
      </c>
      <c r="W59" s="189" t="e">
        <f>#REF!</f>
        <v>#REF!</v>
      </c>
      <c r="X59" s="189" t="e">
        <f>#REF!</f>
        <v>#REF!</v>
      </c>
      <c r="Y59" s="189" t="e">
        <f>#REF!</f>
        <v>#REF!</v>
      </c>
      <c r="Z59" s="189" t="e">
        <f>#REF!</f>
        <v>#REF!</v>
      </c>
      <c r="AA59" s="189" t="e">
        <f>#REF!</f>
        <v>#REF!</v>
      </c>
      <c r="AB59" s="5" t="e">
        <f>#REF!</f>
        <v>#REF!</v>
      </c>
      <c r="AC59" s="189" t="e">
        <f>#REF!</f>
        <v>#REF!</v>
      </c>
      <c r="AD59" s="5" t="e">
        <f>#REF!</f>
        <v>#REF!</v>
      </c>
      <c r="AE59" s="250" t="e">
        <f>#REF!</f>
        <v>#REF!</v>
      </c>
      <c r="AF59" s="189" t="e">
        <f>#REF!</f>
        <v>#REF!</v>
      </c>
      <c r="AG59" s="189" t="e">
        <f>#REF!</f>
        <v>#REF!</v>
      </c>
      <c r="AH59" s="189" t="e">
        <f>#REF!</f>
        <v>#REF!</v>
      </c>
      <c r="AI59" s="189" t="e">
        <f>#REF!</f>
        <v>#REF!</v>
      </c>
      <c r="AJ59" s="189" t="e">
        <f>#REF!</f>
        <v>#REF!</v>
      </c>
      <c r="AK59" s="189" t="e">
        <f>#REF!</f>
        <v>#REF!</v>
      </c>
      <c r="AL59" s="189" t="e">
        <f>#REF!</f>
        <v>#REF!</v>
      </c>
      <c r="AM59" s="189" t="e">
        <f>#REF!</f>
        <v>#REF!</v>
      </c>
      <c r="AN59" s="189" t="e">
        <f>#REF!</f>
        <v>#REF!</v>
      </c>
      <c r="AO59" s="189" t="e">
        <f>#REF!</f>
        <v>#REF!</v>
      </c>
      <c r="AP59" s="190" t="e">
        <f>#REF!</f>
        <v>#REF!</v>
      </c>
      <c r="AQ59" s="188" t="e">
        <f>#REF!</f>
        <v>#REF!</v>
      </c>
      <c r="AR59" s="189" t="e">
        <f>#REF!</f>
        <v>#REF!</v>
      </c>
      <c r="AS59" s="189" t="e">
        <f>#REF!</f>
        <v>#REF!</v>
      </c>
      <c r="AT59" s="189" t="e">
        <f>#REF!</f>
        <v>#REF!</v>
      </c>
      <c r="AU59" s="189" t="e">
        <f>#REF!</f>
        <v>#REF!</v>
      </c>
      <c r="AV59" s="189" t="e">
        <f>#REF!</f>
        <v>#REF!</v>
      </c>
      <c r="AW59" s="189" t="e">
        <f>#REF!</f>
        <v>#REF!</v>
      </c>
      <c r="AX59" s="189" t="e">
        <f>#REF!</f>
        <v>#REF!</v>
      </c>
      <c r="AY59" s="189" t="e">
        <f>#REF!</f>
        <v>#REF!</v>
      </c>
      <c r="AZ59" s="189" t="e">
        <f>#REF!</f>
        <v>#REF!</v>
      </c>
      <c r="BA59" s="189" t="e">
        <f>#REF!</f>
        <v>#REF!</v>
      </c>
      <c r="BB59" s="190" t="e">
        <f>#REF!</f>
        <v>#REF!</v>
      </c>
      <c r="BC59" s="188" t="e">
        <f>#REF!</f>
        <v>#REF!</v>
      </c>
      <c r="BD59" s="189" t="e">
        <f>#REF!</f>
        <v>#REF!</v>
      </c>
      <c r="BE59" s="189" t="e">
        <f>#REF!</f>
        <v>#REF!</v>
      </c>
      <c r="BF59" s="189" t="e">
        <f>#REF!</f>
        <v>#REF!</v>
      </c>
      <c r="BG59" s="189" t="e">
        <f>#REF!</f>
        <v>#REF!</v>
      </c>
      <c r="BH59" s="189" t="e">
        <f>#REF!</f>
        <v>#REF!</v>
      </c>
      <c r="BI59" s="189" t="e">
        <f>#REF!</f>
        <v>#REF!</v>
      </c>
      <c r="BJ59" s="189" t="e">
        <f>#REF!</f>
        <v>#REF!</v>
      </c>
      <c r="BK59" s="189" t="e">
        <f>#REF!</f>
        <v>#REF!</v>
      </c>
      <c r="BL59" s="189" t="e">
        <f>#REF!</f>
        <v>#REF!</v>
      </c>
      <c r="BM59" s="189" t="e">
        <f>#REF!</f>
        <v>#REF!</v>
      </c>
      <c r="BN59" s="190" t="e">
        <f>#REF!</f>
        <v>#REF!</v>
      </c>
      <c r="BO59" s="188" t="e">
        <f>#REF!</f>
        <v>#REF!</v>
      </c>
      <c r="BP59" s="189" t="e">
        <f>#REF!</f>
        <v>#REF!</v>
      </c>
      <c r="BQ59" s="189" t="e">
        <f>#REF!</f>
        <v>#REF!</v>
      </c>
      <c r="BR59" s="189" t="e">
        <f>#REF!</f>
        <v>#REF!</v>
      </c>
      <c r="BS59" s="189" t="e">
        <f>#REF!</f>
        <v>#REF!</v>
      </c>
      <c r="BT59" s="190" t="e">
        <f>#REF!</f>
        <v>#REF!</v>
      </c>
    </row>
    <row r="60" spans="1:72" ht="20.100000000000001" hidden="1" customHeight="1">
      <c r="A60" s="226" t="s">
        <v>1084</v>
      </c>
      <c r="B60" s="572" t="s">
        <v>1085</v>
      </c>
      <c r="C60" s="301" t="s">
        <v>432</v>
      </c>
      <c r="D60" s="201" t="e">
        <f>IF(AND(#REF!="x",#REF!="N/A"),"x","N/A")</f>
        <v>#REF!</v>
      </c>
      <c r="E60" s="201" t="e">
        <f>#REF!</f>
        <v>#REF!</v>
      </c>
      <c r="F60" s="44" t="e">
        <f>#REF!</f>
        <v>#REF!</v>
      </c>
      <c r="G60" s="6" t="e">
        <f>#REF!</f>
        <v>#REF!</v>
      </c>
      <c r="H60" s="218" t="e">
        <f>#REF!</f>
        <v>#REF!</v>
      </c>
      <c r="I60" s="200" t="e">
        <f>#REF!</f>
        <v>#REF!</v>
      </c>
      <c r="J60" s="198" t="e">
        <f>#REF!</f>
        <v>#REF!</v>
      </c>
      <c r="K60" s="44" t="e">
        <f>#REF!</f>
        <v>#REF!</v>
      </c>
      <c r="L60" s="6" t="e">
        <f>#REF!</f>
        <v>#REF!</v>
      </c>
      <c r="M60" s="6" t="e">
        <f>#REF!</f>
        <v>#REF!</v>
      </c>
      <c r="N60" s="234" t="e">
        <f>#REF!</f>
        <v>#REF!</v>
      </c>
      <c r="O60" s="234" t="e">
        <f>#REF!</f>
        <v>#REF!</v>
      </c>
      <c r="P60" s="235" t="e">
        <f>#REF!</f>
        <v>#REF!</v>
      </c>
      <c r="Q60" s="298" t="e">
        <f>#REF!</f>
        <v>#REF!</v>
      </c>
      <c r="R60" s="295" t="e">
        <f>#REF!</f>
        <v>#REF!</v>
      </c>
      <c r="S60" s="185" t="e">
        <f>#REF!</f>
        <v>#REF!</v>
      </c>
      <c r="T60" s="186" t="e">
        <f>#REF!</f>
        <v>#REF!</v>
      </c>
      <c r="U60" s="186" t="e">
        <f>#REF!</f>
        <v>#REF!</v>
      </c>
      <c r="V60" s="186" t="e">
        <f>#REF!</f>
        <v>#REF!</v>
      </c>
      <c r="W60" s="186" t="e">
        <f>#REF!</f>
        <v>#REF!</v>
      </c>
      <c r="X60" s="186" t="e">
        <f>#REF!</f>
        <v>#REF!</v>
      </c>
      <c r="Y60" s="186" t="e">
        <f>#REF!</f>
        <v>#REF!</v>
      </c>
      <c r="Z60" s="186" t="e">
        <f>#REF!</f>
        <v>#REF!</v>
      </c>
      <c r="AA60" s="186" t="e">
        <f>#REF!</f>
        <v>#REF!</v>
      </c>
      <c r="AB60" s="5" t="e">
        <f>#REF!</f>
        <v>#REF!</v>
      </c>
      <c r="AC60" s="186" t="e">
        <f>#REF!</f>
        <v>#REF!</v>
      </c>
      <c r="AD60" s="5" t="e">
        <f>#REF!</f>
        <v>#REF!</v>
      </c>
      <c r="AE60" s="251" t="e">
        <f>#REF!</f>
        <v>#REF!</v>
      </c>
      <c r="AF60" s="186" t="e">
        <f>#REF!</f>
        <v>#REF!</v>
      </c>
      <c r="AG60" s="186" t="e">
        <f>#REF!</f>
        <v>#REF!</v>
      </c>
      <c r="AH60" s="186" t="e">
        <f>#REF!</f>
        <v>#REF!</v>
      </c>
      <c r="AI60" s="186" t="e">
        <f>#REF!</f>
        <v>#REF!</v>
      </c>
      <c r="AJ60" s="186" t="e">
        <f>#REF!</f>
        <v>#REF!</v>
      </c>
      <c r="AK60" s="186" t="e">
        <f>#REF!</f>
        <v>#REF!</v>
      </c>
      <c r="AL60" s="186" t="e">
        <f>#REF!</f>
        <v>#REF!</v>
      </c>
      <c r="AM60" s="186" t="e">
        <f>#REF!</f>
        <v>#REF!</v>
      </c>
      <c r="AN60" s="186" t="e">
        <f>#REF!</f>
        <v>#REF!</v>
      </c>
      <c r="AO60" s="186" t="e">
        <f>#REF!</f>
        <v>#REF!</v>
      </c>
      <c r="AP60" s="187" t="e">
        <f>#REF!</f>
        <v>#REF!</v>
      </c>
      <c r="AQ60" s="185" t="e">
        <f>#REF!</f>
        <v>#REF!</v>
      </c>
      <c r="AR60" s="186" t="e">
        <f>#REF!</f>
        <v>#REF!</v>
      </c>
      <c r="AS60" s="186" t="e">
        <f>#REF!</f>
        <v>#REF!</v>
      </c>
      <c r="AT60" s="186" t="e">
        <f>#REF!</f>
        <v>#REF!</v>
      </c>
      <c r="AU60" s="186" t="e">
        <f>#REF!</f>
        <v>#REF!</v>
      </c>
      <c r="AV60" s="186" t="e">
        <f>#REF!</f>
        <v>#REF!</v>
      </c>
      <c r="AW60" s="186" t="e">
        <f>#REF!</f>
        <v>#REF!</v>
      </c>
      <c r="AX60" s="186" t="e">
        <f>#REF!</f>
        <v>#REF!</v>
      </c>
      <c r="AY60" s="186" t="e">
        <f>#REF!</f>
        <v>#REF!</v>
      </c>
      <c r="AZ60" s="186" t="e">
        <f>#REF!</f>
        <v>#REF!</v>
      </c>
      <c r="BA60" s="186" t="e">
        <f>#REF!</f>
        <v>#REF!</v>
      </c>
      <c r="BB60" s="187" t="e">
        <f>#REF!</f>
        <v>#REF!</v>
      </c>
      <c r="BC60" s="185" t="e">
        <f>#REF!</f>
        <v>#REF!</v>
      </c>
      <c r="BD60" s="186" t="e">
        <f>#REF!</f>
        <v>#REF!</v>
      </c>
      <c r="BE60" s="186" t="e">
        <f>#REF!</f>
        <v>#REF!</v>
      </c>
      <c r="BF60" s="186" t="e">
        <f>#REF!</f>
        <v>#REF!</v>
      </c>
      <c r="BG60" s="186" t="e">
        <f>#REF!</f>
        <v>#REF!</v>
      </c>
      <c r="BH60" s="186" t="e">
        <f>#REF!</f>
        <v>#REF!</v>
      </c>
      <c r="BI60" s="186" t="e">
        <f>#REF!</f>
        <v>#REF!</v>
      </c>
      <c r="BJ60" s="186" t="e">
        <f>#REF!</f>
        <v>#REF!</v>
      </c>
      <c r="BK60" s="186" t="e">
        <f>#REF!</f>
        <v>#REF!</v>
      </c>
      <c r="BL60" s="186" t="e">
        <f>#REF!</f>
        <v>#REF!</v>
      </c>
      <c r="BM60" s="186" t="e">
        <f>#REF!</f>
        <v>#REF!</v>
      </c>
      <c r="BN60" s="187" t="e">
        <f>#REF!</f>
        <v>#REF!</v>
      </c>
      <c r="BO60" s="185" t="e">
        <f>#REF!</f>
        <v>#REF!</v>
      </c>
      <c r="BP60" s="186" t="e">
        <f>#REF!</f>
        <v>#REF!</v>
      </c>
      <c r="BQ60" s="186" t="e">
        <f>#REF!</f>
        <v>#REF!</v>
      </c>
      <c r="BR60" s="186" t="e">
        <f>#REF!</f>
        <v>#REF!</v>
      </c>
      <c r="BS60" s="186" t="e">
        <f>#REF!</f>
        <v>#REF!</v>
      </c>
      <c r="BT60" s="187" t="e">
        <f>#REF!</f>
        <v>#REF!</v>
      </c>
    </row>
    <row r="61" spans="1:72" s="15" customFormat="1" ht="20.100000000000001" customHeight="1">
      <c r="A61" s="89" t="s">
        <v>1086</v>
      </c>
      <c r="B61" s="573"/>
      <c r="C61" s="266" t="s">
        <v>461</v>
      </c>
      <c r="D61" s="89" t="e">
        <f>IF(AND(#REF!="x",#REF!="N/A"),"x","N/A")</f>
        <v>#REF!</v>
      </c>
      <c r="E61" s="89" t="e">
        <f>#REF!</f>
        <v>#REF!</v>
      </c>
      <c r="F61" s="44" t="e">
        <f>#REF!</f>
        <v>#REF!</v>
      </c>
      <c r="G61" s="6" t="e">
        <f>#REF!</f>
        <v>#REF!</v>
      </c>
      <c r="H61" s="218" t="e">
        <f>#REF!</f>
        <v>#REF!</v>
      </c>
      <c r="I61" s="200" t="e">
        <f>#REF!</f>
        <v>#REF!</v>
      </c>
      <c r="J61" s="198" t="e">
        <f>#REF!</f>
        <v>#REF!</v>
      </c>
      <c r="K61" s="44" t="e">
        <f>#REF!</f>
        <v>#REF!</v>
      </c>
      <c r="L61" s="6" t="e">
        <f>#REF!</f>
        <v>#REF!</v>
      </c>
      <c r="M61" s="6" t="e">
        <f>#REF!</f>
        <v>#REF!</v>
      </c>
      <c r="N61" s="210" t="e">
        <f>#REF!</f>
        <v>#REF!</v>
      </c>
      <c r="O61" s="210" t="e">
        <f>#REF!</f>
        <v>#REF!</v>
      </c>
      <c r="P61" s="233" t="e">
        <f>#REF!</f>
        <v>#REF!</v>
      </c>
      <c r="Q61" s="270" t="e">
        <f>#REF!</f>
        <v>#REF!</v>
      </c>
      <c r="R61" s="295" t="e">
        <f>#REF!</f>
        <v>#REF!</v>
      </c>
      <c r="S61" s="45" t="e">
        <f>#REF!</f>
        <v>#REF!</v>
      </c>
      <c r="T61" s="5" t="e">
        <f>#REF!</f>
        <v>#REF!</v>
      </c>
      <c r="U61" s="5" t="e">
        <f>#REF!</f>
        <v>#REF!</v>
      </c>
      <c r="V61" s="5" t="e">
        <f>#REF!</f>
        <v>#REF!</v>
      </c>
      <c r="W61" s="5" t="e">
        <f>#REF!</f>
        <v>#REF!</v>
      </c>
      <c r="X61" s="5" t="e">
        <f>#REF!</f>
        <v>#REF!</v>
      </c>
      <c r="Y61" s="5" t="e">
        <f>#REF!</f>
        <v>#REF!</v>
      </c>
      <c r="Z61" s="5" t="e">
        <f>#REF!</f>
        <v>#REF!</v>
      </c>
      <c r="AA61" s="5" t="e">
        <f>#REF!</f>
        <v>#REF!</v>
      </c>
      <c r="AB61" s="5" t="e">
        <f>#REF!</f>
        <v>#REF!</v>
      </c>
      <c r="AC61" s="5" t="e">
        <f>#REF!</f>
        <v>#REF!</v>
      </c>
      <c r="AD61" s="219" t="e">
        <f>#REF!</f>
        <v>#REF!</v>
      </c>
      <c r="AE61" s="45" t="e">
        <f>#REF!</f>
        <v>#REF!</v>
      </c>
      <c r="AF61" s="5" t="e">
        <f>#REF!</f>
        <v>#REF!</v>
      </c>
      <c r="AG61" s="5" t="e">
        <f>#REF!</f>
        <v>#REF!</v>
      </c>
      <c r="AH61" s="5" t="e">
        <f>#REF!</f>
        <v>#REF!</v>
      </c>
      <c r="AI61" s="5" t="e">
        <f>#REF!</f>
        <v>#REF!</v>
      </c>
      <c r="AJ61" s="5" t="e">
        <f>#REF!</f>
        <v>#REF!</v>
      </c>
      <c r="AK61" s="5" t="e">
        <f>#REF!</f>
        <v>#REF!</v>
      </c>
      <c r="AL61" s="5" t="e">
        <f>#REF!</f>
        <v>#REF!</v>
      </c>
      <c r="AM61" s="5" t="e">
        <f>#REF!</f>
        <v>#REF!</v>
      </c>
      <c r="AN61" s="5" t="e">
        <f>#REF!</f>
        <v>#REF!</v>
      </c>
      <c r="AO61" s="5" t="e">
        <f>#REF!</f>
        <v>#REF!</v>
      </c>
      <c r="AP61" s="219" t="e">
        <f>#REF!</f>
        <v>#REF!</v>
      </c>
      <c r="AQ61" s="45" t="e">
        <f>#REF!</f>
        <v>#REF!</v>
      </c>
      <c r="AR61" s="5" t="e">
        <f>#REF!</f>
        <v>#REF!</v>
      </c>
      <c r="AS61" s="5" t="e">
        <f>#REF!</f>
        <v>#REF!</v>
      </c>
      <c r="AT61" s="5" t="e">
        <f>#REF!</f>
        <v>#REF!</v>
      </c>
      <c r="AU61" s="5" t="e">
        <f>#REF!</f>
        <v>#REF!</v>
      </c>
      <c r="AV61" s="5" t="e">
        <f>#REF!</f>
        <v>#REF!</v>
      </c>
      <c r="AW61" s="5" t="e">
        <f>#REF!</f>
        <v>#REF!</v>
      </c>
      <c r="AX61" s="5" t="e">
        <f>#REF!</f>
        <v>#REF!</v>
      </c>
      <c r="AY61" s="5" t="e">
        <f>#REF!</f>
        <v>#REF!</v>
      </c>
      <c r="AZ61" s="5" t="e">
        <f>#REF!</f>
        <v>#REF!</v>
      </c>
      <c r="BA61" s="5" t="e">
        <f>#REF!</f>
        <v>#REF!</v>
      </c>
      <c r="BB61" s="219" t="e">
        <f>#REF!</f>
        <v>#REF!</v>
      </c>
      <c r="BC61" s="45" t="e">
        <f>#REF!</f>
        <v>#REF!</v>
      </c>
      <c r="BD61" s="5" t="e">
        <f>#REF!</f>
        <v>#REF!</v>
      </c>
      <c r="BE61" s="5" t="e">
        <f>#REF!</f>
        <v>#REF!</v>
      </c>
      <c r="BF61" s="5" t="e">
        <f>#REF!</f>
        <v>#REF!</v>
      </c>
      <c r="BG61" s="5" t="e">
        <f>#REF!</f>
        <v>#REF!</v>
      </c>
      <c r="BH61" s="5" t="e">
        <f>#REF!</f>
        <v>#REF!</v>
      </c>
      <c r="BI61" s="5" t="e">
        <f>#REF!</f>
        <v>#REF!</v>
      </c>
      <c r="BJ61" s="5" t="e">
        <f>#REF!</f>
        <v>#REF!</v>
      </c>
      <c r="BK61" s="5" t="e">
        <f>#REF!</f>
        <v>#REF!</v>
      </c>
      <c r="BL61" s="5" t="e">
        <f>#REF!</f>
        <v>#REF!</v>
      </c>
      <c r="BM61" s="5" t="e">
        <f>#REF!</f>
        <v>#REF!</v>
      </c>
      <c r="BN61" s="219" t="e">
        <f>#REF!</f>
        <v>#REF!</v>
      </c>
      <c r="BO61" s="45" t="e">
        <f>#REF!</f>
        <v>#REF!</v>
      </c>
      <c r="BP61" s="5" t="e">
        <f>#REF!</f>
        <v>#REF!</v>
      </c>
      <c r="BQ61" s="5" t="e">
        <f>#REF!</f>
        <v>#REF!</v>
      </c>
      <c r="BR61" s="5" t="e">
        <f>#REF!</f>
        <v>#REF!</v>
      </c>
      <c r="BS61" s="5" t="e">
        <f>#REF!</f>
        <v>#REF!</v>
      </c>
      <c r="BT61" s="219" t="e">
        <f>#REF!</f>
        <v>#REF!</v>
      </c>
    </row>
    <row r="62" spans="1:72" s="15" customFormat="1" ht="20.100000000000001" customHeight="1">
      <c r="A62" s="227" t="s">
        <v>1087</v>
      </c>
      <c r="B62" s="573"/>
      <c r="C62" s="302" t="s">
        <v>710</v>
      </c>
      <c r="D62" s="89" t="e">
        <f>IF(AND(#REF!="x",#REF!="N/A"),"x","N/A")</f>
        <v>#REF!</v>
      </c>
      <c r="E62" s="89" t="e">
        <f>#REF!</f>
        <v>#REF!</v>
      </c>
      <c r="F62" s="44" t="e">
        <f>#REF!</f>
        <v>#REF!</v>
      </c>
      <c r="G62" s="6" t="e">
        <f>#REF!</f>
        <v>#REF!</v>
      </c>
      <c r="H62" s="218" t="e">
        <f>#REF!</f>
        <v>#REF!</v>
      </c>
      <c r="I62" s="200" t="e">
        <f>#REF!</f>
        <v>#REF!</v>
      </c>
      <c r="J62" s="198" t="e">
        <f>#REF!</f>
        <v>#REF!</v>
      </c>
      <c r="K62" s="44" t="e">
        <f>#REF!</f>
        <v>#REF!</v>
      </c>
      <c r="L62" s="6" t="e">
        <f>#REF!</f>
        <v>#REF!</v>
      </c>
      <c r="M62" s="6" t="e">
        <f>#REF!</f>
        <v>#REF!</v>
      </c>
      <c r="N62" s="210" t="e">
        <f>#REF!</f>
        <v>#REF!</v>
      </c>
      <c r="O62" s="210" t="e">
        <f>#REF!</f>
        <v>#REF!</v>
      </c>
      <c r="P62" s="233" t="e">
        <f>#REF!</f>
        <v>#REF!</v>
      </c>
      <c r="Q62" s="270" t="e">
        <f>#REF!</f>
        <v>#REF!</v>
      </c>
      <c r="R62" s="295" t="e">
        <f>#REF!</f>
        <v>#REF!</v>
      </c>
      <c r="S62" s="45" t="e">
        <f>#REF!</f>
        <v>#REF!</v>
      </c>
      <c r="T62" s="5" t="e">
        <f>#REF!</f>
        <v>#REF!</v>
      </c>
      <c r="U62" s="5" t="e">
        <f>#REF!</f>
        <v>#REF!</v>
      </c>
      <c r="V62" s="5" t="e">
        <f>#REF!</f>
        <v>#REF!</v>
      </c>
      <c r="W62" s="5" t="e">
        <f>#REF!</f>
        <v>#REF!</v>
      </c>
      <c r="X62" s="5" t="e">
        <f>#REF!</f>
        <v>#REF!</v>
      </c>
      <c r="Y62" s="5" t="e">
        <f>#REF!</f>
        <v>#REF!</v>
      </c>
      <c r="Z62" s="5" t="e">
        <f>#REF!</f>
        <v>#REF!</v>
      </c>
      <c r="AA62" s="5" t="e">
        <f>#REF!</f>
        <v>#REF!</v>
      </c>
      <c r="AB62" s="5" t="e">
        <f>#REF!</f>
        <v>#REF!</v>
      </c>
      <c r="AC62" s="5" t="e">
        <f>#REF!</f>
        <v>#REF!</v>
      </c>
      <c r="AD62" s="219" t="e">
        <f>#REF!</f>
        <v>#REF!</v>
      </c>
      <c r="AE62" s="45" t="e">
        <f>#REF!</f>
        <v>#REF!</v>
      </c>
      <c r="AF62" s="5" t="e">
        <f>#REF!</f>
        <v>#REF!</v>
      </c>
      <c r="AG62" s="5" t="e">
        <f>#REF!</f>
        <v>#REF!</v>
      </c>
      <c r="AH62" s="5" t="e">
        <f>#REF!</f>
        <v>#REF!</v>
      </c>
      <c r="AI62" s="5" t="e">
        <f>#REF!</f>
        <v>#REF!</v>
      </c>
      <c r="AJ62" s="5" t="e">
        <f>#REF!</f>
        <v>#REF!</v>
      </c>
      <c r="AK62" s="5" t="e">
        <f>#REF!</f>
        <v>#REF!</v>
      </c>
      <c r="AL62" s="5" t="e">
        <f>#REF!</f>
        <v>#REF!</v>
      </c>
      <c r="AM62" s="5" t="e">
        <f>#REF!</f>
        <v>#REF!</v>
      </c>
      <c r="AN62" s="5" t="e">
        <f>#REF!</f>
        <v>#REF!</v>
      </c>
      <c r="AO62" s="5" t="e">
        <f>#REF!</f>
        <v>#REF!</v>
      </c>
      <c r="AP62" s="219" t="e">
        <f>#REF!</f>
        <v>#REF!</v>
      </c>
      <c r="AQ62" s="45" t="e">
        <f>#REF!</f>
        <v>#REF!</v>
      </c>
      <c r="AR62" s="5" t="e">
        <f>#REF!</f>
        <v>#REF!</v>
      </c>
      <c r="AS62" s="5" t="e">
        <f>#REF!</f>
        <v>#REF!</v>
      </c>
      <c r="AT62" s="5" t="e">
        <f>#REF!</f>
        <v>#REF!</v>
      </c>
      <c r="AU62" s="5" t="e">
        <f>#REF!</f>
        <v>#REF!</v>
      </c>
      <c r="AV62" s="5" t="e">
        <f>#REF!</f>
        <v>#REF!</v>
      </c>
      <c r="AW62" s="5" t="e">
        <f>#REF!</f>
        <v>#REF!</v>
      </c>
      <c r="AX62" s="5" t="e">
        <f>#REF!</f>
        <v>#REF!</v>
      </c>
      <c r="AY62" s="5" t="e">
        <f>#REF!</f>
        <v>#REF!</v>
      </c>
      <c r="AZ62" s="5" t="e">
        <f>#REF!</f>
        <v>#REF!</v>
      </c>
      <c r="BA62" s="5" t="e">
        <f>#REF!</f>
        <v>#REF!</v>
      </c>
      <c r="BB62" s="219" t="e">
        <f>#REF!</f>
        <v>#REF!</v>
      </c>
      <c r="BC62" s="45" t="e">
        <f>#REF!</f>
        <v>#REF!</v>
      </c>
      <c r="BD62" s="5" t="e">
        <f>#REF!</f>
        <v>#REF!</v>
      </c>
      <c r="BE62" s="5" t="e">
        <f>#REF!</f>
        <v>#REF!</v>
      </c>
      <c r="BF62" s="5" t="e">
        <f>#REF!</f>
        <v>#REF!</v>
      </c>
      <c r="BG62" s="5" t="e">
        <f>#REF!</f>
        <v>#REF!</v>
      </c>
      <c r="BH62" s="5" t="e">
        <f>#REF!</f>
        <v>#REF!</v>
      </c>
      <c r="BI62" s="5" t="e">
        <f>#REF!</f>
        <v>#REF!</v>
      </c>
      <c r="BJ62" s="5" t="e">
        <f>#REF!</f>
        <v>#REF!</v>
      </c>
      <c r="BK62" s="5" t="e">
        <f>#REF!</f>
        <v>#REF!</v>
      </c>
      <c r="BL62" s="5" t="e">
        <f>#REF!</f>
        <v>#REF!</v>
      </c>
      <c r="BM62" s="5" t="e">
        <f>#REF!</f>
        <v>#REF!</v>
      </c>
      <c r="BN62" s="219" t="e">
        <f>#REF!</f>
        <v>#REF!</v>
      </c>
      <c r="BO62" s="45" t="e">
        <f>#REF!</f>
        <v>#REF!</v>
      </c>
      <c r="BP62" s="5" t="e">
        <f>#REF!</f>
        <v>#REF!</v>
      </c>
      <c r="BQ62" s="5" t="e">
        <f>#REF!</f>
        <v>#REF!</v>
      </c>
      <c r="BR62" s="5" t="e">
        <f>#REF!</f>
        <v>#REF!</v>
      </c>
      <c r="BS62" s="5" t="e">
        <f>#REF!</f>
        <v>#REF!</v>
      </c>
      <c r="BT62" s="219" t="e">
        <f>#REF!</f>
        <v>#REF!</v>
      </c>
    </row>
    <row r="63" spans="1:72" ht="20.100000000000001" hidden="1" customHeight="1">
      <c r="A63" s="228" t="s">
        <v>1088</v>
      </c>
      <c r="B63" s="574" t="s">
        <v>1089</v>
      </c>
      <c r="C63" s="303" t="s">
        <v>702</v>
      </c>
      <c r="D63" s="203" t="e">
        <f>IF(AND(#REF!="x",#REF!="N/A"),"x","N/A")</f>
        <v>#REF!</v>
      </c>
      <c r="E63" s="203" t="e">
        <f>#REF!</f>
        <v>#REF!</v>
      </c>
      <c r="F63" s="44" t="e">
        <f>#REF!</f>
        <v>#REF!</v>
      </c>
      <c r="G63" s="6" t="e">
        <f>#REF!</f>
        <v>#REF!</v>
      </c>
      <c r="H63" s="218" t="e">
        <f>#REF!</f>
        <v>#REF!</v>
      </c>
      <c r="I63" s="200" t="e">
        <f>#REF!</f>
        <v>#REF!</v>
      </c>
      <c r="J63" s="198" t="e">
        <f>#REF!</f>
        <v>#REF!</v>
      </c>
      <c r="K63" s="44" t="e">
        <f>#REF!</f>
        <v>#REF!</v>
      </c>
      <c r="L63" s="6" t="e">
        <f>#REF!</f>
        <v>#REF!</v>
      </c>
      <c r="M63" s="6" t="e">
        <f>#REF!</f>
        <v>#REF!</v>
      </c>
      <c r="N63" s="234" t="e">
        <f>#REF!</f>
        <v>#REF!</v>
      </c>
      <c r="O63" s="234" t="e">
        <f>#REF!</f>
        <v>#REF!</v>
      </c>
      <c r="P63" s="235" t="e">
        <f>#REF!</f>
        <v>#REF!</v>
      </c>
      <c r="Q63" s="297" t="e">
        <f>#REF!</f>
        <v>#REF!</v>
      </c>
      <c r="R63" s="295" t="e">
        <f>#REF!</f>
        <v>#REF!</v>
      </c>
      <c r="S63" s="188" t="e">
        <f>#REF!</f>
        <v>#REF!</v>
      </c>
      <c r="T63" s="189" t="e">
        <f>#REF!</f>
        <v>#REF!</v>
      </c>
      <c r="U63" s="189" t="e">
        <f>#REF!</f>
        <v>#REF!</v>
      </c>
      <c r="V63" s="189" t="e">
        <f>#REF!</f>
        <v>#REF!</v>
      </c>
      <c r="W63" s="189" t="e">
        <f>#REF!</f>
        <v>#REF!</v>
      </c>
      <c r="X63" s="189" t="e">
        <f>#REF!</f>
        <v>#REF!</v>
      </c>
      <c r="Y63" s="189" t="e">
        <f>#REF!</f>
        <v>#REF!</v>
      </c>
      <c r="Z63" s="189" t="e">
        <f>#REF!</f>
        <v>#REF!</v>
      </c>
      <c r="AA63" s="189" t="e">
        <f>#REF!</f>
        <v>#REF!</v>
      </c>
      <c r="AB63" s="5" t="e">
        <f>#REF!</f>
        <v>#REF!</v>
      </c>
      <c r="AC63" s="189" t="e">
        <f>#REF!</f>
        <v>#REF!</v>
      </c>
      <c r="AD63" s="5" t="e">
        <f>#REF!</f>
        <v>#REF!</v>
      </c>
      <c r="AE63" s="250" t="e">
        <f>#REF!</f>
        <v>#REF!</v>
      </c>
      <c r="AF63" s="189" t="e">
        <f>#REF!</f>
        <v>#REF!</v>
      </c>
      <c r="AG63" s="189" t="e">
        <f>#REF!</f>
        <v>#REF!</v>
      </c>
      <c r="AH63" s="189" t="e">
        <f>#REF!</f>
        <v>#REF!</v>
      </c>
      <c r="AI63" s="189" t="e">
        <f>#REF!</f>
        <v>#REF!</v>
      </c>
      <c r="AJ63" s="189" t="e">
        <f>#REF!</f>
        <v>#REF!</v>
      </c>
      <c r="AK63" s="189" t="e">
        <f>#REF!</f>
        <v>#REF!</v>
      </c>
      <c r="AL63" s="189" t="e">
        <f>#REF!</f>
        <v>#REF!</v>
      </c>
      <c r="AM63" s="189" t="e">
        <f>#REF!</f>
        <v>#REF!</v>
      </c>
      <c r="AN63" s="189" t="e">
        <f>#REF!</f>
        <v>#REF!</v>
      </c>
      <c r="AO63" s="189" t="e">
        <f>#REF!</f>
        <v>#REF!</v>
      </c>
      <c r="AP63" s="190" t="e">
        <f>#REF!</f>
        <v>#REF!</v>
      </c>
      <c r="AQ63" s="188" t="e">
        <f>#REF!</f>
        <v>#REF!</v>
      </c>
      <c r="AR63" s="189" t="e">
        <f>#REF!</f>
        <v>#REF!</v>
      </c>
      <c r="AS63" s="189" t="e">
        <f>#REF!</f>
        <v>#REF!</v>
      </c>
      <c r="AT63" s="189" t="e">
        <f>#REF!</f>
        <v>#REF!</v>
      </c>
      <c r="AU63" s="189" t="e">
        <f>#REF!</f>
        <v>#REF!</v>
      </c>
      <c r="AV63" s="189" t="e">
        <f>#REF!</f>
        <v>#REF!</v>
      </c>
      <c r="AW63" s="189" t="e">
        <f>#REF!</f>
        <v>#REF!</v>
      </c>
      <c r="AX63" s="189" t="e">
        <f>#REF!</f>
        <v>#REF!</v>
      </c>
      <c r="AY63" s="189" t="e">
        <f>#REF!</f>
        <v>#REF!</v>
      </c>
      <c r="AZ63" s="189" t="e">
        <f>#REF!</f>
        <v>#REF!</v>
      </c>
      <c r="BA63" s="189" t="e">
        <f>#REF!</f>
        <v>#REF!</v>
      </c>
      <c r="BB63" s="190" t="e">
        <f>#REF!</f>
        <v>#REF!</v>
      </c>
      <c r="BC63" s="188" t="e">
        <f>#REF!</f>
        <v>#REF!</v>
      </c>
      <c r="BD63" s="189" t="e">
        <f>#REF!</f>
        <v>#REF!</v>
      </c>
      <c r="BE63" s="189" t="e">
        <f>#REF!</f>
        <v>#REF!</v>
      </c>
      <c r="BF63" s="189" t="e">
        <f>#REF!</f>
        <v>#REF!</v>
      </c>
      <c r="BG63" s="189" t="e">
        <f>#REF!</f>
        <v>#REF!</v>
      </c>
      <c r="BH63" s="189" t="e">
        <f>#REF!</f>
        <v>#REF!</v>
      </c>
      <c r="BI63" s="189" t="e">
        <f>#REF!</f>
        <v>#REF!</v>
      </c>
      <c r="BJ63" s="189" t="e">
        <f>#REF!</f>
        <v>#REF!</v>
      </c>
      <c r="BK63" s="189" t="e">
        <f>#REF!</f>
        <v>#REF!</v>
      </c>
      <c r="BL63" s="189" t="e">
        <f>#REF!</f>
        <v>#REF!</v>
      </c>
      <c r="BM63" s="189" t="e">
        <f>#REF!</f>
        <v>#REF!</v>
      </c>
      <c r="BN63" s="190" t="e">
        <f>#REF!</f>
        <v>#REF!</v>
      </c>
      <c r="BO63" s="188" t="e">
        <f>#REF!</f>
        <v>#REF!</v>
      </c>
      <c r="BP63" s="189" t="e">
        <f>#REF!</f>
        <v>#REF!</v>
      </c>
      <c r="BQ63" s="189" t="e">
        <f>#REF!</f>
        <v>#REF!</v>
      </c>
      <c r="BR63" s="189" t="e">
        <f>#REF!</f>
        <v>#REF!</v>
      </c>
      <c r="BS63" s="189" t="e">
        <f>#REF!</f>
        <v>#REF!</v>
      </c>
      <c r="BT63" s="190" t="e">
        <f>#REF!</f>
        <v>#REF!</v>
      </c>
    </row>
    <row r="64" spans="1:72" ht="20.100000000000001" hidden="1" customHeight="1">
      <c r="A64" s="227" t="s">
        <v>1090</v>
      </c>
      <c r="B64" s="573"/>
      <c r="C64" s="302" t="s">
        <v>700</v>
      </c>
      <c r="D64" s="89" t="e">
        <f>IF(AND(#REF!="x",#REF!="N/A"),"x","N/A")</f>
        <v>#REF!</v>
      </c>
      <c r="E64" s="89" t="e">
        <f>#REF!</f>
        <v>#REF!</v>
      </c>
      <c r="F64" s="44" t="e">
        <f>#REF!</f>
        <v>#REF!</v>
      </c>
      <c r="G64" s="6" t="e">
        <f>#REF!</f>
        <v>#REF!</v>
      </c>
      <c r="H64" s="218" t="e">
        <f>#REF!</f>
        <v>#REF!</v>
      </c>
      <c r="I64" s="200" t="e">
        <f>#REF!</f>
        <v>#REF!</v>
      </c>
      <c r="J64" s="198" t="e">
        <f>#REF!</f>
        <v>#REF!</v>
      </c>
      <c r="K64" s="44" t="e">
        <f>#REF!</f>
        <v>#REF!</v>
      </c>
      <c r="L64" s="6" t="e">
        <f>#REF!</f>
        <v>#REF!</v>
      </c>
      <c r="M64" s="6" t="e">
        <f>#REF!</f>
        <v>#REF!</v>
      </c>
      <c r="N64" s="234" t="e">
        <f>#REF!</f>
        <v>#REF!</v>
      </c>
      <c r="O64" s="234" t="e">
        <f>#REF!</f>
        <v>#REF!</v>
      </c>
      <c r="P64" s="235" t="e">
        <f>#REF!</f>
        <v>#REF!</v>
      </c>
      <c r="Q64" s="270" t="e">
        <f>#REF!</f>
        <v>#REF!</v>
      </c>
      <c r="R64" s="295" t="e">
        <f>#REF!</f>
        <v>#REF!</v>
      </c>
      <c r="S64" s="108" t="e">
        <f>#REF!</f>
        <v>#REF!</v>
      </c>
      <c r="T64" s="109" t="e">
        <f>#REF!</f>
        <v>#REF!</v>
      </c>
      <c r="U64" s="109" t="e">
        <f>#REF!</f>
        <v>#REF!</v>
      </c>
      <c r="V64" s="109" t="e">
        <f>#REF!</f>
        <v>#REF!</v>
      </c>
      <c r="W64" s="109" t="e">
        <f>#REF!</f>
        <v>#REF!</v>
      </c>
      <c r="X64" s="109" t="e">
        <f>#REF!</f>
        <v>#REF!</v>
      </c>
      <c r="Y64" s="109" t="e">
        <f>#REF!</f>
        <v>#REF!</v>
      </c>
      <c r="Z64" s="109" t="e">
        <f>#REF!</f>
        <v>#REF!</v>
      </c>
      <c r="AA64" s="109" t="e">
        <f>#REF!</f>
        <v>#REF!</v>
      </c>
      <c r="AB64" s="5" t="e">
        <f>#REF!</f>
        <v>#REF!</v>
      </c>
      <c r="AC64" s="109" t="e">
        <f>#REF!</f>
        <v>#REF!</v>
      </c>
      <c r="AD64" s="5" t="e">
        <f>#REF!</f>
        <v>#REF!</v>
      </c>
      <c r="AE64" s="252" t="e">
        <f>#REF!</f>
        <v>#REF!</v>
      </c>
      <c r="AF64" s="109" t="e">
        <f>#REF!</f>
        <v>#REF!</v>
      </c>
      <c r="AG64" s="109" t="e">
        <f>#REF!</f>
        <v>#REF!</v>
      </c>
      <c r="AH64" s="109" t="e">
        <f>#REF!</f>
        <v>#REF!</v>
      </c>
      <c r="AI64" s="109" t="e">
        <f>#REF!</f>
        <v>#REF!</v>
      </c>
      <c r="AJ64" s="109" t="e">
        <f>#REF!</f>
        <v>#REF!</v>
      </c>
      <c r="AK64" s="109" t="e">
        <f>#REF!</f>
        <v>#REF!</v>
      </c>
      <c r="AL64" s="109" t="e">
        <f>#REF!</f>
        <v>#REF!</v>
      </c>
      <c r="AM64" s="109" t="e">
        <f>#REF!</f>
        <v>#REF!</v>
      </c>
      <c r="AN64" s="109" t="e">
        <f>#REF!</f>
        <v>#REF!</v>
      </c>
      <c r="AO64" s="109" t="e">
        <f>#REF!</f>
        <v>#REF!</v>
      </c>
      <c r="AP64" s="110" t="e">
        <f>#REF!</f>
        <v>#REF!</v>
      </c>
      <c r="AQ64" s="108" t="e">
        <f>#REF!</f>
        <v>#REF!</v>
      </c>
      <c r="AR64" s="109" t="e">
        <f>#REF!</f>
        <v>#REF!</v>
      </c>
      <c r="AS64" s="109" t="e">
        <f>#REF!</f>
        <v>#REF!</v>
      </c>
      <c r="AT64" s="109" t="e">
        <f>#REF!</f>
        <v>#REF!</v>
      </c>
      <c r="AU64" s="109" t="e">
        <f>#REF!</f>
        <v>#REF!</v>
      </c>
      <c r="AV64" s="109" t="e">
        <f>#REF!</f>
        <v>#REF!</v>
      </c>
      <c r="AW64" s="109" t="e">
        <f>#REF!</f>
        <v>#REF!</v>
      </c>
      <c r="AX64" s="109" t="e">
        <f>#REF!</f>
        <v>#REF!</v>
      </c>
      <c r="AY64" s="109" t="e">
        <f>#REF!</f>
        <v>#REF!</v>
      </c>
      <c r="AZ64" s="109" t="e">
        <f>#REF!</f>
        <v>#REF!</v>
      </c>
      <c r="BA64" s="109" t="e">
        <f>#REF!</f>
        <v>#REF!</v>
      </c>
      <c r="BB64" s="110" t="e">
        <f>#REF!</f>
        <v>#REF!</v>
      </c>
      <c r="BC64" s="108" t="e">
        <f>#REF!</f>
        <v>#REF!</v>
      </c>
      <c r="BD64" s="109" t="e">
        <f>#REF!</f>
        <v>#REF!</v>
      </c>
      <c r="BE64" s="109" t="e">
        <f>#REF!</f>
        <v>#REF!</v>
      </c>
      <c r="BF64" s="109" t="e">
        <f>#REF!</f>
        <v>#REF!</v>
      </c>
      <c r="BG64" s="109" t="e">
        <f>#REF!</f>
        <v>#REF!</v>
      </c>
      <c r="BH64" s="109" t="e">
        <f>#REF!</f>
        <v>#REF!</v>
      </c>
      <c r="BI64" s="109" t="e">
        <f>#REF!</f>
        <v>#REF!</v>
      </c>
      <c r="BJ64" s="109" t="e">
        <f>#REF!</f>
        <v>#REF!</v>
      </c>
      <c r="BK64" s="109" t="e">
        <f>#REF!</f>
        <v>#REF!</v>
      </c>
      <c r="BL64" s="109" t="e">
        <f>#REF!</f>
        <v>#REF!</v>
      </c>
      <c r="BM64" s="109" t="e">
        <f>#REF!</f>
        <v>#REF!</v>
      </c>
      <c r="BN64" s="110" t="e">
        <f>#REF!</f>
        <v>#REF!</v>
      </c>
      <c r="BO64" s="108" t="e">
        <f>#REF!</f>
        <v>#REF!</v>
      </c>
      <c r="BP64" s="109" t="e">
        <f>#REF!</f>
        <v>#REF!</v>
      </c>
      <c r="BQ64" s="109" t="e">
        <f>#REF!</f>
        <v>#REF!</v>
      </c>
      <c r="BR64" s="109" t="e">
        <f>#REF!</f>
        <v>#REF!</v>
      </c>
      <c r="BS64" s="109" t="e">
        <f>#REF!</f>
        <v>#REF!</v>
      </c>
      <c r="BT64" s="110" t="e">
        <f>#REF!</f>
        <v>#REF!</v>
      </c>
    </row>
    <row r="65" spans="1:72" ht="20.100000000000001" hidden="1" customHeight="1">
      <c r="A65" s="226" t="s">
        <v>1091</v>
      </c>
      <c r="B65" s="572"/>
      <c r="C65" s="301" t="s">
        <v>704</v>
      </c>
      <c r="D65" s="201" t="e">
        <f>IF(AND(#REF!="x",#REF!="N/A"),"x","N/A")</f>
        <v>#REF!</v>
      </c>
      <c r="E65" s="201" t="e">
        <f>#REF!</f>
        <v>#REF!</v>
      </c>
      <c r="F65" s="44" t="e">
        <f>#REF!</f>
        <v>#REF!</v>
      </c>
      <c r="G65" s="6" t="e">
        <f>#REF!</f>
        <v>#REF!</v>
      </c>
      <c r="H65" s="218" t="e">
        <f>#REF!</f>
        <v>#REF!</v>
      </c>
      <c r="I65" s="200" t="e">
        <f>#REF!</f>
        <v>#REF!</v>
      </c>
      <c r="J65" s="198" t="e">
        <f>#REF!</f>
        <v>#REF!</v>
      </c>
      <c r="K65" s="44" t="e">
        <f>#REF!</f>
        <v>#REF!</v>
      </c>
      <c r="L65" s="6" t="e">
        <f>#REF!</f>
        <v>#REF!</v>
      </c>
      <c r="M65" s="6" t="e">
        <f>#REF!</f>
        <v>#REF!</v>
      </c>
      <c r="N65" s="234" t="e">
        <f>#REF!</f>
        <v>#REF!</v>
      </c>
      <c r="O65" s="234" t="e">
        <f>#REF!</f>
        <v>#REF!</v>
      </c>
      <c r="P65" s="235" t="e">
        <f>#REF!</f>
        <v>#REF!</v>
      </c>
      <c r="Q65" s="298" t="e">
        <f>#REF!</f>
        <v>#REF!</v>
      </c>
      <c r="R65" s="295" t="e">
        <f>#REF!</f>
        <v>#REF!</v>
      </c>
      <c r="S65" s="185" t="e">
        <f>#REF!</f>
        <v>#REF!</v>
      </c>
      <c r="T65" s="186" t="e">
        <f>#REF!</f>
        <v>#REF!</v>
      </c>
      <c r="U65" s="186" t="e">
        <f>#REF!</f>
        <v>#REF!</v>
      </c>
      <c r="V65" s="186" t="e">
        <f>#REF!</f>
        <v>#REF!</v>
      </c>
      <c r="W65" s="186" t="e">
        <f>#REF!</f>
        <v>#REF!</v>
      </c>
      <c r="X65" s="186" t="e">
        <f>#REF!</f>
        <v>#REF!</v>
      </c>
      <c r="Y65" s="186" t="e">
        <f>#REF!</f>
        <v>#REF!</v>
      </c>
      <c r="Z65" s="186" t="e">
        <f>#REF!</f>
        <v>#REF!</v>
      </c>
      <c r="AA65" s="186" t="e">
        <f>#REF!</f>
        <v>#REF!</v>
      </c>
      <c r="AB65" s="5" t="e">
        <f>#REF!</f>
        <v>#REF!</v>
      </c>
      <c r="AC65" s="186" t="e">
        <f>#REF!</f>
        <v>#REF!</v>
      </c>
      <c r="AD65" s="5" t="e">
        <f>#REF!</f>
        <v>#REF!</v>
      </c>
      <c r="AE65" s="251" t="e">
        <f>#REF!</f>
        <v>#REF!</v>
      </c>
      <c r="AF65" s="186" t="e">
        <f>#REF!</f>
        <v>#REF!</v>
      </c>
      <c r="AG65" s="186" t="e">
        <f>#REF!</f>
        <v>#REF!</v>
      </c>
      <c r="AH65" s="186" t="e">
        <f>#REF!</f>
        <v>#REF!</v>
      </c>
      <c r="AI65" s="186" t="e">
        <f>#REF!</f>
        <v>#REF!</v>
      </c>
      <c r="AJ65" s="186" t="e">
        <f>#REF!</f>
        <v>#REF!</v>
      </c>
      <c r="AK65" s="186" t="e">
        <f>#REF!</f>
        <v>#REF!</v>
      </c>
      <c r="AL65" s="186" t="e">
        <f>#REF!</f>
        <v>#REF!</v>
      </c>
      <c r="AM65" s="186" t="e">
        <f>#REF!</f>
        <v>#REF!</v>
      </c>
      <c r="AN65" s="186" t="e">
        <f>#REF!</f>
        <v>#REF!</v>
      </c>
      <c r="AO65" s="186" t="e">
        <f>#REF!</f>
        <v>#REF!</v>
      </c>
      <c r="AP65" s="187" t="e">
        <f>#REF!</f>
        <v>#REF!</v>
      </c>
      <c r="AQ65" s="185" t="e">
        <f>#REF!</f>
        <v>#REF!</v>
      </c>
      <c r="AR65" s="186" t="e">
        <f>#REF!</f>
        <v>#REF!</v>
      </c>
      <c r="AS65" s="186" t="e">
        <f>#REF!</f>
        <v>#REF!</v>
      </c>
      <c r="AT65" s="186" t="e">
        <f>#REF!</f>
        <v>#REF!</v>
      </c>
      <c r="AU65" s="186" t="e">
        <f>#REF!</f>
        <v>#REF!</v>
      </c>
      <c r="AV65" s="186" t="e">
        <f>#REF!</f>
        <v>#REF!</v>
      </c>
      <c r="AW65" s="186" t="e">
        <f>#REF!</f>
        <v>#REF!</v>
      </c>
      <c r="AX65" s="186" t="e">
        <f>#REF!</f>
        <v>#REF!</v>
      </c>
      <c r="AY65" s="186" t="e">
        <f>#REF!</f>
        <v>#REF!</v>
      </c>
      <c r="AZ65" s="186" t="e">
        <f>#REF!</f>
        <v>#REF!</v>
      </c>
      <c r="BA65" s="186" t="e">
        <f>#REF!</f>
        <v>#REF!</v>
      </c>
      <c r="BB65" s="187" t="e">
        <f>#REF!</f>
        <v>#REF!</v>
      </c>
      <c r="BC65" s="185" t="e">
        <f>#REF!</f>
        <v>#REF!</v>
      </c>
      <c r="BD65" s="186" t="e">
        <f>#REF!</f>
        <v>#REF!</v>
      </c>
      <c r="BE65" s="186" t="e">
        <f>#REF!</f>
        <v>#REF!</v>
      </c>
      <c r="BF65" s="186" t="e">
        <f>#REF!</f>
        <v>#REF!</v>
      </c>
      <c r="BG65" s="186" t="e">
        <f>#REF!</f>
        <v>#REF!</v>
      </c>
      <c r="BH65" s="186" t="e">
        <f>#REF!</f>
        <v>#REF!</v>
      </c>
      <c r="BI65" s="186" t="e">
        <f>#REF!</f>
        <v>#REF!</v>
      </c>
      <c r="BJ65" s="186" t="e">
        <f>#REF!</f>
        <v>#REF!</v>
      </c>
      <c r="BK65" s="186" t="e">
        <f>#REF!</f>
        <v>#REF!</v>
      </c>
      <c r="BL65" s="186" t="e">
        <f>#REF!</f>
        <v>#REF!</v>
      </c>
      <c r="BM65" s="186" t="e">
        <f>#REF!</f>
        <v>#REF!</v>
      </c>
      <c r="BN65" s="187" t="e">
        <f>#REF!</f>
        <v>#REF!</v>
      </c>
      <c r="BO65" s="185" t="e">
        <f>#REF!</f>
        <v>#REF!</v>
      </c>
      <c r="BP65" s="186" t="e">
        <f>#REF!</f>
        <v>#REF!</v>
      </c>
      <c r="BQ65" s="186" t="e">
        <f>#REF!</f>
        <v>#REF!</v>
      </c>
      <c r="BR65" s="186" t="e">
        <f>#REF!</f>
        <v>#REF!</v>
      </c>
      <c r="BS65" s="186" t="e">
        <f>#REF!</f>
        <v>#REF!</v>
      </c>
      <c r="BT65" s="187" t="e">
        <f>#REF!</f>
        <v>#REF!</v>
      </c>
    </row>
    <row r="66" spans="1:72" s="15" customFormat="1" ht="20.100000000000001" customHeight="1">
      <c r="A66" s="89" t="s">
        <v>1092</v>
      </c>
      <c r="B66" s="239" t="s">
        <v>1093</v>
      </c>
      <c r="C66" s="266" t="s">
        <v>460</v>
      </c>
      <c r="D66" s="89" t="e">
        <f>IF(AND(#REF!="x",#REF!="N/A"),"x","N/A")</f>
        <v>#REF!</v>
      </c>
      <c r="E66" s="89" t="e">
        <f>#REF!</f>
        <v>#REF!</v>
      </c>
      <c r="F66" s="44" t="e">
        <f>#REF!</f>
        <v>#REF!</v>
      </c>
      <c r="G66" s="6" t="e">
        <f>#REF!</f>
        <v>#REF!</v>
      </c>
      <c r="H66" s="218" t="e">
        <f>#REF!</f>
        <v>#REF!</v>
      </c>
      <c r="I66" s="200" t="e">
        <f>#REF!</f>
        <v>#REF!</v>
      </c>
      <c r="J66" s="198" t="e">
        <f>#REF!</f>
        <v>#REF!</v>
      </c>
      <c r="K66" s="44" t="e">
        <f>#REF!</f>
        <v>#REF!</v>
      </c>
      <c r="L66" s="6" t="e">
        <f>#REF!</f>
        <v>#REF!</v>
      </c>
      <c r="M66" s="6" t="e">
        <f>#REF!</f>
        <v>#REF!</v>
      </c>
      <c r="N66" s="210" t="e">
        <f>#REF!</f>
        <v>#REF!</v>
      </c>
      <c r="O66" s="210" t="e">
        <f>#REF!</f>
        <v>#REF!</v>
      </c>
      <c r="P66" s="233" t="e">
        <f>#REF!</f>
        <v>#REF!</v>
      </c>
      <c r="Q66" s="270" t="e">
        <f>#REF!</f>
        <v>#REF!</v>
      </c>
      <c r="R66" s="295" t="e">
        <f>#REF!</f>
        <v>#REF!</v>
      </c>
      <c r="S66" s="45" t="e">
        <f>#REF!</f>
        <v>#REF!</v>
      </c>
      <c r="T66" s="5" t="e">
        <f>#REF!</f>
        <v>#REF!</v>
      </c>
      <c r="U66" s="5" t="e">
        <f>#REF!</f>
        <v>#REF!</v>
      </c>
      <c r="V66" s="5" t="e">
        <f>#REF!</f>
        <v>#REF!</v>
      </c>
      <c r="W66" s="5" t="e">
        <f>#REF!</f>
        <v>#REF!</v>
      </c>
      <c r="X66" s="5" t="e">
        <f>#REF!</f>
        <v>#REF!</v>
      </c>
      <c r="Y66" s="5" t="e">
        <f>#REF!</f>
        <v>#REF!</v>
      </c>
      <c r="Z66" s="5" t="e">
        <f>#REF!</f>
        <v>#REF!</v>
      </c>
      <c r="AA66" s="5" t="e">
        <f>#REF!</f>
        <v>#REF!</v>
      </c>
      <c r="AB66" s="5" t="e">
        <f>#REF!</f>
        <v>#REF!</v>
      </c>
      <c r="AC66" s="5" t="e">
        <f>#REF!</f>
        <v>#REF!</v>
      </c>
      <c r="AD66" s="219" t="e">
        <f>#REF!</f>
        <v>#REF!</v>
      </c>
      <c r="AE66" s="45" t="e">
        <f>#REF!</f>
        <v>#REF!</v>
      </c>
      <c r="AF66" s="5" t="e">
        <f>#REF!</f>
        <v>#REF!</v>
      </c>
      <c r="AG66" s="5" t="e">
        <f>#REF!</f>
        <v>#REF!</v>
      </c>
      <c r="AH66" s="5" t="e">
        <f>#REF!</f>
        <v>#REF!</v>
      </c>
      <c r="AI66" s="5" t="e">
        <f>#REF!</f>
        <v>#REF!</v>
      </c>
      <c r="AJ66" s="5" t="e">
        <f>#REF!</f>
        <v>#REF!</v>
      </c>
      <c r="AK66" s="5" t="e">
        <f>#REF!</f>
        <v>#REF!</v>
      </c>
      <c r="AL66" s="5" t="e">
        <f>#REF!</f>
        <v>#REF!</v>
      </c>
      <c r="AM66" s="5" t="e">
        <f>#REF!</f>
        <v>#REF!</v>
      </c>
      <c r="AN66" s="5" t="e">
        <f>#REF!</f>
        <v>#REF!</v>
      </c>
      <c r="AO66" s="5" t="e">
        <f>#REF!</f>
        <v>#REF!</v>
      </c>
      <c r="AP66" s="219" t="e">
        <f>#REF!</f>
        <v>#REF!</v>
      </c>
      <c r="AQ66" s="45" t="e">
        <f>#REF!</f>
        <v>#REF!</v>
      </c>
      <c r="AR66" s="5" t="e">
        <f>#REF!</f>
        <v>#REF!</v>
      </c>
      <c r="AS66" s="5" t="e">
        <f>#REF!</f>
        <v>#REF!</v>
      </c>
      <c r="AT66" s="5" t="e">
        <f>#REF!</f>
        <v>#REF!</v>
      </c>
      <c r="AU66" s="5" t="e">
        <f>#REF!</f>
        <v>#REF!</v>
      </c>
      <c r="AV66" s="5" t="e">
        <f>#REF!</f>
        <v>#REF!</v>
      </c>
      <c r="AW66" s="5" t="e">
        <f>#REF!</f>
        <v>#REF!</v>
      </c>
      <c r="AX66" s="5" t="e">
        <f>#REF!</f>
        <v>#REF!</v>
      </c>
      <c r="AY66" s="5" t="e">
        <f>#REF!</f>
        <v>#REF!</v>
      </c>
      <c r="AZ66" s="5" t="e">
        <f>#REF!</f>
        <v>#REF!</v>
      </c>
      <c r="BA66" s="5" t="e">
        <f>#REF!</f>
        <v>#REF!</v>
      </c>
      <c r="BB66" s="219" t="e">
        <f>#REF!</f>
        <v>#REF!</v>
      </c>
      <c r="BC66" s="45" t="e">
        <f>#REF!</f>
        <v>#REF!</v>
      </c>
      <c r="BD66" s="5" t="e">
        <f>#REF!</f>
        <v>#REF!</v>
      </c>
      <c r="BE66" s="5" t="e">
        <f>#REF!</f>
        <v>#REF!</v>
      </c>
      <c r="BF66" s="5" t="e">
        <f>#REF!</f>
        <v>#REF!</v>
      </c>
      <c r="BG66" s="5" t="e">
        <f>#REF!</f>
        <v>#REF!</v>
      </c>
      <c r="BH66" s="5" t="e">
        <f>#REF!</f>
        <v>#REF!</v>
      </c>
      <c r="BI66" s="5" t="e">
        <f>#REF!</f>
        <v>#REF!</v>
      </c>
      <c r="BJ66" s="5" t="e">
        <f>#REF!</f>
        <v>#REF!</v>
      </c>
      <c r="BK66" s="5" t="e">
        <f>#REF!</f>
        <v>#REF!</v>
      </c>
      <c r="BL66" s="5" t="e">
        <f>#REF!</f>
        <v>#REF!</v>
      </c>
      <c r="BM66" s="5" t="e">
        <f>#REF!</f>
        <v>#REF!</v>
      </c>
      <c r="BN66" s="219" t="e">
        <f>#REF!</f>
        <v>#REF!</v>
      </c>
      <c r="BO66" s="45" t="e">
        <f>#REF!</f>
        <v>#REF!</v>
      </c>
      <c r="BP66" s="5" t="e">
        <f>#REF!</f>
        <v>#REF!</v>
      </c>
      <c r="BQ66" s="5" t="e">
        <f>#REF!</f>
        <v>#REF!</v>
      </c>
      <c r="BR66" s="5" t="e">
        <f>#REF!</f>
        <v>#REF!</v>
      </c>
      <c r="BS66" s="5" t="e">
        <f>#REF!</f>
        <v>#REF!</v>
      </c>
      <c r="BT66" s="219" t="e">
        <f>#REF!</f>
        <v>#REF!</v>
      </c>
    </row>
    <row r="67" spans="1:72" s="15" customFormat="1" ht="33" customHeight="1">
      <c r="A67" s="89" t="s">
        <v>1094</v>
      </c>
      <c r="B67" s="573" t="s">
        <v>1095</v>
      </c>
      <c r="C67" s="266" t="s">
        <v>590</v>
      </c>
      <c r="D67" s="89" t="e">
        <f>IF(AND(#REF!="x",#REF!="N/A"),"x","N/A")</f>
        <v>#REF!</v>
      </c>
      <c r="E67" s="89" t="e">
        <f>#REF!</f>
        <v>#REF!</v>
      </c>
      <c r="F67" s="44" t="e">
        <f>#REF!</f>
        <v>#REF!</v>
      </c>
      <c r="G67" s="6" t="e">
        <f>#REF!</f>
        <v>#REF!</v>
      </c>
      <c r="H67" s="218" t="e">
        <f>#REF!</f>
        <v>#REF!</v>
      </c>
      <c r="I67" s="200" t="e">
        <f>#REF!</f>
        <v>#REF!</v>
      </c>
      <c r="J67" s="198" t="e">
        <f>#REF!</f>
        <v>#REF!</v>
      </c>
      <c r="K67" s="44" t="e">
        <f>#REF!</f>
        <v>#REF!</v>
      </c>
      <c r="L67" s="6" t="e">
        <f>#REF!</f>
        <v>#REF!</v>
      </c>
      <c r="M67" s="6" t="e">
        <f>#REF!</f>
        <v>#REF!</v>
      </c>
      <c r="N67" s="210" t="e">
        <f>#REF!</f>
        <v>#REF!</v>
      </c>
      <c r="O67" s="210" t="e">
        <f>#REF!</f>
        <v>#REF!</v>
      </c>
      <c r="P67" s="233" t="e">
        <f>#REF!</f>
        <v>#REF!</v>
      </c>
      <c r="Q67" s="270" t="e">
        <f>#REF!</f>
        <v>#REF!</v>
      </c>
      <c r="R67" s="295" t="e">
        <f>#REF!</f>
        <v>#REF!</v>
      </c>
      <c r="S67" s="45" t="e">
        <f>#REF!</f>
        <v>#REF!</v>
      </c>
      <c r="T67" s="5" t="e">
        <f>#REF!</f>
        <v>#REF!</v>
      </c>
      <c r="U67" s="5" t="e">
        <f>#REF!</f>
        <v>#REF!</v>
      </c>
      <c r="V67" s="5" t="e">
        <f>#REF!</f>
        <v>#REF!</v>
      </c>
      <c r="W67" s="5" t="e">
        <f>#REF!</f>
        <v>#REF!</v>
      </c>
      <c r="X67" s="5" t="e">
        <f>#REF!</f>
        <v>#REF!</v>
      </c>
      <c r="Y67" s="5" t="e">
        <f>#REF!</f>
        <v>#REF!</v>
      </c>
      <c r="Z67" s="5" t="e">
        <f>#REF!</f>
        <v>#REF!</v>
      </c>
      <c r="AA67" s="5" t="e">
        <f>#REF!</f>
        <v>#REF!</v>
      </c>
      <c r="AB67" s="5">
        <v>5</v>
      </c>
      <c r="AC67" s="5" t="e">
        <f>#REF!</f>
        <v>#REF!</v>
      </c>
      <c r="AD67" s="219" t="e">
        <f>#REF!</f>
        <v>#REF!</v>
      </c>
      <c r="AE67" s="45" t="e">
        <f>#REF!</f>
        <v>#REF!</v>
      </c>
      <c r="AF67" s="5" t="e">
        <f>#REF!</f>
        <v>#REF!</v>
      </c>
      <c r="AG67" s="5" t="e">
        <f>#REF!</f>
        <v>#REF!</v>
      </c>
      <c r="AH67" s="5" t="e">
        <f>#REF!</f>
        <v>#REF!</v>
      </c>
      <c r="AI67" s="5" t="e">
        <f>#REF!</f>
        <v>#REF!</v>
      </c>
      <c r="AJ67" s="5" t="e">
        <f>#REF!</f>
        <v>#REF!</v>
      </c>
      <c r="AK67" s="5" t="e">
        <f>#REF!</f>
        <v>#REF!</v>
      </c>
      <c r="AL67" s="5" t="e">
        <f>#REF!</f>
        <v>#REF!</v>
      </c>
      <c r="AM67" s="5" t="e">
        <f>#REF!</f>
        <v>#REF!</v>
      </c>
      <c r="AN67" s="5" t="e">
        <f>#REF!</f>
        <v>#REF!</v>
      </c>
      <c r="AO67" s="5" t="e">
        <f>#REF!</f>
        <v>#REF!</v>
      </c>
      <c r="AP67" s="219" t="e">
        <f>#REF!</f>
        <v>#REF!</v>
      </c>
      <c r="AQ67" s="45" t="e">
        <f>#REF!</f>
        <v>#REF!</v>
      </c>
      <c r="AR67" s="5" t="e">
        <f>#REF!</f>
        <v>#REF!</v>
      </c>
      <c r="AS67" s="5" t="e">
        <f>#REF!</f>
        <v>#REF!</v>
      </c>
      <c r="AT67" s="5" t="e">
        <f>#REF!</f>
        <v>#REF!</v>
      </c>
      <c r="AU67" s="5" t="e">
        <f>#REF!</f>
        <v>#REF!</v>
      </c>
      <c r="AV67" s="5" t="e">
        <f>#REF!</f>
        <v>#REF!</v>
      </c>
      <c r="AW67" s="5" t="e">
        <f>#REF!</f>
        <v>#REF!</v>
      </c>
      <c r="AX67" s="5" t="e">
        <f>#REF!</f>
        <v>#REF!</v>
      </c>
      <c r="AY67" s="5" t="e">
        <f>#REF!</f>
        <v>#REF!</v>
      </c>
      <c r="AZ67" s="5" t="e">
        <f>#REF!</f>
        <v>#REF!</v>
      </c>
      <c r="BA67" s="5" t="e">
        <f>#REF!</f>
        <v>#REF!</v>
      </c>
      <c r="BB67" s="219" t="e">
        <f>#REF!</f>
        <v>#REF!</v>
      </c>
      <c r="BC67" s="45" t="e">
        <f>#REF!</f>
        <v>#REF!</v>
      </c>
      <c r="BD67" s="5" t="e">
        <f>#REF!</f>
        <v>#REF!</v>
      </c>
      <c r="BE67" s="5" t="e">
        <f>#REF!</f>
        <v>#REF!</v>
      </c>
      <c r="BF67" s="5" t="e">
        <f>#REF!</f>
        <v>#REF!</v>
      </c>
      <c r="BG67" s="5" t="e">
        <f>#REF!</f>
        <v>#REF!</v>
      </c>
      <c r="BH67" s="5" t="e">
        <f>#REF!</f>
        <v>#REF!</v>
      </c>
      <c r="BI67" s="5" t="e">
        <f>#REF!</f>
        <v>#REF!</v>
      </c>
      <c r="BJ67" s="5" t="e">
        <f>#REF!</f>
        <v>#REF!</v>
      </c>
      <c r="BK67" s="5" t="e">
        <f>#REF!</f>
        <v>#REF!</v>
      </c>
      <c r="BL67" s="5" t="e">
        <f>#REF!</f>
        <v>#REF!</v>
      </c>
      <c r="BM67" s="5" t="e">
        <f>#REF!</f>
        <v>#REF!</v>
      </c>
      <c r="BN67" s="219" t="e">
        <f>#REF!</f>
        <v>#REF!</v>
      </c>
      <c r="BO67" s="45" t="e">
        <f>#REF!</f>
        <v>#REF!</v>
      </c>
      <c r="BP67" s="5" t="e">
        <f>#REF!</f>
        <v>#REF!</v>
      </c>
      <c r="BQ67" s="5" t="e">
        <f>#REF!</f>
        <v>#REF!</v>
      </c>
      <c r="BR67" s="5" t="e">
        <f>#REF!</f>
        <v>#REF!</v>
      </c>
      <c r="BS67" s="5" t="e">
        <f>#REF!</f>
        <v>#REF!</v>
      </c>
      <c r="BT67" s="219" t="e">
        <f>#REF!</f>
        <v>#REF!</v>
      </c>
    </row>
    <row r="68" spans="1:72" ht="20.100000000000001" hidden="1" customHeight="1">
      <c r="A68" s="203" t="s">
        <v>1096</v>
      </c>
      <c r="B68" s="574"/>
      <c r="C68" s="296" t="s">
        <v>588</v>
      </c>
      <c r="D68" s="203" t="e">
        <f>IF(AND(#REF!="x",#REF!="N/A"),"x","N/A")</f>
        <v>#REF!</v>
      </c>
      <c r="E68" s="203" t="e">
        <f>#REF!</f>
        <v>#REF!</v>
      </c>
      <c r="F68" s="44" t="e">
        <f>#REF!</f>
        <v>#REF!</v>
      </c>
      <c r="G68" s="6" t="e">
        <f>#REF!</f>
        <v>#REF!</v>
      </c>
      <c r="H68" s="218" t="e">
        <f>#REF!</f>
        <v>#REF!</v>
      </c>
      <c r="I68" s="200" t="e">
        <f>#REF!</f>
        <v>#REF!</v>
      </c>
      <c r="J68" s="198" t="e">
        <f>#REF!</f>
        <v>#REF!</v>
      </c>
      <c r="K68" s="44" t="e">
        <f>#REF!</f>
        <v>#REF!</v>
      </c>
      <c r="L68" s="6" t="e">
        <f>#REF!</f>
        <v>#REF!</v>
      </c>
      <c r="M68" s="6" t="e">
        <f>#REF!</f>
        <v>#REF!</v>
      </c>
      <c r="N68" s="234" t="e">
        <f>#REF!</f>
        <v>#REF!</v>
      </c>
      <c r="O68" s="234" t="e">
        <f>#REF!</f>
        <v>#REF!</v>
      </c>
      <c r="P68" s="235" t="e">
        <f>#REF!</f>
        <v>#REF!</v>
      </c>
      <c r="Q68" s="297" t="e">
        <f>#REF!</f>
        <v>#REF!</v>
      </c>
      <c r="R68" s="295" t="e">
        <f>#REF!</f>
        <v>#REF!</v>
      </c>
      <c r="S68" s="188" t="e">
        <f>#REF!</f>
        <v>#REF!</v>
      </c>
      <c r="T68" s="189" t="e">
        <f>#REF!</f>
        <v>#REF!</v>
      </c>
      <c r="U68" s="189" t="e">
        <f>#REF!</f>
        <v>#REF!</v>
      </c>
      <c r="V68" s="189" t="e">
        <f>#REF!</f>
        <v>#REF!</v>
      </c>
      <c r="W68" s="189" t="e">
        <f>#REF!</f>
        <v>#REF!</v>
      </c>
      <c r="X68" s="189" t="e">
        <f>#REF!</f>
        <v>#REF!</v>
      </c>
      <c r="Y68" s="189" t="e">
        <f>#REF!</f>
        <v>#REF!</v>
      </c>
      <c r="Z68" s="189" t="e">
        <f>#REF!</f>
        <v>#REF!</v>
      </c>
      <c r="AA68" s="189" t="e">
        <f>#REF!</f>
        <v>#REF!</v>
      </c>
      <c r="AB68" s="5" t="e">
        <f>#REF!</f>
        <v>#REF!</v>
      </c>
      <c r="AC68" s="189" t="e">
        <f>#REF!</f>
        <v>#REF!</v>
      </c>
      <c r="AD68" s="5" t="e">
        <f>#REF!</f>
        <v>#REF!</v>
      </c>
      <c r="AE68" s="250" t="e">
        <f>#REF!</f>
        <v>#REF!</v>
      </c>
      <c r="AF68" s="189" t="e">
        <f>#REF!</f>
        <v>#REF!</v>
      </c>
      <c r="AG68" s="189" t="e">
        <f>#REF!</f>
        <v>#REF!</v>
      </c>
      <c r="AH68" s="189" t="e">
        <f>#REF!</f>
        <v>#REF!</v>
      </c>
      <c r="AI68" s="189" t="e">
        <f>#REF!</f>
        <v>#REF!</v>
      </c>
      <c r="AJ68" s="189" t="e">
        <f>#REF!</f>
        <v>#REF!</v>
      </c>
      <c r="AK68" s="189" t="e">
        <f>#REF!</f>
        <v>#REF!</v>
      </c>
      <c r="AL68" s="189" t="e">
        <f>#REF!</f>
        <v>#REF!</v>
      </c>
      <c r="AM68" s="189" t="e">
        <f>#REF!</f>
        <v>#REF!</v>
      </c>
      <c r="AN68" s="189" t="e">
        <f>#REF!</f>
        <v>#REF!</v>
      </c>
      <c r="AO68" s="189" t="e">
        <f>#REF!</f>
        <v>#REF!</v>
      </c>
      <c r="AP68" s="190" t="e">
        <f>#REF!</f>
        <v>#REF!</v>
      </c>
      <c r="AQ68" s="188" t="e">
        <f>#REF!</f>
        <v>#REF!</v>
      </c>
      <c r="AR68" s="189" t="e">
        <f>#REF!</f>
        <v>#REF!</v>
      </c>
      <c r="AS68" s="189" t="e">
        <f>#REF!</f>
        <v>#REF!</v>
      </c>
      <c r="AT68" s="189" t="e">
        <f>#REF!</f>
        <v>#REF!</v>
      </c>
      <c r="AU68" s="189" t="e">
        <f>#REF!</f>
        <v>#REF!</v>
      </c>
      <c r="AV68" s="189" t="e">
        <f>#REF!</f>
        <v>#REF!</v>
      </c>
      <c r="AW68" s="189" t="e">
        <f>#REF!</f>
        <v>#REF!</v>
      </c>
      <c r="AX68" s="189" t="e">
        <f>#REF!</f>
        <v>#REF!</v>
      </c>
      <c r="AY68" s="189" t="e">
        <f>#REF!</f>
        <v>#REF!</v>
      </c>
      <c r="AZ68" s="189" t="e">
        <f>#REF!</f>
        <v>#REF!</v>
      </c>
      <c r="BA68" s="189" t="e">
        <f>#REF!</f>
        <v>#REF!</v>
      </c>
      <c r="BB68" s="190" t="e">
        <f>#REF!</f>
        <v>#REF!</v>
      </c>
      <c r="BC68" s="188" t="e">
        <f>#REF!</f>
        <v>#REF!</v>
      </c>
      <c r="BD68" s="189" t="e">
        <f>#REF!</f>
        <v>#REF!</v>
      </c>
      <c r="BE68" s="189" t="e">
        <f>#REF!</f>
        <v>#REF!</v>
      </c>
      <c r="BF68" s="189" t="e">
        <f>#REF!</f>
        <v>#REF!</v>
      </c>
      <c r="BG68" s="189" t="e">
        <f>#REF!</f>
        <v>#REF!</v>
      </c>
      <c r="BH68" s="189" t="e">
        <f>#REF!</f>
        <v>#REF!</v>
      </c>
      <c r="BI68" s="189" t="e">
        <f>#REF!</f>
        <v>#REF!</v>
      </c>
      <c r="BJ68" s="189" t="e">
        <f>#REF!</f>
        <v>#REF!</v>
      </c>
      <c r="BK68" s="189" t="e">
        <f>#REF!</f>
        <v>#REF!</v>
      </c>
      <c r="BL68" s="189" t="e">
        <f>#REF!</f>
        <v>#REF!</v>
      </c>
      <c r="BM68" s="189" t="e">
        <f>#REF!</f>
        <v>#REF!</v>
      </c>
      <c r="BN68" s="190" t="e">
        <f>#REF!</f>
        <v>#REF!</v>
      </c>
      <c r="BO68" s="188" t="e">
        <f>#REF!</f>
        <v>#REF!</v>
      </c>
      <c r="BP68" s="189" t="e">
        <f>#REF!</f>
        <v>#REF!</v>
      </c>
      <c r="BQ68" s="189" t="e">
        <f>#REF!</f>
        <v>#REF!</v>
      </c>
      <c r="BR68" s="189" t="e">
        <f>#REF!</f>
        <v>#REF!</v>
      </c>
      <c r="BS68" s="189" t="e">
        <f>#REF!</f>
        <v>#REF!</v>
      </c>
      <c r="BT68" s="190" t="e">
        <f>#REF!</f>
        <v>#REF!</v>
      </c>
    </row>
    <row r="69" spans="1:72" ht="40.5" hidden="1" customHeight="1">
      <c r="A69" s="201" t="s">
        <v>1097</v>
      </c>
      <c r="B69" s="592" t="s">
        <v>1098</v>
      </c>
      <c r="C69" s="248" t="s">
        <v>584</v>
      </c>
      <c r="D69" s="201" t="e">
        <f>IF(AND(#REF!="x",#REF!="N/A"),"x","N/A")</f>
        <v>#REF!</v>
      </c>
      <c r="E69" s="201" t="e">
        <f>#REF!</f>
        <v>#REF!</v>
      </c>
      <c r="F69" s="44" t="e">
        <f>#REF!</f>
        <v>#REF!</v>
      </c>
      <c r="G69" s="6" t="e">
        <f>#REF!</f>
        <v>#REF!</v>
      </c>
      <c r="H69" s="218" t="e">
        <f>#REF!</f>
        <v>#REF!</v>
      </c>
      <c r="I69" s="200" t="e">
        <f>#REF!</f>
        <v>#REF!</v>
      </c>
      <c r="J69" s="198" t="e">
        <f>#REF!</f>
        <v>#REF!</v>
      </c>
      <c r="K69" s="44" t="e">
        <f>#REF!</f>
        <v>#REF!</v>
      </c>
      <c r="L69" s="6" t="e">
        <f>#REF!</f>
        <v>#REF!</v>
      </c>
      <c r="M69" s="6" t="e">
        <f>#REF!</f>
        <v>#REF!</v>
      </c>
      <c r="N69" s="210" t="e">
        <f>#REF!</f>
        <v>#REF!</v>
      </c>
      <c r="O69" s="210" t="e">
        <f>#REF!</f>
        <v>#REF!</v>
      </c>
      <c r="P69" s="233" t="e">
        <f>#REF!</f>
        <v>#REF!</v>
      </c>
      <c r="Q69" s="298" t="e">
        <f>#REF!</f>
        <v>#REF!</v>
      </c>
      <c r="R69" s="295" t="e">
        <f>#REF!</f>
        <v>#REF!</v>
      </c>
      <c r="S69" s="185" t="e">
        <f>#REF!</f>
        <v>#REF!</v>
      </c>
      <c r="T69" s="186" t="e">
        <f>#REF!</f>
        <v>#REF!</v>
      </c>
      <c r="U69" s="186" t="e">
        <f>#REF!</f>
        <v>#REF!</v>
      </c>
      <c r="V69" s="186" t="e">
        <f>#REF!</f>
        <v>#REF!</v>
      </c>
      <c r="W69" s="186" t="e">
        <f>#REF!</f>
        <v>#REF!</v>
      </c>
      <c r="X69" s="186"/>
      <c r="Y69" s="186"/>
      <c r="Z69" s="186"/>
      <c r="AA69" s="186"/>
      <c r="AB69" s="5"/>
      <c r="AC69" s="186"/>
      <c r="AD69" s="5"/>
      <c r="AE69" s="251"/>
      <c r="AF69" s="186"/>
      <c r="AG69" s="186"/>
      <c r="AH69" s="186"/>
      <c r="AI69" s="186"/>
      <c r="AJ69" s="186"/>
      <c r="AK69" s="186"/>
      <c r="AL69" s="186"/>
      <c r="AM69" s="186"/>
      <c r="AN69" s="186" t="e">
        <f>#REF!</f>
        <v>#REF!</v>
      </c>
      <c r="AO69" s="186" t="e">
        <f>#REF!</f>
        <v>#REF!</v>
      </c>
      <c r="AP69" s="187" t="e">
        <f>#REF!</f>
        <v>#REF!</v>
      </c>
      <c r="AQ69" s="185" t="e">
        <f>#REF!</f>
        <v>#REF!</v>
      </c>
      <c r="AR69" s="186" t="e">
        <f>#REF!</f>
        <v>#REF!</v>
      </c>
      <c r="AS69" s="186" t="e">
        <f>#REF!</f>
        <v>#REF!</v>
      </c>
      <c r="AT69" s="186" t="e">
        <f>#REF!</f>
        <v>#REF!</v>
      </c>
      <c r="AU69" s="186" t="e">
        <f>#REF!</f>
        <v>#REF!</v>
      </c>
      <c r="AV69" s="186" t="e">
        <f>#REF!</f>
        <v>#REF!</v>
      </c>
      <c r="AW69" s="186" t="e">
        <f>#REF!</f>
        <v>#REF!</v>
      </c>
      <c r="AX69" s="186" t="e">
        <f>#REF!</f>
        <v>#REF!</v>
      </c>
      <c r="AY69" s="186" t="e">
        <f>#REF!</f>
        <v>#REF!</v>
      </c>
      <c r="AZ69" s="186" t="e">
        <f>#REF!</f>
        <v>#REF!</v>
      </c>
      <c r="BA69" s="186" t="e">
        <f>#REF!</f>
        <v>#REF!</v>
      </c>
      <c r="BB69" s="187" t="e">
        <f>#REF!</f>
        <v>#REF!</v>
      </c>
      <c r="BC69" s="185" t="e">
        <f>#REF!</f>
        <v>#REF!</v>
      </c>
      <c r="BD69" s="186" t="e">
        <f>#REF!</f>
        <v>#REF!</v>
      </c>
      <c r="BE69" s="186" t="e">
        <f>#REF!</f>
        <v>#REF!</v>
      </c>
      <c r="BF69" s="186" t="e">
        <f>#REF!</f>
        <v>#REF!</v>
      </c>
      <c r="BG69" s="186" t="e">
        <f>#REF!</f>
        <v>#REF!</v>
      </c>
      <c r="BH69" s="186" t="e">
        <f>#REF!</f>
        <v>#REF!</v>
      </c>
      <c r="BI69" s="186" t="e">
        <f>#REF!</f>
        <v>#REF!</v>
      </c>
      <c r="BJ69" s="186" t="e">
        <f>#REF!</f>
        <v>#REF!</v>
      </c>
      <c r="BK69" s="186" t="e">
        <f>#REF!</f>
        <v>#REF!</v>
      </c>
      <c r="BL69" s="186" t="e">
        <f>#REF!</f>
        <v>#REF!</v>
      </c>
      <c r="BM69" s="186" t="e">
        <f>#REF!</f>
        <v>#REF!</v>
      </c>
      <c r="BN69" s="187" t="e">
        <f>#REF!</f>
        <v>#REF!</v>
      </c>
      <c r="BO69" s="185" t="e">
        <f>#REF!</f>
        <v>#REF!</v>
      </c>
      <c r="BP69" s="186" t="e">
        <f>#REF!</f>
        <v>#REF!</v>
      </c>
      <c r="BQ69" s="186" t="e">
        <f>#REF!</f>
        <v>#REF!</v>
      </c>
      <c r="BR69" s="186" t="e">
        <f>#REF!</f>
        <v>#REF!</v>
      </c>
      <c r="BS69" s="186" t="e">
        <f>#REF!</f>
        <v>#REF!</v>
      </c>
      <c r="BT69" s="187" t="e">
        <f>#REF!</f>
        <v>#REF!</v>
      </c>
    </row>
    <row r="70" spans="1:72" s="15" customFormat="1" ht="20.100000000000001" customHeight="1">
      <c r="A70" s="89" t="s">
        <v>1099</v>
      </c>
      <c r="B70" s="593"/>
      <c r="C70" s="266" t="s">
        <v>586</v>
      </c>
      <c r="D70" s="89" t="e">
        <f>IF(AND(#REF!="x",#REF!="N/A"),"x","N/A")</f>
        <v>#REF!</v>
      </c>
      <c r="E70" s="89" t="e">
        <f>#REF!</f>
        <v>#REF!</v>
      </c>
      <c r="F70" s="44" t="e">
        <f>#REF!</f>
        <v>#REF!</v>
      </c>
      <c r="G70" s="6" t="e">
        <f>#REF!</f>
        <v>#REF!</v>
      </c>
      <c r="H70" s="218" t="e">
        <f>#REF!</f>
        <v>#REF!</v>
      </c>
      <c r="I70" s="200" t="e">
        <f>#REF!</f>
        <v>#REF!</v>
      </c>
      <c r="J70" s="198" t="e">
        <f>#REF!</f>
        <v>#REF!</v>
      </c>
      <c r="K70" s="44" t="e">
        <f>#REF!</f>
        <v>#REF!</v>
      </c>
      <c r="L70" s="6" t="e">
        <f>#REF!</f>
        <v>#REF!</v>
      </c>
      <c r="M70" s="6" t="e">
        <f>#REF!</f>
        <v>#REF!</v>
      </c>
      <c r="N70" s="210" t="e">
        <f>#REF!</f>
        <v>#REF!</v>
      </c>
      <c r="O70" s="210" t="e">
        <f>#REF!</f>
        <v>#REF!</v>
      </c>
      <c r="P70" s="233" t="e">
        <f>#REF!</f>
        <v>#REF!</v>
      </c>
      <c r="Q70" s="270" t="e">
        <f>#REF!</f>
        <v>#REF!</v>
      </c>
      <c r="R70" s="295" t="e">
        <f>#REF!</f>
        <v>#REF!</v>
      </c>
      <c r="S70" s="45" t="e">
        <f>#REF!</f>
        <v>#REF!</v>
      </c>
      <c r="T70" s="5" t="e">
        <f>#REF!</f>
        <v>#REF!</v>
      </c>
      <c r="U70" s="5" t="e">
        <f>#REF!</f>
        <v>#REF!</v>
      </c>
      <c r="V70" s="5" t="e">
        <f>#REF!</f>
        <v>#REF!</v>
      </c>
      <c r="W70" s="5" t="e">
        <f>#REF!</f>
        <v>#REF!</v>
      </c>
      <c r="X70" s="5" t="e">
        <f>#REF!</f>
        <v>#REF!</v>
      </c>
      <c r="Y70" s="5" t="e">
        <f>#REF!</f>
        <v>#REF!</v>
      </c>
      <c r="Z70" s="5" t="e">
        <f>#REF!</f>
        <v>#REF!</v>
      </c>
      <c r="AA70" s="5" t="e">
        <f>#REF!</f>
        <v>#REF!</v>
      </c>
      <c r="AB70" s="5" t="e">
        <f>#REF!</f>
        <v>#REF!</v>
      </c>
      <c r="AC70" s="5" t="e">
        <f>#REF!</f>
        <v>#REF!</v>
      </c>
      <c r="AD70" s="219" t="e">
        <f>#REF!</f>
        <v>#REF!</v>
      </c>
      <c r="AE70" s="45" t="e">
        <f>#REF!</f>
        <v>#REF!</v>
      </c>
      <c r="AF70" s="5" t="e">
        <f>#REF!</f>
        <v>#REF!</v>
      </c>
      <c r="AG70" s="5" t="e">
        <f>#REF!</f>
        <v>#REF!</v>
      </c>
      <c r="AH70" s="5" t="e">
        <f>#REF!</f>
        <v>#REF!</v>
      </c>
      <c r="AI70" s="5" t="e">
        <f>#REF!</f>
        <v>#REF!</v>
      </c>
      <c r="AJ70" s="5" t="e">
        <f>#REF!</f>
        <v>#REF!</v>
      </c>
      <c r="AK70" s="5" t="e">
        <f>#REF!</f>
        <v>#REF!</v>
      </c>
      <c r="AL70" s="5" t="e">
        <f>#REF!</f>
        <v>#REF!</v>
      </c>
      <c r="AM70" s="5" t="e">
        <f>#REF!</f>
        <v>#REF!</v>
      </c>
      <c r="AN70" s="5" t="e">
        <f>#REF!</f>
        <v>#REF!</v>
      </c>
      <c r="AO70" s="5" t="e">
        <f>#REF!</f>
        <v>#REF!</v>
      </c>
      <c r="AP70" s="219" t="e">
        <f>#REF!</f>
        <v>#REF!</v>
      </c>
      <c r="AQ70" s="45" t="e">
        <f>#REF!</f>
        <v>#REF!</v>
      </c>
      <c r="AR70" s="5" t="e">
        <f>#REF!</f>
        <v>#REF!</v>
      </c>
      <c r="AS70" s="5" t="e">
        <f>#REF!</f>
        <v>#REF!</v>
      </c>
      <c r="AT70" s="5" t="e">
        <f>#REF!</f>
        <v>#REF!</v>
      </c>
      <c r="AU70" s="5" t="e">
        <f>#REF!</f>
        <v>#REF!</v>
      </c>
      <c r="AV70" s="5" t="e">
        <f>#REF!</f>
        <v>#REF!</v>
      </c>
      <c r="AW70" s="5" t="e">
        <f>#REF!</f>
        <v>#REF!</v>
      </c>
      <c r="AX70" s="5" t="e">
        <f>#REF!</f>
        <v>#REF!</v>
      </c>
      <c r="AY70" s="5" t="e">
        <f>#REF!</f>
        <v>#REF!</v>
      </c>
      <c r="AZ70" s="5" t="e">
        <f>#REF!</f>
        <v>#REF!</v>
      </c>
      <c r="BA70" s="5" t="e">
        <f>#REF!</f>
        <v>#REF!</v>
      </c>
      <c r="BB70" s="219" t="e">
        <f>#REF!</f>
        <v>#REF!</v>
      </c>
      <c r="BC70" s="45" t="e">
        <f>#REF!</f>
        <v>#REF!</v>
      </c>
      <c r="BD70" s="5" t="e">
        <f>#REF!</f>
        <v>#REF!</v>
      </c>
      <c r="BE70" s="5" t="e">
        <f>#REF!</f>
        <v>#REF!</v>
      </c>
      <c r="BF70" s="5" t="e">
        <f>#REF!</f>
        <v>#REF!</v>
      </c>
      <c r="BG70" s="5" t="e">
        <f>#REF!</f>
        <v>#REF!</v>
      </c>
      <c r="BH70" s="5" t="e">
        <f>#REF!</f>
        <v>#REF!</v>
      </c>
      <c r="BI70" s="5" t="e">
        <f>#REF!</f>
        <v>#REF!</v>
      </c>
      <c r="BJ70" s="5" t="e">
        <f>#REF!</f>
        <v>#REF!</v>
      </c>
      <c r="BK70" s="5" t="e">
        <f>#REF!</f>
        <v>#REF!</v>
      </c>
      <c r="BL70" s="5" t="e">
        <f>#REF!</f>
        <v>#REF!</v>
      </c>
      <c r="BM70" s="5" t="e">
        <f>#REF!</f>
        <v>#REF!</v>
      </c>
      <c r="BN70" s="219" t="e">
        <f>#REF!</f>
        <v>#REF!</v>
      </c>
      <c r="BO70" s="45" t="e">
        <f>#REF!</f>
        <v>#REF!</v>
      </c>
      <c r="BP70" s="5" t="e">
        <f>#REF!</f>
        <v>#REF!</v>
      </c>
      <c r="BQ70" s="5" t="e">
        <f>#REF!</f>
        <v>#REF!</v>
      </c>
      <c r="BR70" s="5" t="e">
        <f>#REF!</f>
        <v>#REF!</v>
      </c>
      <c r="BS70" s="5" t="e">
        <f>#REF!</f>
        <v>#REF!</v>
      </c>
      <c r="BT70" s="219" t="e">
        <f>#REF!</f>
        <v>#REF!</v>
      </c>
    </row>
    <row r="71" spans="1:72" s="15" customFormat="1" ht="20.100000000000001" customHeight="1">
      <c r="A71" s="89" t="s">
        <v>1100</v>
      </c>
      <c r="B71" s="239" t="s">
        <v>1101</v>
      </c>
      <c r="C71" s="266" t="s">
        <v>449</v>
      </c>
      <c r="D71" s="89" t="e">
        <f>IF(AND(#REF!="x",#REF!="N/A"),"x","N/A")</f>
        <v>#REF!</v>
      </c>
      <c r="E71" s="89" t="e">
        <f>#REF!</f>
        <v>#REF!</v>
      </c>
      <c r="F71" s="44" t="e">
        <f>#REF!</f>
        <v>#REF!</v>
      </c>
      <c r="G71" s="6" t="e">
        <f>#REF!</f>
        <v>#REF!</v>
      </c>
      <c r="H71" s="218" t="e">
        <f>#REF!</f>
        <v>#REF!</v>
      </c>
      <c r="I71" s="200" t="e">
        <f>#REF!</f>
        <v>#REF!</v>
      </c>
      <c r="J71" s="198" t="e">
        <f>#REF!</f>
        <v>#REF!</v>
      </c>
      <c r="K71" s="44" t="e">
        <f>#REF!</f>
        <v>#REF!</v>
      </c>
      <c r="L71" s="6" t="e">
        <f>#REF!</f>
        <v>#REF!</v>
      </c>
      <c r="M71" s="6" t="e">
        <f>#REF!</f>
        <v>#REF!</v>
      </c>
      <c r="N71" s="210" t="e">
        <f>#REF!</f>
        <v>#REF!</v>
      </c>
      <c r="O71" s="210" t="e">
        <f>#REF!</f>
        <v>#REF!</v>
      </c>
      <c r="P71" s="233" t="e">
        <f>#REF!</f>
        <v>#REF!</v>
      </c>
      <c r="Q71" s="270" t="e">
        <f>#REF!</f>
        <v>#REF!</v>
      </c>
      <c r="R71" s="295" t="e">
        <f>#REF!</f>
        <v>#REF!</v>
      </c>
      <c r="S71" s="45" t="e">
        <f>#REF!</f>
        <v>#REF!</v>
      </c>
      <c r="T71" s="5" t="e">
        <f>#REF!</f>
        <v>#REF!</v>
      </c>
      <c r="U71" s="5" t="e">
        <f>#REF!</f>
        <v>#REF!</v>
      </c>
      <c r="V71" s="5" t="e">
        <f>#REF!</f>
        <v>#REF!</v>
      </c>
      <c r="W71" s="5" t="e">
        <f>#REF!</f>
        <v>#REF!</v>
      </c>
      <c r="X71" s="5" t="e">
        <f>#REF!</f>
        <v>#REF!</v>
      </c>
      <c r="Y71" s="5" t="e">
        <f>#REF!</f>
        <v>#REF!</v>
      </c>
      <c r="Z71" s="5" t="e">
        <f>#REF!</f>
        <v>#REF!</v>
      </c>
      <c r="AA71" s="5" t="e">
        <f>#REF!</f>
        <v>#REF!</v>
      </c>
      <c r="AB71" s="5" t="e">
        <f>#REF!</f>
        <v>#REF!</v>
      </c>
      <c r="AC71" s="5" t="e">
        <f>#REF!</f>
        <v>#REF!</v>
      </c>
      <c r="AD71" s="219" t="e">
        <f>#REF!</f>
        <v>#REF!</v>
      </c>
      <c r="AE71" s="45" t="e">
        <f>#REF!</f>
        <v>#REF!</v>
      </c>
      <c r="AF71" s="5" t="e">
        <f>#REF!</f>
        <v>#REF!</v>
      </c>
      <c r="AG71" s="5" t="e">
        <f>#REF!</f>
        <v>#REF!</v>
      </c>
      <c r="AH71" s="5" t="e">
        <f>#REF!</f>
        <v>#REF!</v>
      </c>
      <c r="AI71" s="5" t="e">
        <f>#REF!</f>
        <v>#REF!</v>
      </c>
      <c r="AJ71" s="5" t="e">
        <f>#REF!</f>
        <v>#REF!</v>
      </c>
      <c r="AK71" s="5" t="e">
        <f>#REF!</f>
        <v>#REF!</v>
      </c>
      <c r="AL71" s="5" t="e">
        <f>#REF!</f>
        <v>#REF!</v>
      </c>
      <c r="AM71" s="5" t="e">
        <f>#REF!</f>
        <v>#REF!</v>
      </c>
      <c r="AN71" s="5" t="e">
        <f>#REF!</f>
        <v>#REF!</v>
      </c>
      <c r="AO71" s="5" t="e">
        <f>#REF!</f>
        <v>#REF!</v>
      </c>
      <c r="AP71" s="219" t="e">
        <f>#REF!</f>
        <v>#REF!</v>
      </c>
      <c r="AQ71" s="45" t="e">
        <f>#REF!</f>
        <v>#REF!</v>
      </c>
      <c r="AR71" s="5" t="e">
        <f>#REF!</f>
        <v>#REF!</v>
      </c>
      <c r="AS71" s="5" t="e">
        <f>#REF!</f>
        <v>#REF!</v>
      </c>
      <c r="AT71" s="5" t="e">
        <f>#REF!</f>
        <v>#REF!</v>
      </c>
      <c r="AU71" s="5" t="e">
        <f>#REF!</f>
        <v>#REF!</v>
      </c>
      <c r="AV71" s="5" t="e">
        <f>#REF!</f>
        <v>#REF!</v>
      </c>
      <c r="AW71" s="5" t="e">
        <f>#REF!</f>
        <v>#REF!</v>
      </c>
      <c r="AX71" s="5" t="e">
        <f>#REF!</f>
        <v>#REF!</v>
      </c>
      <c r="AY71" s="5" t="e">
        <f>#REF!</f>
        <v>#REF!</v>
      </c>
      <c r="AZ71" s="5" t="e">
        <f>#REF!</f>
        <v>#REF!</v>
      </c>
      <c r="BA71" s="5" t="e">
        <f>#REF!</f>
        <v>#REF!</v>
      </c>
      <c r="BB71" s="219" t="e">
        <f>#REF!</f>
        <v>#REF!</v>
      </c>
      <c r="BC71" s="45" t="e">
        <f>#REF!</f>
        <v>#REF!</v>
      </c>
      <c r="BD71" s="5" t="e">
        <f>#REF!</f>
        <v>#REF!</v>
      </c>
      <c r="BE71" s="5" t="e">
        <f>#REF!</f>
        <v>#REF!</v>
      </c>
      <c r="BF71" s="5" t="e">
        <f>#REF!</f>
        <v>#REF!</v>
      </c>
      <c r="BG71" s="5" t="e">
        <f>#REF!</f>
        <v>#REF!</v>
      </c>
      <c r="BH71" s="5" t="e">
        <f>#REF!</f>
        <v>#REF!</v>
      </c>
      <c r="BI71" s="5" t="e">
        <f>#REF!</f>
        <v>#REF!</v>
      </c>
      <c r="BJ71" s="5" t="e">
        <f>#REF!</f>
        <v>#REF!</v>
      </c>
      <c r="BK71" s="5" t="e">
        <f>#REF!</f>
        <v>#REF!</v>
      </c>
      <c r="BL71" s="5" t="e">
        <f>#REF!</f>
        <v>#REF!</v>
      </c>
      <c r="BM71" s="5" t="e">
        <f>#REF!</f>
        <v>#REF!</v>
      </c>
      <c r="BN71" s="219" t="e">
        <f>#REF!</f>
        <v>#REF!</v>
      </c>
      <c r="BO71" s="45" t="e">
        <f>#REF!</f>
        <v>#REF!</v>
      </c>
      <c r="BP71" s="5" t="e">
        <f>#REF!</f>
        <v>#REF!</v>
      </c>
      <c r="BQ71" s="5" t="e">
        <f>#REF!</f>
        <v>#REF!</v>
      </c>
      <c r="BR71" s="5" t="e">
        <f>#REF!</f>
        <v>#REF!</v>
      </c>
      <c r="BS71" s="5" t="e">
        <f>#REF!</f>
        <v>#REF!</v>
      </c>
      <c r="BT71" s="219" t="e">
        <f>#REF!</f>
        <v>#REF!</v>
      </c>
    </row>
    <row r="72" spans="1:72" ht="20.100000000000001" hidden="1" customHeight="1">
      <c r="A72" s="206" t="s">
        <v>1102</v>
      </c>
      <c r="B72" s="246" t="s">
        <v>1103</v>
      </c>
      <c r="C72" s="299" t="s">
        <v>1104</v>
      </c>
      <c r="D72" s="206" t="e">
        <f>IF(AND(#REF!="x",#REF!="N/A"),"x","N/A")</f>
        <v>#REF!</v>
      </c>
      <c r="E72" s="206" t="e">
        <f>#REF!</f>
        <v>#REF!</v>
      </c>
      <c r="F72" s="44" t="e">
        <f>#REF!</f>
        <v>#REF!</v>
      </c>
      <c r="G72" s="6" t="e">
        <f>#REF!</f>
        <v>#REF!</v>
      </c>
      <c r="H72" s="218" t="e">
        <f>#REF!</f>
        <v>#REF!</v>
      </c>
      <c r="I72" s="200" t="e">
        <f>#REF!</f>
        <v>#REF!</v>
      </c>
      <c r="J72" s="198" t="e">
        <f>#REF!</f>
        <v>#REF!</v>
      </c>
      <c r="K72" s="44" t="e">
        <f>#REF!</f>
        <v>#REF!</v>
      </c>
      <c r="L72" s="6" t="e">
        <f>#REF!</f>
        <v>#REF!</v>
      </c>
      <c r="M72" s="6" t="e">
        <f>#REF!</f>
        <v>#REF!</v>
      </c>
      <c r="N72" s="234" t="e">
        <f>#REF!</f>
        <v>#REF!</v>
      </c>
      <c r="O72" s="234" t="e">
        <f>#REF!</f>
        <v>#REF!</v>
      </c>
      <c r="P72" s="235" t="e">
        <f>#REF!</f>
        <v>#REF!</v>
      </c>
      <c r="Q72" s="300" t="e">
        <f>#REF!</f>
        <v>#REF!</v>
      </c>
      <c r="R72" s="295" t="e">
        <f>#REF!</f>
        <v>#REF!</v>
      </c>
      <c r="S72" s="191" t="e">
        <f>#REF!</f>
        <v>#REF!</v>
      </c>
      <c r="T72" s="192" t="e">
        <f>#REF!</f>
        <v>#REF!</v>
      </c>
      <c r="U72" s="192" t="e">
        <f>#REF!</f>
        <v>#REF!</v>
      </c>
      <c r="V72" s="192" t="e">
        <f>#REF!</f>
        <v>#REF!</v>
      </c>
      <c r="W72" s="192" t="e">
        <f>#REF!</f>
        <v>#REF!</v>
      </c>
      <c r="X72" s="192" t="e">
        <f>#REF!</f>
        <v>#REF!</v>
      </c>
      <c r="Y72" s="192" t="e">
        <f>#REF!</f>
        <v>#REF!</v>
      </c>
      <c r="Z72" s="192" t="e">
        <f>#REF!</f>
        <v>#REF!</v>
      </c>
      <c r="AA72" s="192" t="e">
        <f>#REF!</f>
        <v>#REF!</v>
      </c>
      <c r="AB72" s="5" t="e">
        <f>#REF!</f>
        <v>#REF!</v>
      </c>
      <c r="AC72" s="192" t="e">
        <f>#REF!</f>
        <v>#REF!</v>
      </c>
      <c r="AD72" s="5" t="e">
        <f>#REF!</f>
        <v>#REF!</v>
      </c>
      <c r="AE72" s="253" t="e">
        <f>#REF!</f>
        <v>#REF!</v>
      </c>
      <c r="AF72" s="192" t="e">
        <f>#REF!</f>
        <v>#REF!</v>
      </c>
      <c r="AG72" s="192" t="e">
        <f>#REF!</f>
        <v>#REF!</v>
      </c>
      <c r="AH72" s="192" t="e">
        <f>#REF!</f>
        <v>#REF!</v>
      </c>
      <c r="AI72" s="192" t="e">
        <f>#REF!</f>
        <v>#REF!</v>
      </c>
      <c r="AJ72" s="192" t="e">
        <f>#REF!</f>
        <v>#REF!</v>
      </c>
      <c r="AK72" s="192" t="e">
        <f>#REF!</f>
        <v>#REF!</v>
      </c>
      <c r="AL72" s="192" t="e">
        <f>#REF!</f>
        <v>#REF!</v>
      </c>
      <c r="AM72" s="192" t="e">
        <f>#REF!</f>
        <v>#REF!</v>
      </c>
      <c r="AN72" s="192" t="e">
        <f>#REF!</f>
        <v>#REF!</v>
      </c>
      <c r="AO72" s="192" t="e">
        <f>#REF!</f>
        <v>#REF!</v>
      </c>
      <c r="AP72" s="193" t="e">
        <f>#REF!</f>
        <v>#REF!</v>
      </c>
      <c r="AQ72" s="191" t="e">
        <f>#REF!</f>
        <v>#REF!</v>
      </c>
      <c r="AR72" s="192" t="e">
        <f>#REF!</f>
        <v>#REF!</v>
      </c>
      <c r="AS72" s="192" t="e">
        <f>#REF!</f>
        <v>#REF!</v>
      </c>
      <c r="AT72" s="192" t="e">
        <f>#REF!</f>
        <v>#REF!</v>
      </c>
      <c r="AU72" s="192" t="e">
        <f>#REF!</f>
        <v>#REF!</v>
      </c>
      <c r="AV72" s="192" t="e">
        <f>#REF!</f>
        <v>#REF!</v>
      </c>
      <c r="AW72" s="192" t="e">
        <f>#REF!</f>
        <v>#REF!</v>
      </c>
      <c r="AX72" s="192" t="e">
        <f>#REF!</f>
        <v>#REF!</v>
      </c>
      <c r="AY72" s="192" t="e">
        <f>#REF!</f>
        <v>#REF!</v>
      </c>
      <c r="AZ72" s="192" t="e">
        <f>#REF!</f>
        <v>#REF!</v>
      </c>
      <c r="BA72" s="192" t="e">
        <f>#REF!</f>
        <v>#REF!</v>
      </c>
      <c r="BB72" s="193" t="e">
        <f>#REF!</f>
        <v>#REF!</v>
      </c>
      <c r="BC72" s="191" t="e">
        <f>#REF!</f>
        <v>#REF!</v>
      </c>
      <c r="BD72" s="192" t="e">
        <f>#REF!</f>
        <v>#REF!</v>
      </c>
      <c r="BE72" s="192" t="e">
        <f>#REF!</f>
        <v>#REF!</v>
      </c>
      <c r="BF72" s="192" t="e">
        <f>#REF!</f>
        <v>#REF!</v>
      </c>
      <c r="BG72" s="192" t="e">
        <f>#REF!</f>
        <v>#REF!</v>
      </c>
      <c r="BH72" s="192" t="e">
        <f>#REF!</f>
        <v>#REF!</v>
      </c>
      <c r="BI72" s="192" t="e">
        <f>#REF!</f>
        <v>#REF!</v>
      </c>
      <c r="BJ72" s="192" t="e">
        <f>#REF!</f>
        <v>#REF!</v>
      </c>
      <c r="BK72" s="192" t="e">
        <f>#REF!</f>
        <v>#REF!</v>
      </c>
      <c r="BL72" s="192" t="e">
        <f>#REF!</f>
        <v>#REF!</v>
      </c>
      <c r="BM72" s="192" t="e">
        <f>#REF!</f>
        <v>#REF!</v>
      </c>
      <c r="BN72" s="193" t="e">
        <f>#REF!</f>
        <v>#REF!</v>
      </c>
      <c r="BO72" s="191" t="e">
        <f>#REF!</f>
        <v>#REF!</v>
      </c>
      <c r="BP72" s="192" t="e">
        <f>#REF!</f>
        <v>#REF!</v>
      </c>
      <c r="BQ72" s="192" t="e">
        <f>#REF!</f>
        <v>#REF!</v>
      </c>
      <c r="BR72" s="192" t="e">
        <f>#REF!</f>
        <v>#REF!</v>
      </c>
      <c r="BS72" s="192" t="e">
        <f>#REF!</f>
        <v>#REF!</v>
      </c>
      <c r="BT72" s="193" t="e">
        <f>#REF!</f>
        <v>#REF!</v>
      </c>
    </row>
    <row r="73" spans="1:72" s="15" customFormat="1" ht="20.100000000000001" customHeight="1">
      <c r="A73" s="89" t="s">
        <v>1105</v>
      </c>
      <c r="B73" s="239" t="s">
        <v>1106</v>
      </c>
      <c r="C73" s="266" t="s">
        <v>420</v>
      </c>
      <c r="D73" s="89" t="e">
        <f>IF(AND(#REF!="x",#REF!="N/A"),"x","N/A")</f>
        <v>#REF!</v>
      </c>
      <c r="E73" s="89" t="e">
        <f>#REF!</f>
        <v>#REF!</v>
      </c>
      <c r="F73" s="44" t="e">
        <f>#REF!</f>
        <v>#REF!</v>
      </c>
      <c r="G73" s="6" t="e">
        <f>#REF!</f>
        <v>#REF!</v>
      </c>
      <c r="H73" s="218" t="e">
        <f>#REF!</f>
        <v>#REF!</v>
      </c>
      <c r="I73" s="200" t="e">
        <f>#REF!</f>
        <v>#REF!</v>
      </c>
      <c r="J73" s="198" t="e">
        <f>#REF!</f>
        <v>#REF!</v>
      </c>
      <c r="K73" s="44" t="e">
        <f>#REF!</f>
        <v>#REF!</v>
      </c>
      <c r="L73" s="6" t="e">
        <f>#REF!</f>
        <v>#REF!</v>
      </c>
      <c r="M73" s="6" t="e">
        <f>#REF!</f>
        <v>#REF!</v>
      </c>
      <c r="N73" s="210" t="e">
        <f>#REF!</f>
        <v>#REF!</v>
      </c>
      <c r="O73" s="210" t="e">
        <f>#REF!</f>
        <v>#REF!</v>
      </c>
      <c r="P73" s="233" t="e">
        <f>#REF!</f>
        <v>#REF!</v>
      </c>
      <c r="Q73" s="270" t="e">
        <f>#REF!</f>
        <v>#REF!</v>
      </c>
      <c r="R73" s="295" t="e">
        <f>#REF!</f>
        <v>#REF!</v>
      </c>
      <c r="S73" s="45" t="e">
        <f>#REF!</f>
        <v>#REF!</v>
      </c>
      <c r="T73" s="5" t="e">
        <f>#REF!</f>
        <v>#REF!</v>
      </c>
      <c r="U73" s="5" t="e">
        <f>#REF!</f>
        <v>#REF!</v>
      </c>
      <c r="V73" s="5" t="e">
        <f>#REF!</f>
        <v>#REF!</v>
      </c>
      <c r="W73" s="5" t="e">
        <f>#REF!</f>
        <v>#REF!</v>
      </c>
      <c r="X73" s="5" t="e">
        <f>#REF!</f>
        <v>#REF!</v>
      </c>
      <c r="Y73" s="5" t="e">
        <f>#REF!</f>
        <v>#REF!</v>
      </c>
      <c r="Z73" s="5" t="e">
        <f>#REF!</f>
        <v>#REF!</v>
      </c>
      <c r="AA73" s="5" t="e">
        <f>#REF!</f>
        <v>#REF!</v>
      </c>
      <c r="AB73" s="5" t="e">
        <f>#REF!</f>
        <v>#REF!</v>
      </c>
      <c r="AC73" s="5" t="e">
        <f>#REF!</f>
        <v>#REF!</v>
      </c>
      <c r="AD73" s="219" t="e">
        <f>#REF!</f>
        <v>#REF!</v>
      </c>
      <c r="AE73" s="45" t="e">
        <f>#REF!</f>
        <v>#REF!</v>
      </c>
      <c r="AF73" s="5" t="e">
        <f>#REF!</f>
        <v>#REF!</v>
      </c>
      <c r="AG73" s="5" t="e">
        <f>#REF!</f>
        <v>#REF!</v>
      </c>
      <c r="AH73" s="5" t="e">
        <f>#REF!</f>
        <v>#REF!</v>
      </c>
      <c r="AI73" s="5" t="e">
        <f>#REF!</f>
        <v>#REF!</v>
      </c>
      <c r="AJ73" s="5" t="e">
        <f>#REF!</f>
        <v>#REF!</v>
      </c>
      <c r="AK73" s="5" t="e">
        <f>#REF!</f>
        <v>#REF!</v>
      </c>
      <c r="AL73" s="5" t="e">
        <f>#REF!</f>
        <v>#REF!</v>
      </c>
      <c r="AM73" s="5" t="e">
        <f>#REF!</f>
        <v>#REF!</v>
      </c>
      <c r="AN73" s="5" t="e">
        <f>#REF!</f>
        <v>#REF!</v>
      </c>
      <c r="AO73" s="5" t="e">
        <f>#REF!</f>
        <v>#REF!</v>
      </c>
      <c r="AP73" s="219" t="e">
        <f>#REF!</f>
        <v>#REF!</v>
      </c>
      <c r="AQ73" s="45" t="e">
        <f>#REF!</f>
        <v>#REF!</v>
      </c>
      <c r="AR73" s="5" t="e">
        <f>#REF!</f>
        <v>#REF!</v>
      </c>
      <c r="AS73" s="5" t="e">
        <f>#REF!</f>
        <v>#REF!</v>
      </c>
      <c r="AT73" s="5" t="e">
        <f>#REF!</f>
        <v>#REF!</v>
      </c>
      <c r="AU73" s="5" t="e">
        <f>#REF!</f>
        <v>#REF!</v>
      </c>
      <c r="AV73" s="5" t="e">
        <f>#REF!</f>
        <v>#REF!</v>
      </c>
      <c r="AW73" s="5" t="e">
        <f>#REF!</f>
        <v>#REF!</v>
      </c>
      <c r="AX73" s="5" t="e">
        <f>#REF!</f>
        <v>#REF!</v>
      </c>
      <c r="AY73" s="5" t="e">
        <f>#REF!</f>
        <v>#REF!</v>
      </c>
      <c r="AZ73" s="5" t="e">
        <f>#REF!</f>
        <v>#REF!</v>
      </c>
      <c r="BA73" s="5" t="e">
        <f>#REF!</f>
        <v>#REF!</v>
      </c>
      <c r="BB73" s="219" t="e">
        <f>#REF!</f>
        <v>#REF!</v>
      </c>
      <c r="BC73" s="45" t="e">
        <f>#REF!</f>
        <v>#REF!</v>
      </c>
      <c r="BD73" s="5" t="e">
        <f>#REF!</f>
        <v>#REF!</v>
      </c>
      <c r="BE73" s="5" t="e">
        <f>#REF!</f>
        <v>#REF!</v>
      </c>
      <c r="BF73" s="5" t="e">
        <f>#REF!</f>
        <v>#REF!</v>
      </c>
      <c r="BG73" s="5" t="e">
        <f>#REF!</f>
        <v>#REF!</v>
      </c>
      <c r="BH73" s="5" t="e">
        <f>#REF!</f>
        <v>#REF!</v>
      </c>
      <c r="BI73" s="5" t="e">
        <f>#REF!</f>
        <v>#REF!</v>
      </c>
      <c r="BJ73" s="5" t="e">
        <f>#REF!</f>
        <v>#REF!</v>
      </c>
      <c r="BK73" s="5" t="e">
        <f>#REF!</f>
        <v>#REF!</v>
      </c>
      <c r="BL73" s="5" t="e">
        <f>#REF!</f>
        <v>#REF!</v>
      </c>
      <c r="BM73" s="5" t="e">
        <f>#REF!</f>
        <v>#REF!</v>
      </c>
      <c r="BN73" s="219" t="e">
        <f>#REF!</f>
        <v>#REF!</v>
      </c>
      <c r="BO73" s="45" t="e">
        <f>#REF!</f>
        <v>#REF!</v>
      </c>
      <c r="BP73" s="5" t="e">
        <f>#REF!</f>
        <v>#REF!</v>
      </c>
      <c r="BQ73" s="5" t="e">
        <f>#REF!</f>
        <v>#REF!</v>
      </c>
      <c r="BR73" s="5" t="e">
        <f>#REF!</f>
        <v>#REF!</v>
      </c>
      <c r="BS73" s="5" t="e">
        <f>#REF!</f>
        <v>#REF!</v>
      </c>
      <c r="BT73" s="219" t="e">
        <f>#REF!</f>
        <v>#REF!</v>
      </c>
    </row>
    <row r="74" spans="1:72" s="15" customFormat="1" ht="27.95" customHeight="1">
      <c r="A74" s="89" t="s">
        <v>1107</v>
      </c>
      <c r="B74" s="239" t="s">
        <v>1108</v>
      </c>
      <c r="C74" s="266" t="s">
        <v>428</v>
      </c>
      <c r="D74" s="89" t="e">
        <f>IF(AND(#REF!="x",#REF!="N/A"),"x","N/A")</f>
        <v>#REF!</v>
      </c>
      <c r="E74" s="89" t="e">
        <f>#REF!</f>
        <v>#REF!</v>
      </c>
      <c r="F74" s="44" t="e">
        <f>#REF!</f>
        <v>#REF!</v>
      </c>
      <c r="G74" s="6" t="e">
        <f>#REF!</f>
        <v>#REF!</v>
      </c>
      <c r="H74" s="218" t="e">
        <f>#REF!</f>
        <v>#REF!</v>
      </c>
      <c r="I74" s="200" t="e">
        <f>#REF!</f>
        <v>#REF!</v>
      </c>
      <c r="J74" s="198" t="e">
        <f>#REF!</f>
        <v>#REF!</v>
      </c>
      <c r="K74" s="61" t="e">
        <f>#REF!</f>
        <v>#REF!</v>
      </c>
      <c r="L74" s="210" t="e">
        <f>#REF!</f>
        <v>#REF!</v>
      </c>
      <c r="M74" s="210" t="e">
        <f>#REF!</f>
        <v>#REF!</v>
      </c>
      <c r="N74" s="210" t="e">
        <f>#REF!</f>
        <v>#REF!</v>
      </c>
      <c r="O74" s="210" t="e">
        <f>#REF!</f>
        <v>#REF!</v>
      </c>
      <c r="P74" s="233" t="e">
        <f>#REF!</f>
        <v>#REF!</v>
      </c>
      <c r="Q74" s="270" t="e">
        <f>#REF!</f>
        <v>#REF!</v>
      </c>
      <c r="R74" s="295" t="e">
        <f>#REF!</f>
        <v>#REF!</v>
      </c>
      <c r="S74" s="45" t="e">
        <f>#REF!</f>
        <v>#REF!</v>
      </c>
      <c r="T74" s="5" t="e">
        <f>#REF!</f>
        <v>#REF!</v>
      </c>
      <c r="U74" s="5" t="e">
        <f>#REF!</f>
        <v>#REF!</v>
      </c>
      <c r="V74" s="5" t="e">
        <f>#REF!</f>
        <v>#REF!</v>
      </c>
      <c r="W74" s="5" t="e">
        <f>#REF!</f>
        <v>#REF!</v>
      </c>
      <c r="X74" s="5" t="e">
        <f>#REF!</f>
        <v>#REF!</v>
      </c>
      <c r="Y74" s="5" t="e">
        <f>#REF!</f>
        <v>#REF!</v>
      </c>
      <c r="Z74" s="5" t="e">
        <f>#REF!</f>
        <v>#REF!</v>
      </c>
      <c r="AA74" s="5" t="e">
        <f>#REF!</f>
        <v>#REF!</v>
      </c>
      <c r="AB74" s="5" t="e">
        <f>#REF!</f>
        <v>#REF!</v>
      </c>
      <c r="AC74" s="5" t="e">
        <f>#REF!</f>
        <v>#REF!</v>
      </c>
      <c r="AD74" s="219" t="e">
        <f>#REF!</f>
        <v>#REF!</v>
      </c>
      <c r="AE74" s="45" t="e">
        <f>#REF!</f>
        <v>#REF!</v>
      </c>
      <c r="AF74" s="5" t="e">
        <f>#REF!</f>
        <v>#REF!</v>
      </c>
      <c r="AG74" s="5" t="e">
        <f>#REF!</f>
        <v>#REF!</v>
      </c>
      <c r="AH74" s="5" t="e">
        <f>#REF!</f>
        <v>#REF!</v>
      </c>
      <c r="AI74" s="5" t="e">
        <f>#REF!</f>
        <v>#REF!</v>
      </c>
      <c r="AJ74" s="5" t="e">
        <f>#REF!</f>
        <v>#REF!</v>
      </c>
      <c r="AK74" s="5" t="e">
        <f>#REF!</f>
        <v>#REF!</v>
      </c>
      <c r="AL74" s="5" t="e">
        <f>#REF!</f>
        <v>#REF!</v>
      </c>
      <c r="AM74" s="5" t="e">
        <f>#REF!</f>
        <v>#REF!</v>
      </c>
      <c r="AN74" s="5" t="e">
        <f>#REF!</f>
        <v>#REF!</v>
      </c>
      <c r="AO74" s="5" t="e">
        <f>#REF!</f>
        <v>#REF!</v>
      </c>
      <c r="AP74" s="219" t="e">
        <f>#REF!</f>
        <v>#REF!</v>
      </c>
      <c r="AQ74" s="45" t="e">
        <f>#REF!</f>
        <v>#REF!</v>
      </c>
      <c r="AR74" s="5" t="e">
        <f>#REF!</f>
        <v>#REF!</v>
      </c>
      <c r="AS74" s="5" t="e">
        <f>#REF!</f>
        <v>#REF!</v>
      </c>
      <c r="AT74" s="5" t="e">
        <f>#REF!</f>
        <v>#REF!</v>
      </c>
      <c r="AU74" s="5" t="e">
        <f>#REF!</f>
        <v>#REF!</v>
      </c>
      <c r="AV74" s="5" t="e">
        <f>#REF!</f>
        <v>#REF!</v>
      </c>
      <c r="AW74" s="5" t="e">
        <f>#REF!</f>
        <v>#REF!</v>
      </c>
      <c r="AX74" s="5" t="e">
        <f>#REF!</f>
        <v>#REF!</v>
      </c>
      <c r="AY74" s="5" t="e">
        <f>#REF!</f>
        <v>#REF!</v>
      </c>
      <c r="AZ74" s="5" t="e">
        <f>#REF!</f>
        <v>#REF!</v>
      </c>
      <c r="BA74" s="5" t="e">
        <f>#REF!</f>
        <v>#REF!</v>
      </c>
      <c r="BB74" s="219" t="e">
        <f>#REF!</f>
        <v>#REF!</v>
      </c>
      <c r="BC74" s="45" t="e">
        <f>#REF!</f>
        <v>#REF!</v>
      </c>
      <c r="BD74" s="5" t="e">
        <f>#REF!</f>
        <v>#REF!</v>
      </c>
      <c r="BE74" s="5" t="e">
        <f>#REF!</f>
        <v>#REF!</v>
      </c>
      <c r="BF74" s="5" t="e">
        <f>#REF!</f>
        <v>#REF!</v>
      </c>
      <c r="BG74" s="5" t="e">
        <f>#REF!</f>
        <v>#REF!</v>
      </c>
      <c r="BH74" s="5" t="e">
        <f>#REF!</f>
        <v>#REF!</v>
      </c>
      <c r="BI74" s="5" t="e">
        <f>#REF!</f>
        <v>#REF!</v>
      </c>
      <c r="BJ74" s="5" t="e">
        <f>#REF!</f>
        <v>#REF!</v>
      </c>
      <c r="BK74" s="5" t="e">
        <f>#REF!</f>
        <v>#REF!</v>
      </c>
      <c r="BL74" s="5" t="e">
        <f>#REF!</f>
        <v>#REF!</v>
      </c>
      <c r="BM74" s="5" t="e">
        <f>#REF!</f>
        <v>#REF!</v>
      </c>
      <c r="BN74" s="219" t="e">
        <f>#REF!</f>
        <v>#REF!</v>
      </c>
      <c r="BO74" s="45" t="e">
        <f>#REF!</f>
        <v>#REF!</v>
      </c>
      <c r="BP74" s="5" t="e">
        <f>#REF!</f>
        <v>#REF!</v>
      </c>
      <c r="BQ74" s="5" t="e">
        <f>#REF!</f>
        <v>#REF!</v>
      </c>
      <c r="BR74" s="5" t="e">
        <f>#REF!</f>
        <v>#REF!</v>
      </c>
      <c r="BS74" s="5" t="e">
        <f>#REF!</f>
        <v>#REF!</v>
      </c>
      <c r="BT74" s="219" t="e">
        <f>#REF!</f>
        <v>#REF!</v>
      </c>
    </row>
    <row r="75" spans="1:72" s="15" customFormat="1" ht="33" customHeight="1">
      <c r="A75" s="89" t="s">
        <v>1109</v>
      </c>
      <c r="B75" s="573" t="s">
        <v>1110</v>
      </c>
      <c r="C75" s="266" t="s">
        <v>576</v>
      </c>
      <c r="D75" s="89" t="e">
        <f>IF(AND(#REF!="x",#REF!="N/A"),"x","N/A")</f>
        <v>#REF!</v>
      </c>
      <c r="E75" s="89" t="e">
        <f>#REF!</f>
        <v>#REF!</v>
      </c>
      <c r="F75" s="44" t="e">
        <f>#REF!</f>
        <v>#REF!</v>
      </c>
      <c r="G75" s="6" t="e">
        <f>#REF!</f>
        <v>#REF!</v>
      </c>
      <c r="H75" s="218" t="e">
        <f>#REF!</f>
        <v>#REF!</v>
      </c>
      <c r="I75" s="200" t="e">
        <f>#REF!</f>
        <v>#REF!</v>
      </c>
      <c r="J75" s="198" t="e">
        <f>#REF!</f>
        <v>#REF!</v>
      </c>
      <c r="K75" s="44" t="e">
        <f>#REF!</f>
        <v>#REF!</v>
      </c>
      <c r="L75" s="6" t="e">
        <f>#REF!</f>
        <v>#REF!</v>
      </c>
      <c r="M75" s="6" t="e">
        <f>#REF!</f>
        <v>#REF!</v>
      </c>
      <c r="N75" s="210" t="e">
        <f>#REF!</f>
        <v>#REF!</v>
      </c>
      <c r="O75" s="210" t="e">
        <f>#REF!</f>
        <v>#REF!</v>
      </c>
      <c r="P75" s="233" t="e">
        <f>#REF!</f>
        <v>#REF!</v>
      </c>
      <c r="Q75" s="270" t="e">
        <f>#REF!</f>
        <v>#REF!</v>
      </c>
      <c r="R75" s="295" t="e">
        <f>#REF!</f>
        <v>#REF!</v>
      </c>
      <c r="S75" s="45" t="e">
        <f>#REF!</f>
        <v>#REF!</v>
      </c>
      <c r="T75" s="5" t="e">
        <f>#REF!</f>
        <v>#REF!</v>
      </c>
      <c r="U75" s="5" t="e">
        <f>#REF!</f>
        <v>#REF!</v>
      </c>
      <c r="V75" s="5" t="e">
        <f>#REF!</f>
        <v>#REF!</v>
      </c>
      <c r="W75" s="5" t="e">
        <f>#REF!</f>
        <v>#REF!</v>
      </c>
      <c r="X75" s="5" t="e">
        <f>#REF!</f>
        <v>#REF!</v>
      </c>
      <c r="Y75" s="5" t="e">
        <f>#REF!</f>
        <v>#REF!</v>
      </c>
      <c r="Z75" s="5" t="e">
        <f>#REF!</f>
        <v>#REF!</v>
      </c>
      <c r="AA75" s="5" t="e">
        <f>#REF!</f>
        <v>#REF!</v>
      </c>
      <c r="AB75" s="5">
        <v>5</v>
      </c>
      <c r="AC75" s="5" t="e">
        <f>#REF!</f>
        <v>#REF!</v>
      </c>
      <c r="AD75" s="219" t="e">
        <f>#REF!</f>
        <v>#REF!</v>
      </c>
      <c r="AE75" s="45" t="e">
        <f>#REF!</f>
        <v>#REF!</v>
      </c>
      <c r="AF75" s="5" t="e">
        <f>#REF!</f>
        <v>#REF!</v>
      </c>
      <c r="AG75" s="5" t="e">
        <f>#REF!</f>
        <v>#REF!</v>
      </c>
      <c r="AH75" s="5" t="e">
        <f>#REF!</f>
        <v>#REF!</v>
      </c>
      <c r="AI75" s="5" t="e">
        <f>#REF!</f>
        <v>#REF!</v>
      </c>
      <c r="AJ75" s="5" t="e">
        <f>#REF!</f>
        <v>#REF!</v>
      </c>
      <c r="AK75" s="5" t="e">
        <f>#REF!</f>
        <v>#REF!</v>
      </c>
      <c r="AL75" s="5" t="e">
        <f>#REF!</f>
        <v>#REF!</v>
      </c>
      <c r="AM75" s="5" t="e">
        <f>#REF!</f>
        <v>#REF!</v>
      </c>
      <c r="AN75" s="5" t="e">
        <f>#REF!</f>
        <v>#REF!</v>
      </c>
      <c r="AO75" s="5" t="e">
        <f>#REF!</f>
        <v>#REF!</v>
      </c>
      <c r="AP75" s="219" t="e">
        <f>#REF!</f>
        <v>#REF!</v>
      </c>
      <c r="AQ75" s="45" t="e">
        <f>#REF!</f>
        <v>#REF!</v>
      </c>
      <c r="AR75" s="5" t="e">
        <f>#REF!</f>
        <v>#REF!</v>
      </c>
      <c r="AS75" s="5" t="e">
        <f>#REF!</f>
        <v>#REF!</v>
      </c>
      <c r="AT75" s="5" t="e">
        <f>#REF!</f>
        <v>#REF!</v>
      </c>
      <c r="AU75" s="5" t="e">
        <f>#REF!</f>
        <v>#REF!</v>
      </c>
      <c r="AV75" s="5" t="e">
        <f>#REF!</f>
        <v>#REF!</v>
      </c>
      <c r="AW75" s="5" t="e">
        <f>#REF!</f>
        <v>#REF!</v>
      </c>
      <c r="AX75" s="5" t="e">
        <f>#REF!</f>
        <v>#REF!</v>
      </c>
      <c r="AY75" s="5" t="e">
        <f>#REF!</f>
        <v>#REF!</v>
      </c>
      <c r="AZ75" s="5" t="e">
        <f>#REF!</f>
        <v>#REF!</v>
      </c>
      <c r="BA75" s="5" t="e">
        <f>#REF!</f>
        <v>#REF!</v>
      </c>
      <c r="BB75" s="219" t="e">
        <f>#REF!</f>
        <v>#REF!</v>
      </c>
      <c r="BC75" s="45" t="e">
        <f>#REF!</f>
        <v>#REF!</v>
      </c>
      <c r="BD75" s="5" t="e">
        <f>#REF!</f>
        <v>#REF!</v>
      </c>
      <c r="BE75" s="5" t="e">
        <f>#REF!</f>
        <v>#REF!</v>
      </c>
      <c r="BF75" s="5" t="e">
        <f>#REF!</f>
        <v>#REF!</v>
      </c>
      <c r="BG75" s="5" t="e">
        <f>#REF!</f>
        <v>#REF!</v>
      </c>
      <c r="BH75" s="5" t="e">
        <f>#REF!</f>
        <v>#REF!</v>
      </c>
      <c r="BI75" s="5" t="e">
        <f>#REF!</f>
        <v>#REF!</v>
      </c>
      <c r="BJ75" s="5" t="e">
        <f>#REF!</f>
        <v>#REF!</v>
      </c>
      <c r="BK75" s="5" t="e">
        <f>#REF!</f>
        <v>#REF!</v>
      </c>
      <c r="BL75" s="5" t="e">
        <f>#REF!</f>
        <v>#REF!</v>
      </c>
      <c r="BM75" s="5" t="e">
        <f>#REF!</f>
        <v>#REF!</v>
      </c>
      <c r="BN75" s="219" t="e">
        <f>#REF!</f>
        <v>#REF!</v>
      </c>
      <c r="BO75" s="45" t="e">
        <f>#REF!</f>
        <v>#REF!</v>
      </c>
      <c r="BP75" s="5" t="e">
        <f>#REF!</f>
        <v>#REF!</v>
      </c>
      <c r="BQ75" s="5" t="e">
        <f>#REF!</f>
        <v>#REF!</v>
      </c>
      <c r="BR75" s="5" t="e">
        <f>#REF!</f>
        <v>#REF!</v>
      </c>
      <c r="BS75" s="5" t="e">
        <f>#REF!</f>
        <v>#REF!</v>
      </c>
      <c r="BT75" s="219" t="e">
        <f>#REF!</f>
        <v>#REF!</v>
      </c>
    </row>
    <row r="76" spans="1:72" ht="20.100000000000001" hidden="1" customHeight="1">
      <c r="A76" s="206" t="s">
        <v>1111</v>
      </c>
      <c r="B76" s="578"/>
      <c r="C76" s="299" t="s">
        <v>578</v>
      </c>
      <c r="D76" s="206" t="e">
        <f>IF(AND(#REF!="x",#REF!="N/A"),"x","N/A")</f>
        <v>#REF!</v>
      </c>
      <c r="E76" s="206" t="e">
        <f>#REF!</f>
        <v>#REF!</v>
      </c>
      <c r="F76" s="44" t="e">
        <f>#REF!</f>
        <v>#REF!</v>
      </c>
      <c r="G76" s="6" t="e">
        <f>#REF!</f>
        <v>#REF!</v>
      </c>
      <c r="H76" s="218" t="e">
        <f>#REF!</f>
        <v>#REF!</v>
      </c>
      <c r="I76" s="200" t="e">
        <f>#REF!</f>
        <v>#REF!</v>
      </c>
      <c r="J76" s="198" t="e">
        <f>#REF!</f>
        <v>#REF!</v>
      </c>
      <c r="K76" s="44" t="e">
        <f>#REF!</f>
        <v>#REF!</v>
      </c>
      <c r="L76" s="6" t="e">
        <f>#REF!</f>
        <v>#REF!</v>
      </c>
      <c r="M76" s="6" t="e">
        <f>#REF!</f>
        <v>#REF!</v>
      </c>
      <c r="N76" s="234" t="e">
        <f>#REF!</f>
        <v>#REF!</v>
      </c>
      <c r="O76" s="234" t="e">
        <f>#REF!</f>
        <v>#REF!</v>
      </c>
      <c r="P76" s="235" t="e">
        <f>#REF!</f>
        <v>#REF!</v>
      </c>
      <c r="Q76" s="300" t="e">
        <f>#REF!</f>
        <v>#REF!</v>
      </c>
      <c r="R76" s="295" t="e">
        <f>#REF!</f>
        <v>#REF!</v>
      </c>
      <c r="S76" s="191" t="e">
        <f>#REF!</f>
        <v>#REF!</v>
      </c>
      <c r="T76" s="192" t="e">
        <f>#REF!</f>
        <v>#REF!</v>
      </c>
      <c r="U76" s="192" t="e">
        <f>#REF!</f>
        <v>#REF!</v>
      </c>
      <c r="V76" s="192" t="e">
        <f>#REF!</f>
        <v>#REF!</v>
      </c>
      <c r="W76" s="192" t="e">
        <f>#REF!</f>
        <v>#REF!</v>
      </c>
      <c r="X76" s="192" t="e">
        <f>#REF!</f>
        <v>#REF!</v>
      </c>
      <c r="Y76" s="192" t="e">
        <f>#REF!</f>
        <v>#REF!</v>
      </c>
      <c r="Z76" s="192" t="e">
        <f>#REF!</f>
        <v>#REF!</v>
      </c>
      <c r="AA76" s="192" t="e">
        <f>#REF!</f>
        <v>#REF!</v>
      </c>
      <c r="AB76" s="5" t="e">
        <f>#REF!</f>
        <v>#REF!</v>
      </c>
      <c r="AC76" s="192" t="e">
        <f>#REF!</f>
        <v>#REF!</v>
      </c>
      <c r="AD76" s="5" t="e">
        <f>#REF!</f>
        <v>#REF!</v>
      </c>
      <c r="AE76" s="253" t="e">
        <f>#REF!</f>
        <v>#REF!</v>
      </c>
      <c r="AF76" s="192" t="e">
        <f>#REF!</f>
        <v>#REF!</v>
      </c>
      <c r="AG76" s="192" t="e">
        <f>#REF!</f>
        <v>#REF!</v>
      </c>
      <c r="AH76" s="192" t="e">
        <f>#REF!</f>
        <v>#REF!</v>
      </c>
      <c r="AI76" s="192" t="e">
        <f>#REF!</f>
        <v>#REF!</v>
      </c>
      <c r="AJ76" s="192" t="e">
        <f>#REF!</f>
        <v>#REF!</v>
      </c>
      <c r="AK76" s="192" t="e">
        <f>#REF!</f>
        <v>#REF!</v>
      </c>
      <c r="AL76" s="192" t="e">
        <f>#REF!</f>
        <v>#REF!</v>
      </c>
      <c r="AM76" s="192" t="e">
        <f>#REF!</f>
        <v>#REF!</v>
      </c>
      <c r="AN76" s="192" t="e">
        <f>#REF!</f>
        <v>#REF!</v>
      </c>
      <c r="AO76" s="192" t="e">
        <f>#REF!</f>
        <v>#REF!</v>
      </c>
      <c r="AP76" s="193" t="e">
        <f>#REF!</f>
        <v>#REF!</v>
      </c>
      <c r="AQ76" s="191" t="e">
        <f>#REF!</f>
        <v>#REF!</v>
      </c>
      <c r="AR76" s="192" t="e">
        <f>#REF!</f>
        <v>#REF!</v>
      </c>
      <c r="AS76" s="192" t="e">
        <f>#REF!</f>
        <v>#REF!</v>
      </c>
      <c r="AT76" s="192" t="e">
        <f>#REF!</f>
        <v>#REF!</v>
      </c>
      <c r="AU76" s="192" t="e">
        <f>#REF!</f>
        <v>#REF!</v>
      </c>
      <c r="AV76" s="192" t="e">
        <f>#REF!</f>
        <v>#REF!</v>
      </c>
      <c r="AW76" s="192" t="e">
        <f>#REF!</f>
        <v>#REF!</v>
      </c>
      <c r="AX76" s="192" t="e">
        <f>#REF!</f>
        <v>#REF!</v>
      </c>
      <c r="AY76" s="192" t="e">
        <f>#REF!</f>
        <v>#REF!</v>
      </c>
      <c r="AZ76" s="192" t="e">
        <f>#REF!</f>
        <v>#REF!</v>
      </c>
      <c r="BA76" s="192" t="e">
        <f>#REF!</f>
        <v>#REF!</v>
      </c>
      <c r="BB76" s="193" t="e">
        <f>#REF!</f>
        <v>#REF!</v>
      </c>
      <c r="BC76" s="191" t="e">
        <f>#REF!</f>
        <v>#REF!</v>
      </c>
      <c r="BD76" s="192" t="e">
        <f>#REF!</f>
        <v>#REF!</v>
      </c>
      <c r="BE76" s="192" t="e">
        <f>#REF!</f>
        <v>#REF!</v>
      </c>
      <c r="BF76" s="192" t="e">
        <f>#REF!</f>
        <v>#REF!</v>
      </c>
      <c r="BG76" s="192" t="e">
        <f>#REF!</f>
        <v>#REF!</v>
      </c>
      <c r="BH76" s="192" t="e">
        <f>#REF!</f>
        <v>#REF!</v>
      </c>
      <c r="BI76" s="192" t="e">
        <f>#REF!</f>
        <v>#REF!</v>
      </c>
      <c r="BJ76" s="192" t="e">
        <f>#REF!</f>
        <v>#REF!</v>
      </c>
      <c r="BK76" s="192" t="e">
        <f>#REF!</f>
        <v>#REF!</v>
      </c>
      <c r="BL76" s="192" t="e">
        <f>#REF!</f>
        <v>#REF!</v>
      </c>
      <c r="BM76" s="192" t="e">
        <f>#REF!</f>
        <v>#REF!</v>
      </c>
      <c r="BN76" s="193" t="e">
        <f>#REF!</f>
        <v>#REF!</v>
      </c>
      <c r="BO76" s="191" t="e">
        <f>#REF!</f>
        <v>#REF!</v>
      </c>
      <c r="BP76" s="192" t="e">
        <f>#REF!</f>
        <v>#REF!</v>
      </c>
      <c r="BQ76" s="192" t="e">
        <f>#REF!</f>
        <v>#REF!</v>
      </c>
      <c r="BR76" s="192" t="e">
        <f>#REF!</f>
        <v>#REF!</v>
      </c>
      <c r="BS76" s="192" t="e">
        <f>#REF!</f>
        <v>#REF!</v>
      </c>
      <c r="BT76" s="193" t="e">
        <f>#REF!</f>
        <v>#REF!</v>
      </c>
    </row>
    <row r="77" spans="1:72" s="15" customFormat="1" ht="20.100000000000001" customHeight="1">
      <c r="A77" s="89" t="s">
        <v>1112</v>
      </c>
      <c r="B77" s="573" t="s">
        <v>1113</v>
      </c>
      <c r="C77" s="266" t="s">
        <v>674</v>
      </c>
      <c r="D77" s="89" t="e">
        <f>IF(AND(#REF!="x",#REF!="N/A"),"x","N/A")</f>
        <v>#REF!</v>
      </c>
      <c r="E77" s="89" t="e">
        <f>#REF!</f>
        <v>#REF!</v>
      </c>
      <c r="F77" s="44" t="e">
        <f>#REF!</f>
        <v>#REF!</v>
      </c>
      <c r="G77" s="6" t="e">
        <f>#REF!</f>
        <v>#REF!</v>
      </c>
      <c r="H77" s="218" t="e">
        <f>#REF!</f>
        <v>#REF!</v>
      </c>
      <c r="I77" s="200" t="e">
        <f>#REF!</f>
        <v>#REF!</v>
      </c>
      <c r="J77" s="198" t="e">
        <f>#REF!</f>
        <v>#REF!</v>
      </c>
      <c r="K77" s="61" t="s">
        <v>1114</v>
      </c>
      <c r="L77" s="210" t="e">
        <f>#REF!</f>
        <v>#REF!</v>
      </c>
      <c r="M77" s="210" t="e">
        <f>#REF!</f>
        <v>#REF!</v>
      </c>
      <c r="N77" s="210" t="e">
        <f>#REF!</f>
        <v>#REF!</v>
      </c>
      <c r="O77" s="210" t="e">
        <f>#REF!</f>
        <v>#REF!</v>
      </c>
      <c r="P77" s="233" t="e">
        <f>#REF!</f>
        <v>#REF!</v>
      </c>
      <c r="Q77" s="270" t="e">
        <f>#REF!</f>
        <v>#REF!</v>
      </c>
      <c r="R77" s="295" t="e">
        <f>#REF!</f>
        <v>#REF!</v>
      </c>
      <c r="S77" s="45" t="e">
        <f>#REF!</f>
        <v>#REF!</v>
      </c>
      <c r="T77" s="5" t="e">
        <f>#REF!</f>
        <v>#REF!</v>
      </c>
      <c r="U77" s="5" t="e">
        <f>#REF!</f>
        <v>#REF!</v>
      </c>
      <c r="V77" s="5" t="e">
        <f>#REF!</f>
        <v>#REF!</v>
      </c>
      <c r="W77" s="5" t="e">
        <f>#REF!</f>
        <v>#REF!</v>
      </c>
      <c r="X77" s="5" t="e">
        <f>#REF!</f>
        <v>#REF!</v>
      </c>
      <c r="Y77" s="5" t="e">
        <f>#REF!</f>
        <v>#REF!</v>
      </c>
      <c r="Z77" s="5" t="e">
        <f>#REF!</f>
        <v>#REF!</v>
      </c>
      <c r="AA77" s="5" t="e">
        <f>#REF!</f>
        <v>#REF!</v>
      </c>
      <c r="AB77" s="5" t="e">
        <f>#REF!</f>
        <v>#REF!</v>
      </c>
      <c r="AC77" s="5" t="e">
        <f>#REF!</f>
        <v>#REF!</v>
      </c>
      <c r="AD77" s="219" t="e">
        <f>#REF!</f>
        <v>#REF!</v>
      </c>
      <c r="AE77" s="45" t="e">
        <f>#REF!</f>
        <v>#REF!</v>
      </c>
      <c r="AF77" s="5" t="e">
        <f>#REF!</f>
        <v>#REF!</v>
      </c>
      <c r="AG77" s="5" t="e">
        <f>#REF!</f>
        <v>#REF!</v>
      </c>
      <c r="AH77" s="5" t="e">
        <f>#REF!</f>
        <v>#REF!</v>
      </c>
      <c r="AI77" s="5" t="e">
        <f>#REF!</f>
        <v>#REF!</v>
      </c>
      <c r="AJ77" s="5" t="e">
        <f>#REF!</f>
        <v>#REF!</v>
      </c>
      <c r="AK77" s="5" t="e">
        <f>#REF!</f>
        <v>#REF!</v>
      </c>
      <c r="AL77" s="5" t="e">
        <f>#REF!</f>
        <v>#REF!</v>
      </c>
      <c r="AM77" s="5" t="e">
        <f>#REF!</f>
        <v>#REF!</v>
      </c>
      <c r="AN77" s="5" t="e">
        <f>#REF!</f>
        <v>#REF!</v>
      </c>
      <c r="AO77" s="5" t="e">
        <f>#REF!</f>
        <v>#REF!</v>
      </c>
      <c r="AP77" s="219" t="e">
        <f>#REF!</f>
        <v>#REF!</v>
      </c>
      <c r="AQ77" s="45" t="e">
        <f>#REF!</f>
        <v>#REF!</v>
      </c>
      <c r="AR77" s="5" t="e">
        <f>#REF!</f>
        <v>#REF!</v>
      </c>
      <c r="AS77" s="5" t="e">
        <f>#REF!</f>
        <v>#REF!</v>
      </c>
      <c r="AT77" s="5" t="e">
        <f>#REF!</f>
        <v>#REF!</v>
      </c>
      <c r="AU77" s="5" t="e">
        <f>#REF!</f>
        <v>#REF!</v>
      </c>
      <c r="AV77" s="5" t="e">
        <f>#REF!</f>
        <v>#REF!</v>
      </c>
      <c r="AW77" s="5" t="e">
        <f>#REF!</f>
        <v>#REF!</v>
      </c>
      <c r="AX77" s="5" t="e">
        <f>#REF!</f>
        <v>#REF!</v>
      </c>
      <c r="AY77" s="5" t="e">
        <f>#REF!</f>
        <v>#REF!</v>
      </c>
      <c r="AZ77" s="5" t="e">
        <f>#REF!</f>
        <v>#REF!</v>
      </c>
      <c r="BA77" s="5" t="e">
        <f>#REF!</f>
        <v>#REF!</v>
      </c>
      <c r="BB77" s="219" t="e">
        <f>#REF!</f>
        <v>#REF!</v>
      </c>
      <c r="BC77" s="45" t="e">
        <f>#REF!</f>
        <v>#REF!</v>
      </c>
      <c r="BD77" s="5" t="e">
        <f>#REF!</f>
        <v>#REF!</v>
      </c>
      <c r="BE77" s="5" t="e">
        <f>#REF!</f>
        <v>#REF!</v>
      </c>
      <c r="BF77" s="5" t="e">
        <f>#REF!</f>
        <v>#REF!</v>
      </c>
      <c r="BG77" s="5" t="e">
        <f>#REF!</f>
        <v>#REF!</v>
      </c>
      <c r="BH77" s="5" t="e">
        <f>#REF!</f>
        <v>#REF!</v>
      </c>
      <c r="BI77" s="5" t="e">
        <f>#REF!</f>
        <v>#REF!</v>
      </c>
      <c r="BJ77" s="5" t="e">
        <f>#REF!</f>
        <v>#REF!</v>
      </c>
      <c r="BK77" s="5" t="e">
        <f>#REF!</f>
        <v>#REF!</v>
      </c>
      <c r="BL77" s="5" t="e">
        <f>#REF!</f>
        <v>#REF!</v>
      </c>
      <c r="BM77" s="5" t="e">
        <f>#REF!</f>
        <v>#REF!</v>
      </c>
      <c r="BN77" s="219" t="e">
        <f>#REF!</f>
        <v>#REF!</v>
      </c>
      <c r="BO77" s="45" t="e">
        <f>#REF!</f>
        <v>#REF!</v>
      </c>
      <c r="BP77" s="5" t="e">
        <f>#REF!</f>
        <v>#REF!</v>
      </c>
      <c r="BQ77" s="5" t="e">
        <f>#REF!</f>
        <v>#REF!</v>
      </c>
      <c r="BR77" s="5" t="e">
        <f>#REF!</f>
        <v>#REF!</v>
      </c>
      <c r="BS77" s="5" t="e">
        <f>#REF!</f>
        <v>#REF!</v>
      </c>
      <c r="BT77" s="219" t="e">
        <f>#REF!</f>
        <v>#REF!</v>
      </c>
    </row>
    <row r="78" spans="1:72" s="15" customFormat="1" ht="33" customHeight="1">
      <c r="A78" s="89" t="s">
        <v>1115</v>
      </c>
      <c r="B78" s="573"/>
      <c r="C78" s="266" t="s">
        <v>439</v>
      </c>
      <c r="D78" s="89" t="e">
        <f>IF(AND(#REF!="x",#REF!="N/A"),"x","N/A")</f>
        <v>#REF!</v>
      </c>
      <c r="E78" s="89" t="e">
        <f>#REF!</f>
        <v>#REF!</v>
      </c>
      <c r="F78" s="44" t="e">
        <f>#REF!</f>
        <v>#REF!</v>
      </c>
      <c r="G78" s="6" t="e">
        <f>#REF!</f>
        <v>#REF!</v>
      </c>
      <c r="H78" s="218" t="e">
        <f>#REF!</f>
        <v>#REF!</v>
      </c>
      <c r="I78" s="200" t="e">
        <f>#REF!</f>
        <v>#REF!</v>
      </c>
      <c r="J78" s="198" t="e">
        <f>#REF!</f>
        <v>#REF!</v>
      </c>
      <c r="K78" s="61" t="s">
        <v>1114</v>
      </c>
      <c r="L78" s="210" t="e">
        <f>#REF!</f>
        <v>#REF!</v>
      </c>
      <c r="M78" s="210" t="e">
        <f>#REF!</f>
        <v>#REF!</v>
      </c>
      <c r="N78" s="210" t="e">
        <f>#REF!</f>
        <v>#REF!</v>
      </c>
      <c r="O78" s="210" t="e">
        <f>#REF!</f>
        <v>#REF!</v>
      </c>
      <c r="P78" s="233" t="e">
        <f>#REF!</f>
        <v>#REF!</v>
      </c>
      <c r="Q78" s="270" t="e">
        <f>#REF!</f>
        <v>#REF!</v>
      </c>
      <c r="R78" s="295" t="e">
        <f>#REF!</f>
        <v>#REF!</v>
      </c>
      <c r="S78" s="45" t="e">
        <f>#REF!</f>
        <v>#REF!</v>
      </c>
      <c r="T78" s="5" t="e">
        <f>#REF!</f>
        <v>#REF!</v>
      </c>
      <c r="U78" s="5" t="e">
        <f>#REF!</f>
        <v>#REF!</v>
      </c>
      <c r="V78" s="5" t="e">
        <f>#REF!</f>
        <v>#REF!</v>
      </c>
      <c r="W78" s="5" t="e">
        <f>#REF!</f>
        <v>#REF!</v>
      </c>
      <c r="X78" s="5" t="e">
        <f>#REF!</f>
        <v>#REF!</v>
      </c>
      <c r="Y78" s="5" t="e">
        <f>#REF!</f>
        <v>#REF!</v>
      </c>
      <c r="Z78" s="5" t="e">
        <f>#REF!</f>
        <v>#REF!</v>
      </c>
      <c r="AA78" s="5" t="e">
        <f>#REF!</f>
        <v>#REF!</v>
      </c>
      <c r="AB78" s="5">
        <v>5</v>
      </c>
      <c r="AC78" s="5" t="e">
        <f>#REF!</f>
        <v>#REF!</v>
      </c>
      <c r="AD78" s="219" t="e">
        <f>#REF!</f>
        <v>#REF!</v>
      </c>
      <c r="AE78" s="45" t="e">
        <f>#REF!</f>
        <v>#REF!</v>
      </c>
      <c r="AF78" s="5" t="e">
        <f>#REF!</f>
        <v>#REF!</v>
      </c>
      <c r="AG78" s="5" t="e">
        <f>#REF!</f>
        <v>#REF!</v>
      </c>
      <c r="AH78" s="5" t="e">
        <f>#REF!</f>
        <v>#REF!</v>
      </c>
      <c r="AI78" s="5" t="e">
        <f>#REF!</f>
        <v>#REF!</v>
      </c>
      <c r="AJ78" s="5" t="e">
        <f>#REF!</f>
        <v>#REF!</v>
      </c>
      <c r="AK78" s="5" t="e">
        <f>#REF!</f>
        <v>#REF!</v>
      </c>
      <c r="AL78" s="5" t="e">
        <f>#REF!</f>
        <v>#REF!</v>
      </c>
      <c r="AM78" s="5" t="e">
        <f>#REF!</f>
        <v>#REF!</v>
      </c>
      <c r="AN78" s="5" t="e">
        <f>#REF!</f>
        <v>#REF!</v>
      </c>
      <c r="AO78" s="5" t="e">
        <f>#REF!</f>
        <v>#REF!</v>
      </c>
      <c r="AP78" s="219" t="e">
        <f>#REF!</f>
        <v>#REF!</v>
      </c>
      <c r="AQ78" s="45" t="e">
        <f>#REF!</f>
        <v>#REF!</v>
      </c>
      <c r="AR78" s="5" t="e">
        <f>#REF!</f>
        <v>#REF!</v>
      </c>
      <c r="AS78" s="5" t="e">
        <f>#REF!</f>
        <v>#REF!</v>
      </c>
      <c r="AT78" s="5" t="e">
        <f>#REF!</f>
        <v>#REF!</v>
      </c>
      <c r="AU78" s="5" t="e">
        <f>#REF!</f>
        <v>#REF!</v>
      </c>
      <c r="AV78" s="5" t="e">
        <f>#REF!</f>
        <v>#REF!</v>
      </c>
      <c r="AW78" s="5" t="e">
        <f>#REF!</f>
        <v>#REF!</v>
      </c>
      <c r="AX78" s="5" t="e">
        <f>#REF!</f>
        <v>#REF!</v>
      </c>
      <c r="AY78" s="5" t="e">
        <f>#REF!</f>
        <v>#REF!</v>
      </c>
      <c r="AZ78" s="5" t="e">
        <f>#REF!</f>
        <v>#REF!</v>
      </c>
      <c r="BA78" s="5" t="e">
        <f>#REF!</f>
        <v>#REF!</v>
      </c>
      <c r="BB78" s="219" t="e">
        <f>#REF!</f>
        <v>#REF!</v>
      </c>
      <c r="BC78" s="45" t="e">
        <f>#REF!</f>
        <v>#REF!</v>
      </c>
      <c r="BD78" s="5" t="e">
        <f>#REF!</f>
        <v>#REF!</v>
      </c>
      <c r="BE78" s="5" t="e">
        <f>#REF!</f>
        <v>#REF!</v>
      </c>
      <c r="BF78" s="5" t="e">
        <f>#REF!</f>
        <v>#REF!</v>
      </c>
      <c r="BG78" s="5" t="e">
        <f>#REF!</f>
        <v>#REF!</v>
      </c>
      <c r="BH78" s="5" t="e">
        <f>#REF!</f>
        <v>#REF!</v>
      </c>
      <c r="BI78" s="5" t="e">
        <f>#REF!</f>
        <v>#REF!</v>
      </c>
      <c r="BJ78" s="5" t="e">
        <f>#REF!</f>
        <v>#REF!</v>
      </c>
      <c r="BK78" s="5" t="e">
        <f>#REF!</f>
        <v>#REF!</v>
      </c>
      <c r="BL78" s="5" t="e">
        <f>#REF!</f>
        <v>#REF!</v>
      </c>
      <c r="BM78" s="5" t="e">
        <f>#REF!</f>
        <v>#REF!</v>
      </c>
      <c r="BN78" s="219" t="e">
        <f>#REF!</f>
        <v>#REF!</v>
      </c>
      <c r="BO78" s="45" t="e">
        <f>#REF!</f>
        <v>#REF!</v>
      </c>
      <c r="BP78" s="5" t="e">
        <f>#REF!</f>
        <v>#REF!</v>
      </c>
      <c r="BQ78" s="5" t="e">
        <f>#REF!</f>
        <v>#REF!</v>
      </c>
      <c r="BR78" s="5" t="e">
        <f>#REF!</f>
        <v>#REF!</v>
      </c>
      <c r="BS78" s="5" t="e">
        <f>#REF!</f>
        <v>#REF!</v>
      </c>
      <c r="BT78" s="219" t="e">
        <f>#REF!</f>
        <v>#REF!</v>
      </c>
    </row>
    <row r="79" spans="1:72" ht="20.100000000000001" hidden="1" customHeight="1">
      <c r="A79" s="203" t="s">
        <v>1116</v>
      </c>
      <c r="B79" s="574"/>
      <c r="C79" s="245" t="s">
        <v>676</v>
      </c>
      <c r="D79" s="203" t="e">
        <f>IF(AND(#REF!="x",#REF!="N/A"),"x","N/A")</f>
        <v>#REF!</v>
      </c>
      <c r="E79" s="203" t="e">
        <f>#REF!</f>
        <v>#REF!</v>
      </c>
      <c r="F79" s="44" t="e">
        <f>#REF!</f>
        <v>#REF!</v>
      </c>
      <c r="G79" s="6" t="e">
        <f>#REF!</f>
        <v>#REF!</v>
      </c>
      <c r="H79" s="218" t="e">
        <f>#REF!</f>
        <v>#REF!</v>
      </c>
      <c r="I79" s="200" t="e">
        <f>#REF!</f>
        <v>#REF!</v>
      </c>
      <c r="J79" s="198" t="e">
        <f>#REF!</f>
        <v>#REF!</v>
      </c>
      <c r="K79" s="44" t="e">
        <f>#REF!</f>
        <v>#REF!</v>
      </c>
      <c r="L79" s="6" t="e">
        <f>#REF!</f>
        <v>#REF!</v>
      </c>
      <c r="M79" s="6" t="e">
        <f>#REF!</f>
        <v>#REF!</v>
      </c>
      <c r="N79" s="234" t="e">
        <f>#REF!</f>
        <v>#REF!</v>
      </c>
      <c r="O79" s="234" t="e">
        <f>#REF!</f>
        <v>#REF!</v>
      </c>
      <c r="P79" s="235" t="e">
        <f>#REF!</f>
        <v>#REF!</v>
      </c>
      <c r="Q79" s="204" t="e">
        <f>#REF!</f>
        <v>#REF!</v>
      </c>
      <c r="R79" s="286" t="e">
        <f>#REF!</f>
        <v>#REF!</v>
      </c>
      <c r="S79" s="188" t="e">
        <f>#REF!</f>
        <v>#REF!</v>
      </c>
      <c r="T79" s="189" t="e">
        <f>#REF!</f>
        <v>#REF!</v>
      </c>
      <c r="U79" s="189" t="e">
        <f>#REF!</f>
        <v>#REF!</v>
      </c>
      <c r="V79" s="189" t="e">
        <f>#REF!</f>
        <v>#REF!</v>
      </c>
      <c r="W79" s="189" t="e">
        <f>#REF!</f>
        <v>#REF!</v>
      </c>
      <c r="X79" s="189" t="e">
        <f>#REF!</f>
        <v>#REF!</v>
      </c>
      <c r="Y79" s="189" t="e">
        <f>#REF!</f>
        <v>#REF!</v>
      </c>
      <c r="Z79" s="189" t="e">
        <f>#REF!</f>
        <v>#REF!</v>
      </c>
      <c r="AA79" s="189" t="e">
        <f>#REF!</f>
        <v>#REF!</v>
      </c>
      <c r="AB79" s="5" t="e">
        <f>#REF!</f>
        <v>#REF!</v>
      </c>
      <c r="AC79" s="189" t="e">
        <f>#REF!</f>
        <v>#REF!</v>
      </c>
      <c r="AD79" s="190" t="e">
        <f>#REF!</f>
        <v>#REF!</v>
      </c>
      <c r="AE79" s="250" t="e">
        <f>#REF!</f>
        <v>#REF!</v>
      </c>
      <c r="AF79" s="189" t="e">
        <f>#REF!</f>
        <v>#REF!</v>
      </c>
      <c r="AG79" s="189" t="e">
        <f>#REF!</f>
        <v>#REF!</v>
      </c>
      <c r="AH79" s="189" t="e">
        <f>#REF!</f>
        <v>#REF!</v>
      </c>
      <c r="AI79" s="189" t="e">
        <f>#REF!</f>
        <v>#REF!</v>
      </c>
      <c r="AJ79" s="189" t="e">
        <f>#REF!</f>
        <v>#REF!</v>
      </c>
      <c r="AK79" s="189" t="e">
        <f>#REF!</f>
        <v>#REF!</v>
      </c>
      <c r="AL79" s="189" t="e">
        <f>#REF!</f>
        <v>#REF!</v>
      </c>
      <c r="AM79" s="189" t="e">
        <f>#REF!</f>
        <v>#REF!</v>
      </c>
      <c r="AN79" s="189" t="e">
        <f>#REF!</f>
        <v>#REF!</v>
      </c>
      <c r="AO79" s="189" t="e">
        <f>#REF!</f>
        <v>#REF!</v>
      </c>
      <c r="AP79" s="190" t="e">
        <f>#REF!</f>
        <v>#REF!</v>
      </c>
      <c r="AQ79" s="188" t="e">
        <f>#REF!</f>
        <v>#REF!</v>
      </c>
      <c r="AR79" s="189" t="e">
        <f>#REF!</f>
        <v>#REF!</v>
      </c>
      <c r="AS79" s="189" t="e">
        <f>#REF!</f>
        <v>#REF!</v>
      </c>
      <c r="AT79" s="189" t="e">
        <f>#REF!</f>
        <v>#REF!</v>
      </c>
      <c r="AU79" s="189" t="e">
        <f>#REF!</f>
        <v>#REF!</v>
      </c>
      <c r="AV79" s="189" t="e">
        <f>#REF!</f>
        <v>#REF!</v>
      </c>
      <c r="AW79" s="189" t="e">
        <f>#REF!</f>
        <v>#REF!</v>
      </c>
      <c r="AX79" s="189" t="e">
        <f>#REF!</f>
        <v>#REF!</v>
      </c>
      <c r="AY79" s="189" t="e">
        <f>#REF!</f>
        <v>#REF!</v>
      </c>
      <c r="AZ79" s="189" t="e">
        <f>#REF!</f>
        <v>#REF!</v>
      </c>
      <c r="BA79" s="189" t="e">
        <f>#REF!</f>
        <v>#REF!</v>
      </c>
      <c r="BB79" s="190" t="e">
        <f>#REF!</f>
        <v>#REF!</v>
      </c>
      <c r="BC79" s="188" t="e">
        <f>#REF!</f>
        <v>#REF!</v>
      </c>
      <c r="BD79" s="189" t="e">
        <f>#REF!</f>
        <v>#REF!</v>
      </c>
      <c r="BE79" s="189" t="e">
        <f>#REF!</f>
        <v>#REF!</v>
      </c>
      <c r="BF79" s="189" t="e">
        <f>#REF!</f>
        <v>#REF!</v>
      </c>
      <c r="BG79" s="189" t="e">
        <f>#REF!</f>
        <v>#REF!</v>
      </c>
      <c r="BH79" s="189" t="e">
        <f>#REF!</f>
        <v>#REF!</v>
      </c>
      <c r="BI79" s="189" t="e">
        <f>#REF!</f>
        <v>#REF!</v>
      </c>
      <c r="BJ79" s="189" t="e">
        <f>#REF!</f>
        <v>#REF!</v>
      </c>
      <c r="BK79" s="189" t="e">
        <f>#REF!</f>
        <v>#REF!</v>
      </c>
      <c r="BL79" s="189" t="e">
        <f>#REF!</f>
        <v>#REF!</v>
      </c>
      <c r="BM79" s="189" t="e">
        <f>#REF!</f>
        <v>#REF!</v>
      </c>
      <c r="BN79" s="190" t="e">
        <f>#REF!</f>
        <v>#REF!</v>
      </c>
      <c r="BO79" s="188" t="e">
        <f>#REF!</f>
        <v>#REF!</v>
      </c>
      <c r="BP79" s="189" t="e">
        <f>#REF!</f>
        <v>#REF!</v>
      </c>
      <c r="BQ79" s="189" t="e">
        <f>#REF!</f>
        <v>#REF!</v>
      </c>
      <c r="BR79" s="189" t="e">
        <f>#REF!</f>
        <v>#REF!</v>
      </c>
      <c r="BS79" s="189" t="e">
        <f>#REF!</f>
        <v>#REF!</v>
      </c>
      <c r="BT79" s="190" t="e">
        <f>#REF!</f>
        <v>#REF!</v>
      </c>
    </row>
    <row r="80" spans="1:72" ht="20.100000000000001" hidden="1" customHeight="1">
      <c r="A80" s="89" t="s">
        <v>1117</v>
      </c>
      <c r="B80" s="573"/>
      <c r="C80" s="216" t="s">
        <v>671</v>
      </c>
      <c r="D80" s="89" t="e">
        <f>IF(AND(#REF!="x",#REF!="N/A"),"x","N/A")</f>
        <v>#REF!</v>
      </c>
      <c r="E80" s="89" t="e">
        <f>#REF!</f>
        <v>#REF!</v>
      </c>
      <c r="F80" s="44" t="e">
        <f>#REF!</f>
        <v>#REF!</v>
      </c>
      <c r="G80" s="6" t="e">
        <f>#REF!</f>
        <v>#REF!</v>
      </c>
      <c r="H80" s="218" t="e">
        <f>#REF!</f>
        <v>#REF!</v>
      </c>
      <c r="I80" s="200" t="e">
        <f>#REF!</f>
        <v>#REF!</v>
      </c>
      <c r="J80" s="198" t="e">
        <f>#REF!</f>
        <v>#REF!</v>
      </c>
      <c r="K80" s="44" t="e">
        <f>#REF!</f>
        <v>#REF!</v>
      </c>
      <c r="L80" s="6" t="e">
        <f>#REF!</f>
        <v>#REF!</v>
      </c>
      <c r="M80" s="6" t="e">
        <f>#REF!</f>
        <v>#REF!</v>
      </c>
      <c r="N80" s="234" t="e">
        <f>#REF!</f>
        <v>#REF!</v>
      </c>
      <c r="O80" s="234" t="e">
        <f>#REF!</f>
        <v>#REF!</v>
      </c>
      <c r="P80" s="235" t="e">
        <f>#REF!</f>
        <v>#REF!</v>
      </c>
      <c r="Q80" s="131" t="e">
        <f>#REF!</f>
        <v>#REF!</v>
      </c>
      <c r="R80" s="286" t="e">
        <f>#REF!</f>
        <v>#REF!</v>
      </c>
      <c r="S80" s="108" t="e">
        <f>#REF!</f>
        <v>#REF!</v>
      </c>
      <c r="T80" s="109" t="e">
        <f>#REF!</f>
        <v>#REF!</v>
      </c>
      <c r="U80" s="109" t="e">
        <f>#REF!</f>
        <v>#REF!</v>
      </c>
      <c r="V80" s="109" t="e">
        <f>#REF!</f>
        <v>#REF!</v>
      </c>
      <c r="W80" s="109" t="e">
        <f>#REF!</f>
        <v>#REF!</v>
      </c>
      <c r="X80" s="109" t="e">
        <f>#REF!</f>
        <v>#REF!</v>
      </c>
      <c r="Y80" s="109" t="e">
        <f>#REF!</f>
        <v>#REF!</v>
      </c>
      <c r="Z80" s="109" t="e">
        <f>#REF!</f>
        <v>#REF!</v>
      </c>
      <c r="AA80" s="109" t="e">
        <f>#REF!</f>
        <v>#REF!</v>
      </c>
      <c r="AB80" s="5" t="e">
        <f>#REF!</f>
        <v>#REF!</v>
      </c>
      <c r="AC80" s="109" t="e">
        <f>#REF!</f>
        <v>#REF!</v>
      </c>
      <c r="AD80" s="110" t="e">
        <f>#REF!</f>
        <v>#REF!</v>
      </c>
      <c r="AE80" s="252" t="e">
        <f>#REF!</f>
        <v>#REF!</v>
      </c>
      <c r="AF80" s="109" t="e">
        <f>#REF!</f>
        <v>#REF!</v>
      </c>
      <c r="AG80" s="109" t="e">
        <f>#REF!</f>
        <v>#REF!</v>
      </c>
      <c r="AH80" s="109" t="e">
        <f>#REF!</f>
        <v>#REF!</v>
      </c>
      <c r="AI80" s="109" t="e">
        <f>#REF!</f>
        <v>#REF!</v>
      </c>
      <c r="AJ80" s="109" t="e">
        <f>#REF!</f>
        <v>#REF!</v>
      </c>
      <c r="AK80" s="109" t="e">
        <f>#REF!</f>
        <v>#REF!</v>
      </c>
      <c r="AL80" s="109" t="e">
        <f>#REF!</f>
        <v>#REF!</v>
      </c>
      <c r="AM80" s="109" t="e">
        <f>#REF!</f>
        <v>#REF!</v>
      </c>
      <c r="AN80" s="109" t="e">
        <f>#REF!</f>
        <v>#REF!</v>
      </c>
      <c r="AO80" s="109" t="e">
        <f>#REF!</f>
        <v>#REF!</v>
      </c>
      <c r="AP80" s="110" t="e">
        <f>#REF!</f>
        <v>#REF!</v>
      </c>
      <c r="AQ80" s="108" t="e">
        <f>#REF!</f>
        <v>#REF!</v>
      </c>
      <c r="AR80" s="109" t="e">
        <f>#REF!</f>
        <v>#REF!</v>
      </c>
      <c r="AS80" s="109" t="e">
        <f>#REF!</f>
        <v>#REF!</v>
      </c>
      <c r="AT80" s="109" t="e">
        <f>#REF!</f>
        <v>#REF!</v>
      </c>
      <c r="AU80" s="109" t="e">
        <f>#REF!</f>
        <v>#REF!</v>
      </c>
      <c r="AV80" s="109" t="e">
        <f>#REF!</f>
        <v>#REF!</v>
      </c>
      <c r="AW80" s="109" t="e">
        <f>#REF!</f>
        <v>#REF!</v>
      </c>
      <c r="AX80" s="109" t="e">
        <f>#REF!</f>
        <v>#REF!</v>
      </c>
      <c r="AY80" s="109" t="e">
        <f>#REF!</f>
        <v>#REF!</v>
      </c>
      <c r="AZ80" s="109" t="e">
        <f>#REF!</f>
        <v>#REF!</v>
      </c>
      <c r="BA80" s="109" t="e">
        <f>#REF!</f>
        <v>#REF!</v>
      </c>
      <c r="BB80" s="110" t="e">
        <f>#REF!</f>
        <v>#REF!</v>
      </c>
      <c r="BC80" s="108" t="e">
        <f>#REF!</f>
        <v>#REF!</v>
      </c>
      <c r="BD80" s="109" t="e">
        <f>#REF!</f>
        <v>#REF!</v>
      </c>
      <c r="BE80" s="109" t="e">
        <f>#REF!</f>
        <v>#REF!</v>
      </c>
      <c r="BF80" s="109" t="e">
        <f>#REF!</f>
        <v>#REF!</v>
      </c>
      <c r="BG80" s="109" t="e">
        <f>#REF!</f>
        <v>#REF!</v>
      </c>
      <c r="BH80" s="109" t="e">
        <f>#REF!</f>
        <v>#REF!</v>
      </c>
      <c r="BI80" s="109" t="e">
        <f>#REF!</f>
        <v>#REF!</v>
      </c>
      <c r="BJ80" s="109" t="e">
        <f>#REF!</f>
        <v>#REF!</v>
      </c>
      <c r="BK80" s="109" t="e">
        <f>#REF!</f>
        <v>#REF!</v>
      </c>
      <c r="BL80" s="109" t="e">
        <f>#REF!</f>
        <v>#REF!</v>
      </c>
      <c r="BM80" s="109" t="e">
        <f>#REF!</f>
        <v>#REF!</v>
      </c>
      <c r="BN80" s="110" t="e">
        <f>#REF!</f>
        <v>#REF!</v>
      </c>
      <c r="BO80" s="108" t="e">
        <f>#REF!</f>
        <v>#REF!</v>
      </c>
      <c r="BP80" s="109" t="e">
        <f>#REF!</f>
        <v>#REF!</v>
      </c>
      <c r="BQ80" s="109" t="e">
        <f>#REF!</f>
        <v>#REF!</v>
      </c>
      <c r="BR80" s="109" t="e">
        <f>#REF!</f>
        <v>#REF!</v>
      </c>
      <c r="BS80" s="109" t="e">
        <f>#REF!</f>
        <v>#REF!</v>
      </c>
      <c r="BT80" s="110" t="e">
        <f>#REF!</f>
        <v>#REF!</v>
      </c>
    </row>
    <row r="81" spans="1:72" ht="20.100000000000001" hidden="1" customHeight="1">
      <c r="A81" s="201" t="s">
        <v>1118</v>
      </c>
      <c r="B81" s="243" t="s">
        <v>1119</v>
      </c>
      <c r="C81" s="248" t="s">
        <v>1120</v>
      </c>
      <c r="D81" s="201" t="e">
        <f>IF(AND(#REF!="x",#REF!="N/A"),"x","N/A")</f>
        <v>#REF!</v>
      </c>
      <c r="E81" s="201" t="e">
        <f>#REF!</f>
        <v>#REF!</v>
      </c>
      <c r="F81" s="44" t="e">
        <f>#REF!</f>
        <v>#REF!</v>
      </c>
      <c r="G81" s="6" t="e">
        <f>#REF!</f>
        <v>#REF!</v>
      </c>
      <c r="H81" s="218" t="e">
        <f>#REF!</f>
        <v>#REF!</v>
      </c>
      <c r="I81" s="200" t="e">
        <f>#REF!</f>
        <v>#REF!</v>
      </c>
      <c r="J81" s="198" t="e">
        <f>#REF!</f>
        <v>#REF!</v>
      </c>
      <c r="K81" s="44" t="e">
        <f>#REF!</f>
        <v>#REF!</v>
      </c>
      <c r="L81" s="6" t="e">
        <f>#REF!</f>
        <v>#REF!</v>
      </c>
      <c r="M81" s="6" t="e">
        <f>#REF!</f>
        <v>#REF!</v>
      </c>
      <c r="N81" s="234" t="e">
        <f>#REF!</f>
        <v>#REF!</v>
      </c>
      <c r="O81" s="234" t="e">
        <f>#REF!</f>
        <v>#REF!</v>
      </c>
      <c r="P81" s="235" t="e">
        <f>#REF!</f>
        <v>#REF!</v>
      </c>
      <c r="Q81" s="202" t="e">
        <f>#REF!</f>
        <v>#REF!</v>
      </c>
      <c r="R81" s="286" t="e">
        <f>#REF!</f>
        <v>#REF!</v>
      </c>
      <c r="S81" s="185" t="e">
        <f>#REF!</f>
        <v>#REF!</v>
      </c>
      <c r="T81" s="186" t="e">
        <f>#REF!</f>
        <v>#REF!</v>
      </c>
      <c r="U81" s="186" t="e">
        <f>#REF!</f>
        <v>#REF!</v>
      </c>
      <c r="V81" s="186" t="e">
        <f>#REF!</f>
        <v>#REF!</v>
      </c>
      <c r="W81" s="186" t="e">
        <f>#REF!</f>
        <v>#REF!</v>
      </c>
      <c r="X81" s="186" t="e">
        <f>#REF!</f>
        <v>#REF!</v>
      </c>
      <c r="Y81" s="186" t="e">
        <f>#REF!</f>
        <v>#REF!</v>
      </c>
      <c r="Z81" s="186" t="e">
        <f>#REF!</f>
        <v>#REF!</v>
      </c>
      <c r="AA81" s="186" t="e">
        <f>#REF!</f>
        <v>#REF!</v>
      </c>
      <c r="AB81" s="5" t="e">
        <f>#REF!</f>
        <v>#REF!</v>
      </c>
      <c r="AC81" s="186" t="e">
        <f>#REF!</f>
        <v>#REF!</v>
      </c>
      <c r="AD81" s="187" t="e">
        <f>#REF!</f>
        <v>#REF!</v>
      </c>
      <c r="AE81" s="251" t="e">
        <f>#REF!</f>
        <v>#REF!</v>
      </c>
      <c r="AF81" s="186" t="e">
        <f>#REF!</f>
        <v>#REF!</v>
      </c>
      <c r="AG81" s="186" t="e">
        <f>#REF!</f>
        <v>#REF!</v>
      </c>
      <c r="AH81" s="186" t="e">
        <f>#REF!</f>
        <v>#REF!</v>
      </c>
      <c r="AI81" s="186" t="e">
        <f>#REF!</f>
        <v>#REF!</v>
      </c>
      <c r="AJ81" s="186" t="e">
        <f>#REF!</f>
        <v>#REF!</v>
      </c>
      <c r="AK81" s="186" t="e">
        <f>#REF!</f>
        <v>#REF!</v>
      </c>
      <c r="AL81" s="186" t="e">
        <f>#REF!</f>
        <v>#REF!</v>
      </c>
      <c r="AM81" s="186" t="e">
        <f>#REF!</f>
        <v>#REF!</v>
      </c>
      <c r="AN81" s="186" t="e">
        <f>#REF!</f>
        <v>#REF!</v>
      </c>
      <c r="AO81" s="186" t="e">
        <f>#REF!</f>
        <v>#REF!</v>
      </c>
      <c r="AP81" s="187" t="e">
        <f>#REF!</f>
        <v>#REF!</v>
      </c>
      <c r="AQ81" s="185" t="e">
        <f>#REF!</f>
        <v>#REF!</v>
      </c>
      <c r="AR81" s="186" t="e">
        <f>#REF!</f>
        <v>#REF!</v>
      </c>
      <c r="AS81" s="186" t="e">
        <f>#REF!</f>
        <v>#REF!</v>
      </c>
      <c r="AT81" s="186" t="e">
        <f>#REF!</f>
        <v>#REF!</v>
      </c>
      <c r="AU81" s="186" t="e">
        <f>#REF!</f>
        <v>#REF!</v>
      </c>
      <c r="AV81" s="186" t="e">
        <f>#REF!</f>
        <v>#REF!</v>
      </c>
      <c r="AW81" s="186" t="e">
        <f>#REF!</f>
        <v>#REF!</v>
      </c>
      <c r="AX81" s="186" t="e">
        <f>#REF!</f>
        <v>#REF!</v>
      </c>
      <c r="AY81" s="186" t="e">
        <f>#REF!</f>
        <v>#REF!</v>
      </c>
      <c r="AZ81" s="186" t="e">
        <f>#REF!</f>
        <v>#REF!</v>
      </c>
      <c r="BA81" s="186" t="e">
        <f>#REF!</f>
        <v>#REF!</v>
      </c>
      <c r="BB81" s="187" t="e">
        <f>#REF!</f>
        <v>#REF!</v>
      </c>
      <c r="BC81" s="185" t="e">
        <f>#REF!</f>
        <v>#REF!</v>
      </c>
      <c r="BD81" s="186" t="e">
        <f>#REF!</f>
        <v>#REF!</v>
      </c>
      <c r="BE81" s="186" t="e">
        <f>#REF!</f>
        <v>#REF!</v>
      </c>
      <c r="BF81" s="186" t="e">
        <f>#REF!</f>
        <v>#REF!</v>
      </c>
      <c r="BG81" s="186" t="e">
        <f>#REF!</f>
        <v>#REF!</v>
      </c>
      <c r="BH81" s="186" t="e">
        <f>#REF!</f>
        <v>#REF!</v>
      </c>
      <c r="BI81" s="186" t="e">
        <f>#REF!</f>
        <v>#REF!</v>
      </c>
      <c r="BJ81" s="186" t="e">
        <f>#REF!</f>
        <v>#REF!</v>
      </c>
      <c r="BK81" s="186" t="e">
        <f>#REF!</f>
        <v>#REF!</v>
      </c>
      <c r="BL81" s="186" t="e">
        <f>#REF!</f>
        <v>#REF!</v>
      </c>
      <c r="BM81" s="186" t="e">
        <f>#REF!</f>
        <v>#REF!</v>
      </c>
      <c r="BN81" s="187" t="e">
        <f>#REF!</f>
        <v>#REF!</v>
      </c>
      <c r="BO81" s="185" t="e">
        <f>#REF!</f>
        <v>#REF!</v>
      </c>
      <c r="BP81" s="186" t="e">
        <f>#REF!</f>
        <v>#REF!</v>
      </c>
      <c r="BQ81" s="186" t="e">
        <f>#REF!</f>
        <v>#REF!</v>
      </c>
      <c r="BR81" s="186" t="e">
        <f>#REF!</f>
        <v>#REF!</v>
      </c>
      <c r="BS81" s="186" t="e">
        <f>#REF!</f>
        <v>#REF!</v>
      </c>
      <c r="BT81" s="187" t="e">
        <f>#REF!</f>
        <v>#REF!</v>
      </c>
    </row>
    <row r="82" spans="1:72" s="15" customFormat="1" ht="33" customHeight="1" thickBot="1">
      <c r="A82" s="100" t="s">
        <v>1121</v>
      </c>
      <c r="B82" s="589" t="s">
        <v>1122</v>
      </c>
      <c r="C82" s="217" t="s">
        <v>667</v>
      </c>
      <c r="D82" s="100" t="e">
        <f>IF(AND(#REF!="x",#REF!="N/A"),"x","N/A")</f>
        <v>#REF!</v>
      </c>
      <c r="E82" s="100" t="e">
        <f>#REF!</f>
        <v>#REF!</v>
      </c>
      <c r="F82" s="47" t="e">
        <f>#REF!</f>
        <v>#REF!</v>
      </c>
      <c r="G82" s="212" t="e">
        <f>#REF!</f>
        <v>#REF!</v>
      </c>
      <c r="H82" s="213" t="e">
        <f>#REF!</f>
        <v>#REF!</v>
      </c>
      <c r="I82" s="200" t="e">
        <f>#REF!</f>
        <v>#REF!</v>
      </c>
      <c r="J82" s="198" t="e">
        <f>#REF!</f>
        <v>#REF!</v>
      </c>
      <c r="K82" s="220" t="s">
        <v>1114</v>
      </c>
      <c r="L82" s="214" t="e">
        <f>#REF!</f>
        <v>#REF!</v>
      </c>
      <c r="M82" s="214" t="e">
        <f>#REF!</f>
        <v>#REF!</v>
      </c>
      <c r="N82" s="214" t="e">
        <f>#REF!</f>
        <v>#REF!</v>
      </c>
      <c r="O82" s="214" t="e">
        <f>#REF!</f>
        <v>#REF!</v>
      </c>
      <c r="P82" s="262" t="e">
        <f>#REF!</f>
        <v>#REF!</v>
      </c>
      <c r="Q82" s="271" t="e">
        <f>#REF!</f>
        <v>#REF!</v>
      </c>
      <c r="R82" s="287" t="e">
        <f>#REF!</f>
        <v>#REF!</v>
      </c>
      <c r="S82" s="263" t="e">
        <f>#REF!</f>
        <v>#REF!</v>
      </c>
      <c r="T82" s="7" t="e">
        <f>#REF!</f>
        <v>#REF!</v>
      </c>
      <c r="U82" s="7" t="e">
        <f>#REF!</f>
        <v>#REF!</v>
      </c>
      <c r="V82" s="7" t="e">
        <f>#REF!</f>
        <v>#REF!</v>
      </c>
      <c r="W82" s="7" t="e">
        <f>#REF!</f>
        <v>#REF!</v>
      </c>
      <c r="X82" s="7" t="e">
        <f>#REF!</f>
        <v>#REF!</v>
      </c>
      <c r="Y82" s="7" t="e">
        <f>#REF!</f>
        <v>#REF!</v>
      </c>
      <c r="Z82" s="7" t="e">
        <f>#REF!</f>
        <v>#REF!</v>
      </c>
      <c r="AA82" s="7" t="e">
        <f>#REF!</f>
        <v>#REF!</v>
      </c>
      <c r="AB82" s="7">
        <v>5</v>
      </c>
      <c r="AC82" s="7" t="e">
        <f>#REF!</f>
        <v>#REF!</v>
      </c>
      <c r="AD82" s="215" t="e">
        <f>#REF!</f>
        <v>#REF!</v>
      </c>
      <c r="AE82" s="263" t="e">
        <f>#REF!</f>
        <v>#REF!</v>
      </c>
      <c r="AF82" s="7" t="e">
        <f>#REF!</f>
        <v>#REF!</v>
      </c>
      <c r="AG82" s="7" t="e">
        <f>#REF!</f>
        <v>#REF!</v>
      </c>
      <c r="AH82" s="7" t="e">
        <f>#REF!</f>
        <v>#REF!</v>
      </c>
      <c r="AI82" s="7" t="e">
        <f>#REF!</f>
        <v>#REF!</v>
      </c>
      <c r="AJ82" s="7" t="e">
        <f>#REF!</f>
        <v>#REF!</v>
      </c>
      <c r="AK82" s="7" t="e">
        <f>#REF!</f>
        <v>#REF!</v>
      </c>
      <c r="AL82" s="7" t="e">
        <f>#REF!</f>
        <v>#REF!</v>
      </c>
      <c r="AM82" s="7" t="e">
        <f>#REF!</f>
        <v>#REF!</v>
      </c>
      <c r="AN82" s="7" t="e">
        <f>#REF!</f>
        <v>#REF!</v>
      </c>
      <c r="AO82" s="7" t="e">
        <f>#REF!</f>
        <v>#REF!</v>
      </c>
      <c r="AP82" s="215" t="e">
        <f>#REF!</f>
        <v>#REF!</v>
      </c>
      <c r="AQ82" s="263" t="e">
        <f>#REF!</f>
        <v>#REF!</v>
      </c>
      <c r="AR82" s="7" t="e">
        <f>#REF!</f>
        <v>#REF!</v>
      </c>
      <c r="AS82" s="7" t="e">
        <f>#REF!</f>
        <v>#REF!</v>
      </c>
      <c r="AT82" s="7" t="e">
        <f>#REF!</f>
        <v>#REF!</v>
      </c>
      <c r="AU82" s="7" t="e">
        <f>#REF!</f>
        <v>#REF!</v>
      </c>
      <c r="AV82" s="7" t="e">
        <f>#REF!</f>
        <v>#REF!</v>
      </c>
      <c r="AW82" s="7" t="e">
        <f>#REF!</f>
        <v>#REF!</v>
      </c>
      <c r="AX82" s="7" t="e">
        <f>#REF!</f>
        <v>#REF!</v>
      </c>
      <c r="AY82" s="7" t="e">
        <f>#REF!</f>
        <v>#REF!</v>
      </c>
      <c r="AZ82" s="7" t="e">
        <f>#REF!</f>
        <v>#REF!</v>
      </c>
      <c r="BA82" s="7" t="e">
        <f>#REF!</f>
        <v>#REF!</v>
      </c>
      <c r="BB82" s="215" t="e">
        <f>#REF!</f>
        <v>#REF!</v>
      </c>
      <c r="BC82" s="263" t="e">
        <f>#REF!</f>
        <v>#REF!</v>
      </c>
      <c r="BD82" s="7" t="e">
        <f>#REF!</f>
        <v>#REF!</v>
      </c>
      <c r="BE82" s="7" t="e">
        <f>#REF!</f>
        <v>#REF!</v>
      </c>
      <c r="BF82" s="7" t="e">
        <f>#REF!</f>
        <v>#REF!</v>
      </c>
      <c r="BG82" s="7" t="e">
        <f>#REF!</f>
        <v>#REF!</v>
      </c>
      <c r="BH82" s="7" t="e">
        <f>#REF!</f>
        <v>#REF!</v>
      </c>
      <c r="BI82" s="7" t="e">
        <f>#REF!</f>
        <v>#REF!</v>
      </c>
      <c r="BJ82" s="7" t="e">
        <f>#REF!</f>
        <v>#REF!</v>
      </c>
      <c r="BK82" s="7" t="e">
        <f>#REF!</f>
        <v>#REF!</v>
      </c>
      <c r="BL82" s="7" t="e">
        <f>#REF!</f>
        <v>#REF!</v>
      </c>
      <c r="BM82" s="7" t="e">
        <f>#REF!</f>
        <v>#REF!</v>
      </c>
      <c r="BN82" s="215" t="e">
        <f>#REF!</f>
        <v>#REF!</v>
      </c>
      <c r="BO82" s="263" t="e">
        <f>#REF!</f>
        <v>#REF!</v>
      </c>
      <c r="BP82" s="7" t="e">
        <f>#REF!</f>
        <v>#REF!</v>
      </c>
      <c r="BQ82" s="7" t="e">
        <f>#REF!</f>
        <v>#REF!</v>
      </c>
      <c r="BR82" s="7" t="e">
        <f>#REF!</f>
        <v>#REF!</v>
      </c>
      <c r="BS82" s="7" t="e">
        <f>#REF!</f>
        <v>#REF!</v>
      </c>
      <c r="BT82" s="215" t="e">
        <f>#REF!</f>
        <v>#REF!</v>
      </c>
    </row>
    <row r="83" spans="1:72" ht="20.100000000000001" hidden="1" customHeight="1" thickBot="1">
      <c r="A83" s="229" t="s">
        <v>1123</v>
      </c>
      <c r="B83" s="590"/>
      <c r="C83" s="249" t="s">
        <v>670</v>
      </c>
      <c r="D83" s="229" t="e">
        <f>IF(AND(#REF!="x",#REF!="N/A"),"x","N/A")</f>
        <v>#REF!</v>
      </c>
      <c r="E83" s="229" t="e">
        <f>#REF!</f>
        <v>#REF!</v>
      </c>
      <c r="F83" s="208" t="e">
        <f>#REF!</f>
        <v>#REF!</v>
      </c>
      <c r="G83" s="258" t="e">
        <f>#REF!</f>
        <v>#REF!</v>
      </c>
      <c r="H83" s="259" t="e">
        <f>#REF!</f>
        <v>#REF!</v>
      </c>
      <c r="I83" s="200" t="e">
        <f>#REF!</f>
        <v>#REF!</v>
      </c>
      <c r="J83" s="198" t="e">
        <f>#REF!</f>
        <v>#REF!</v>
      </c>
      <c r="K83" s="208" t="e">
        <f>#REF!</f>
        <v>#REF!</v>
      </c>
      <c r="L83" s="258" t="e">
        <f>#REF!</f>
        <v>#REF!</v>
      </c>
      <c r="M83" s="258" t="e">
        <f>#REF!</f>
        <v>#REF!</v>
      </c>
      <c r="N83" s="260" t="e">
        <f>#REF!</f>
        <v>#REF!</v>
      </c>
      <c r="O83" s="260" t="e">
        <f>#REF!</f>
        <v>#REF!</v>
      </c>
      <c r="P83" s="261" t="e">
        <f>#REF!</f>
        <v>#REF!</v>
      </c>
      <c r="Q83" s="209" t="e">
        <f>#REF!</f>
        <v>#REF!</v>
      </c>
      <c r="R83" s="288" t="e">
        <f>#REF!</f>
        <v>#REF!</v>
      </c>
      <c r="S83" s="194" t="e">
        <f>#REF!</f>
        <v>#REF!</v>
      </c>
      <c r="T83" s="195" t="e">
        <f>#REF!</f>
        <v>#REF!</v>
      </c>
      <c r="U83" s="195" t="e">
        <f>#REF!</f>
        <v>#REF!</v>
      </c>
      <c r="V83" s="195" t="e">
        <f>#REF!</f>
        <v>#REF!</v>
      </c>
      <c r="W83" s="195" t="e">
        <f>#REF!</f>
        <v>#REF!</v>
      </c>
      <c r="X83" s="195" t="e">
        <f>#REF!</f>
        <v>#REF!</v>
      </c>
      <c r="Y83" s="195" t="e">
        <f>#REF!</f>
        <v>#REF!</v>
      </c>
      <c r="Z83" s="195" t="e">
        <f>#REF!</f>
        <v>#REF!</v>
      </c>
      <c r="AA83" s="195" t="e">
        <f>#REF!</f>
        <v>#REF!</v>
      </c>
      <c r="AB83" s="195" t="e">
        <f>#REF!</f>
        <v>#REF!</v>
      </c>
      <c r="AC83" s="195" t="e">
        <f>#REF!</f>
        <v>#REF!</v>
      </c>
      <c r="AD83" s="196" t="e">
        <f>#REF!</f>
        <v>#REF!</v>
      </c>
      <c r="AE83" s="194" t="e">
        <f>#REF!</f>
        <v>#REF!</v>
      </c>
      <c r="AF83" s="195" t="e">
        <f>#REF!</f>
        <v>#REF!</v>
      </c>
      <c r="AG83" s="195" t="e">
        <f>#REF!</f>
        <v>#REF!</v>
      </c>
      <c r="AH83" s="195" t="e">
        <f>#REF!</f>
        <v>#REF!</v>
      </c>
      <c r="AI83" s="195" t="e">
        <f>#REF!</f>
        <v>#REF!</v>
      </c>
      <c r="AJ83" s="195" t="e">
        <f>#REF!</f>
        <v>#REF!</v>
      </c>
      <c r="AK83" s="195" t="e">
        <f>#REF!</f>
        <v>#REF!</v>
      </c>
      <c r="AL83" s="195" t="e">
        <f>#REF!</f>
        <v>#REF!</v>
      </c>
      <c r="AM83" s="195" t="e">
        <f>#REF!</f>
        <v>#REF!</v>
      </c>
      <c r="AN83" s="195" t="e">
        <f>#REF!</f>
        <v>#REF!</v>
      </c>
      <c r="AO83" s="195" t="e">
        <f>#REF!</f>
        <v>#REF!</v>
      </c>
      <c r="AP83" s="196" t="e">
        <f>#REF!</f>
        <v>#REF!</v>
      </c>
      <c r="AQ83" s="194" t="e">
        <f>#REF!</f>
        <v>#REF!</v>
      </c>
      <c r="AR83" s="195" t="e">
        <f>#REF!</f>
        <v>#REF!</v>
      </c>
      <c r="AS83" s="195" t="e">
        <f>#REF!</f>
        <v>#REF!</v>
      </c>
      <c r="AT83" s="195" t="e">
        <f>#REF!</f>
        <v>#REF!</v>
      </c>
      <c r="AU83" s="195" t="e">
        <f>#REF!</f>
        <v>#REF!</v>
      </c>
      <c r="AV83" s="195" t="e">
        <f>#REF!</f>
        <v>#REF!</v>
      </c>
      <c r="AW83" s="195" t="e">
        <f>#REF!</f>
        <v>#REF!</v>
      </c>
      <c r="AX83" s="195" t="e">
        <f>#REF!</f>
        <v>#REF!</v>
      </c>
      <c r="AY83" s="195" t="e">
        <f>#REF!</f>
        <v>#REF!</v>
      </c>
      <c r="AZ83" s="195" t="e">
        <f>#REF!</f>
        <v>#REF!</v>
      </c>
      <c r="BA83" s="195" t="e">
        <f>#REF!</f>
        <v>#REF!</v>
      </c>
      <c r="BB83" s="196" t="e">
        <f>#REF!</f>
        <v>#REF!</v>
      </c>
      <c r="BC83" s="194" t="e">
        <f>#REF!</f>
        <v>#REF!</v>
      </c>
      <c r="BD83" s="195" t="e">
        <f>#REF!</f>
        <v>#REF!</v>
      </c>
      <c r="BE83" s="195" t="e">
        <f>#REF!</f>
        <v>#REF!</v>
      </c>
      <c r="BF83" s="195" t="e">
        <f>#REF!</f>
        <v>#REF!</v>
      </c>
      <c r="BG83" s="195" t="e">
        <f>#REF!</f>
        <v>#REF!</v>
      </c>
      <c r="BH83" s="195" t="e">
        <f>#REF!</f>
        <v>#REF!</v>
      </c>
      <c r="BI83" s="195" t="e">
        <f>#REF!</f>
        <v>#REF!</v>
      </c>
      <c r="BJ83" s="195" t="e">
        <f>#REF!</f>
        <v>#REF!</v>
      </c>
      <c r="BK83" s="195" t="e">
        <f>#REF!</f>
        <v>#REF!</v>
      </c>
      <c r="BL83" s="195" t="e">
        <f>#REF!</f>
        <v>#REF!</v>
      </c>
      <c r="BM83" s="195" t="e">
        <f>#REF!</f>
        <v>#REF!</v>
      </c>
      <c r="BN83" s="196" t="e">
        <f>#REF!</f>
        <v>#REF!</v>
      </c>
      <c r="BO83" s="194" t="e">
        <f>#REF!</f>
        <v>#REF!</v>
      </c>
      <c r="BP83" s="195" t="e">
        <f>#REF!</f>
        <v>#REF!</v>
      </c>
      <c r="BQ83" s="195" t="e">
        <f>#REF!</f>
        <v>#REF!</v>
      </c>
      <c r="BR83" s="195" t="e">
        <f>#REF!</f>
        <v>#REF!</v>
      </c>
      <c r="BS83" s="195" t="e">
        <f>#REF!</f>
        <v>#REF!</v>
      </c>
      <c r="BT83" s="196" t="e">
        <f>#REF!</f>
        <v>#REF!</v>
      </c>
    </row>
    <row r="84" spans="1:72">
      <c r="A84" s="48"/>
      <c r="B84" s="419"/>
      <c r="C84" s="50"/>
      <c r="D84" s="50"/>
      <c r="E84" s="50"/>
      <c r="F84" s="48"/>
      <c r="G84" s="48"/>
      <c r="H84" s="48"/>
      <c r="I84" s="50"/>
      <c r="J84" s="50"/>
      <c r="K84" s="48"/>
    </row>
    <row r="85" spans="1:72" ht="15.75">
      <c r="A85" s="51"/>
      <c r="B85" s="52"/>
      <c r="C85" s="53"/>
      <c r="D85" s="53"/>
      <c r="E85" s="53"/>
      <c r="F85" s="51"/>
    </row>
    <row r="86" spans="1:72" ht="15.75">
      <c r="A86" s="51"/>
      <c r="B86" s="106"/>
      <c r="C86" s="53"/>
      <c r="D86" s="53"/>
      <c r="E86" s="53"/>
      <c r="F86" s="51"/>
    </row>
    <row r="87" spans="1:72">
      <c r="A87" s="55" t="s">
        <v>1124</v>
      </c>
      <c r="B87" s="304" t="s">
        <v>1125</v>
      </c>
      <c r="C87" s="305"/>
      <c r="D87" s="305"/>
      <c r="E87" s="305"/>
      <c r="F87" s="307"/>
    </row>
    <row r="88" spans="1:72">
      <c r="A88" s="56">
        <v>0</v>
      </c>
      <c r="B88" s="306" t="s">
        <v>1126</v>
      </c>
      <c r="C88" s="309"/>
      <c r="D88" s="309"/>
      <c r="E88" s="309"/>
      <c r="F88" s="308"/>
    </row>
    <row r="89" spans="1:72">
      <c r="A89" s="62">
        <v>1</v>
      </c>
      <c r="B89" s="306" t="s">
        <v>1127</v>
      </c>
      <c r="C89" s="309"/>
      <c r="D89" s="309"/>
      <c r="E89" s="310"/>
      <c r="F89" s="308"/>
    </row>
    <row r="90" spans="1:72">
      <c r="A90" s="63">
        <v>2</v>
      </c>
      <c r="B90" s="306" t="s">
        <v>1128</v>
      </c>
      <c r="C90" s="309"/>
      <c r="D90" s="310"/>
      <c r="E90" s="310"/>
      <c r="F90" s="308"/>
    </row>
    <row r="91" spans="1:72">
      <c r="A91" s="64">
        <v>3</v>
      </c>
      <c r="B91" s="306" t="s">
        <v>1129</v>
      </c>
      <c r="C91" s="309"/>
      <c r="D91" s="310"/>
      <c r="E91" s="310"/>
      <c r="F91" s="308"/>
    </row>
    <row r="92" spans="1:72">
      <c r="A92" s="66">
        <v>4</v>
      </c>
      <c r="B92" s="306" t="s">
        <v>1130</v>
      </c>
      <c r="C92" s="309"/>
      <c r="D92" s="309"/>
      <c r="E92" s="309"/>
      <c r="F92" s="308"/>
    </row>
    <row r="93" spans="1:72">
      <c r="A93" s="65">
        <v>5</v>
      </c>
      <c r="B93" s="306" t="s">
        <v>1131</v>
      </c>
      <c r="C93" s="309"/>
      <c r="D93" s="309"/>
      <c r="E93" s="309"/>
      <c r="F93" s="308"/>
    </row>
    <row r="94" spans="1:72" ht="15.75">
      <c r="A94" s="51"/>
      <c r="B94" s="52"/>
      <c r="C94" s="53"/>
      <c r="D94" s="53"/>
      <c r="E94" s="53"/>
      <c r="F94" s="51"/>
    </row>
    <row r="95" spans="1:72" ht="15.75">
      <c r="A95" s="51"/>
      <c r="B95" s="52"/>
      <c r="C95" s="53"/>
      <c r="D95" s="53"/>
      <c r="E95" s="53"/>
      <c r="F95" s="51"/>
    </row>
    <row r="96" spans="1:72" ht="15.75">
      <c r="A96" s="51"/>
      <c r="B96" s="52"/>
      <c r="C96" s="53"/>
      <c r="D96" s="53"/>
      <c r="E96" s="53"/>
      <c r="F96" s="51"/>
    </row>
    <row r="97" spans="1:6" ht="15.75">
      <c r="A97" s="51"/>
      <c r="B97" s="52"/>
      <c r="C97" s="53"/>
      <c r="D97" s="53"/>
      <c r="E97" s="53"/>
      <c r="F97" s="51"/>
    </row>
    <row r="98" spans="1:6" ht="15.75">
      <c r="A98" s="51"/>
      <c r="B98" s="52"/>
      <c r="C98" s="53"/>
      <c r="D98" s="53"/>
      <c r="E98" s="53"/>
      <c r="F98" s="51"/>
    </row>
    <row r="99" spans="1:6" ht="15.75">
      <c r="A99" s="51"/>
      <c r="B99" s="52"/>
      <c r="C99" s="53"/>
      <c r="D99" s="53"/>
      <c r="E99" s="53"/>
      <c r="F99" s="51"/>
    </row>
    <row r="100" spans="1:6" ht="15.75">
      <c r="A100" s="51"/>
      <c r="B100" s="52"/>
      <c r="C100" s="53"/>
      <c r="D100" s="53"/>
      <c r="E100" s="53"/>
      <c r="F100" s="51"/>
    </row>
    <row r="101" spans="1:6" ht="15.75">
      <c r="A101" s="51"/>
      <c r="B101" s="52"/>
      <c r="C101" s="53"/>
      <c r="D101" s="53"/>
      <c r="E101" s="53"/>
      <c r="F101" s="51"/>
    </row>
  </sheetData>
  <sheetProtection algorithmName="SHA-512" hashValue="UpJEUZxdA93zG1Dc73tmzNYgO/mBxqqfGOyZdaqmzcpKQk7J0Tups+mE55vQbxbOWB3cK/gUpAftxutACFeNfw==" saltValue="eKq8682fMfE2fIyXRR4X3A==" spinCount="100000" sheet="1" objects="1" scenarios="1"/>
  <protectedRanges>
    <protectedRange sqref="A27:BT27" name="AllowSortFilter"/>
  </protectedRanges>
  <autoFilter ref="A27:CB83" xr:uid="{1C12FD57-1B0A-40D0-BE26-A3F063F09A50}">
    <filterColumn colId="3">
      <filters>
        <filter val="x"/>
      </filters>
    </filterColumn>
  </autoFilter>
  <mergeCells count="94">
    <mergeCell ref="T25:T27"/>
    <mergeCell ref="BH25:BH27"/>
    <mergeCell ref="AX25:AX27"/>
    <mergeCell ref="AY25:AY27"/>
    <mergeCell ref="AZ25:AZ27"/>
    <mergeCell ref="AW25:AW27"/>
    <mergeCell ref="BB25:BB27"/>
    <mergeCell ref="BC25:BC27"/>
    <mergeCell ref="BD25:BD27"/>
    <mergeCell ref="BE25:BE27"/>
    <mergeCell ref="BF25:BF27"/>
    <mergeCell ref="BG25:BG27"/>
    <mergeCell ref="W25:W27"/>
    <mergeCell ref="U25:U27"/>
    <mergeCell ref="V25:V27"/>
    <mergeCell ref="BA25:BA27"/>
    <mergeCell ref="AB25:AB27"/>
    <mergeCell ref="BP25:BP27"/>
    <mergeCell ref="AS25:AS27"/>
    <mergeCell ref="AT25:AT27"/>
    <mergeCell ref="AU25:AU27"/>
    <mergeCell ref="AV25:AV27"/>
    <mergeCell ref="AQ25:AQ27"/>
    <mergeCell ref="AH25:AH27"/>
    <mergeCell ref="AR25:AR27"/>
    <mergeCell ref="AM25:AM27"/>
    <mergeCell ref="AN25:AN27"/>
    <mergeCell ref="AO25:AO27"/>
    <mergeCell ref="AP25:AP27"/>
    <mergeCell ref="AC25:AC27"/>
    <mergeCell ref="AD25:AD27"/>
    <mergeCell ref="AE25:AE27"/>
    <mergeCell ref="A1:L1"/>
    <mergeCell ref="S3:AD3"/>
    <mergeCell ref="AE3:AP3"/>
    <mergeCell ref="X25:X27"/>
    <mergeCell ref="Y25:Y27"/>
    <mergeCell ref="Z25:Z27"/>
    <mergeCell ref="AA25:AA27"/>
    <mergeCell ref="Q10:Q15"/>
    <mergeCell ref="D25:D27"/>
    <mergeCell ref="K25:M26"/>
    <mergeCell ref="N25:P26"/>
    <mergeCell ref="Q25:Q27"/>
    <mergeCell ref="AI25:AI27"/>
    <mergeCell ref="AJ25:AJ27"/>
    <mergeCell ref="AK25:AK27"/>
    <mergeCell ref="AL25:AL27"/>
    <mergeCell ref="AF25:AF27"/>
    <mergeCell ref="AG25:AG27"/>
    <mergeCell ref="BC3:BN3"/>
    <mergeCell ref="BO3:BT3"/>
    <mergeCell ref="R25:R27"/>
    <mergeCell ref="S25:S27"/>
    <mergeCell ref="BQ25:BQ27"/>
    <mergeCell ref="BI25:BI27"/>
    <mergeCell ref="BJ25:BJ27"/>
    <mergeCell ref="BK25:BK27"/>
    <mergeCell ref="BR25:BR27"/>
    <mergeCell ref="BS25:BS27"/>
    <mergeCell ref="BT25:BT27"/>
    <mergeCell ref="BL25:BL27"/>
    <mergeCell ref="BM25:BM27"/>
    <mergeCell ref="BN25:BN27"/>
    <mergeCell ref="BO25:BO27"/>
    <mergeCell ref="AQ3:BB3"/>
    <mergeCell ref="B75:B76"/>
    <mergeCell ref="B77:B80"/>
    <mergeCell ref="B82:B83"/>
    <mergeCell ref="C25:C27"/>
    <mergeCell ref="B69:B70"/>
    <mergeCell ref="E25:E27"/>
    <mergeCell ref="B3:C3"/>
    <mergeCell ref="B4:C4"/>
    <mergeCell ref="Q16:Q23"/>
    <mergeCell ref="B5:C5"/>
    <mergeCell ref="B7:C7"/>
    <mergeCell ref="B6:C6"/>
    <mergeCell ref="I25:I26"/>
    <mergeCell ref="J25:J26"/>
    <mergeCell ref="G25:G26"/>
    <mergeCell ref="H25:H26"/>
    <mergeCell ref="F25:F26"/>
    <mergeCell ref="A25:A27"/>
    <mergeCell ref="B54:B57"/>
    <mergeCell ref="B60:B62"/>
    <mergeCell ref="B63:B65"/>
    <mergeCell ref="B67:B68"/>
    <mergeCell ref="B25:B27"/>
    <mergeCell ref="B28:B30"/>
    <mergeCell ref="B31:B33"/>
    <mergeCell ref="B48:B52"/>
    <mergeCell ref="B36:B39"/>
    <mergeCell ref="B41:B47"/>
  </mergeCells>
  <conditionalFormatting sqref="F28:P82">
    <cfRule type="cellIs" dxfId="26" priority="29" operator="equal">
      <formula>"x"</formula>
    </cfRule>
  </conditionalFormatting>
  <conditionalFormatting sqref="S28:BT83">
    <cfRule type="cellIs" dxfId="25" priority="5" operator="equal">
      <formula>"5 (5)"</formula>
    </cfRule>
    <cfRule type="cellIs" dxfId="24" priority="6" operator="equal">
      <formula>"5 (4)"</formula>
    </cfRule>
    <cfRule type="cellIs" dxfId="23" priority="7" operator="equal">
      <formula>5</formula>
    </cfRule>
    <cfRule type="cellIs" dxfId="22" priority="8" operator="equal">
      <formula>4</formula>
    </cfRule>
    <cfRule type="cellIs" dxfId="21" priority="9" operator="equal">
      <formula>3</formula>
    </cfRule>
    <cfRule type="cellIs" dxfId="20" priority="10" operator="equal">
      <formula>2</formula>
    </cfRule>
    <cfRule type="cellIs" dxfId="19" priority="34" operator="equal">
      <formula>1</formula>
    </cfRule>
  </conditionalFormatting>
  <conditionalFormatting sqref="X28:X82">
    <cfRule type="cellIs" dxfId="18" priority="27" operator="equal">
      <formula>"included"</formula>
    </cfRule>
    <cfRule type="cellIs" dxfId="17" priority="28" operator="equal">
      <formula>1</formula>
    </cfRule>
  </conditionalFormatting>
  <conditionalFormatting sqref="AA41">
    <cfRule type="cellIs" dxfId="16" priority="1" operator="equal">
      <formula>"included"</formula>
    </cfRule>
    <cfRule type="cellIs" dxfId="15" priority="2" operator="equal">
      <formula>1</formula>
    </cfRule>
  </conditionalFormatting>
  <pageMargins left="0.70866141732283472" right="0.70866141732283472" top="0.74803149606299213" bottom="0.74803149606299213" header="0.31496062992125984" footer="0.31496062992125984"/>
  <pageSetup paperSize="8" scale="37" orientation="landscape" horizontalDpi="4294967293" r:id="rId1"/>
  <ignoredErrors>
    <ignoredError sqref="S7:W7 S11:T11 BJ11:BT11 B4:C4 C3 Q78:Q80 Q83:Z83 S29:Z29 T28:W28 Q81:Q82 T10 AD10 AD11:BH11 S8:W9 AC7:BT7 AC8:BT9 Q28 Q29:R29 Q76 Y28:Z28 AF28:AH28 AF10:BT10 AF29:AH29 AF83:BT83 AD83 AD29 AB83 AB29 Q74:Q75 Q77 Q30 AJ29:BT29 AJ28:BT28" unlockedFormula="1"/>
    <ignoredError xmlns:x16r3="http://schemas.microsoft.com/office/spreadsheetml/2018/08/main" sqref="BS21:BT21 S21 S17 S16 AP16:BT16 S18 AP18:BT18 AP21:BQ21 AP17:BT17" unlockedFormula="1" x16r3:misleadingFormat="1"/>
    <ignoredError xmlns:x16r3="http://schemas.microsoft.com/office/spreadsheetml/2018/08/main" sqref="BR21" x16r3:misleadingFormat="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E7992-6213-47C4-BEE6-A1A330171E61}">
  <sheetPr codeName="Sheet11">
    <pageSetUpPr fitToPage="1"/>
  </sheetPr>
  <dimension ref="A1:BF1288"/>
  <sheetViews>
    <sheetView workbookViewId="0"/>
  </sheetViews>
  <sheetFormatPr defaultColWidth="8.42578125" defaultRowHeight="15" outlineLevelRow="1" outlineLevelCol="1"/>
  <cols>
    <col min="1" max="1" width="27.85546875" style="392" customWidth="1"/>
    <col min="2" max="2" width="19.42578125" style="367" customWidth="1"/>
    <col min="3" max="3" width="37.140625" style="367" customWidth="1"/>
    <col min="4" max="4" width="20.28515625" style="367" customWidth="1"/>
    <col min="5" max="5" width="20.7109375" style="367" customWidth="1"/>
    <col min="6" max="6" width="20.5703125" style="368" customWidth="1"/>
    <col min="7" max="7" width="16.5703125" style="367" customWidth="1"/>
    <col min="8" max="10" width="16.5703125" style="367" customWidth="1" outlineLevel="1"/>
    <col min="11" max="12" width="17.7109375" style="367" customWidth="1" outlineLevel="1"/>
    <col min="13" max="13" width="26.85546875" style="368" bestFit="1" customWidth="1"/>
    <col min="14" max="14" width="27.85546875" style="367" customWidth="1"/>
    <col min="15" max="15" width="23" style="368" customWidth="1"/>
    <col min="16" max="16" width="33" style="367" customWidth="1"/>
    <col min="17" max="17" width="35.7109375" style="367" customWidth="1"/>
    <col min="18" max="18" width="17.7109375" style="367" customWidth="1"/>
    <col min="19" max="16384" width="8.42578125" style="368"/>
  </cols>
  <sheetData>
    <row r="1" spans="1:58" s="369" customFormat="1">
      <c r="A1" s="362"/>
      <c r="B1" s="363"/>
      <c r="C1" s="363"/>
      <c r="D1" s="364"/>
      <c r="E1" s="365"/>
      <c r="F1" s="366"/>
      <c r="G1" s="365"/>
      <c r="H1" s="365"/>
      <c r="I1" s="365"/>
      <c r="J1" s="365"/>
      <c r="K1" s="365"/>
      <c r="L1" s="365"/>
      <c r="M1" s="366"/>
      <c r="N1" s="365"/>
      <c r="O1" s="366"/>
      <c r="P1" s="364"/>
      <c r="Q1" s="364"/>
      <c r="R1" s="367"/>
      <c r="S1" s="368"/>
      <c r="T1" s="368"/>
      <c r="U1" s="368"/>
      <c r="V1" s="368"/>
      <c r="W1" s="368"/>
      <c r="Y1" s="368"/>
      <c r="Z1" s="368"/>
      <c r="AA1" s="368"/>
      <c r="AB1" s="368"/>
      <c r="AC1" s="368"/>
      <c r="AD1" s="368"/>
      <c r="AE1" s="368"/>
      <c r="AF1" s="368"/>
      <c r="AG1" s="368"/>
      <c r="AH1" s="368"/>
      <c r="AI1" s="368"/>
      <c r="AJ1" s="368"/>
      <c r="AK1" s="368"/>
      <c r="AL1" s="368"/>
      <c r="AM1" s="368"/>
      <c r="AN1" s="368"/>
      <c r="AO1" s="368"/>
      <c r="AP1" s="368"/>
      <c r="AQ1" s="368"/>
      <c r="AS1" s="368"/>
      <c r="AT1" s="368"/>
      <c r="AU1" s="368"/>
      <c r="AV1" s="368"/>
      <c r="AX1" s="368"/>
      <c r="AY1" s="368"/>
      <c r="AZ1" s="368"/>
      <c r="BA1" s="368"/>
      <c r="BB1" s="368"/>
      <c r="BD1" s="368"/>
      <c r="BE1" s="368"/>
      <c r="BF1" s="368"/>
    </row>
    <row r="2" spans="1:58" hidden="1" outlineLevel="1">
      <c r="A2" s="362"/>
      <c r="B2" s="363"/>
      <c r="C2" s="363"/>
      <c r="D2" s="628" t="s">
        <v>1132</v>
      </c>
      <c r="E2" s="629"/>
      <c r="F2" s="628" t="s">
        <v>1133</v>
      </c>
      <c r="G2" s="629"/>
      <c r="H2" s="370"/>
      <c r="I2" s="370"/>
      <c r="J2" s="370"/>
      <c r="K2" s="364"/>
      <c r="L2" s="364"/>
      <c r="M2" s="371"/>
      <c r="N2" s="364"/>
      <c r="O2" s="371"/>
      <c r="P2" s="364"/>
      <c r="Q2" s="364"/>
    </row>
    <row r="3" spans="1:58" hidden="1" outlineLevel="1">
      <c r="A3" s="372" t="s">
        <v>1134</v>
      </c>
      <c r="B3" s="373" t="s">
        <v>1135</v>
      </c>
      <c r="C3" s="373" t="s">
        <v>1136</v>
      </c>
      <c r="D3" s="373" t="s">
        <v>1137</v>
      </c>
      <c r="E3" s="373" t="s">
        <v>1138</v>
      </c>
      <c r="F3" s="374" t="s">
        <v>1137</v>
      </c>
      <c r="G3" s="373" t="s">
        <v>1138</v>
      </c>
      <c r="H3" s="373"/>
      <c r="I3" s="373"/>
      <c r="J3" s="373"/>
      <c r="K3" s="375" t="s">
        <v>1139</v>
      </c>
      <c r="L3" s="375"/>
      <c r="M3" s="374" t="s">
        <v>1140</v>
      </c>
      <c r="N3" s="373" t="s">
        <v>1141</v>
      </c>
      <c r="O3" s="374" t="s">
        <v>1142</v>
      </c>
      <c r="P3" s="373" t="s">
        <v>1143</v>
      </c>
      <c r="Q3" s="373" t="s">
        <v>1144</v>
      </c>
      <c r="R3" s="373" t="s">
        <v>1145</v>
      </c>
    </row>
    <row r="4" spans="1:58" hidden="1" outlineLevel="1">
      <c r="A4" s="376" t="s">
        <v>1146</v>
      </c>
      <c r="B4" s="630"/>
      <c r="C4" s="631"/>
      <c r="D4" s="631"/>
      <c r="E4" s="631"/>
      <c r="F4" s="631"/>
      <c r="G4" s="632"/>
      <c r="H4" s="377"/>
      <c r="I4" s="377"/>
      <c r="J4" s="377"/>
      <c r="K4" s="378"/>
      <c r="L4" s="378"/>
      <c r="M4" s="379">
        <f>IFERROR(MIN(M5:M23),0)</f>
        <v>0</v>
      </c>
      <c r="N4" s="378">
        <f>N5</f>
        <v>2</v>
      </c>
      <c r="O4" s="379">
        <f>MAX(M4:N4)</f>
        <v>2</v>
      </c>
      <c r="P4" s="378" t="s">
        <v>1147</v>
      </c>
      <c r="Q4" s="380" t="s">
        <v>1148</v>
      </c>
      <c r="R4" s="378"/>
    </row>
    <row r="5" spans="1:58" hidden="1" outlineLevel="1">
      <c r="A5" s="376"/>
      <c r="B5" s="381" t="s">
        <v>1149</v>
      </c>
      <c r="C5" s="382" t="s">
        <v>1150</v>
      </c>
      <c r="D5" s="378">
        <v>99</v>
      </c>
      <c r="E5" s="383"/>
      <c r="F5" s="384">
        <v>90</v>
      </c>
      <c r="G5" s="378"/>
      <c r="H5" s="378"/>
      <c r="I5" s="378"/>
      <c r="J5" s="378"/>
      <c r="K5" s="378">
        <v>1</v>
      </c>
      <c r="L5" s="378"/>
      <c r="M5" s="379">
        <f t="shared" ref="M5:M23" si="0">IFERROR(MIN(MAX(0,IF(K5="N/A",0,IF((D5=E5),5,5-QUOTIENT(D5,E5)))), MAX(0,IF(K5="N/A",0,IF((F5=G5),5,5-QUOTIENT(F5,G5))))),0)</f>
        <v>0</v>
      </c>
      <c r="N5" s="378">
        <f>IF(K5="N/A", 1, 2)</f>
        <v>2</v>
      </c>
      <c r="O5" s="379">
        <f>MAX(M5:N5)</f>
        <v>2</v>
      </c>
      <c r="P5" s="378" t="s">
        <v>1147</v>
      </c>
      <c r="Q5" s="380" t="s">
        <v>1148</v>
      </c>
      <c r="R5" s="378"/>
    </row>
    <row r="6" spans="1:58" hidden="1" outlineLevel="1">
      <c r="A6" s="376"/>
      <c r="B6" s="633" t="s">
        <v>1151</v>
      </c>
      <c r="C6" s="382" t="s">
        <v>1152</v>
      </c>
      <c r="D6" s="378">
        <v>5</v>
      </c>
      <c r="E6" s="383"/>
      <c r="F6" s="384">
        <v>5</v>
      </c>
      <c r="G6" s="378"/>
      <c r="H6" s="378"/>
      <c r="I6" s="378"/>
      <c r="J6" s="378"/>
      <c r="K6" s="378">
        <v>1</v>
      </c>
      <c r="L6" s="378"/>
      <c r="M6" s="379">
        <f t="shared" si="0"/>
        <v>0</v>
      </c>
      <c r="N6" s="378">
        <f t="shared" ref="N6:N23" si="1">IF(K6="N/A", 1, 2)</f>
        <v>2</v>
      </c>
      <c r="O6" s="379">
        <f t="shared" ref="O6:O141" si="2">MAX(M6:N6)</f>
        <v>2</v>
      </c>
      <c r="P6" s="378" t="s">
        <v>1147</v>
      </c>
      <c r="Q6" s="380" t="s">
        <v>1148</v>
      </c>
      <c r="R6" s="378"/>
    </row>
    <row r="7" spans="1:58" hidden="1" outlineLevel="1">
      <c r="A7" s="376"/>
      <c r="B7" s="634"/>
      <c r="C7" s="382" t="s">
        <v>1153</v>
      </c>
      <c r="D7" s="378">
        <v>5</v>
      </c>
      <c r="E7" s="383"/>
      <c r="F7" s="384">
        <v>5</v>
      </c>
      <c r="G7" s="378"/>
      <c r="H7" s="378"/>
      <c r="I7" s="378"/>
      <c r="J7" s="378"/>
      <c r="K7" s="378">
        <v>1</v>
      </c>
      <c r="L7" s="378"/>
      <c r="M7" s="379">
        <f t="shared" si="0"/>
        <v>0</v>
      </c>
      <c r="N7" s="378">
        <f t="shared" si="1"/>
        <v>2</v>
      </c>
      <c r="O7" s="379">
        <f t="shared" si="2"/>
        <v>2</v>
      </c>
      <c r="P7" s="378" t="s">
        <v>1147</v>
      </c>
      <c r="Q7" s="380" t="s">
        <v>1148</v>
      </c>
      <c r="R7" s="378"/>
    </row>
    <row r="8" spans="1:58" hidden="1" outlineLevel="1">
      <c r="A8" s="376"/>
      <c r="B8" s="635"/>
      <c r="C8" s="382" t="s">
        <v>1154</v>
      </c>
      <c r="D8" s="378">
        <v>0.5</v>
      </c>
      <c r="E8" s="383"/>
      <c r="F8" s="384">
        <v>0.5</v>
      </c>
      <c r="G8" s="378"/>
      <c r="H8" s="378"/>
      <c r="I8" s="378"/>
      <c r="J8" s="378"/>
      <c r="K8" s="378">
        <v>1</v>
      </c>
      <c r="L8" s="378"/>
      <c r="M8" s="379">
        <f t="shared" si="0"/>
        <v>0</v>
      </c>
      <c r="N8" s="378">
        <f t="shared" si="1"/>
        <v>2</v>
      </c>
      <c r="O8" s="379">
        <f t="shared" si="2"/>
        <v>2</v>
      </c>
      <c r="P8" s="378" t="s">
        <v>1147</v>
      </c>
      <c r="Q8" s="380" t="s">
        <v>1148</v>
      </c>
      <c r="R8" s="378"/>
    </row>
    <row r="9" spans="1:58" hidden="1" outlineLevel="1">
      <c r="A9" s="376"/>
      <c r="B9" s="633" t="s">
        <v>1155</v>
      </c>
      <c r="C9" s="382" t="s">
        <v>1152</v>
      </c>
      <c r="D9" s="378">
        <v>10</v>
      </c>
      <c r="E9" s="383"/>
      <c r="F9" s="384">
        <v>15</v>
      </c>
      <c r="G9" s="378"/>
      <c r="H9" s="378"/>
      <c r="I9" s="378"/>
      <c r="J9" s="378"/>
      <c r="K9" s="378">
        <v>1</v>
      </c>
      <c r="L9" s="378"/>
      <c r="M9" s="379">
        <f t="shared" si="0"/>
        <v>0</v>
      </c>
      <c r="N9" s="378">
        <f t="shared" si="1"/>
        <v>2</v>
      </c>
      <c r="O9" s="379">
        <f t="shared" si="2"/>
        <v>2</v>
      </c>
      <c r="P9" s="378" t="s">
        <v>1147</v>
      </c>
      <c r="Q9" s="380" t="s">
        <v>1148</v>
      </c>
      <c r="R9" s="378"/>
    </row>
    <row r="10" spans="1:58" hidden="1" outlineLevel="1">
      <c r="A10" s="376"/>
      <c r="B10" s="634"/>
      <c r="C10" s="382" t="s">
        <v>1153</v>
      </c>
      <c r="D10" s="378">
        <v>10</v>
      </c>
      <c r="E10" s="383"/>
      <c r="F10" s="384">
        <v>15</v>
      </c>
      <c r="G10" s="378"/>
      <c r="H10" s="378"/>
      <c r="I10" s="378"/>
      <c r="J10" s="378"/>
      <c r="K10" s="378">
        <v>1</v>
      </c>
      <c r="L10" s="378"/>
      <c r="M10" s="379">
        <f t="shared" si="0"/>
        <v>0</v>
      </c>
      <c r="N10" s="378">
        <f t="shared" si="1"/>
        <v>2</v>
      </c>
      <c r="O10" s="379">
        <f t="shared" si="2"/>
        <v>2</v>
      </c>
      <c r="P10" s="378" t="s">
        <v>1147</v>
      </c>
      <c r="Q10" s="380" t="s">
        <v>1148</v>
      </c>
      <c r="R10" s="378"/>
    </row>
    <row r="11" spans="1:58" hidden="1" outlineLevel="1">
      <c r="A11" s="376"/>
      <c r="B11" s="635"/>
      <c r="C11" s="382" t="s">
        <v>1154</v>
      </c>
      <c r="D11" s="378">
        <v>0.5</v>
      </c>
      <c r="E11" s="383"/>
      <c r="F11" s="384">
        <v>0.5</v>
      </c>
      <c r="G11" s="378"/>
      <c r="H11" s="378"/>
      <c r="I11" s="378"/>
      <c r="J11" s="378"/>
      <c r="K11" s="378">
        <v>1</v>
      </c>
      <c r="L11" s="378"/>
      <c r="M11" s="379">
        <f t="shared" si="0"/>
        <v>0</v>
      </c>
      <c r="N11" s="378">
        <f t="shared" si="1"/>
        <v>2</v>
      </c>
      <c r="O11" s="379">
        <f t="shared" si="2"/>
        <v>2</v>
      </c>
      <c r="P11" s="378" t="s">
        <v>1147</v>
      </c>
      <c r="Q11" s="380" t="s">
        <v>1148</v>
      </c>
      <c r="R11" s="378"/>
    </row>
    <row r="12" spans="1:58" hidden="1" outlineLevel="1">
      <c r="A12" s="376"/>
      <c r="B12" s="633" t="s">
        <v>1156</v>
      </c>
      <c r="C12" s="382" t="s">
        <v>1152</v>
      </c>
      <c r="D12" s="378">
        <v>25</v>
      </c>
      <c r="E12" s="383"/>
      <c r="F12" s="384">
        <v>40</v>
      </c>
      <c r="G12" s="378"/>
      <c r="H12" s="378"/>
      <c r="I12" s="378"/>
      <c r="J12" s="378"/>
      <c r="K12" s="378">
        <v>1</v>
      </c>
      <c r="L12" s="378"/>
      <c r="M12" s="379">
        <f t="shared" si="0"/>
        <v>0</v>
      </c>
      <c r="N12" s="378">
        <f t="shared" si="1"/>
        <v>2</v>
      </c>
      <c r="O12" s="379">
        <f t="shared" si="2"/>
        <v>2</v>
      </c>
      <c r="P12" s="378" t="s">
        <v>1147</v>
      </c>
      <c r="Q12" s="380" t="s">
        <v>1148</v>
      </c>
      <c r="R12" s="378"/>
    </row>
    <row r="13" spans="1:58" hidden="1" outlineLevel="1">
      <c r="A13" s="376"/>
      <c r="B13" s="634"/>
      <c r="C13" s="382" t="s">
        <v>1153</v>
      </c>
      <c r="D13" s="378">
        <v>25</v>
      </c>
      <c r="E13" s="383"/>
      <c r="F13" s="384">
        <v>40</v>
      </c>
      <c r="G13" s="378"/>
      <c r="H13" s="378"/>
      <c r="I13" s="378"/>
      <c r="J13" s="378"/>
      <c r="K13" s="378">
        <v>1</v>
      </c>
      <c r="L13" s="378"/>
      <c r="M13" s="379">
        <f t="shared" si="0"/>
        <v>0</v>
      </c>
      <c r="N13" s="378">
        <f t="shared" si="1"/>
        <v>2</v>
      </c>
      <c r="O13" s="379">
        <f t="shared" si="2"/>
        <v>2</v>
      </c>
      <c r="P13" s="378" t="s">
        <v>1147</v>
      </c>
      <c r="Q13" s="380" t="s">
        <v>1148</v>
      </c>
      <c r="R13" s="378"/>
    </row>
    <row r="14" spans="1:58" hidden="1" outlineLevel="1">
      <c r="A14" s="376"/>
      <c r="B14" s="635"/>
      <c r="C14" s="382" t="s">
        <v>1154</v>
      </c>
      <c r="D14" s="378">
        <v>0.5</v>
      </c>
      <c r="E14" s="383"/>
      <c r="F14" s="384">
        <v>0.5</v>
      </c>
      <c r="G14" s="378"/>
      <c r="H14" s="378"/>
      <c r="I14" s="378"/>
      <c r="J14" s="378"/>
      <c r="K14" s="378">
        <v>1</v>
      </c>
      <c r="L14" s="378"/>
      <c r="M14" s="379">
        <f t="shared" si="0"/>
        <v>0</v>
      </c>
      <c r="N14" s="378">
        <f t="shared" si="1"/>
        <v>2</v>
      </c>
      <c r="O14" s="379">
        <f t="shared" si="2"/>
        <v>2</v>
      </c>
      <c r="P14" s="378" t="s">
        <v>1147</v>
      </c>
      <c r="Q14" s="380" t="s">
        <v>1148</v>
      </c>
      <c r="R14" s="378"/>
    </row>
    <row r="15" spans="1:58" hidden="1" outlineLevel="1">
      <c r="A15" s="376"/>
      <c r="B15" s="633" t="s">
        <v>1157</v>
      </c>
      <c r="C15" s="382" t="s">
        <v>1158</v>
      </c>
      <c r="D15" s="378">
        <v>5</v>
      </c>
      <c r="E15" s="383"/>
      <c r="F15" s="384">
        <v>10</v>
      </c>
      <c r="G15" s="378"/>
      <c r="H15" s="378"/>
      <c r="I15" s="378"/>
      <c r="J15" s="378"/>
      <c r="K15" s="378">
        <v>1</v>
      </c>
      <c r="L15" s="378"/>
      <c r="M15" s="379">
        <f t="shared" si="0"/>
        <v>0</v>
      </c>
      <c r="N15" s="378">
        <f t="shared" si="1"/>
        <v>2</v>
      </c>
      <c r="O15" s="379">
        <f t="shared" si="2"/>
        <v>2</v>
      </c>
      <c r="P15" s="378" t="s">
        <v>1147</v>
      </c>
      <c r="Q15" s="380" t="s">
        <v>1148</v>
      </c>
      <c r="R15" s="378"/>
    </row>
    <row r="16" spans="1:58" hidden="1" outlineLevel="1">
      <c r="A16" s="376"/>
      <c r="B16" s="634"/>
      <c r="C16" s="382" t="s">
        <v>1159</v>
      </c>
      <c r="D16" s="378">
        <v>5</v>
      </c>
      <c r="E16" s="383"/>
      <c r="F16" s="384">
        <v>10</v>
      </c>
      <c r="G16" s="378"/>
      <c r="H16" s="378"/>
      <c r="I16" s="378"/>
      <c r="J16" s="378"/>
      <c r="K16" s="378">
        <v>1</v>
      </c>
      <c r="L16" s="378"/>
      <c r="M16" s="379">
        <f t="shared" si="0"/>
        <v>0</v>
      </c>
      <c r="N16" s="378">
        <f t="shared" si="1"/>
        <v>2</v>
      </c>
      <c r="O16" s="379">
        <f t="shared" si="2"/>
        <v>2</v>
      </c>
      <c r="P16" s="378" t="s">
        <v>1147</v>
      </c>
      <c r="Q16" s="380" t="s">
        <v>1148</v>
      </c>
      <c r="R16" s="378"/>
    </row>
    <row r="17" spans="1:18" hidden="1" outlineLevel="1">
      <c r="A17" s="376"/>
      <c r="B17" s="635"/>
      <c r="C17" s="382" t="s">
        <v>1160</v>
      </c>
      <c r="D17" s="378">
        <v>0.5</v>
      </c>
      <c r="E17" s="383"/>
      <c r="F17" s="384">
        <v>0.5</v>
      </c>
      <c r="G17" s="378"/>
      <c r="H17" s="378"/>
      <c r="I17" s="378"/>
      <c r="J17" s="378"/>
      <c r="K17" s="378">
        <v>1</v>
      </c>
      <c r="L17" s="378"/>
      <c r="M17" s="379">
        <f t="shared" si="0"/>
        <v>0</v>
      </c>
      <c r="N17" s="378">
        <f t="shared" si="1"/>
        <v>2</v>
      </c>
      <c r="O17" s="379">
        <f t="shared" si="2"/>
        <v>2</v>
      </c>
      <c r="P17" s="378" t="s">
        <v>1147</v>
      </c>
      <c r="Q17" s="380" t="s">
        <v>1148</v>
      </c>
      <c r="R17" s="378"/>
    </row>
    <row r="18" spans="1:18" hidden="1" outlineLevel="1">
      <c r="A18" s="376"/>
      <c r="B18" s="633" t="s">
        <v>1161</v>
      </c>
      <c r="C18" s="382" t="s">
        <v>1158</v>
      </c>
      <c r="D18" s="378">
        <v>5</v>
      </c>
      <c r="E18" s="383"/>
      <c r="F18" s="384">
        <v>10</v>
      </c>
      <c r="G18" s="378"/>
      <c r="H18" s="378"/>
      <c r="I18" s="378"/>
      <c r="J18" s="378"/>
      <c r="K18" s="378">
        <v>1</v>
      </c>
      <c r="L18" s="378"/>
      <c r="M18" s="379">
        <f t="shared" si="0"/>
        <v>0</v>
      </c>
      <c r="N18" s="378">
        <f t="shared" si="1"/>
        <v>2</v>
      </c>
      <c r="O18" s="379">
        <f t="shared" si="2"/>
        <v>2</v>
      </c>
      <c r="P18" s="378" t="s">
        <v>1147</v>
      </c>
      <c r="Q18" s="380" t="s">
        <v>1148</v>
      </c>
      <c r="R18" s="378"/>
    </row>
    <row r="19" spans="1:18" hidden="1" outlineLevel="1">
      <c r="A19" s="376"/>
      <c r="B19" s="634"/>
      <c r="C19" s="382" t="s">
        <v>1159</v>
      </c>
      <c r="D19" s="378">
        <v>5</v>
      </c>
      <c r="E19" s="383"/>
      <c r="F19" s="384">
        <v>10</v>
      </c>
      <c r="G19" s="378"/>
      <c r="H19" s="378"/>
      <c r="I19" s="378"/>
      <c r="J19" s="378"/>
      <c r="K19" s="378">
        <v>1</v>
      </c>
      <c r="L19" s="378"/>
      <c r="M19" s="379">
        <f t="shared" si="0"/>
        <v>0</v>
      </c>
      <c r="N19" s="378">
        <f t="shared" si="1"/>
        <v>2</v>
      </c>
      <c r="O19" s="379">
        <f t="shared" si="2"/>
        <v>2</v>
      </c>
      <c r="P19" s="378" t="s">
        <v>1147</v>
      </c>
      <c r="Q19" s="380" t="s">
        <v>1148</v>
      </c>
      <c r="R19" s="378"/>
    </row>
    <row r="20" spans="1:18" hidden="1" outlineLevel="1">
      <c r="A20" s="376"/>
      <c r="B20" s="635"/>
      <c r="C20" s="382" t="s">
        <v>1160</v>
      </c>
      <c r="D20" s="378">
        <v>0.5</v>
      </c>
      <c r="E20" s="383"/>
      <c r="F20" s="384">
        <v>0.5</v>
      </c>
      <c r="G20" s="378"/>
      <c r="H20" s="378"/>
      <c r="I20" s="378"/>
      <c r="J20" s="378"/>
      <c r="K20" s="378">
        <v>1</v>
      </c>
      <c r="L20" s="378"/>
      <c r="M20" s="379">
        <f t="shared" si="0"/>
        <v>0</v>
      </c>
      <c r="N20" s="378">
        <f t="shared" si="1"/>
        <v>2</v>
      </c>
      <c r="O20" s="379">
        <f t="shared" si="2"/>
        <v>2</v>
      </c>
      <c r="P20" s="378" t="s">
        <v>1147</v>
      </c>
      <c r="Q20" s="380" t="s">
        <v>1148</v>
      </c>
      <c r="R20" s="378"/>
    </row>
    <row r="21" spans="1:18" hidden="1" outlineLevel="1">
      <c r="A21" s="376"/>
      <c r="B21" s="633" t="s">
        <v>1162</v>
      </c>
      <c r="C21" s="382" t="s">
        <v>1158</v>
      </c>
      <c r="D21" s="378">
        <v>3</v>
      </c>
      <c r="E21" s="383"/>
      <c r="F21" s="384">
        <v>7</v>
      </c>
      <c r="G21" s="378"/>
      <c r="H21" s="378"/>
      <c r="I21" s="378"/>
      <c r="J21" s="378"/>
      <c r="K21" s="378">
        <v>1</v>
      </c>
      <c r="L21" s="378"/>
      <c r="M21" s="379">
        <f t="shared" si="0"/>
        <v>0</v>
      </c>
      <c r="N21" s="378">
        <f t="shared" si="1"/>
        <v>2</v>
      </c>
      <c r="O21" s="379">
        <f t="shared" si="2"/>
        <v>2</v>
      </c>
      <c r="P21" s="378" t="s">
        <v>1147</v>
      </c>
      <c r="Q21" s="380" t="s">
        <v>1148</v>
      </c>
      <c r="R21" s="378"/>
    </row>
    <row r="22" spans="1:18" hidden="1" outlineLevel="1">
      <c r="A22" s="376"/>
      <c r="B22" s="634"/>
      <c r="C22" s="382" t="s">
        <v>1159</v>
      </c>
      <c r="D22" s="378">
        <v>3</v>
      </c>
      <c r="E22" s="383"/>
      <c r="F22" s="384">
        <v>7</v>
      </c>
      <c r="G22" s="378"/>
      <c r="H22" s="378"/>
      <c r="I22" s="378"/>
      <c r="J22" s="378"/>
      <c r="K22" s="378">
        <v>1</v>
      </c>
      <c r="L22" s="378"/>
      <c r="M22" s="379">
        <f t="shared" si="0"/>
        <v>0</v>
      </c>
      <c r="N22" s="378">
        <f t="shared" si="1"/>
        <v>2</v>
      </c>
      <c r="O22" s="379">
        <f t="shared" si="2"/>
        <v>2</v>
      </c>
      <c r="P22" s="378" t="s">
        <v>1147</v>
      </c>
      <c r="Q22" s="380" t="s">
        <v>1148</v>
      </c>
      <c r="R22" s="378"/>
    </row>
    <row r="23" spans="1:18" hidden="1" outlineLevel="1">
      <c r="A23" s="376"/>
      <c r="B23" s="635"/>
      <c r="C23" s="382" t="s">
        <v>1160</v>
      </c>
      <c r="D23" s="385">
        <v>0.5</v>
      </c>
      <c r="E23" s="386"/>
      <c r="F23" s="385">
        <v>0.5</v>
      </c>
      <c r="G23" s="387"/>
      <c r="H23" s="387"/>
      <c r="I23" s="387"/>
      <c r="J23" s="387"/>
      <c r="K23" s="378">
        <v>1</v>
      </c>
      <c r="L23" s="378"/>
      <c r="M23" s="379">
        <f t="shared" si="0"/>
        <v>0</v>
      </c>
      <c r="N23" s="378">
        <f t="shared" si="1"/>
        <v>2</v>
      </c>
      <c r="O23" s="379">
        <f t="shared" si="2"/>
        <v>2</v>
      </c>
      <c r="P23" s="378" t="s">
        <v>1147</v>
      </c>
      <c r="Q23" s="380" t="s">
        <v>1148</v>
      </c>
      <c r="R23" s="378"/>
    </row>
    <row r="24" spans="1:18" hidden="1" outlineLevel="1">
      <c r="A24" s="388" t="s">
        <v>1163</v>
      </c>
      <c r="B24" s="630"/>
      <c r="C24" s="631"/>
      <c r="D24" s="631"/>
      <c r="E24" s="631"/>
      <c r="F24" s="631"/>
      <c r="G24" s="632"/>
      <c r="H24" s="377"/>
      <c r="I24" s="377"/>
      <c r="J24" s="377"/>
      <c r="K24" s="378"/>
      <c r="L24" s="378"/>
      <c r="M24" s="379">
        <f>IFERROR(MIN(M25:M27),0)</f>
        <v>0</v>
      </c>
      <c r="N24" s="378">
        <f>N25</f>
        <v>2</v>
      </c>
      <c r="O24" s="379">
        <f t="shared" si="2"/>
        <v>2</v>
      </c>
      <c r="P24" s="378" t="s">
        <v>1147</v>
      </c>
      <c r="Q24" s="380" t="s">
        <v>1148</v>
      </c>
      <c r="R24" s="378"/>
    </row>
    <row r="25" spans="1:18" hidden="1" outlineLevel="1">
      <c r="A25" s="388"/>
      <c r="B25" s="642" t="s">
        <v>1164</v>
      </c>
      <c r="C25" s="382" t="s">
        <v>1149</v>
      </c>
      <c r="D25" s="387">
        <v>0.98</v>
      </c>
      <c r="E25" s="389"/>
      <c r="F25" s="387">
        <v>0.9</v>
      </c>
      <c r="G25" s="387"/>
      <c r="H25" s="387"/>
      <c r="I25" s="387"/>
      <c r="J25" s="387"/>
      <c r="K25" s="378">
        <v>1</v>
      </c>
      <c r="L25" s="378"/>
      <c r="M25" s="379">
        <f>IFERROR(MIN(MAX(0,IF(K25="N/A",0,IF((D25=E25),5,5-QUOTIENT(D25,E25)))), MAX(0,IF(K25="N/A",0,IF((F25=G25),5,5-QUOTIENT(F25,G25))))),0)</f>
        <v>0</v>
      </c>
      <c r="N25" s="378">
        <f>IF(K25="N/A", 1, 2)</f>
        <v>2</v>
      </c>
      <c r="O25" s="379">
        <f t="shared" si="2"/>
        <v>2</v>
      </c>
      <c r="P25" s="378" t="s">
        <v>1147</v>
      </c>
      <c r="Q25" s="380" t="s">
        <v>1148</v>
      </c>
      <c r="R25" s="378"/>
    </row>
    <row r="26" spans="1:18" hidden="1" outlineLevel="1">
      <c r="A26" s="388"/>
      <c r="B26" s="642"/>
      <c r="C26" s="382" t="s">
        <v>1165</v>
      </c>
      <c r="D26" s="378">
        <v>2</v>
      </c>
      <c r="E26" s="390"/>
      <c r="F26" s="378">
        <v>4</v>
      </c>
      <c r="G26" s="387"/>
      <c r="H26" s="387"/>
      <c r="I26" s="387"/>
      <c r="J26" s="387"/>
      <c r="K26" s="378">
        <v>1</v>
      </c>
      <c r="L26" s="378"/>
      <c r="M26" s="379">
        <f>IFERROR(MIN(MAX(0,IF(K26="N/A",0,IF((D26=E26),5,5-QUOTIENT(D26,E26)))), MAX(0,IF(K26="N/A",0,IF((F26=G26),5,5-QUOTIENT(F26,G26))))),0)</f>
        <v>0</v>
      </c>
      <c r="N26" s="378">
        <f t="shared" ref="N26:N27" si="3">IF(K26="N/A", 1, 2)</f>
        <v>2</v>
      </c>
      <c r="O26" s="379">
        <f t="shared" si="2"/>
        <v>2</v>
      </c>
      <c r="P26" s="378" t="s">
        <v>1147</v>
      </c>
      <c r="Q26" s="380" t="s">
        <v>1148</v>
      </c>
      <c r="R26" s="378"/>
    </row>
    <row r="27" spans="1:18" hidden="1" outlineLevel="1">
      <c r="A27" s="388"/>
      <c r="B27" s="642"/>
      <c r="C27" s="382" t="s">
        <v>1153</v>
      </c>
      <c r="D27" s="378">
        <v>2</v>
      </c>
      <c r="E27" s="390"/>
      <c r="F27" s="378">
        <v>4</v>
      </c>
      <c r="G27" s="391"/>
      <c r="H27" s="391"/>
      <c r="I27" s="391"/>
      <c r="J27" s="391"/>
      <c r="K27" s="378">
        <v>1</v>
      </c>
      <c r="L27" s="378"/>
      <c r="M27" s="379">
        <f>IFERROR(MIN(MAX(0,IF(K27="N/A",0,IF((D27=E27),5,5-QUOTIENT(D27,E27)))), MAX(0,IF(K27="N/A",0,IF((F27=G27),5,5-QUOTIENT(F27,G27))))),0)</f>
        <v>0</v>
      </c>
      <c r="N27" s="378">
        <f t="shared" si="3"/>
        <v>2</v>
      </c>
      <c r="O27" s="379">
        <f t="shared" si="2"/>
        <v>2</v>
      </c>
      <c r="P27" s="378" t="s">
        <v>1147</v>
      </c>
      <c r="Q27" s="380" t="s">
        <v>1148</v>
      </c>
      <c r="R27" s="378"/>
    </row>
    <row r="28" spans="1:18" hidden="1" outlineLevel="1">
      <c r="A28" s="392" t="s">
        <v>1166</v>
      </c>
      <c r="B28" s="393"/>
      <c r="C28" s="382"/>
      <c r="D28" s="378"/>
      <c r="E28" s="390"/>
      <c r="F28" s="378"/>
      <c r="G28" s="391"/>
      <c r="H28" s="391"/>
      <c r="I28" s="391"/>
      <c r="J28" s="391"/>
      <c r="K28" s="378"/>
      <c r="L28" s="378"/>
      <c r="M28" s="379">
        <f>IFERROR(MIN(M29:M32),0)</f>
        <v>0</v>
      </c>
      <c r="N28" s="378">
        <f>N29</f>
        <v>2</v>
      </c>
      <c r="O28" s="379">
        <f t="shared" si="2"/>
        <v>2</v>
      </c>
      <c r="P28" s="378" t="s">
        <v>1147</v>
      </c>
      <c r="Q28" s="380" t="s">
        <v>1148</v>
      </c>
      <c r="R28" s="378"/>
    </row>
    <row r="29" spans="1:18" hidden="1" outlineLevel="1">
      <c r="A29" s="394"/>
      <c r="B29" s="643" t="s">
        <v>1167</v>
      </c>
      <c r="C29" s="382" t="s">
        <v>1168</v>
      </c>
      <c r="D29" s="387">
        <v>0.45</v>
      </c>
      <c r="E29" s="389"/>
      <c r="F29" s="387">
        <v>0.45</v>
      </c>
      <c r="G29" s="387"/>
      <c r="H29" s="387"/>
      <c r="I29" s="387"/>
      <c r="J29" s="387"/>
      <c r="K29" s="378">
        <v>1</v>
      </c>
      <c r="L29" s="378"/>
      <c r="M29" s="379">
        <f>IFERROR(MIN(MAX(0,IF(K29="N/A",0,IF((D29=E29),5,5-QUOTIENT(D29,E29)))), MAX(0,IF(K29="N/A",0,IF((F29=G29),5,5-QUOTIENT(F29,G29))))),0)</f>
        <v>0</v>
      </c>
      <c r="N29" s="378">
        <f>IF(K29="N/A", 1, 2)</f>
        <v>2</v>
      </c>
      <c r="O29" s="379">
        <f t="shared" si="2"/>
        <v>2</v>
      </c>
      <c r="P29" s="378" t="s">
        <v>1147</v>
      </c>
      <c r="Q29" s="380" t="s">
        <v>1148</v>
      </c>
      <c r="R29" s="378"/>
    </row>
    <row r="30" spans="1:18" hidden="1" outlineLevel="1">
      <c r="A30" s="394"/>
      <c r="B30" s="637"/>
      <c r="C30" s="382" t="s">
        <v>1169</v>
      </c>
      <c r="D30" s="387">
        <v>0.05</v>
      </c>
      <c r="E30" s="389"/>
      <c r="F30" s="387">
        <v>0.05</v>
      </c>
      <c r="G30" s="387"/>
      <c r="H30" s="387"/>
      <c r="I30" s="387"/>
      <c r="J30" s="387"/>
      <c r="K30" s="378">
        <v>1</v>
      </c>
      <c r="L30" s="378"/>
      <c r="M30" s="379">
        <f>IFERROR(MIN(MAX(0,IF(K30="N/A",0,IF((D30=E30),5,5-QUOTIENT(D30,E30)))), MAX(0,IF(K30="N/A",0,IF((F30=G30),5,5-QUOTIENT(F30,G30))))),0)</f>
        <v>0</v>
      </c>
      <c r="N30" s="378">
        <f t="shared" ref="N30:N32" si="4">IF(K30="N/A", 1, 2)</f>
        <v>2</v>
      </c>
      <c r="O30" s="379">
        <f t="shared" si="2"/>
        <v>2</v>
      </c>
      <c r="P30" s="378" t="s">
        <v>1147</v>
      </c>
      <c r="Q30" s="380" t="s">
        <v>1148</v>
      </c>
      <c r="R30" s="378"/>
    </row>
    <row r="31" spans="1:18" hidden="1" outlineLevel="1">
      <c r="A31" s="394"/>
      <c r="B31" s="637"/>
      <c r="C31" s="382" t="s">
        <v>1170</v>
      </c>
      <c r="D31" s="391">
        <v>1</v>
      </c>
      <c r="E31" s="389"/>
      <c r="F31" s="391">
        <v>1</v>
      </c>
      <c r="G31" s="387"/>
      <c r="H31" s="387"/>
      <c r="I31" s="387"/>
      <c r="J31" s="387"/>
      <c r="K31" s="378">
        <v>1</v>
      </c>
      <c r="L31" s="378"/>
      <c r="M31" s="379">
        <f>IFERROR(MIN(MAX(0,IF(K31="N/A",0,IF((D31=E31),5,5-QUOTIENT(D31,E31)))), MAX(0,IF(K31="N/A",0,IF((F31=G31),5,5-QUOTIENT(F31,G31))))),0)</f>
        <v>0</v>
      </c>
      <c r="N31" s="378">
        <f t="shared" si="4"/>
        <v>2</v>
      </c>
      <c r="O31" s="379">
        <f t="shared" si="2"/>
        <v>2</v>
      </c>
      <c r="P31" s="378" t="s">
        <v>1147</v>
      </c>
      <c r="Q31" s="380" t="s">
        <v>1148</v>
      </c>
      <c r="R31" s="378"/>
    </row>
    <row r="32" spans="1:18" hidden="1" outlineLevel="1">
      <c r="A32" s="394"/>
      <c r="B32" s="638"/>
      <c r="C32" s="382" t="s">
        <v>1171</v>
      </c>
      <c r="D32" s="391">
        <v>10</v>
      </c>
      <c r="E32" s="389"/>
      <c r="F32" s="391">
        <v>10</v>
      </c>
      <c r="G32" s="387"/>
      <c r="H32" s="387"/>
      <c r="I32" s="387"/>
      <c r="J32" s="387"/>
      <c r="K32" s="378">
        <v>1</v>
      </c>
      <c r="L32" s="378"/>
      <c r="M32" s="379">
        <f>IFERROR(MIN(MAX(0,IF(K32="N/A",0,IF((D32=E32),5,5-QUOTIENT(D32,E32)))), MAX(0,IF(K32="N/A",0,IF((F32=G32),5,5-QUOTIENT(F32,G32))))),0)</f>
        <v>0</v>
      </c>
      <c r="N32" s="378">
        <f t="shared" si="4"/>
        <v>2</v>
      </c>
      <c r="O32" s="379">
        <f t="shared" si="2"/>
        <v>2</v>
      </c>
      <c r="P32" s="378" t="s">
        <v>1147</v>
      </c>
      <c r="Q32" s="380" t="s">
        <v>1148</v>
      </c>
      <c r="R32" s="378"/>
    </row>
    <row r="33" spans="1:18" hidden="1" outlineLevel="1">
      <c r="A33" s="394" t="s">
        <v>1172</v>
      </c>
      <c r="B33" s="395"/>
      <c r="C33" s="382"/>
      <c r="D33" s="391"/>
      <c r="E33" s="389"/>
      <c r="F33" s="391"/>
      <c r="G33" s="387"/>
      <c r="H33" s="387"/>
      <c r="I33" s="387"/>
      <c r="J33" s="387"/>
      <c r="K33" s="378"/>
      <c r="L33" s="378"/>
      <c r="M33" s="379">
        <f>IFERROR(MIN(M34:M36),0)</f>
        <v>0</v>
      </c>
      <c r="N33" s="378">
        <f>N34</f>
        <v>2</v>
      </c>
      <c r="O33" s="379">
        <f t="shared" si="2"/>
        <v>2</v>
      </c>
      <c r="P33" s="378" t="s">
        <v>1147</v>
      </c>
      <c r="Q33" s="380" t="s">
        <v>1148</v>
      </c>
      <c r="R33" s="378"/>
    </row>
    <row r="34" spans="1:18" hidden="1" outlineLevel="1">
      <c r="A34" s="394"/>
      <c r="B34" s="636" t="s">
        <v>568</v>
      </c>
      <c r="C34" s="382" t="s">
        <v>1168</v>
      </c>
      <c r="D34" s="387">
        <v>0.8</v>
      </c>
      <c r="E34" s="389"/>
      <c r="F34" s="387">
        <v>0.8</v>
      </c>
      <c r="G34" s="387"/>
      <c r="H34" s="387"/>
      <c r="I34" s="387"/>
      <c r="J34" s="387"/>
      <c r="K34" s="378">
        <v>1</v>
      </c>
      <c r="L34" s="378"/>
      <c r="M34" s="379">
        <f>IFERROR(MIN(MAX(0,IF(K34="N/A",0,IF((D34=E34),5,5-QUOTIENT(D34,E34)))), MAX(0,IF(K34="N/A",0,IF((F34=G34),5,5-QUOTIENT(F34,G34))))),0)</f>
        <v>0</v>
      </c>
      <c r="N34" s="378">
        <f>IF(K34="N/A", 1, 2)</f>
        <v>2</v>
      </c>
      <c r="O34" s="379">
        <f t="shared" si="2"/>
        <v>2</v>
      </c>
      <c r="P34" s="378" t="s">
        <v>1147</v>
      </c>
      <c r="Q34" s="380" t="s">
        <v>1148</v>
      </c>
      <c r="R34" s="378"/>
    </row>
    <row r="35" spans="1:18" hidden="1" outlineLevel="1">
      <c r="A35" s="394"/>
      <c r="B35" s="637"/>
      <c r="C35" s="382" t="s">
        <v>1170</v>
      </c>
      <c r="D35" s="390">
        <v>0.05</v>
      </c>
      <c r="E35" s="389"/>
      <c r="F35" s="390">
        <v>0.05</v>
      </c>
      <c r="G35" s="387"/>
      <c r="H35" s="387"/>
      <c r="I35" s="387"/>
      <c r="J35" s="387"/>
      <c r="K35" s="378">
        <v>1</v>
      </c>
      <c r="L35" s="378"/>
      <c r="M35" s="379">
        <f>IFERROR(MIN(MAX(0,IF(K35="N/A",0,IF((D35=E35),5,5-QUOTIENT(D35,E35)))), MAX(0,IF(K35="N/A",0,IF((F35=G35),5,5-QUOTIENT(F35,G35))))),0)</f>
        <v>0</v>
      </c>
      <c r="N35" s="378">
        <f t="shared" ref="N35:N36" si="5">IF(K35="N/A", 1, 2)</f>
        <v>2</v>
      </c>
      <c r="O35" s="379">
        <f t="shared" si="2"/>
        <v>2</v>
      </c>
      <c r="P35" s="378" t="s">
        <v>1147</v>
      </c>
      <c r="Q35" s="380" t="s">
        <v>1148</v>
      </c>
      <c r="R35" s="378"/>
    </row>
    <row r="36" spans="1:18" hidden="1" outlineLevel="1">
      <c r="A36" s="394"/>
      <c r="B36" s="638"/>
      <c r="C36" s="382" t="s">
        <v>1173</v>
      </c>
      <c r="D36" s="391">
        <v>10</v>
      </c>
      <c r="E36" s="389"/>
      <c r="F36" s="391">
        <v>10</v>
      </c>
      <c r="G36" s="387"/>
      <c r="H36" s="387"/>
      <c r="I36" s="387"/>
      <c r="J36" s="387"/>
      <c r="K36" s="378">
        <v>1</v>
      </c>
      <c r="L36" s="378"/>
      <c r="M36" s="379">
        <f>IFERROR(MIN(MAX(0,IF(K36="N/A",0,IF((D36=E36),5,5-QUOTIENT(D36,E36)))), MAX(0,IF(K36="N/A",0,IF((F36=G36),5,5-QUOTIENT(F36,G36))))),0)</f>
        <v>0</v>
      </c>
      <c r="N36" s="378">
        <f t="shared" si="5"/>
        <v>2</v>
      </c>
      <c r="O36" s="379">
        <f t="shared" si="2"/>
        <v>2</v>
      </c>
      <c r="P36" s="378" t="s">
        <v>1147</v>
      </c>
      <c r="Q36" s="380" t="s">
        <v>1148</v>
      </c>
      <c r="R36" s="378"/>
    </row>
    <row r="37" spans="1:18" hidden="1" outlineLevel="1">
      <c r="A37" s="394" t="s">
        <v>1174</v>
      </c>
      <c r="B37" s="395"/>
      <c r="C37" s="382"/>
      <c r="D37" s="391"/>
      <c r="E37" s="389"/>
      <c r="F37" s="391"/>
      <c r="G37" s="387"/>
      <c r="H37" s="387"/>
      <c r="I37" s="387"/>
      <c r="J37" s="387"/>
      <c r="K37" s="378"/>
      <c r="L37" s="378"/>
      <c r="M37" s="379">
        <f>IFERROR(MIN(M38:M40),0)</f>
        <v>0</v>
      </c>
      <c r="N37" s="378">
        <f>N38</f>
        <v>2</v>
      </c>
      <c r="O37" s="379">
        <f t="shared" si="2"/>
        <v>2</v>
      </c>
      <c r="P37" s="378" t="s">
        <v>1147</v>
      </c>
      <c r="Q37" s="380" t="s">
        <v>1148</v>
      </c>
      <c r="R37" s="378"/>
    </row>
    <row r="38" spans="1:18" hidden="1" outlineLevel="1">
      <c r="A38" s="394"/>
      <c r="B38" s="636" t="s">
        <v>571</v>
      </c>
      <c r="C38" s="382" t="s">
        <v>1168</v>
      </c>
      <c r="D38" s="387">
        <v>0.95</v>
      </c>
      <c r="E38" s="389"/>
      <c r="F38" s="387">
        <v>0.95</v>
      </c>
      <c r="G38" s="387"/>
      <c r="H38" s="387"/>
      <c r="I38" s="387"/>
      <c r="J38" s="387"/>
      <c r="K38" s="378">
        <v>1</v>
      </c>
      <c r="L38" s="378"/>
      <c r="M38" s="379">
        <f>IFERROR(MIN(MAX(0,IF(K38="N/A",0,IF((D38=E38),5,5-QUOTIENT(D38,E38)))), MAX(0,IF(K38="N/A",0,IF((F38=G38),5,5-QUOTIENT(F38,G38))))),0)</f>
        <v>0</v>
      </c>
      <c r="N38" s="378">
        <f t="shared" ref="N38:N40" si="6">IF(K38="N/A", 0, 2)</f>
        <v>2</v>
      </c>
      <c r="O38" s="379">
        <f t="shared" si="2"/>
        <v>2</v>
      </c>
      <c r="P38" s="378" t="s">
        <v>1147</v>
      </c>
      <c r="Q38" s="380" t="s">
        <v>1148</v>
      </c>
      <c r="R38" s="378"/>
    </row>
    <row r="39" spans="1:18" hidden="1" outlineLevel="1">
      <c r="A39" s="394"/>
      <c r="B39" s="637"/>
      <c r="C39" s="382" t="s">
        <v>1170</v>
      </c>
      <c r="D39" s="390">
        <v>0.01</v>
      </c>
      <c r="E39" s="389"/>
      <c r="F39" s="390">
        <v>0.01</v>
      </c>
      <c r="G39" s="387"/>
      <c r="H39" s="387"/>
      <c r="I39" s="387"/>
      <c r="J39" s="387"/>
      <c r="K39" s="378">
        <v>1</v>
      </c>
      <c r="L39" s="378"/>
      <c r="M39" s="379">
        <f>IFERROR(MIN(MAX(0,IF(K39="N/A",0,IF((D39=E39),5,5-QUOTIENT(D39,E39)))), MAX(0,IF(K39="N/A",0,IF((F39=G39),5,5-QUOTIENT(F39,G39))))),0)</f>
        <v>0</v>
      </c>
      <c r="N39" s="378">
        <f t="shared" si="6"/>
        <v>2</v>
      </c>
      <c r="O39" s="379">
        <f t="shared" si="2"/>
        <v>2</v>
      </c>
      <c r="P39" s="378" t="s">
        <v>1147</v>
      </c>
      <c r="Q39" s="380" t="s">
        <v>1148</v>
      </c>
      <c r="R39" s="378"/>
    </row>
    <row r="40" spans="1:18" hidden="1" outlineLevel="1">
      <c r="A40" s="394"/>
      <c r="B40" s="638"/>
      <c r="C40" s="382" t="s">
        <v>1173</v>
      </c>
      <c r="D40" s="391">
        <v>6</v>
      </c>
      <c r="E40" s="389"/>
      <c r="F40" s="391">
        <v>6</v>
      </c>
      <c r="G40" s="387"/>
      <c r="H40" s="387"/>
      <c r="I40" s="387"/>
      <c r="J40" s="387"/>
      <c r="K40" s="378">
        <v>1</v>
      </c>
      <c r="L40" s="378"/>
      <c r="M40" s="379">
        <f>IFERROR(MIN(MAX(0,IF(K40="N/A",0,IF((D40=E40),5,5-QUOTIENT(D40,E40)))), MAX(0,IF(K40="N/A",0,IF((F40=G40),5,5-QUOTIENT(F40,G40))))),0)</f>
        <v>0</v>
      </c>
      <c r="N40" s="378">
        <f t="shared" si="6"/>
        <v>2</v>
      </c>
      <c r="O40" s="379">
        <f t="shared" si="2"/>
        <v>2</v>
      </c>
      <c r="P40" s="378" t="s">
        <v>1147</v>
      </c>
      <c r="Q40" s="380" t="s">
        <v>1148</v>
      </c>
      <c r="R40" s="378"/>
    </row>
    <row r="41" spans="1:18" hidden="1" outlineLevel="1">
      <c r="A41" s="394" t="s">
        <v>1175</v>
      </c>
      <c r="B41" s="396"/>
      <c r="C41" s="382"/>
      <c r="D41" s="391"/>
      <c r="E41" s="389"/>
      <c r="F41" s="391"/>
      <c r="G41" s="387"/>
      <c r="H41" s="387"/>
      <c r="I41" s="387"/>
      <c r="J41" s="387"/>
      <c r="K41" s="378"/>
      <c r="L41" s="378"/>
      <c r="M41" s="379">
        <f>IFERROR(MIN(M42:M51),0)</f>
        <v>0</v>
      </c>
      <c r="N41" s="378">
        <f>N42</f>
        <v>2</v>
      </c>
      <c r="O41" s="379">
        <f t="shared" si="2"/>
        <v>2</v>
      </c>
      <c r="P41" s="378" t="s">
        <v>1147</v>
      </c>
      <c r="Q41" s="380" t="s">
        <v>1148</v>
      </c>
      <c r="R41" s="378"/>
    </row>
    <row r="42" spans="1:18" hidden="1" outlineLevel="1">
      <c r="A42" s="394"/>
      <c r="B42" s="397" t="s">
        <v>1149</v>
      </c>
      <c r="C42" s="382" t="s">
        <v>1150</v>
      </c>
      <c r="D42" s="387">
        <v>0.99</v>
      </c>
      <c r="E42" s="389"/>
      <c r="F42" s="398">
        <v>0.99</v>
      </c>
      <c r="G42" s="387"/>
      <c r="H42" s="387"/>
      <c r="I42" s="387"/>
      <c r="J42" s="387"/>
      <c r="K42" s="378">
        <v>1</v>
      </c>
      <c r="L42" s="378"/>
      <c r="M42" s="379">
        <f t="shared" ref="M42:M51" si="7">IFERROR(MIN(MAX(0,IF(K42="N/A",0,IF((D42=E42),5,5-QUOTIENT(D42,E42)))), MAX(0,IF(K42="N/A",0,IF((F42=G42),5,5-QUOTIENT(F42,G42))))),0)</f>
        <v>0</v>
      </c>
      <c r="N42" s="378">
        <f>IF(K42="N/A", 1, 2)</f>
        <v>2</v>
      </c>
      <c r="O42" s="379">
        <f t="shared" si="2"/>
        <v>2</v>
      </c>
      <c r="P42" s="378" t="s">
        <v>1147</v>
      </c>
      <c r="Q42" s="380" t="s">
        <v>1148</v>
      </c>
      <c r="R42" s="378"/>
    </row>
    <row r="43" spans="1:18" hidden="1" outlineLevel="1">
      <c r="A43" s="394"/>
      <c r="B43" s="636" t="s">
        <v>1176</v>
      </c>
      <c r="C43" s="382" t="s">
        <v>1177</v>
      </c>
      <c r="D43" s="387">
        <v>0.98</v>
      </c>
      <c r="E43" s="389"/>
      <c r="F43" s="398">
        <v>0.95</v>
      </c>
      <c r="G43" s="387"/>
      <c r="H43" s="387"/>
      <c r="I43" s="387"/>
      <c r="J43" s="387"/>
      <c r="K43" s="378">
        <v>1</v>
      </c>
      <c r="L43" s="378"/>
      <c r="M43" s="379">
        <f t="shared" si="7"/>
        <v>0</v>
      </c>
      <c r="N43" s="378">
        <f t="shared" ref="N43:N51" si="8">IF(K43="N/A", 1, 2)</f>
        <v>2</v>
      </c>
      <c r="O43" s="379">
        <f t="shared" si="2"/>
        <v>2</v>
      </c>
      <c r="P43" s="378" t="s">
        <v>1147</v>
      </c>
      <c r="Q43" s="380" t="s">
        <v>1148</v>
      </c>
      <c r="R43" s="378"/>
    </row>
    <row r="44" spans="1:18" hidden="1" outlineLevel="1">
      <c r="A44" s="394"/>
      <c r="B44" s="638"/>
      <c r="C44" s="382" t="s">
        <v>1178</v>
      </c>
      <c r="D44" s="387">
        <v>0.95</v>
      </c>
      <c r="E44" s="399"/>
      <c r="F44" s="398">
        <v>0.9</v>
      </c>
      <c r="G44" s="387"/>
      <c r="H44" s="387"/>
      <c r="I44" s="387"/>
      <c r="J44" s="387"/>
      <c r="K44" s="378">
        <v>1</v>
      </c>
      <c r="L44" s="378"/>
      <c r="M44" s="379">
        <f t="shared" si="7"/>
        <v>0</v>
      </c>
      <c r="N44" s="378">
        <f t="shared" si="8"/>
        <v>2</v>
      </c>
      <c r="O44" s="379">
        <f t="shared" si="2"/>
        <v>2</v>
      </c>
      <c r="P44" s="378" t="s">
        <v>1147</v>
      </c>
      <c r="Q44" s="380" t="s">
        <v>1148</v>
      </c>
      <c r="R44" s="378"/>
    </row>
    <row r="45" spans="1:18" hidden="1" outlineLevel="1">
      <c r="A45" s="394"/>
      <c r="B45" s="636" t="s">
        <v>1179</v>
      </c>
      <c r="C45" s="382" t="s">
        <v>1177</v>
      </c>
      <c r="D45" s="387">
        <v>0.95</v>
      </c>
      <c r="E45" s="399"/>
      <c r="F45" s="387">
        <v>0.95</v>
      </c>
      <c r="G45" s="387"/>
      <c r="H45" s="387"/>
      <c r="I45" s="387"/>
      <c r="J45" s="387"/>
      <c r="K45" s="378">
        <v>1</v>
      </c>
      <c r="L45" s="378"/>
      <c r="M45" s="379">
        <f t="shared" si="7"/>
        <v>0</v>
      </c>
      <c r="N45" s="378">
        <f t="shared" si="8"/>
        <v>2</v>
      </c>
      <c r="O45" s="379">
        <f t="shared" si="2"/>
        <v>2</v>
      </c>
      <c r="P45" s="378" t="s">
        <v>1147</v>
      </c>
      <c r="Q45" s="380" t="s">
        <v>1148</v>
      </c>
      <c r="R45" s="378"/>
    </row>
    <row r="46" spans="1:18" hidden="1" outlineLevel="1">
      <c r="A46" s="394"/>
      <c r="B46" s="637"/>
      <c r="C46" s="382" t="s">
        <v>1180</v>
      </c>
      <c r="D46" s="387">
        <v>0.85</v>
      </c>
      <c r="E46" s="399"/>
      <c r="F46" s="387">
        <v>0.85</v>
      </c>
      <c r="G46" s="387"/>
      <c r="H46" s="387"/>
      <c r="I46" s="387"/>
      <c r="J46" s="387"/>
      <c r="K46" s="378">
        <v>1</v>
      </c>
      <c r="L46" s="378"/>
      <c r="M46" s="379">
        <f t="shared" si="7"/>
        <v>0</v>
      </c>
      <c r="N46" s="378">
        <f t="shared" si="8"/>
        <v>2</v>
      </c>
      <c r="O46" s="379">
        <f t="shared" si="2"/>
        <v>2</v>
      </c>
      <c r="P46" s="378" t="s">
        <v>1147</v>
      </c>
      <c r="Q46" s="380" t="s">
        <v>1148</v>
      </c>
      <c r="R46" s="378"/>
    </row>
    <row r="47" spans="1:18" hidden="1" outlineLevel="1">
      <c r="A47" s="394"/>
      <c r="B47" s="637"/>
      <c r="C47" s="382" t="s">
        <v>1181</v>
      </c>
      <c r="D47" s="387">
        <v>0.9</v>
      </c>
      <c r="E47" s="399"/>
      <c r="F47" s="387">
        <v>0.9</v>
      </c>
      <c r="G47" s="387"/>
      <c r="H47" s="387"/>
      <c r="I47" s="387"/>
      <c r="J47" s="387"/>
      <c r="K47" s="378">
        <v>1</v>
      </c>
      <c r="L47" s="378"/>
      <c r="M47" s="379">
        <f t="shared" si="7"/>
        <v>0</v>
      </c>
      <c r="N47" s="378">
        <f t="shared" si="8"/>
        <v>2</v>
      </c>
      <c r="O47" s="379">
        <f t="shared" si="2"/>
        <v>2</v>
      </c>
      <c r="P47" s="378" t="s">
        <v>1147</v>
      </c>
      <c r="Q47" s="380" t="s">
        <v>1148</v>
      </c>
      <c r="R47" s="378"/>
    </row>
    <row r="48" spans="1:18" hidden="1" outlineLevel="1">
      <c r="A48" s="394"/>
      <c r="B48" s="637"/>
      <c r="C48" s="382" t="s">
        <v>1182</v>
      </c>
      <c r="D48" s="387">
        <v>0.9</v>
      </c>
      <c r="E48" s="399"/>
      <c r="F48" s="387">
        <v>0.9</v>
      </c>
      <c r="G48" s="387"/>
      <c r="H48" s="387"/>
      <c r="I48" s="387"/>
      <c r="J48" s="387"/>
      <c r="K48" s="378">
        <v>1</v>
      </c>
      <c r="L48" s="378"/>
      <c r="M48" s="379">
        <f t="shared" si="7"/>
        <v>0</v>
      </c>
      <c r="N48" s="378">
        <f t="shared" si="8"/>
        <v>2</v>
      </c>
      <c r="O48" s="379">
        <f t="shared" si="2"/>
        <v>2</v>
      </c>
      <c r="P48" s="378" t="s">
        <v>1147</v>
      </c>
      <c r="Q48" s="380" t="s">
        <v>1148</v>
      </c>
      <c r="R48" s="378"/>
    </row>
    <row r="49" spans="1:18" hidden="1" outlineLevel="1">
      <c r="A49" s="394"/>
      <c r="B49" s="637"/>
      <c r="C49" s="382" t="s">
        <v>1183</v>
      </c>
      <c r="D49" s="387">
        <v>0.9</v>
      </c>
      <c r="E49" s="399"/>
      <c r="F49" s="387">
        <v>0.9</v>
      </c>
      <c r="G49" s="387"/>
      <c r="H49" s="387"/>
      <c r="I49" s="387"/>
      <c r="J49" s="387"/>
      <c r="K49" s="378">
        <v>1</v>
      </c>
      <c r="L49" s="378"/>
      <c r="M49" s="379">
        <f t="shared" si="7"/>
        <v>0</v>
      </c>
      <c r="N49" s="378">
        <f t="shared" si="8"/>
        <v>2</v>
      </c>
      <c r="O49" s="379">
        <f t="shared" si="2"/>
        <v>2</v>
      </c>
      <c r="P49" s="378" t="s">
        <v>1147</v>
      </c>
      <c r="Q49" s="380" t="s">
        <v>1148</v>
      </c>
      <c r="R49" s="378"/>
    </row>
    <row r="50" spans="1:18" hidden="1" outlineLevel="1">
      <c r="A50" s="394"/>
      <c r="B50" s="637"/>
      <c r="C50" s="382" t="s">
        <v>1178</v>
      </c>
      <c r="D50" s="387">
        <v>0.9</v>
      </c>
      <c r="E50" s="399"/>
      <c r="F50" s="387">
        <v>0.9</v>
      </c>
      <c r="G50" s="387"/>
      <c r="H50" s="387"/>
      <c r="I50" s="387"/>
      <c r="J50" s="387"/>
      <c r="K50" s="378">
        <v>1</v>
      </c>
      <c r="L50" s="378"/>
      <c r="M50" s="379">
        <f t="shared" si="7"/>
        <v>0</v>
      </c>
      <c r="N50" s="378">
        <f t="shared" si="8"/>
        <v>2</v>
      </c>
      <c r="O50" s="379">
        <f t="shared" si="2"/>
        <v>2</v>
      </c>
      <c r="P50" s="378" t="s">
        <v>1147</v>
      </c>
      <c r="Q50" s="380" t="s">
        <v>1148</v>
      </c>
      <c r="R50" s="378"/>
    </row>
    <row r="51" spans="1:18" hidden="1" outlineLevel="1">
      <c r="A51" s="394"/>
      <c r="B51" s="638"/>
      <c r="C51" s="382" t="s">
        <v>1184</v>
      </c>
      <c r="D51" s="387">
        <v>0.85</v>
      </c>
      <c r="E51" s="399"/>
      <c r="F51" s="387">
        <v>0.85</v>
      </c>
      <c r="G51" s="387"/>
      <c r="H51" s="387"/>
      <c r="I51" s="387"/>
      <c r="J51" s="387"/>
      <c r="K51" s="378">
        <v>1</v>
      </c>
      <c r="L51" s="378"/>
      <c r="M51" s="379">
        <f t="shared" si="7"/>
        <v>0</v>
      </c>
      <c r="N51" s="378">
        <f t="shared" si="8"/>
        <v>2</v>
      </c>
      <c r="O51" s="379">
        <f t="shared" si="2"/>
        <v>2</v>
      </c>
      <c r="P51" s="378" t="s">
        <v>1147</v>
      </c>
      <c r="Q51" s="380" t="s">
        <v>1148</v>
      </c>
      <c r="R51" s="378"/>
    </row>
    <row r="52" spans="1:18" hidden="1" outlineLevel="1">
      <c r="A52" s="394" t="s">
        <v>1185</v>
      </c>
      <c r="B52" s="395"/>
      <c r="C52" s="382"/>
      <c r="D52" s="387"/>
      <c r="E52" s="399"/>
      <c r="F52" s="387"/>
      <c r="G52" s="387"/>
      <c r="H52" s="387"/>
      <c r="I52" s="387"/>
      <c r="J52" s="387"/>
      <c r="K52" s="378"/>
      <c r="L52" s="378"/>
      <c r="M52" s="379">
        <f>IFERROR(MIN(M53:M56),0)</f>
        <v>0</v>
      </c>
      <c r="N52" s="378">
        <f>N53</f>
        <v>2</v>
      </c>
      <c r="O52" s="379">
        <f>MAX(M52:N52)</f>
        <v>2</v>
      </c>
      <c r="P52" s="378" t="s">
        <v>1147</v>
      </c>
      <c r="Q52" s="380" t="s">
        <v>1148</v>
      </c>
      <c r="R52" s="378"/>
    </row>
    <row r="53" spans="1:18" hidden="1" outlineLevel="1">
      <c r="A53" s="394"/>
      <c r="B53" s="636" t="s">
        <v>1186</v>
      </c>
      <c r="C53" s="382" t="s">
        <v>1187</v>
      </c>
      <c r="D53" s="387">
        <v>0.95</v>
      </c>
      <c r="E53" s="389"/>
      <c r="F53" s="398">
        <v>0.45</v>
      </c>
      <c r="G53" s="387"/>
      <c r="H53" s="387"/>
      <c r="I53" s="387"/>
      <c r="J53" s="387"/>
      <c r="K53" s="378">
        <v>1</v>
      </c>
      <c r="L53" s="378"/>
      <c r="M53" s="379">
        <f>IFERROR(MIN(MAX(0,IF(K53="N/A",0,IF((D53=E53),5,5-QUOTIENT(D53,E53)))), MAX(0,IF(K53="N/A",0,IF((F53=G53),5,5-QUOTIENT(F53,G53))))),0)</f>
        <v>0</v>
      </c>
      <c r="N53" s="378">
        <f>IF(K53="N/A", 1, 2)</f>
        <v>2</v>
      </c>
      <c r="O53" s="379">
        <f t="shared" si="2"/>
        <v>2</v>
      </c>
      <c r="P53" s="378" t="s">
        <v>1147</v>
      </c>
      <c r="Q53" s="380" t="s">
        <v>1148</v>
      </c>
      <c r="R53" s="378"/>
    </row>
    <row r="54" spans="1:18" hidden="1" outlineLevel="1">
      <c r="A54" s="394"/>
      <c r="B54" s="637"/>
      <c r="C54" s="382" t="s">
        <v>1188</v>
      </c>
      <c r="D54" s="387">
        <v>0.9</v>
      </c>
      <c r="E54" s="389"/>
      <c r="F54" s="398">
        <v>0.4</v>
      </c>
      <c r="G54" s="387"/>
      <c r="H54" s="387"/>
      <c r="I54" s="387"/>
      <c r="J54" s="387"/>
      <c r="K54" s="378">
        <v>1</v>
      </c>
      <c r="L54" s="378"/>
      <c r="M54" s="379">
        <f>IFERROR(MIN(MAX(0,IF(K54="N/A",0,IF((D54=E54),5,5-QUOTIENT(D54,E54)))), MAX(0,IF(K54="N/A",0,IF((F54=G54),5,5-QUOTIENT(F54,G54))))),0)</f>
        <v>0</v>
      </c>
      <c r="N54" s="378">
        <f t="shared" ref="N54:N56" si="9">IF(K54="N/A", 1, 2)</f>
        <v>2</v>
      </c>
      <c r="O54" s="379">
        <f t="shared" si="2"/>
        <v>2</v>
      </c>
      <c r="P54" s="378" t="s">
        <v>1147</v>
      </c>
      <c r="Q54" s="380" t="s">
        <v>1148</v>
      </c>
      <c r="R54" s="378"/>
    </row>
    <row r="55" spans="1:18" hidden="1" outlineLevel="1">
      <c r="A55" s="394"/>
      <c r="B55" s="637"/>
      <c r="C55" s="382" t="s">
        <v>1170</v>
      </c>
      <c r="D55" s="390">
        <v>0.05</v>
      </c>
      <c r="E55" s="389"/>
      <c r="F55" s="390">
        <v>0.05</v>
      </c>
      <c r="G55" s="387"/>
      <c r="H55" s="387"/>
      <c r="I55" s="387"/>
      <c r="J55" s="387"/>
      <c r="K55" s="378">
        <v>1</v>
      </c>
      <c r="L55" s="378"/>
      <c r="M55" s="379">
        <f>IFERROR(MIN(MAX(0,IF(K55="N/A",0,IF((D55=E55),5,5-QUOTIENT(D55,E55)))), MAX(0,IF(K55="N/A",0,IF((F55=G55),5,5-QUOTIENT(F55,G55))))),0)</f>
        <v>0</v>
      </c>
      <c r="N55" s="378">
        <f t="shared" si="9"/>
        <v>2</v>
      </c>
      <c r="O55" s="379">
        <f t="shared" si="2"/>
        <v>2</v>
      </c>
      <c r="P55" s="378" t="s">
        <v>1147</v>
      </c>
      <c r="Q55" s="380" t="s">
        <v>1148</v>
      </c>
      <c r="R55" s="378"/>
    </row>
    <row r="56" spans="1:18" hidden="1" outlineLevel="1">
      <c r="A56" s="394"/>
      <c r="B56" s="638"/>
      <c r="C56" s="382" t="s">
        <v>1189</v>
      </c>
      <c r="D56" s="391">
        <v>100</v>
      </c>
      <c r="E56" s="389"/>
      <c r="F56" s="391">
        <v>100</v>
      </c>
      <c r="G56" s="387"/>
      <c r="H56" s="387"/>
      <c r="I56" s="387"/>
      <c r="J56" s="387"/>
      <c r="K56" s="378">
        <v>1</v>
      </c>
      <c r="L56" s="378"/>
      <c r="M56" s="379">
        <f>IFERROR(MIN(MAX(0,IF(K56="N/A",0,IF((D56=E56),5,5-QUOTIENT(D56,E56)))), MAX(0,IF(K56="N/A",0,IF((F56=G56),5,5-QUOTIENT(F56,G56))))),0)</f>
        <v>0</v>
      </c>
      <c r="N56" s="378">
        <f t="shared" si="9"/>
        <v>2</v>
      </c>
      <c r="O56" s="379">
        <f t="shared" si="2"/>
        <v>2</v>
      </c>
      <c r="P56" s="378" t="s">
        <v>1147</v>
      </c>
      <c r="Q56" s="380" t="s">
        <v>1148</v>
      </c>
      <c r="R56" s="378"/>
    </row>
    <row r="57" spans="1:18" hidden="1" outlineLevel="1">
      <c r="A57" s="394" t="s">
        <v>1190</v>
      </c>
      <c r="B57" s="396"/>
      <c r="C57" s="382"/>
      <c r="D57" s="391"/>
      <c r="E57" s="389"/>
      <c r="F57" s="391"/>
      <c r="G57" s="387"/>
      <c r="H57" s="387"/>
      <c r="I57" s="387"/>
      <c r="J57" s="387"/>
      <c r="K57" s="378"/>
      <c r="L57" s="378"/>
      <c r="M57" s="379">
        <f>IFERROR(MIN(M58:M61),0)</f>
        <v>0</v>
      </c>
      <c r="N57" s="378">
        <f>N58</f>
        <v>2</v>
      </c>
      <c r="O57" s="379">
        <f t="shared" si="2"/>
        <v>2</v>
      </c>
      <c r="P57" s="378" t="s">
        <v>1147</v>
      </c>
      <c r="Q57" s="380" t="s">
        <v>1148</v>
      </c>
      <c r="R57" s="378"/>
    </row>
    <row r="58" spans="1:18" hidden="1" outlineLevel="1">
      <c r="A58" s="394"/>
      <c r="B58" s="397" t="s">
        <v>752</v>
      </c>
      <c r="C58" s="382" t="s">
        <v>1191</v>
      </c>
      <c r="D58" s="387">
        <v>0.85</v>
      </c>
      <c r="E58" s="389"/>
      <c r="F58" s="398">
        <v>0.85</v>
      </c>
      <c r="G58" s="387"/>
      <c r="H58" s="387"/>
      <c r="I58" s="387"/>
      <c r="J58" s="387"/>
      <c r="K58" s="378">
        <v>1</v>
      </c>
      <c r="L58" s="378"/>
      <c r="M58" s="379">
        <f>IFERROR(MIN(MAX(0,IF(K58="N/A",0,IF((D58=E58),5,5-QUOTIENT(D58,E58)))), MAX(0,IF(K58="N/A",0,IF((F58=G58),5,5-QUOTIENT(F58,G58))))),0)</f>
        <v>0</v>
      </c>
      <c r="N58" s="378">
        <f>IF(K58="N/A", 1, 2)</f>
        <v>2</v>
      </c>
      <c r="O58" s="379">
        <f t="shared" si="2"/>
        <v>2</v>
      </c>
      <c r="P58" s="378" t="s">
        <v>1147</v>
      </c>
      <c r="Q58" s="380" t="s">
        <v>1148</v>
      </c>
      <c r="R58" s="378"/>
    </row>
    <row r="59" spans="1:18" hidden="1" outlineLevel="1">
      <c r="A59" s="394"/>
      <c r="B59" s="397" t="s">
        <v>752</v>
      </c>
      <c r="C59" s="400" t="s">
        <v>1170</v>
      </c>
      <c r="D59" s="401">
        <v>1</v>
      </c>
      <c r="E59" s="389"/>
      <c r="F59" s="401">
        <v>1</v>
      </c>
      <c r="G59" s="387"/>
      <c r="H59" s="387"/>
      <c r="I59" s="387"/>
      <c r="J59" s="387"/>
      <c r="K59" s="378">
        <v>1</v>
      </c>
      <c r="L59" s="378"/>
      <c r="M59" s="379">
        <f>IFERROR(MIN(MAX(0,IF(K59="N/A",0,IF((D59=E59),5,5-QUOTIENT(D59,E59)))), MAX(0,IF(K59="N/A",0,IF((F59=G59),5,5-QUOTIENT(F59,G59))))),0)</f>
        <v>0</v>
      </c>
      <c r="N59" s="378">
        <f t="shared" ref="N59:N61" si="10">IF(K59="N/A", 1, 2)</f>
        <v>2</v>
      </c>
      <c r="O59" s="379">
        <f t="shared" si="2"/>
        <v>2</v>
      </c>
      <c r="P59" s="378" t="s">
        <v>1147</v>
      </c>
      <c r="Q59" s="380" t="s">
        <v>1148</v>
      </c>
      <c r="R59" s="378"/>
    </row>
    <row r="60" spans="1:18" hidden="1" outlineLevel="1">
      <c r="A60" s="394"/>
      <c r="B60" s="402" t="s">
        <v>1192</v>
      </c>
      <c r="C60" s="400" t="s">
        <v>1193</v>
      </c>
      <c r="D60" s="403">
        <v>0.999</v>
      </c>
      <c r="E60" s="389"/>
      <c r="F60" s="403">
        <v>0.999</v>
      </c>
      <c r="G60" s="387"/>
      <c r="H60" s="387"/>
      <c r="I60" s="387"/>
      <c r="J60" s="387"/>
      <c r="K60" s="378">
        <v>1</v>
      </c>
      <c r="L60" s="378"/>
      <c r="M60" s="379">
        <f>IFERROR(MIN(MAX(0,IF(K60="N/A",0,IF((D60=E60),5,5-QUOTIENT(D60,E60)))), MAX(0,IF(K60="N/A",0,IF((F60=G60),5,5-QUOTIENT(F60,G60))))),0)</f>
        <v>0</v>
      </c>
      <c r="N60" s="378">
        <f t="shared" si="10"/>
        <v>2</v>
      </c>
      <c r="O60" s="379">
        <f t="shared" si="2"/>
        <v>2</v>
      </c>
      <c r="P60" s="378" t="s">
        <v>1147</v>
      </c>
      <c r="Q60" s="380" t="s">
        <v>1148</v>
      </c>
      <c r="R60" s="378"/>
    </row>
    <row r="61" spans="1:18" hidden="1" outlineLevel="1">
      <c r="A61" s="394"/>
      <c r="B61" s="402" t="s">
        <v>1192</v>
      </c>
      <c r="C61" s="400" t="s">
        <v>1194</v>
      </c>
      <c r="D61" s="403">
        <v>0.999</v>
      </c>
      <c r="E61" s="389"/>
      <c r="F61" s="403">
        <v>0.999</v>
      </c>
      <c r="G61" s="387"/>
      <c r="H61" s="387"/>
      <c r="I61" s="387"/>
      <c r="J61" s="387"/>
      <c r="K61" s="378">
        <v>1</v>
      </c>
      <c r="L61" s="378"/>
      <c r="M61" s="379">
        <f>IFERROR(MIN(MAX(0,IF(K61="N/A",0,IF((D61=E61),5,5-QUOTIENT(D61,E61)))), MAX(0,IF(K61="N/A",0,IF((F61=G61),5,5-QUOTIENT(F61,G61))))),0)</f>
        <v>0</v>
      </c>
      <c r="N61" s="378">
        <f t="shared" si="10"/>
        <v>2</v>
      </c>
      <c r="O61" s="379">
        <f t="shared" si="2"/>
        <v>2</v>
      </c>
      <c r="P61" s="378" t="s">
        <v>1147</v>
      </c>
      <c r="Q61" s="380" t="s">
        <v>1148</v>
      </c>
      <c r="R61" s="378"/>
    </row>
    <row r="62" spans="1:18" hidden="1" outlineLevel="1">
      <c r="A62" s="404" t="s">
        <v>1195</v>
      </c>
      <c r="B62" s="405"/>
      <c r="C62" s="400"/>
      <c r="D62" s="403"/>
      <c r="E62" s="389"/>
      <c r="F62" s="403"/>
      <c r="G62" s="387"/>
      <c r="H62" s="387"/>
      <c r="I62" s="387"/>
      <c r="J62" s="387"/>
      <c r="K62" s="378"/>
      <c r="L62" s="378"/>
      <c r="M62" s="379">
        <f>IFERROR(MIN(M63:M74),0)</f>
        <v>0</v>
      </c>
      <c r="N62" s="378">
        <f>N65</f>
        <v>2</v>
      </c>
      <c r="O62" s="379">
        <f t="shared" si="2"/>
        <v>2</v>
      </c>
      <c r="P62" s="378" t="s">
        <v>1147</v>
      </c>
      <c r="Q62" s="380" t="s">
        <v>1148</v>
      </c>
      <c r="R62" s="378"/>
    </row>
    <row r="63" spans="1:18" hidden="1" outlineLevel="1">
      <c r="A63" s="406"/>
      <c r="B63" s="639" t="s">
        <v>1196</v>
      </c>
      <c r="C63" s="382" t="s">
        <v>1197</v>
      </c>
      <c r="D63" s="387">
        <v>0.99</v>
      </c>
      <c r="E63" s="389"/>
      <c r="F63" s="398">
        <v>0.95</v>
      </c>
      <c r="G63" s="387"/>
      <c r="H63" s="387"/>
      <c r="I63" s="387"/>
      <c r="J63" s="387"/>
      <c r="K63" s="378">
        <v>1</v>
      </c>
      <c r="L63" s="378"/>
      <c r="M63" s="379">
        <f t="shared" ref="M63:M74" si="11">IFERROR(MIN(MAX(0,IF(K63="N/A",0,IF((D63=E63),5,5-QUOTIENT(D63,E63)))), MAX(0,IF(K63="N/A",0,IF((F63=G63),5,5-QUOTIENT(F63,G63))))),0)</f>
        <v>0</v>
      </c>
      <c r="N63" s="378">
        <f>IF(K63="N/A", 1, 2)</f>
        <v>2</v>
      </c>
      <c r="O63" s="379">
        <f t="shared" si="2"/>
        <v>2</v>
      </c>
      <c r="P63" s="378" t="s">
        <v>1147</v>
      </c>
      <c r="Q63" s="380" t="s">
        <v>1148</v>
      </c>
      <c r="R63" s="378"/>
    </row>
    <row r="64" spans="1:18" hidden="1" outlineLevel="1">
      <c r="A64" s="406"/>
      <c r="B64" s="640"/>
      <c r="C64" s="382" t="s">
        <v>1198</v>
      </c>
      <c r="D64" s="387">
        <v>0.85</v>
      </c>
      <c r="E64" s="389"/>
      <c r="F64" s="398">
        <v>0.8</v>
      </c>
      <c r="G64" s="387"/>
      <c r="H64" s="387"/>
      <c r="I64" s="387"/>
      <c r="J64" s="387"/>
      <c r="K64" s="378">
        <v>1</v>
      </c>
      <c r="L64" s="378"/>
      <c r="M64" s="379">
        <f t="shared" si="11"/>
        <v>0</v>
      </c>
      <c r="N64" s="378">
        <f t="shared" ref="N64:N65" si="12">IF(K64="N/A", 1, 2)</f>
        <v>2</v>
      </c>
      <c r="O64" s="379">
        <f t="shared" si="2"/>
        <v>2</v>
      </c>
      <c r="P64" s="378" t="s">
        <v>1147</v>
      </c>
      <c r="Q64" s="380" t="s">
        <v>1148</v>
      </c>
      <c r="R64" s="378"/>
    </row>
    <row r="65" spans="1:18" ht="15" hidden="1" customHeight="1" outlineLevel="1">
      <c r="A65" s="406"/>
      <c r="B65" s="641"/>
      <c r="C65" s="382" t="s">
        <v>1193</v>
      </c>
      <c r="D65" s="387">
        <v>0.99</v>
      </c>
      <c r="E65" s="389"/>
      <c r="F65" s="398">
        <v>0.95</v>
      </c>
      <c r="G65" s="387"/>
      <c r="H65" s="387"/>
      <c r="I65" s="387"/>
      <c r="J65" s="387"/>
      <c r="K65" s="378">
        <v>1</v>
      </c>
      <c r="L65" s="378"/>
      <c r="M65" s="379">
        <f t="shared" si="11"/>
        <v>0</v>
      </c>
      <c r="N65" s="378">
        <f t="shared" si="12"/>
        <v>2</v>
      </c>
      <c r="O65" s="379">
        <f t="shared" si="2"/>
        <v>2</v>
      </c>
      <c r="P65" s="378" t="s">
        <v>1147</v>
      </c>
      <c r="Q65" s="380" t="s">
        <v>1148</v>
      </c>
      <c r="R65" s="378"/>
    </row>
    <row r="66" spans="1:18" hidden="1" outlineLevel="1">
      <c r="A66" s="406"/>
      <c r="B66" s="639" t="s">
        <v>1199</v>
      </c>
      <c r="C66" s="382" t="s">
        <v>1197</v>
      </c>
      <c r="D66" s="387">
        <v>0.99</v>
      </c>
      <c r="E66" s="389"/>
      <c r="F66" s="398">
        <v>0.95</v>
      </c>
      <c r="G66" s="387"/>
      <c r="H66" s="387"/>
      <c r="I66" s="387"/>
      <c r="J66" s="387"/>
      <c r="K66" s="378" t="s">
        <v>549</v>
      </c>
      <c r="L66" s="378"/>
      <c r="M66" s="379">
        <f t="shared" si="11"/>
        <v>0</v>
      </c>
      <c r="N66" s="378">
        <f>IF(K66="N/A", 1, 2)</f>
        <v>1</v>
      </c>
      <c r="O66" s="379">
        <f t="shared" si="2"/>
        <v>1</v>
      </c>
      <c r="P66" s="378" t="s">
        <v>1147</v>
      </c>
      <c r="Q66" s="380" t="s">
        <v>1148</v>
      </c>
      <c r="R66" s="378"/>
    </row>
    <row r="67" spans="1:18" hidden="1" outlineLevel="1">
      <c r="A67" s="406"/>
      <c r="B67" s="640"/>
      <c r="C67" s="382" t="s">
        <v>1198</v>
      </c>
      <c r="D67" s="387">
        <v>0.85</v>
      </c>
      <c r="E67" s="389"/>
      <c r="F67" s="398">
        <v>0.8</v>
      </c>
      <c r="G67" s="387"/>
      <c r="H67" s="387"/>
      <c r="I67" s="387"/>
      <c r="J67" s="387"/>
      <c r="K67" s="378" t="s">
        <v>549</v>
      </c>
      <c r="L67" s="378"/>
      <c r="M67" s="379">
        <f t="shared" si="11"/>
        <v>0</v>
      </c>
      <c r="N67" s="378">
        <f t="shared" ref="N67:N74" si="13">IF(K67="N/A", 1, 2)</f>
        <v>1</v>
      </c>
      <c r="O67" s="379">
        <f t="shared" si="2"/>
        <v>1</v>
      </c>
      <c r="P67" s="378" t="s">
        <v>1147</v>
      </c>
      <c r="Q67" s="380" t="s">
        <v>1148</v>
      </c>
      <c r="R67" s="378"/>
    </row>
    <row r="68" spans="1:18" hidden="1" outlineLevel="1">
      <c r="A68" s="406"/>
      <c r="B68" s="641"/>
      <c r="C68" s="382" t="s">
        <v>1193</v>
      </c>
      <c r="D68" s="387">
        <v>0.99</v>
      </c>
      <c r="E68" s="389"/>
      <c r="F68" s="398">
        <v>0.95</v>
      </c>
      <c r="G68" s="387"/>
      <c r="H68" s="387"/>
      <c r="I68" s="387"/>
      <c r="J68" s="387"/>
      <c r="K68" s="378" t="s">
        <v>549</v>
      </c>
      <c r="L68" s="378"/>
      <c r="M68" s="379">
        <f t="shared" si="11"/>
        <v>0</v>
      </c>
      <c r="N68" s="378">
        <f t="shared" si="13"/>
        <v>1</v>
      </c>
      <c r="O68" s="379">
        <f t="shared" si="2"/>
        <v>1</v>
      </c>
      <c r="P68" s="378" t="s">
        <v>1147</v>
      </c>
      <c r="Q68" s="380" t="s">
        <v>1148</v>
      </c>
      <c r="R68" s="378"/>
    </row>
    <row r="69" spans="1:18" hidden="1" outlineLevel="1">
      <c r="A69" s="406"/>
      <c r="B69" s="639" t="s">
        <v>1200</v>
      </c>
      <c r="C69" s="382" t="s">
        <v>1197</v>
      </c>
      <c r="D69" s="387">
        <v>0.99</v>
      </c>
      <c r="E69" s="389"/>
      <c r="F69" s="398">
        <v>0.95</v>
      </c>
      <c r="G69" s="387"/>
      <c r="H69" s="387"/>
      <c r="I69" s="387"/>
      <c r="J69" s="387"/>
      <c r="K69" s="378" t="s">
        <v>549</v>
      </c>
      <c r="L69" s="378"/>
      <c r="M69" s="379">
        <f t="shared" si="11"/>
        <v>0</v>
      </c>
      <c r="N69" s="378">
        <f t="shared" si="13"/>
        <v>1</v>
      </c>
      <c r="O69" s="379">
        <f t="shared" si="2"/>
        <v>1</v>
      </c>
      <c r="P69" s="378" t="s">
        <v>1147</v>
      </c>
      <c r="Q69" s="380" t="s">
        <v>1148</v>
      </c>
      <c r="R69" s="378"/>
    </row>
    <row r="70" spans="1:18" hidden="1" outlineLevel="1">
      <c r="A70" s="406"/>
      <c r="B70" s="640"/>
      <c r="C70" s="382" t="s">
        <v>1198</v>
      </c>
      <c r="D70" s="387">
        <v>0.85</v>
      </c>
      <c r="E70" s="389"/>
      <c r="F70" s="398">
        <v>0.8</v>
      </c>
      <c r="G70" s="387"/>
      <c r="H70" s="387"/>
      <c r="I70" s="387"/>
      <c r="J70" s="387"/>
      <c r="K70" s="378" t="s">
        <v>549</v>
      </c>
      <c r="L70" s="378"/>
      <c r="M70" s="379">
        <f t="shared" si="11"/>
        <v>0</v>
      </c>
      <c r="N70" s="378">
        <f t="shared" si="13"/>
        <v>1</v>
      </c>
      <c r="O70" s="379">
        <f t="shared" si="2"/>
        <v>1</v>
      </c>
      <c r="P70" s="378" t="s">
        <v>1147</v>
      </c>
      <c r="Q70" s="380" t="s">
        <v>1148</v>
      </c>
      <c r="R70" s="378"/>
    </row>
    <row r="71" spans="1:18" hidden="1" outlineLevel="1">
      <c r="A71" s="406"/>
      <c r="B71" s="641"/>
      <c r="C71" s="382" t="s">
        <v>1193</v>
      </c>
      <c r="D71" s="387">
        <v>0.99</v>
      </c>
      <c r="E71" s="389"/>
      <c r="F71" s="398">
        <v>0.95</v>
      </c>
      <c r="G71" s="387"/>
      <c r="H71" s="387"/>
      <c r="I71" s="387"/>
      <c r="J71" s="387"/>
      <c r="K71" s="378" t="s">
        <v>549</v>
      </c>
      <c r="L71" s="378"/>
      <c r="M71" s="379">
        <f t="shared" si="11"/>
        <v>0</v>
      </c>
      <c r="N71" s="378">
        <f t="shared" si="13"/>
        <v>1</v>
      </c>
      <c r="O71" s="379">
        <f t="shared" si="2"/>
        <v>1</v>
      </c>
      <c r="P71" s="378" t="s">
        <v>1147</v>
      </c>
      <c r="Q71" s="380" t="s">
        <v>1148</v>
      </c>
      <c r="R71" s="378"/>
    </row>
    <row r="72" spans="1:18" hidden="1" outlineLevel="1">
      <c r="A72" s="406"/>
      <c r="B72" s="639" t="s">
        <v>1201</v>
      </c>
      <c r="C72" s="382" t="s">
        <v>1197</v>
      </c>
      <c r="D72" s="387">
        <v>0.99</v>
      </c>
      <c r="E72" s="389"/>
      <c r="F72" s="398">
        <v>0.95</v>
      </c>
      <c r="G72" s="387"/>
      <c r="H72" s="387"/>
      <c r="I72" s="387"/>
      <c r="J72" s="387"/>
      <c r="K72" s="378" t="s">
        <v>549</v>
      </c>
      <c r="L72" s="378"/>
      <c r="M72" s="379">
        <f t="shared" si="11"/>
        <v>0</v>
      </c>
      <c r="N72" s="378">
        <f t="shared" si="13"/>
        <v>1</v>
      </c>
      <c r="O72" s="379">
        <f t="shared" si="2"/>
        <v>1</v>
      </c>
      <c r="P72" s="378" t="s">
        <v>1147</v>
      </c>
      <c r="Q72" s="380" t="s">
        <v>1148</v>
      </c>
      <c r="R72" s="378"/>
    </row>
    <row r="73" spans="1:18" hidden="1" outlineLevel="1">
      <c r="A73" s="406"/>
      <c r="B73" s="640"/>
      <c r="C73" s="382" t="s">
        <v>1198</v>
      </c>
      <c r="D73" s="387">
        <v>0.85</v>
      </c>
      <c r="E73" s="389"/>
      <c r="F73" s="398">
        <v>0.8</v>
      </c>
      <c r="G73" s="387"/>
      <c r="H73" s="387"/>
      <c r="I73" s="387"/>
      <c r="J73" s="387"/>
      <c r="K73" s="378" t="s">
        <v>549</v>
      </c>
      <c r="L73" s="378"/>
      <c r="M73" s="379">
        <f t="shared" si="11"/>
        <v>0</v>
      </c>
      <c r="N73" s="378">
        <f t="shared" si="13"/>
        <v>1</v>
      </c>
      <c r="O73" s="379">
        <f t="shared" si="2"/>
        <v>1</v>
      </c>
      <c r="P73" s="378" t="s">
        <v>1147</v>
      </c>
      <c r="Q73" s="380" t="s">
        <v>1148</v>
      </c>
      <c r="R73" s="378"/>
    </row>
    <row r="74" spans="1:18" hidden="1" outlineLevel="1">
      <c r="A74" s="406"/>
      <c r="B74" s="641"/>
      <c r="C74" s="382" t="s">
        <v>1193</v>
      </c>
      <c r="D74" s="387">
        <v>0.99</v>
      </c>
      <c r="E74" s="389"/>
      <c r="F74" s="398">
        <v>0.95</v>
      </c>
      <c r="G74" s="387"/>
      <c r="H74" s="387"/>
      <c r="I74" s="387"/>
      <c r="J74" s="387"/>
      <c r="K74" s="378" t="s">
        <v>549</v>
      </c>
      <c r="L74" s="378"/>
      <c r="M74" s="379">
        <f t="shared" si="11"/>
        <v>0</v>
      </c>
      <c r="N74" s="378">
        <f t="shared" si="13"/>
        <v>1</v>
      </c>
      <c r="O74" s="379">
        <f t="shared" si="2"/>
        <v>1</v>
      </c>
      <c r="P74" s="378" t="s">
        <v>1147</v>
      </c>
      <c r="Q74" s="380" t="s">
        <v>1148</v>
      </c>
      <c r="R74" s="378"/>
    </row>
    <row r="75" spans="1:18" hidden="1" outlineLevel="1">
      <c r="A75" s="404" t="s">
        <v>1202</v>
      </c>
      <c r="B75" s="407"/>
      <c r="C75" s="382"/>
      <c r="D75" s="387"/>
      <c r="E75" s="389"/>
      <c r="F75" s="398"/>
      <c r="G75" s="387"/>
      <c r="H75" s="387"/>
      <c r="I75" s="387"/>
      <c r="J75" s="387"/>
      <c r="K75" s="378"/>
      <c r="L75" s="378"/>
      <c r="M75" s="379">
        <f>M76</f>
        <v>0</v>
      </c>
      <c r="N75" s="378">
        <f>N76</f>
        <v>1</v>
      </c>
      <c r="O75" s="379">
        <f t="shared" si="2"/>
        <v>1</v>
      </c>
      <c r="P75" s="378" t="s">
        <v>1147</v>
      </c>
      <c r="Q75" s="380" t="s">
        <v>1148</v>
      </c>
      <c r="R75" s="378"/>
    </row>
    <row r="76" spans="1:18" hidden="1" outlineLevel="1">
      <c r="A76" s="406"/>
      <c r="B76" s="388" t="s">
        <v>1192</v>
      </c>
      <c r="C76" s="382" t="s">
        <v>1203</v>
      </c>
      <c r="D76" s="387">
        <v>0.95</v>
      </c>
      <c r="E76" s="389"/>
      <c r="F76" s="398">
        <v>0.9</v>
      </c>
      <c r="G76" s="387"/>
      <c r="H76" s="387"/>
      <c r="I76" s="387"/>
      <c r="J76" s="387"/>
      <c r="K76" s="378" t="s">
        <v>549</v>
      </c>
      <c r="L76" s="378"/>
      <c r="M76" s="379">
        <f>IFERROR(MIN(MAX(0,IF(K76="N/A",0,IF((D76=E76),5,5-QUOTIENT(D76,E76)))), MAX(0,IF(K76="N/A",0,IF((F76=G76),5,5-QUOTIENT(F76,G76))))),0)</f>
        <v>0</v>
      </c>
      <c r="N76" s="378">
        <f>IF(K76="N/A", 1, 2)</f>
        <v>1</v>
      </c>
      <c r="O76" s="379">
        <f t="shared" si="2"/>
        <v>1</v>
      </c>
      <c r="P76" s="378" t="s">
        <v>1147</v>
      </c>
      <c r="Q76" s="380" t="s">
        <v>1148</v>
      </c>
      <c r="R76" s="378"/>
    </row>
    <row r="77" spans="1:18" hidden="1" outlineLevel="1">
      <c r="A77" s="404" t="s">
        <v>1204</v>
      </c>
      <c r="B77" s="408"/>
      <c r="C77" s="382"/>
      <c r="D77" s="387"/>
      <c r="E77" s="389"/>
      <c r="F77" s="398"/>
      <c r="G77" s="387"/>
      <c r="H77" s="387"/>
      <c r="I77" s="387"/>
      <c r="J77" s="387"/>
      <c r="K77" s="378"/>
      <c r="L77" s="378"/>
      <c r="M77" s="379">
        <f>IFERROR(MIN(M78:M79),0)</f>
        <v>0</v>
      </c>
      <c r="N77" s="378">
        <f>N78</f>
        <v>1</v>
      </c>
      <c r="O77" s="379">
        <f t="shared" si="2"/>
        <v>1</v>
      </c>
      <c r="P77" s="378" t="s">
        <v>1147</v>
      </c>
      <c r="Q77" s="380" t="s">
        <v>1148</v>
      </c>
      <c r="R77" s="378"/>
    </row>
    <row r="78" spans="1:18" hidden="1" outlineLevel="1">
      <c r="A78" s="404"/>
      <c r="B78" s="644" t="s">
        <v>1205</v>
      </c>
      <c r="C78" s="382" t="s">
        <v>1206</v>
      </c>
      <c r="D78" s="387">
        <v>0.9</v>
      </c>
      <c r="E78" s="389"/>
      <c r="F78" s="398" t="s">
        <v>549</v>
      </c>
      <c r="G78" s="387"/>
      <c r="H78" s="387"/>
      <c r="I78" s="387"/>
      <c r="J78" s="387"/>
      <c r="K78" s="378" t="s">
        <v>549</v>
      </c>
      <c r="L78" s="378"/>
      <c r="M78" s="379">
        <f>IFERROR(MIN(MAX(0,IF(K78="N/A",0,IF((D78=E78),5,5-QUOTIENT(D78,E78)))), MAX(0,IF(K78="N/A",0,IF((F78=G78),5,5-QUOTIENT(F78,G78))))),0)</f>
        <v>0</v>
      </c>
      <c r="N78" s="378">
        <f>IF(K78="N/A", 1, 2)</f>
        <v>1</v>
      </c>
      <c r="O78" s="379">
        <f t="shared" si="2"/>
        <v>1</v>
      </c>
      <c r="P78" s="378" t="s">
        <v>1147</v>
      </c>
      <c r="Q78" s="380" t="s">
        <v>1148</v>
      </c>
      <c r="R78" s="378"/>
    </row>
    <row r="79" spans="1:18" hidden="1" outlineLevel="1">
      <c r="A79" s="404"/>
      <c r="B79" s="645"/>
      <c r="C79" s="382" t="s">
        <v>1207</v>
      </c>
      <c r="D79" s="387">
        <v>0.9</v>
      </c>
      <c r="E79" s="389"/>
      <c r="F79" s="398" t="s">
        <v>549</v>
      </c>
      <c r="G79" s="387"/>
      <c r="H79" s="387"/>
      <c r="I79" s="387"/>
      <c r="J79" s="387"/>
      <c r="K79" s="378" t="s">
        <v>549</v>
      </c>
      <c r="L79" s="378"/>
      <c r="M79" s="379">
        <f>IFERROR(MIN(MAX(0,IF(K79="N/A",0,IF((D79=E79),5,5-QUOTIENT(D79,E79)))), MAX(0,IF(K79="N/A",0,IF((F79=G79),5,5-QUOTIENT(F79,G79))))),0)</f>
        <v>0</v>
      </c>
      <c r="N79" s="378">
        <f>IF(K79="N/A", 1, 2)</f>
        <v>1</v>
      </c>
      <c r="O79" s="379">
        <f t="shared" si="2"/>
        <v>1</v>
      </c>
      <c r="P79" s="378" t="s">
        <v>1147</v>
      </c>
      <c r="Q79" s="380" t="s">
        <v>1148</v>
      </c>
      <c r="R79" s="378"/>
    </row>
    <row r="80" spans="1:18" hidden="1" outlineLevel="1">
      <c r="A80" s="404" t="s">
        <v>1208</v>
      </c>
      <c r="B80" s="408"/>
      <c r="C80" s="382"/>
      <c r="D80" s="387"/>
      <c r="E80" s="389"/>
      <c r="F80" s="398"/>
      <c r="G80" s="387"/>
      <c r="H80" s="387"/>
      <c r="I80" s="387"/>
      <c r="J80" s="387"/>
      <c r="K80" s="378"/>
      <c r="L80" s="378"/>
      <c r="M80" s="379">
        <f>IFERROR(MIN(M81:M82),0)</f>
        <v>0</v>
      </c>
      <c r="N80" s="378">
        <f>N81</f>
        <v>1</v>
      </c>
      <c r="O80" s="379">
        <f>MAX(M80:N80)</f>
        <v>1</v>
      </c>
      <c r="P80" s="378" t="s">
        <v>1147</v>
      </c>
      <c r="Q80" s="380" t="s">
        <v>1148</v>
      </c>
      <c r="R80" s="378"/>
    </row>
    <row r="81" spans="1:18" hidden="1" outlineLevel="1">
      <c r="A81" s="404"/>
      <c r="B81" s="644" t="s">
        <v>1209</v>
      </c>
      <c r="C81" s="382" t="s">
        <v>1210</v>
      </c>
      <c r="D81" s="387">
        <v>0.9</v>
      </c>
      <c r="E81" s="389"/>
      <c r="F81" s="398" t="s">
        <v>549</v>
      </c>
      <c r="G81" s="387"/>
      <c r="H81" s="387"/>
      <c r="I81" s="387"/>
      <c r="J81" s="387"/>
      <c r="K81" s="378" t="s">
        <v>549</v>
      </c>
      <c r="L81" s="378"/>
      <c r="M81" s="379">
        <f>IFERROR(MIN(MAX(0,IF(K81="N/A",0,IF((D81=E81),5,5-QUOTIENT(D81,E81)))), MAX(0,IF(K81="N/A",0,IF((F81=G81),5,5-QUOTIENT(F81,G81))))),0)</f>
        <v>0</v>
      </c>
      <c r="N81" s="378">
        <f>IF(K81="N/A", 1, 2)</f>
        <v>1</v>
      </c>
      <c r="O81" s="379">
        <f t="shared" ref="O81:O85" si="14">MAX(M81:N81)</f>
        <v>1</v>
      </c>
      <c r="P81" s="378" t="s">
        <v>1147</v>
      </c>
      <c r="Q81" s="380" t="s">
        <v>1148</v>
      </c>
      <c r="R81" s="378"/>
    </row>
    <row r="82" spans="1:18" hidden="1" outlineLevel="1">
      <c r="A82" s="404"/>
      <c r="B82" s="645"/>
      <c r="C82" s="382" t="s">
        <v>1211</v>
      </c>
      <c r="D82" s="387">
        <v>0.9</v>
      </c>
      <c r="E82" s="389"/>
      <c r="F82" s="398" t="s">
        <v>549</v>
      </c>
      <c r="G82" s="387"/>
      <c r="H82" s="387"/>
      <c r="I82" s="387"/>
      <c r="J82" s="387"/>
      <c r="K82" s="378" t="s">
        <v>549</v>
      </c>
      <c r="L82" s="378"/>
      <c r="M82" s="379">
        <f>IFERROR(MIN(MAX(0,IF(K82="N/A",0,IF((D82=E82),5,5-QUOTIENT(D82,E82)))), MAX(0,IF(K82="N/A",0,IF((F82=G82),5,5-QUOTIENT(F82,G82))))),0)</f>
        <v>0</v>
      </c>
      <c r="N82" s="378">
        <f>IF(K82="N/A", 1, 2)</f>
        <v>1</v>
      </c>
      <c r="O82" s="379">
        <f t="shared" si="14"/>
        <v>1</v>
      </c>
      <c r="P82" s="378" t="s">
        <v>1147</v>
      </c>
      <c r="Q82" s="380" t="s">
        <v>1148</v>
      </c>
      <c r="R82" s="378"/>
    </row>
    <row r="83" spans="1:18" hidden="1" outlineLevel="1">
      <c r="A83" s="404" t="s">
        <v>1212</v>
      </c>
      <c r="B83" s="408"/>
      <c r="C83" s="382"/>
      <c r="D83" s="387"/>
      <c r="E83" s="389"/>
      <c r="F83" s="398"/>
      <c r="G83" s="387"/>
      <c r="H83" s="387"/>
      <c r="I83" s="387"/>
      <c r="J83" s="387"/>
      <c r="K83" s="378"/>
      <c r="L83" s="378"/>
      <c r="M83" s="379">
        <f>IFERROR(MIN(M84:M85),0)</f>
        <v>0</v>
      </c>
      <c r="N83" s="378">
        <f>N84</f>
        <v>1</v>
      </c>
      <c r="O83" s="379">
        <f t="shared" si="14"/>
        <v>1</v>
      </c>
      <c r="P83" s="378" t="s">
        <v>1147</v>
      </c>
      <c r="Q83" s="380" t="s">
        <v>1148</v>
      </c>
      <c r="R83" s="378"/>
    </row>
    <row r="84" spans="1:18" hidden="1" outlineLevel="1">
      <c r="A84" s="404"/>
      <c r="B84" s="644" t="s">
        <v>1213</v>
      </c>
      <c r="C84" s="382" t="s">
        <v>1214</v>
      </c>
      <c r="D84" s="387">
        <v>0.9</v>
      </c>
      <c r="E84" s="389"/>
      <c r="F84" s="398" t="s">
        <v>549</v>
      </c>
      <c r="G84" s="387"/>
      <c r="H84" s="387"/>
      <c r="I84" s="387"/>
      <c r="J84" s="387"/>
      <c r="K84" s="378" t="s">
        <v>549</v>
      </c>
      <c r="L84" s="378"/>
      <c r="M84" s="379">
        <f>IFERROR(MIN(MAX(0,IF(K84="N/A",0,IF((D84=E84),5,5-QUOTIENT(D84,E84)))), MAX(0,IF(K84="N/A",0,IF((F84=G84),5,5-QUOTIENT(F84,G84))))),0)</f>
        <v>0</v>
      </c>
      <c r="N84" s="378">
        <f>IF(K84="N/A", 1, 2)</f>
        <v>1</v>
      </c>
      <c r="O84" s="379">
        <f t="shared" si="14"/>
        <v>1</v>
      </c>
      <c r="P84" s="378" t="s">
        <v>1147</v>
      </c>
      <c r="Q84" s="380" t="s">
        <v>1148</v>
      </c>
      <c r="R84" s="378"/>
    </row>
    <row r="85" spans="1:18" hidden="1" outlineLevel="1">
      <c r="A85" s="404"/>
      <c r="B85" s="645"/>
      <c r="C85" s="382" t="s">
        <v>1215</v>
      </c>
      <c r="D85" s="387">
        <v>0.9</v>
      </c>
      <c r="E85" s="389"/>
      <c r="F85" s="398" t="s">
        <v>549</v>
      </c>
      <c r="G85" s="387"/>
      <c r="H85" s="387"/>
      <c r="I85" s="387"/>
      <c r="J85" s="387"/>
      <c r="K85" s="378" t="s">
        <v>549</v>
      </c>
      <c r="L85" s="378"/>
      <c r="M85" s="379">
        <f>IFERROR(MIN(MAX(0,IF(K85="N/A",0,IF((D85=E85),5,5-QUOTIENT(D85,E85)))), MAX(0,IF(K85="N/A",0,IF((F85=G85),5,5-QUOTIENT(F85,G85))))),0)</f>
        <v>0</v>
      </c>
      <c r="N85" s="378">
        <f>IF(K85="N/A", 1, 2)</f>
        <v>1</v>
      </c>
      <c r="O85" s="379">
        <f t="shared" si="14"/>
        <v>1</v>
      </c>
      <c r="P85" s="378" t="s">
        <v>1147</v>
      </c>
      <c r="Q85" s="380" t="s">
        <v>1148</v>
      </c>
      <c r="R85" s="378"/>
    </row>
    <row r="86" spans="1:18" hidden="1" outlineLevel="1">
      <c r="A86" s="388" t="s">
        <v>1216</v>
      </c>
      <c r="B86" s="409"/>
      <c r="C86" s="382"/>
      <c r="D86" s="387"/>
      <c r="E86" s="389"/>
      <c r="F86" s="398"/>
      <c r="G86" s="387"/>
      <c r="H86" s="387"/>
      <c r="I86" s="387"/>
      <c r="J86" s="387"/>
      <c r="K86" s="378"/>
      <c r="L86" s="378"/>
      <c r="M86" s="379"/>
      <c r="N86" s="378"/>
      <c r="O86" s="379"/>
      <c r="P86" s="378" t="s">
        <v>1147</v>
      </c>
      <c r="Q86" s="380" t="s">
        <v>1148</v>
      </c>
      <c r="R86" s="378"/>
    </row>
    <row r="87" spans="1:18" hidden="1" outlineLevel="1">
      <c r="A87" s="388"/>
      <c r="B87" s="633" t="s">
        <v>1217</v>
      </c>
      <c r="C87" s="382" t="s">
        <v>1168</v>
      </c>
      <c r="D87" s="398" t="s">
        <v>549</v>
      </c>
      <c r="E87" s="389"/>
      <c r="F87" s="398" t="s">
        <v>549</v>
      </c>
      <c r="G87" s="387"/>
      <c r="H87" s="387"/>
      <c r="I87" s="387"/>
      <c r="J87" s="387"/>
      <c r="K87" s="378" t="s">
        <v>549</v>
      </c>
      <c r="L87" s="378"/>
      <c r="M87" s="379">
        <f t="shared" ref="M87:M92" si="15">IFERROR(MIN(MAX(0,IF(K87="N/A",0,IF((D87=E87),5,5-QUOTIENT(D87,E87)))), MAX(0,IF(K87="N/A",0,IF((F87=G87),5,5-QUOTIENT(F87,G87))))),0)</f>
        <v>0</v>
      </c>
      <c r="N87" s="378">
        <f t="shared" ref="N87:N92" si="16">IF(K87="N/A", 0, 2)</f>
        <v>0</v>
      </c>
      <c r="O87" s="379">
        <f t="shared" ref="O87:O96" si="17">MAX(M87:N87)</f>
        <v>0</v>
      </c>
      <c r="P87" s="378" t="s">
        <v>1147</v>
      </c>
      <c r="Q87" s="380" t="s">
        <v>1148</v>
      </c>
      <c r="R87" s="378"/>
    </row>
    <row r="88" spans="1:18" hidden="1" outlineLevel="1">
      <c r="A88" s="388"/>
      <c r="B88" s="634"/>
      <c r="C88" s="382" t="s">
        <v>1169</v>
      </c>
      <c r="D88" s="398" t="s">
        <v>549</v>
      </c>
      <c r="E88" s="389"/>
      <c r="F88" s="398" t="s">
        <v>549</v>
      </c>
      <c r="G88" s="387"/>
      <c r="H88" s="387"/>
      <c r="I88" s="387"/>
      <c r="J88" s="387"/>
      <c r="K88" s="378" t="s">
        <v>549</v>
      </c>
      <c r="L88" s="378"/>
      <c r="M88" s="379">
        <f t="shared" si="15"/>
        <v>0</v>
      </c>
      <c r="N88" s="378">
        <f t="shared" si="16"/>
        <v>0</v>
      </c>
      <c r="O88" s="379">
        <f t="shared" si="17"/>
        <v>0</v>
      </c>
      <c r="P88" s="378" t="s">
        <v>1147</v>
      </c>
      <c r="Q88" s="380" t="s">
        <v>1148</v>
      </c>
      <c r="R88" s="378"/>
    </row>
    <row r="89" spans="1:18" hidden="1" outlineLevel="1">
      <c r="A89" s="388"/>
      <c r="B89" s="642" t="s">
        <v>1218</v>
      </c>
      <c r="C89" s="382" t="s">
        <v>1168</v>
      </c>
      <c r="D89" s="398" t="s">
        <v>549</v>
      </c>
      <c r="E89" s="389"/>
      <c r="F89" s="398" t="s">
        <v>549</v>
      </c>
      <c r="G89" s="387"/>
      <c r="H89" s="387"/>
      <c r="I89" s="387"/>
      <c r="J89" s="387"/>
      <c r="K89" s="378" t="s">
        <v>549</v>
      </c>
      <c r="L89" s="378"/>
      <c r="M89" s="379">
        <f t="shared" si="15"/>
        <v>0</v>
      </c>
      <c r="N89" s="378">
        <f t="shared" si="16"/>
        <v>0</v>
      </c>
      <c r="O89" s="379">
        <f t="shared" si="17"/>
        <v>0</v>
      </c>
      <c r="P89" s="378" t="s">
        <v>1147</v>
      </c>
      <c r="Q89" s="380" t="s">
        <v>1148</v>
      </c>
      <c r="R89" s="378"/>
    </row>
    <row r="90" spans="1:18" hidden="1" outlineLevel="1">
      <c r="A90" s="388"/>
      <c r="B90" s="642"/>
      <c r="C90" s="382" t="s">
        <v>1169</v>
      </c>
      <c r="D90" s="398" t="s">
        <v>549</v>
      </c>
      <c r="E90" s="389"/>
      <c r="F90" s="398" t="s">
        <v>549</v>
      </c>
      <c r="G90" s="387"/>
      <c r="H90" s="387"/>
      <c r="I90" s="387"/>
      <c r="J90" s="387"/>
      <c r="K90" s="378" t="s">
        <v>549</v>
      </c>
      <c r="L90" s="378"/>
      <c r="M90" s="379">
        <f t="shared" si="15"/>
        <v>0</v>
      </c>
      <c r="N90" s="378">
        <f t="shared" si="16"/>
        <v>0</v>
      </c>
      <c r="O90" s="379">
        <f t="shared" si="17"/>
        <v>0</v>
      </c>
      <c r="P90" s="378" t="s">
        <v>1147</v>
      </c>
      <c r="Q90" s="380" t="s">
        <v>1148</v>
      </c>
      <c r="R90" s="378"/>
    </row>
    <row r="91" spans="1:18" hidden="1" outlineLevel="1">
      <c r="A91" s="388"/>
      <c r="B91" s="642" t="s">
        <v>1219</v>
      </c>
      <c r="C91" s="382" t="s">
        <v>1168</v>
      </c>
      <c r="D91" s="398" t="s">
        <v>549</v>
      </c>
      <c r="E91" s="389"/>
      <c r="F91" s="398" t="s">
        <v>549</v>
      </c>
      <c r="G91" s="387"/>
      <c r="H91" s="387"/>
      <c r="I91" s="387"/>
      <c r="J91" s="387"/>
      <c r="K91" s="378" t="s">
        <v>549</v>
      </c>
      <c r="L91" s="378"/>
      <c r="M91" s="379">
        <f t="shared" si="15"/>
        <v>0</v>
      </c>
      <c r="N91" s="378">
        <f t="shared" si="16"/>
        <v>0</v>
      </c>
      <c r="O91" s="379">
        <f t="shared" si="17"/>
        <v>0</v>
      </c>
      <c r="P91" s="378" t="s">
        <v>1147</v>
      </c>
      <c r="Q91" s="380" t="s">
        <v>1148</v>
      </c>
      <c r="R91" s="378"/>
    </row>
    <row r="92" spans="1:18" hidden="1" outlineLevel="1">
      <c r="A92" s="388"/>
      <c r="B92" s="642"/>
      <c r="C92" s="382" t="s">
        <v>1169</v>
      </c>
      <c r="D92" s="398" t="s">
        <v>549</v>
      </c>
      <c r="E92" s="389"/>
      <c r="F92" s="398" t="s">
        <v>549</v>
      </c>
      <c r="G92" s="387"/>
      <c r="H92" s="387"/>
      <c r="I92" s="387"/>
      <c r="J92" s="387"/>
      <c r="K92" s="378" t="s">
        <v>549</v>
      </c>
      <c r="L92" s="378"/>
      <c r="M92" s="379">
        <f t="shared" si="15"/>
        <v>0</v>
      </c>
      <c r="N92" s="378">
        <f t="shared" si="16"/>
        <v>0</v>
      </c>
      <c r="O92" s="379">
        <f t="shared" si="17"/>
        <v>0</v>
      </c>
      <c r="P92" s="378" t="s">
        <v>1147</v>
      </c>
      <c r="Q92" s="380" t="s">
        <v>1148</v>
      </c>
      <c r="R92" s="378"/>
    </row>
    <row r="93" spans="1:18" hidden="1" outlineLevel="1">
      <c r="A93" s="388" t="s">
        <v>1220</v>
      </c>
      <c r="B93" s="381"/>
      <c r="C93" s="382"/>
      <c r="D93" s="398"/>
      <c r="E93" s="389"/>
      <c r="F93" s="398"/>
      <c r="G93" s="387"/>
      <c r="H93" s="387"/>
      <c r="I93" s="387"/>
      <c r="J93" s="387"/>
      <c r="K93" s="378"/>
      <c r="L93" s="378"/>
      <c r="M93" s="379">
        <f>M94</f>
        <v>0</v>
      </c>
      <c r="N93" s="378">
        <f>N94</f>
        <v>2</v>
      </c>
      <c r="O93" s="379">
        <f t="shared" si="17"/>
        <v>2</v>
      </c>
      <c r="P93" s="378" t="s">
        <v>1147</v>
      </c>
      <c r="Q93" s="380" t="s">
        <v>1148</v>
      </c>
      <c r="R93" s="378"/>
    </row>
    <row r="94" spans="1:18" hidden="1" outlineLevel="1">
      <c r="A94" s="406"/>
      <c r="B94" s="388" t="s">
        <v>1221</v>
      </c>
      <c r="C94" s="382" t="s">
        <v>1222</v>
      </c>
      <c r="D94" s="387">
        <v>0.95</v>
      </c>
      <c r="E94" s="389"/>
      <c r="F94" s="398">
        <v>0.9</v>
      </c>
      <c r="G94" s="387"/>
      <c r="H94" s="387"/>
      <c r="I94" s="387"/>
      <c r="J94" s="387"/>
      <c r="K94" s="378">
        <v>1</v>
      </c>
      <c r="L94" s="378"/>
      <c r="M94" s="379">
        <f>IFERROR(MIN(MAX(0,IF(K94="N/A",0,IF((D94=E94),5,5-QUOTIENT(D94,E94)))), MAX(0,IF(K94="N/A",0,IF((F94=G94),5,5-QUOTIENT(F94,G94))))),0)</f>
        <v>0</v>
      </c>
      <c r="N94" s="378">
        <f>IF(K94="N/A", 1, 2)</f>
        <v>2</v>
      </c>
      <c r="O94" s="379">
        <f t="shared" si="17"/>
        <v>2</v>
      </c>
      <c r="P94" s="378" t="s">
        <v>1147</v>
      </c>
      <c r="Q94" s="380" t="s">
        <v>1148</v>
      </c>
      <c r="R94" s="378"/>
    </row>
    <row r="95" spans="1:18" hidden="1" outlineLevel="1">
      <c r="A95" s="388" t="s">
        <v>1223</v>
      </c>
      <c r="B95" s="381"/>
      <c r="C95" s="382"/>
      <c r="D95" s="398"/>
      <c r="E95" s="389"/>
      <c r="F95" s="398"/>
      <c r="G95" s="387"/>
      <c r="H95" s="387"/>
      <c r="I95" s="387"/>
      <c r="J95" s="387"/>
      <c r="K95" s="378"/>
      <c r="L95" s="378"/>
      <c r="M95" s="379">
        <f>M96</f>
        <v>0</v>
      </c>
      <c r="N95" s="378">
        <f>N96</f>
        <v>2</v>
      </c>
      <c r="O95" s="379">
        <f t="shared" si="17"/>
        <v>2</v>
      </c>
      <c r="P95" s="378" t="s">
        <v>1147</v>
      </c>
      <c r="Q95" s="380" t="s">
        <v>1148</v>
      </c>
      <c r="R95" s="378"/>
    </row>
    <row r="96" spans="1:18" hidden="1" outlineLevel="1">
      <c r="A96" s="406"/>
      <c r="B96" s="388" t="s">
        <v>1224</v>
      </c>
      <c r="C96" s="382" t="s">
        <v>1222</v>
      </c>
      <c r="D96" s="387">
        <v>0.95</v>
      </c>
      <c r="E96" s="389"/>
      <c r="F96" s="398">
        <v>0.9</v>
      </c>
      <c r="G96" s="387"/>
      <c r="H96" s="387"/>
      <c r="I96" s="387"/>
      <c r="J96" s="387"/>
      <c r="K96" s="378">
        <v>1</v>
      </c>
      <c r="L96" s="378"/>
      <c r="M96" s="379">
        <f>IFERROR(MIN(MAX(0,IF(K96="N/A",0,IF((D96=E96),5,5-QUOTIENT(D96,E96)))), MAX(0,IF(K96="N/A",0,IF((F96=G96),5,5-QUOTIENT(F96,G96))))),0)</f>
        <v>0</v>
      </c>
      <c r="N96" s="378">
        <f>IF(K96="N/A", 1, 2)</f>
        <v>2</v>
      </c>
      <c r="O96" s="379">
        <f t="shared" si="17"/>
        <v>2</v>
      </c>
      <c r="P96" s="378" t="s">
        <v>1147</v>
      </c>
      <c r="Q96" s="380" t="s">
        <v>1148</v>
      </c>
      <c r="R96" s="378"/>
    </row>
    <row r="97" spans="1:18" hidden="1" outlineLevel="1">
      <c r="A97" s="388" t="s">
        <v>1225</v>
      </c>
      <c r="B97" s="381"/>
      <c r="C97" s="382"/>
      <c r="D97" s="398"/>
      <c r="E97" s="389"/>
      <c r="F97" s="398"/>
      <c r="G97" s="387"/>
      <c r="H97" s="387"/>
      <c r="I97" s="387"/>
      <c r="J97" s="387"/>
      <c r="K97" s="378"/>
      <c r="L97" s="378"/>
      <c r="M97" s="379">
        <f>M98</f>
        <v>0</v>
      </c>
      <c r="N97" s="378">
        <f>N98</f>
        <v>1</v>
      </c>
      <c r="O97" s="379">
        <f>MAX(M97:N97)</f>
        <v>1</v>
      </c>
      <c r="P97" s="378" t="s">
        <v>1147</v>
      </c>
      <c r="Q97" s="380" t="s">
        <v>1148</v>
      </c>
      <c r="R97" s="378"/>
    </row>
    <row r="98" spans="1:18" hidden="1" outlineLevel="1">
      <c r="A98" s="406"/>
      <c r="B98" s="388" t="s">
        <v>1226</v>
      </c>
      <c r="C98" s="382" t="s">
        <v>1222</v>
      </c>
      <c r="D98" s="387">
        <v>0.95</v>
      </c>
      <c r="E98" s="389"/>
      <c r="F98" s="398">
        <v>0.9</v>
      </c>
      <c r="G98" s="387"/>
      <c r="H98" s="387"/>
      <c r="I98" s="387"/>
      <c r="J98" s="387"/>
      <c r="K98" s="378" t="s">
        <v>549</v>
      </c>
      <c r="L98" s="378"/>
      <c r="M98" s="379">
        <f>IFERROR(MIN(MAX(0,IF(K98="N/A",0,IF((D98=E98),5,5-QUOTIENT(D98,E98)))), MAX(0,IF(K98="N/A",0,IF((F98=G98),5,5-QUOTIENT(F98,G98))))),0)</f>
        <v>0</v>
      </c>
      <c r="N98" s="378">
        <f>IF(K98="N/A", 1, 2)</f>
        <v>1</v>
      </c>
      <c r="O98" s="379">
        <f t="shared" ref="O98" si="18">MAX(M98:N98)</f>
        <v>1</v>
      </c>
      <c r="P98" s="378" t="s">
        <v>1147</v>
      </c>
      <c r="Q98" s="380" t="s">
        <v>1148</v>
      </c>
      <c r="R98" s="378"/>
    </row>
    <row r="99" spans="1:18" hidden="1" outlineLevel="1">
      <c r="A99" s="388" t="s">
        <v>1227</v>
      </c>
      <c r="B99" s="381"/>
      <c r="C99" s="382"/>
      <c r="D99" s="398"/>
      <c r="E99" s="389"/>
      <c r="F99" s="398"/>
      <c r="G99" s="387"/>
      <c r="H99" s="387"/>
      <c r="I99" s="387"/>
      <c r="J99" s="387"/>
      <c r="K99" s="378"/>
      <c r="L99" s="378"/>
      <c r="M99" s="379">
        <f>M100</f>
        <v>0</v>
      </c>
      <c r="N99" s="378">
        <f>N100</f>
        <v>1</v>
      </c>
      <c r="O99" s="379">
        <f>MAX(M99:N99)</f>
        <v>1</v>
      </c>
      <c r="P99" s="378" t="s">
        <v>1147</v>
      </c>
      <c r="Q99" s="380" t="s">
        <v>1148</v>
      </c>
      <c r="R99" s="378"/>
    </row>
    <row r="100" spans="1:18" hidden="1" outlineLevel="1">
      <c r="A100" s="406"/>
      <c r="B100" s="388" t="s">
        <v>1228</v>
      </c>
      <c r="C100" s="382" t="s">
        <v>1222</v>
      </c>
      <c r="D100" s="387">
        <v>0.95</v>
      </c>
      <c r="E100" s="389"/>
      <c r="F100" s="398">
        <v>0.9</v>
      </c>
      <c r="G100" s="387"/>
      <c r="H100" s="387"/>
      <c r="I100" s="387"/>
      <c r="J100" s="387"/>
      <c r="K100" s="378" t="s">
        <v>549</v>
      </c>
      <c r="L100" s="378"/>
      <c r="M100" s="379">
        <f>IFERROR(MIN(MAX(0,IF(K100="N/A",0,IF((D100=E100),5,5-QUOTIENT(D100,E100)))), MAX(0,IF(K100="N/A",0,IF((F100=G100),5,5-QUOTIENT(F100,G100))))),0)</f>
        <v>0</v>
      </c>
      <c r="N100" s="378">
        <f>IF(K100="N/A", 1, 2)</f>
        <v>1</v>
      </c>
      <c r="O100" s="379">
        <f t="shared" ref="O100" si="19">MAX(M100:N100)</f>
        <v>1</v>
      </c>
      <c r="P100" s="378" t="s">
        <v>1147</v>
      </c>
      <c r="Q100" s="380" t="s">
        <v>1148</v>
      </c>
      <c r="R100" s="378"/>
    </row>
    <row r="101" spans="1:18" hidden="1" outlineLevel="1">
      <c r="A101" s="388" t="s">
        <v>1229</v>
      </c>
      <c r="B101" s="381"/>
      <c r="C101" s="382"/>
      <c r="D101" s="398"/>
      <c r="E101" s="389"/>
      <c r="F101" s="398"/>
      <c r="G101" s="387"/>
      <c r="H101" s="387"/>
      <c r="I101" s="387"/>
      <c r="J101" s="387"/>
      <c r="K101" s="378"/>
      <c r="L101" s="378"/>
      <c r="M101" s="379">
        <f>M102</f>
        <v>0</v>
      </c>
      <c r="N101" s="378">
        <f>N102</f>
        <v>2</v>
      </c>
      <c r="O101" s="379">
        <f>MAX(M101:N101)</f>
        <v>2</v>
      </c>
      <c r="P101" s="378" t="s">
        <v>1147</v>
      </c>
      <c r="Q101" s="380" t="s">
        <v>1148</v>
      </c>
      <c r="R101" s="378"/>
    </row>
    <row r="102" spans="1:18" hidden="1" outlineLevel="1">
      <c r="A102" s="406"/>
      <c r="B102" s="388" t="s">
        <v>1230</v>
      </c>
      <c r="C102" s="382" t="s">
        <v>1222</v>
      </c>
      <c r="D102" s="387">
        <v>0.95</v>
      </c>
      <c r="E102" s="389"/>
      <c r="F102" s="398">
        <v>0.9</v>
      </c>
      <c r="G102" s="387"/>
      <c r="H102" s="387"/>
      <c r="I102" s="387"/>
      <c r="J102" s="387"/>
      <c r="K102" s="378">
        <v>1</v>
      </c>
      <c r="L102" s="378"/>
      <c r="M102" s="379">
        <f>IFERROR(MIN(MAX(0,IF(K102="N/A",0,IF((D102=E102),5,5-QUOTIENT(D102,E102)))), MAX(0,IF(K102="N/A",0,IF((F102=G102),5,5-QUOTIENT(F102,G102))))),0)</f>
        <v>0</v>
      </c>
      <c r="N102" s="378">
        <f>IF(K102="N/A", 1, 2)</f>
        <v>2</v>
      </c>
      <c r="O102" s="379">
        <f t="shared" ref="O102" si="20">MAX(M102:N102)</f>
        <v>2</v>
      </c>
      <c r="P102" s="378" t="s">
        <v>1147</v>
      </c>
      <c r="Q102" s="380" t="s">
        <v>1148</v>
      </c>
      <c r="R102" s="378"/>
    </row>
    <row r="103" spans="1:18" hidden="1" outlineLevel="1">
      <c r="A103" s="388" t="s">
        <v>1231</v>
      </c>
      <c r="B103" s="381"/>
      <c r="C103" s="382"/>
      <c r="D103" s="398"/>
      <c r="E103" s="389"/>
      <c r="F103" s="398"/>
      <c r="G103" s="387"/>
      <c r="H103" s="387"/>
      <c r="I103" s="387"/>
      <c r="J103" s="387"/>
      <c r="K103" s="378"/>
      <c r="L103" s="378"/>
      <c r="M103" s="379">
        <f>IFERROR(MIN(M104:M110),0)</f>
        <v>0</v>
      </c>
      <c r="N103" s="378">
        <f>N104</f>
        <v>1</v>
      </c>
      <c r="O103" s="379">
        <f>MAX(M103:N103)</f>
        <v>1</v>
      </c>
      <c r="P103" s="378" t="s">
        <v>1147</v>
      </c>
      <c r="Q103" s="380" t="s">
        <v>1148</v>
      </c>
      <c r="R103" s="378"/>
    </row>
    <row r="104" spans="1:18" hidden="1" outlineLevel="1">
      <c r="A104" s="394"/>
      <c r="B104" s="636" t="s">
        <v>1179</v>
      </c>
      <c r="C104" s="382" t="s">
        <v>1232</v>
      </c>
      <c r="D104" s="387">
        <v>0.5</v>
      </c>
      <c r="E104" s="399"/>
      <c r="F104" s="387">
        <v>0.5</v>
      </c>
      <c r="G104" s="387"/>
      <c r="H104" s="387"/>
      <c r="I104" s="387"/>
      <c r="J104" s="387"/>
      <c r="K104" s="378" t="s">
        <v>549</v>
      </c>
      <c r="L104" s="378"/>
      <c r="M104" s="379">
        <f t="shared" ref="M104:M110" si="21">IFERROR(MIN(MAX(0,IF(K104="N/A",0,IF((D104=E104),5,5-QUOTIENT(D104,E104)))), MAX(0,IF(K104="N/A",0,IF((F104=G104),5,5-QUOTIENT(F104,G104))))),0)</f>
        <v>0</v>
      </c>
      <c r="N104" s="378">
        <f>IF(K104="N/A", 1, 2)</f>
        <v>1</v>
      </c>
      <c r="O104" s="379">
        <f t="shared" ref="O104:O114" si="22">MAX(M104:N104)</f>
        <v>1</v>
      </c>
      <c r="P104" s="378" t="s">
        <v>1147</v>
      </c>
      <c r="Q104" s="380" t="s">
        <v>1148</v>
      </c>
      <c r="R104" s="378"/>
    </row>
    <row r="105" spans="1:18" hidden="1" outlineLevel="1">
      <c r="A105" s="394"/>
      <c r="B105" s="637"/>
      <c r="C105" s="382" t="s">
        <v>1233</v>
      </c>
      <c r="D105" s="387">
        <v>0.5</v>
      </c>
      <c r="E105" s="399"/>
      <c r="F105" s="387">
        <v>0.5</v>
      </c>
      <c r="G105" s="387"/>
      <c r="H105" s="387"/>
      <c r="I105" s="387"/>
      <c r="J105" s="387"/>
      <c r="K105" s="378" t="s">
        <v>549</v>
      </c>
      <c r="L105" s="378"/>
      <c r="M105" s="379">
        <f t="shared" si="21"/>
        <v>0</v>
      </c>
      <c r="N105" s="378">
        <f t="shared" ref="N105:N110" si="23">IF(K105="N/A", 1, 2)</f>
        <v>1</v>
      </c>
      <c r="O105" s="379">
        <f t="shared" si="22"/>
        <v>1</v>
      </c>
      <c r="P105" s="378" t="s">
        <v>1147</v>
      </c>
      <c r="Q105" s="380" t="s">
        <v>1148</v>
      </c>
      <c r="R105" s="378"/>
    </row>
    <row r="106" spans="1:18" hidden="1" outlineLevel="1">
      <c r="A106" s="394"/>
      <c r="B106" s="637"/>
      <c r="C106" s="382" t="s">
        <v>1234</v>
      </c>
      <c r="D106" s="387">
        <v>0.5</v>
      </c>
      <c r="E106" s="399"/>
      <c r="F106" s="387">
        <v>0.5</v>
      </c>
      <c r="G106" s="387"/>
      <c r="H106" s="387"/>
      <c r="I106" s="387"/>
      <c r="J106" s="387"/>
      <c r="K106" s="378" t="s">
        <v>549</v>
      </c>
      <c r="L106" s="378"/>
      <c r="M106" s="379">
        <f t="shared" si="21"/>
        <v>0</v>
      </c>
      <c r="N106" s="378">
        <f t="shared" si="23"/>
        <v>1</v>
      </c>
      <c r="O106" s="379">
        <f t="shared" si="22"/>
        <v>1</v>
      </c>
      <c r="P106" s="378" t="s">
        <v>1147</v>
      </c>
      <c r="Q106" s="380" t="s">
        <v>1148</v>
      </c>
      <c r="R106" s="378"/>
    </row>
    <row r="107" spans="1:18" hidden="1" outlineLevel="1">
      <c r="A107" s="394"/>
      <c r="B107" s="637"/>
      <c r="C107" s="382" t="s">
        <v>1235</v>
      </c>
      <c r="D107" s="387">
        <v>0.5</v>
      </c>
      <c r="E107" s="399"/>
      <c r="F107" s="387">
        <v>0.5</v>
      </c>
      <c r="G107" s="387"/>
      <c r="H107" s="387"/>
      <c r="I107" s="387"/>
      <c r="J107" s="387"/>
      <c r="K107" s="378" t="s">
        <v>549</v>
      </c>
      <c r="L107" s="378"/>
      <c r="M107" s="379">
        <f t="shared" si="21"/>
        <v>0</v>
      </c>
      <c r="N107" s="378">
        <f t="shared" si="23"/>
        <v>1</v>
      </c>
      <c r="O107" s="379">
        <f t="shared" si="22"/>
        <v>1</v>
      </c>
      <c r="P107" s="378" t="s">
        <v>1147</v>
      </c>
      <c r="Q107" s="380" t="s">
        <v>1148</v>
      </c>
      <c r="R107" s="378"/>
    </row>
    <row r="108" spans="1:18" hidden="1" outlineLevel="1">
      <c r="A108" s="394"/>
      <c r="B108" s="637"/>
      <c r="C108" s="382" t="s">
        <v>1236</v>
      </c>
      <c r="D108" s="387">
        <v>0.5</v>
      </c>
      <c r="E108" s="399"/>
      <c r="F108" s="387">
        <v>0.5</v>
      </c>
      <c r="G108" s="387"/>
      <c r="H108" s="387"/>
      <c r="I108" s="387"/>
      <c r="J108" s="387"/>
      <c r="K108" s="378" t="s">
        <v>549</v>
      </c>
      <c r="L108" s="378"/>
      <c r="M108" s="379">
        <f t="shared" si="21"/>
        <v>0</v>
      </c>
      <c r="N108" s="378">
        <f t="shared" si="23"/>
        <v>1</v>
      </c>
      <c r="O108" s="379">
        <f t="shared" si="22"/>
        <v>1</v>
      </c>
      <c r="P108" s="378" t="s">
        <v>1147</v>
      </c>
      <c r="Q108" s="380" t="s">
        <v>1148</v>
      </c>
      <c r="R108" s="378"/>
    </row>
    <row r="109" spans="1:18" hidden="1" outlineLevel="1">
      <c r="A109" s="394"/>
      <c r="B109" s="637"/>
      <c r="C109" s="382" t="s">
        <v>1237</v>
      </c>
      <c r="D109" s="387">
        <v>0.5</v>
      </c>
      <c r="E109" s="399"/>
      <c r="F109" s="387">
        <v>0.5</v>
      </c>
      <c r="G109" s="387"/>
      <c r="H109" s="387"/>
      <c r="I109" s="387"/>
      <c r="J109" s="387"/>
      <c r="K109" s="378" t="s">
        <v>549</v>
      </c>
      <c r="L109" s="378"/>
      <c r="M109" s="379">
        <f t="shared" si="21"/>
        <v>0</v>
      </c>
      <c r="N109" s="378">
        <f t="shared" si="23"/>
        <v>1</v>
      </c>
      <c r="O109" s="379">
        <f t="shared" si="22"/>
        <v>1</v>
      </c>
      <c r="P109" s="378" t="s">
        <v>1147</v>
      </c>
      <c r="Q109" s="380" t="s">
        <v>1148</v>
      </c>
      <c r="R109" s="378"/>
    </row>
    <row r="110" spans="1:18" hidden="1" outlineLevel="1">
      <c r="A110" s="394"/>
      <c r="B110" s="638"/>
      <c r="C110" s="382" t="s">
        <v>1238</v>
      </c>
      <c r="D110" s="387">
        <v>0.5</v>
      </c>
      <c r="E110" s="399"/>
      <c r="F110" s="387">
        <v>0.5</v>
      </c>
      <c r="G110" s="387"/>
      <c r="H110" s="387"/>
      <c r="I110" s="387"/>
      <c r="J110" s="387"/>
      <c r="K110" s="378" t="s">
        <v>549</v>
      </c>
      <c r="L110" s="378"/>
      <c r="M110" s="379">
        <f t="shared" si="21"/>
        <v>0</v>
      </c>
      <c r="N110" s="378">
        <f t="shared" si="23"/>
        <v>1</v>
      </c>
      <c r="O110" s="379">
        <f t="shared" si="22"/>
        <v>1</v>
      </c>
      <c r="P110" s="378" t="s">
        <v>1147</v>
      </c>
      <c r="Q110" s="380" t="s">
        <v>1148</v>
      </c>
      <c r="R110" s="378"/>
    </row>
    <row r="111" spans="1:18" hidden="1" outlineLevel="1">
      <c r="A111" s="388" t="s">
        <v>1239</v>
      </c>
      <c r="B111" s="381"/>
      <c r="C111" s="382"/>
      <c r="D111" s="398"/>
      <c r="E111" s="389"/>
      <c r="F111" s="398"/>
      <c r="G111" s="387"/>
      <c r="H111" s="387"/>
      <c r="I111" s="387"/>
      <c r="J111" s="387"/>
      <c r="K111" s="378"/>
      <c r="L111" s="378"/>
      <c r="M111" s="379">
        <f>M112</f>
        <v>0</v>
      </c>
      <c r="N111" s="378">
        <f>N112</f>
        <v>1</v>
      </c>
      <c r="O111" s="379">
        <f t="shared" si="22"/>
        <v>1</v>
      </c>
      <c r="P111" s="378" t="s">
        <v>1147</v>
      </c>
      <c r="Q111" s="380" t="s">
        <v>1148</v>
      </c>
      <c r="R111" s="378"/>
    </row>
    <row r="112" spans="1:18" hidden="1" outlineLevel="1">
      <c r="A112" s="406"/>
      <c r="B112" s="388" t="s">
        <v>1240</v>
      </c>
      <c r="C112" s="382" t="s">
        <v>1222</v>
      </c>
      <c r="D112" s="387">
        <v>0.95</v>
      </c>
      <c r="E112" s="389"/>
      <c r="F112" s="398">
        <v>0.9</v>
      </c>
      <c r="G112" s="387"/>
      <c r="H112" s="387"/>
      <c r="I112" s="387"/>
      <c r="J112" s="387"/>
      <c r="K112" s="378" t="s">
        <v>549</v>
      </c>
      <c r="L112" s="378"/>
      <c r="M112" s="379">
        <f>IFERROR(MIN(MAX(0,IF(K112="N/A",0,IF((D112=E112),5,5-QUOTIENT(D112,E112)))), MAX(0,IF(K112="N/A",0,IF((F112=G112),5,5-QUOTIENT(F112,G112))))),0)</f>
        <v>0</v>
      </c>
      <c r="N112" s="378">
        <f>IF(K112="N/A", 1, 2)</f>
        <v>1</v>
      </c>
      <c r="O112" s="379">
        <f t="shared" si="22"/>
        <v>1</v>
      </c>
      <c r="P112" s="378" t="s">
        <v>1147</v>
      </c>
      <c r="Q112" s="380" t="s">
        <v>1148</v>
      </c>
      <c r="R112" s="378"/>
    </row>
    <row r="113" spans="1:18" hidden="1" outlineLevel="1">
      <c r="A113" s="388" t="s">
        <v>1241</v>
      </c>
      <c r="B113" s="381"/>
      <c r="C113" s="382"/>
      <c r="D113" s="398"/>
      <c r="E113" s="389"/>
      <c r="F113" s="398"/>
      <c r="G113" s="387"/>
      <c r="H113" s="387"/>
      <c r="I113" s="387"/>
      <c r="J113" s="387"/>
      <c r="K113" s="378"/>
      <c r="L113" s="378"/>
      <c r="M113" s="379">
        <f>M114</f>
        <v>0</v>
      </c>
      <c r="N113" s="378">
        <f>N114</f>
        <v>1</v>
      </c>
      <c r="O113" s="379">
        <f t="shared" si="22"/>
        <v>1</v>
      </c>
      <c r="P113" s="378" t="s">
        <v>1147</v>
      </c>
      <c r="Q113" s="380" t="s">
        <v>1148</v>
      </c>
      <c r="R113" s="378"/>
    </row>
    <row r="114" spans="1:18" hidden="1" outlineLevel="1">
      <c r="A114" s="406"/>
      <c r="B114" s="388" t="s">
        <v>1242</v>
      </c>
      <c r="C114" s="382" t="s">
        <v>1222</v>
      </c>
      <c r="D114" s="387">
        <v>0.95</v>
      </c>
      <c r="E114" s="389"/>
      <c r="F114" s="398">
        <v>0.9</v>
      </c>
      <c r="G114" s="387"/>
      <c r="H114" s="387"/>
      <c r="I114" s="387"/>
      <c r="J114" s="387"/>
      <c r="K114" s="378" t="s">
        <v>549</v>
      </c>
      <c r="L114" s="378"/>
      <c r="M114" s="379">
        <f>IFERROR(MIN(MAX(0,IF(K114="N/A",0,IF((D114=E114),5,5-QUOTIENT(D114,E114)))), MAX(0,IF(K114="N/A",0,IF((F114=G114),5,5-QUOTIENT(F114,G114))))),0)</f>
        <v>0</v>
      </c>
      <c r="N114" s="378">
        <f>IF(K114="N/A", 1, 2)</f>
        <v>1</v>
      </c>
      <c r="O114" s="379">
        <f t="shared" si="22"/>
        <v>1</v>
      </c>
      <c r="P114" s="378" t="s">
        <v>1147</v>
      </c>
      <c r="Q114" s="380" t="s">
        <v>1148</v>
      </c>
      <c r="R114" s="378"/>
    </row>
    <row r="115" spans="1:18" hidden="1" outlineLevel="1">
      <c r="A115" s="388" t="s">
        <v>1243</v>
      </c>
      <c r="B115" s="381"/>
      <c r="C115" s="382"/>
      <c r="D115" s="398"/>
      <c r="E115" s="389"/>
      <c r="F115" s="398"/>
      <c r="G115" s="387"/>
      <c r="H115" s="387"/>
      <c r="I115" s="387"/>
      <c r="J115" s="387"/>
      <c r="K115" s="378"/>
      <c r="L115" s="378"/>
      <c r="M115" s="379">
        <f>IFERROR(MIN(M116:M122),0)</f>
        <v>0</v>
      </c>
      <c r="N115" s="378">
        <f>N116</f>
        <v>1</v>
      </c>
      <c r="O115" s="379">
        <f>MAX(M115:N115)</f>
        <v>1</v>
      </c>
      <c r="P115" s="378" t="s">
        <v>1147</v>
      </c>
      <c r="Q115" s="380" t="s">
        <v>1148</v>
      </c>
      <c r="R115" s="378"/>
    </row>
    <row r="116" spans="1:18" hidden="1" outlineLevel="1">
      <c r="A116" s="394"/>
      <c r="B116" s="636" t="s">
        <v>1179</v>
      </c>
      <c r="C116" s="382" t="s">
        <v>1232</v>
      </c>
      <c r="D116" s="387">
        <v>0.5</v>
      </c>
      <c r="E116" s="399"/>
      <c r="F116" s="387">
        <v>0.5</v>
      </c>
      <c r="G116" s="387"/>
      <c r="H116" s="387"/>
      <c r="I116" s="387"/>
      <c r="J116" s="387"/>
      <c r="K116" s="378" t="s">
        <v>549</v>
      </c>
      <c r="L116" s="378"/>
      <c r="M116" s="379">
        <f t="shared" ref="M116:M122" si="24">IFERROR(MIN(MAX(0,IF(K116="N/A",0,IF((D116=E116),5,5-QUOTIENT(D116,E116)))), MAX(0,IF(K116="N/A",0,IF((F116=G116),5,5-QUOTIENT(F116,G116))))),0)</f>
        <v>0</v>
      </c>
      <c r="N116" s="378">
        <f>IF(K116="N/A", 1, 2)</f>
        <v>1</v>
      </c>
      <c r="O116" s="379">
        <f t="shared" ref="O116:O134" si="25">MAX(M116:N116)</f>
        <v>1</v>
      </c>
      <c r="P116" s="378" t="s">
        <v>1147</v>
      </c>
      <c r="Q116" s="380" t="s">
        <v>1148</v>
      </c>
      <c r="R116" s="378"/>
    </row>
    <row r="117" spans="1:18" hidden="1" outlineLevel="1">
      <c r="A117" s="394"/>
      <c r="B117" s="637"/>
      <c r="C117" s="382" t="s">
        <v>1233</v>
      </c>
      <c r="D117" s="387">
        <v>0.5</v>
      </c>
      <c r="E117" s="399"/>
      <c r="F117" s="387">
        <v>0.5</v>
      </c>
      <c r="G117" s="387"/>
      <c r="H117" s="387"/>
      <c r="I117" s="387"/>
      <c r="J117" s="387"/>
      <c r="K117" s="378" t="s">
        <v>549</v>
      </c>
      <c r="L117" s="378"/>
      <c r="M117" s="379">
        <f t="shared" si="24"/>
        <v>0</v>
      </c>
      <c r="N117" s="378">
        <f t="shared" ref="N117:N122" si="26">IF(K117="N/A", 1, 2)</f>
        <v>1</v>
      </c>
      <c r="O117" s="379">
        <f t="shared" si="25"/>
        <v>1</v>
      </c>
      <c r="P117" s="378" t="s">
        <v>1147</v>
      </c>
      <c r="Q117" s="380" t="s">
        <v>1148</v>
      </c>
      <c r="R117" s="378"/>
    </row>
    <row r="118" spans="1:18" hidden="1" outlineLevel="1">
      <c r="A118" s="394"/>
      <c r="B118" s="637"/>
      <c r="C118" s="382" t="s">
        <v>1234</v>
      </c>
      <c r="D118" s="387">
        <v>0.5</v>
      </c>
      <c r="E118" s="399"/>
      <c r="F118" s="387">
        <v>0.5</v>
      </c>
      <c r="G118" s="387"/>
      <c r="H118" s="387"/>
      <c r="I118" s="387"/>
      <c r="J118" s="387"/>
      <c r="K118" s="378" t="s">
        <v>549</v>
      </c>
      <c r="L118" s="378"/>
      <c r="M118" s="379">
        <f t="shared" si="24"/>
        <v>0</v>
      </c>
      <c r="N118" s="378">
        <f t="shared" si="26"/>
        <v>1</v>
      </c>
      <c r="O118" s="379">
        <f t="shared" si="25"/>
        <v>1</v>
      </c>
      <c r="P118" s="378" t="s">
        <v>1147</v>
      </c>
      <c r="Q118" s="380" t="s">
        <v>1148</v>
      </c>
      <c r="R118" s="378"/>
    </row>
    <row r="119" spans="1:18" hidden="1" outlineLevel="1">
      <c r="A119" s="394"/>
      <c r="B119" s="637"/>
      <c r="C119" s="382" t="s">
        <v>1235</v>
      </c>
      <c r="D119" s="387">
        <v>0.5</v>
      </c>
      <c r="E119" s="399"/>
      <c r="F119" s="387">
        <v>0.5</v>
      </c>
      <c r="G119" s="387"/>
      <c r="H119" s="387"/>
      <c r="I119" s="387"/>
      <c r="J119" s="387"/>
      <c r="K119" s="378" t="s">
        <v>549</v>
      </c>
      <c r="L119" s="378"/>
      <c r="M119" s="379">
        <f t="shared" si="24"/>
        <v>0</v>
      </c>
      <c r="N119" s="378">
        <f t="shared" si="26"/>
        <v>1</v>
      </c>
      <c r="O119" s="379">
        <f t="shared" si="25"/>
        <v>1</v>
      </c>
      <c r="P119" s="378" t="s">
        <v>1147</v>
      </c>
      <c r="Q119" s="380" t="s">
        <v>1148</v>
      </c>
      <c r="R119" s="378"/>
    </row>
    <row r="120" spans="1:18" hidden="1" outlineLevel="1">
      <c r="A120" s="394"/>
      <c r="B120" s="637"/>
      <c r="C120" s="382" t="s">
        <v>1236</v>
      </c>
      <c r="D120" s="387">
        <v>0.5</v>
      </c>
      <c r="E120" s="399"/>
      <c r="F120" s="387">
        <v>0.5</v>
      </c>
      <c r="G120" s="387"/>
      <c r="H120" s="387"/>
      <c r="I120" s="387"/>
      <c r="J120" s="387"/>
      <c r="K120" s="378" t="s">
        <v>549</v>
      </c>
      <c r="L120" s="378"/>
      <c r="M120" s="379">
        <f t="shared" si="24"/>
        <v>0</v>
      </c>
      <c r="N120" s="378">
        <f t="shared" si="26"/>
        <v>1</v>
      </c>
      <c r="O120" s="379">
        <f t="shared" si="25"/>
        <v>1</v>
      </c>
      <c r="P120" s="378" t="s">
        <v>1147</v>
      </c>
      <c r="Q120" s="380" t="s">
        <v>1148</v>
      </c>
      <c r="R120" s="378"/>
    </row>
    <row r="121" spans="1:18" hidden="1" outlineLevel="1">
      <c r="A121" s="394"/>
      <c r="B121" s="637"/>
      <c r="C121" s="382" t="s">
        <v>1237</v>
      </c>
      <c r="D121" s="387">
        <v>0.5</v>
      </c>
      <c r="E121" s="399"/>
      <c r="F121" s="387">
        <v>0.5</v>
      </c>
      <c r="G121" s="387"/>
      <c r="H121" s="387"/>
      <c r="I121" s="387"/>
      <c r="J121" s="387"/>
      <c r="K121" s="378" t="s">
        <v>549</v>
      </c>
      <c r="L121" s="378"/>
      <c r="M121" s="379">
        <f t="shared" si="24"/>
        <v>0</v>
      </c>
      <c r="N121" s="378">
        <f t="shared" si="26"/>
        <v>1</v>
      </c>
      <c r="O121" s="379">
        <f t="shared" si="25"/>
        <v>1</v>
      </c>
      <c r="P121" s="378" t="s">
        <v>1147</v>
      </c>
      <c r="Q121" s="380" t="s">
        <v>1148</v>
      </c>
      <c r="R121" s="378"/>
    </row>
    <row r="122" spans="1:18" hidden="1" outlineLevel="1">
      <c r="A122" s="394"/>
      <c r="B122" s="638"/>
      <c r="C122" s="382" t="s">
        <v>1238</v>
      </c>
      <c r="D122" s="387">
        <v>0.5</v>
      </c>
      <c r="E122" s="399"/>
      <c r="F122" s="387">
        <v>0.5</v>
      </c>
      <c r="G122" s="387"/>
      <c r="H122" s="387"/>
      <c r="I122" s="387"/>
      <c r="J122" s="387"/>
      <c r="K122" s="378" t="s">
        <v>549</v>
      </c>
      <c r="L122" s="378"/>
      <c r="M122" s="379">
        <f t="shared" si="24"/>
        <v>0</v>
      </c>
      <c r="N122" s="378">
        <f t="shared" si="26"/>
        <v>1</v>
      </c>
      <c r="O122" s="379">
        <f t="shared" si="25"/>
        <v>1</v>
      </c>
      <c r="P122" s="378" t="s">
        <v>1147</v>
      </c>
      <c r="Q122" s="380" t="s">
        <v>1148</v>
      </c>
      <c r="R122" s="378"/>
    </row>
    <row r="123" spans="1:18" hidden="1" outlineLevel="1">
      <c r="A123" s="388" t="s">
        <v>1244</v>
      </c>
      <c r="B123" s="381"/>
      <c r="C123" s="382"/>
      <c r="D123" s="398"/>
      <c r="E123" s="389"/>
      <c r="F123" s="398"/>
      <c r="G123" s="387"/>
      <c r="H123" s="387"/>
      <c r="I123" s="387"/>
      <c r="J123" s="387"/>
      <c r="K123" s="378"/>
      <c r="L123" s="378"/>
      <c r="M123" s="379">
        <f>IFERROR(MIN(M124:M130),0)</f>
        <v>0</v>
      </c>
      <c r="N123" s="378">
        <f>N124</f>
        <v>1</v>
      </c>
      <c r="O123" s="379">
        <f t="shared" si="25"/>
        <v>1</v>
      </c>
      <c r="P123" s="378" t="s">
        <v>1147</v>
      </c>
      <c r="Q123" s="380" t="s">
        <v>1148</v>
      </c>
      <c r="R123" s="378"/>
    </row>
    <row r="124" spans="1:18" hidden="1" outlineLevel="1">
      <c r="A124" s="394"/>
      <c r="B124" s="636" t="s">
        <v>1245</v>
      </c>
      <c r="C124" s="382" t="s">
        <v>1246</v>
      </c>
      <c r="D124" s="387">
        <v>0.5</v>
      </c>
      <c r="E124" s="399"/>
      <c r="F124" s="387">
        <v>0.5</v>
      </c>
      <c r="G124" s="387"/>
      <c r="H124" s="387"/>
      <c r="I124" s="387"/>
      <c r="J124" s="387"/>
      <c r="K124" s="378" t="s">
        <v>549</v>
      </c>
      <c r="L124" s="378"/>
      <c r="M124" s="379">
        <f t="shared" ref="M124:M130" si="27">IFERROR(MIN(MAX(0,IF(K124="N/A",0,IF((D124=E124),5,5-QUOTIENT(D124,E124)))), MAX(0,IF(K124="N/A",0,IF((F124=G124),5,5-QUOTIENT(F124,G124))))),0)</f>
        <v>0</v>
      </c>
      <c r="N124" s="378">
        <f>IF(K124="N/A", 1, 2)</f>
        <v>1</v>
      </c>
      <c r="O124" s="379">
        <f t="shared" si="25"/>
        <v>1</v>
      </c>
      <c r="P124" s="378" t="s">
        <v>1147</v>
      </c>
      <c r="Q124" s="380" t="s">
        <v>1148</v>
      </c>
      <c r="R124" s="378"/>
    </row>
    <row r="125" spans="1:18" hidden="1" outlineLevel="1">
      <c r="A125" s="394"/>
      <c r="B125" s="637"/>
      <c r="C125" s="382" t="s">
        <v>1247</v>
      </c>
      <c r="D125" s="387">
        <v>0.5</v>
      </c>
      <c r="E125" s="399"/>
      <c r="F125" s="387">
        <v>0.5</v>
      </c>
      <c r="G125" s="387"/>
      <c r="H125" s="387"/>
      <c r="I125" s="387"/>
      <c r="J125" s="387"/>
      <c r="K125" s="378" t="s">
        <v>549</v>
      </c>
      <c r="L125" s="378"/>
      <c r="M125" s="379">
        <f t="shared" si="27"/>
        <v>0</v>
      </c>
      <c r="N125" s="378">
        <f t="shared" ref="N125:N130" si="28">IF(K125="N/A", 1, 2)</f>
        <v>1</v>
      </c>
      <c r="O125" s="379">
        <f t="shared" si="25"/>
        <v>1</v>
      </c>
      <c r="P125" s="378" t="s">
        <v>1147</v>
      </c>
      <c r="Q125" s="380" t="s">
        <v>1148</v>
      </c>
      <c r="R125" s="378"/>
    </row>
    <row r="126" spans="1:18" hidden="1" outlineLevel="1">
      <c r="A126" s="394"/>
      <c r="B126" s="637"/>
      <c r="C126" s="382" t="s">
        <v>1248</v>
      </c>
      <c r="D126" s="387">
        <v>0.5</v>
      </c>
      <c r="E126" s="399"/>
      <c r="F126" s="387">
        <v>0.5</v>
      </c>
      <c r="G126" s="387"/>
      <c r="H126" s="387"/>
      <c r="I126" s="387"/>
      <c r="J126" s="387"/>
      <c r="K126" s="378" t="s">
        <v>549</v>
      </c>
      <c r="L126" s="378"/>
      <c r="M126" s="379">
        <f t="shared" si="27"/>
        <v>0</v>
      </c>
      <c r="N126" s="378">
        <f t="shared" si="28"/>
        <v>1</v>
      </c>
      <c r="O126" s="379">
        <f t="shared" si="25"/>
        <v>1</v>
      </c>
      <c r="P126" s="378" t="s">
        <v>1147</v>
      </c>
      <c r="Q126" s="380" t="s">
        <v>1148</v>
      </c>
      <c r="R126" s="378"/>
    </row>
    <row r="127" spans="1:18" hidden="1" outlineLevel="1">
      <c r="A127" s="394"/>
      <c r="B127" s="637"/>
      <c r="C127" s="382" t="s">
        <v>1249</v>
      </c>
      <c r="D127" s="387">
        <v>0.5</v>
      </c>
      <c r="E127" s="399"/>
      <c r="F127" s="387">
        <v>0.5</v>
      </c>
      <c r="G127" s="387"/>
      <c r="H127" s="387"/>
      <c r="I127" s="387"/>
      <c r="J127" s="387"/>
      <c r="K127" s="378" t="s">
        <v>549</v>
      </c>
      <c r="L127" s="378"/>
      <c r="M127" s="379">
        <f t="shared" si="27"/>
        <v>0</v>
      </c>
      <c r="N127" s="378">
        <f t="shared" si="28"/>
        <v>1</v>
      </c>
      <c r="O127" s="379">
        <f t="shared" si="25"/>
        <v>1</v>
      </c>
      <c r="P127" s="378" t="s">
        <v>1147</v>
      </c>
      <c r="Q127" s="380" t="s">
        <v>1148</v>
      </c>
      <c r="R127" s="378"/>
    </row>
    <row r="128" spans="1:18" hidden="1" outlineLevel="1">
      <c r="A128" s="394"/>
      <c r="B128" s="637"/>
      <c r="C128" s="382" t="s">
        <v>1250</v>
      </c>
      <c r="D128" s="387">
        <v>0.5</v>
      </c>
      <c r="E128" s="399"/>
      <c r="F128" s="387">
        <v>0.5</v>
      </c>
      <c r="G128" s="387"/>
      <c r="H128" s="387"/>
      <c r="I128" s="387"/>
      <c r="J128" s="387"/>
      <c r="K128" s="378" t="s">
        <v>549</v>
      </c>
      <c r="L128" s="378"/>
      <c r="M128" s="379">
        <f t="shared" si="27"/>
        <v>0</v>
      </c>
      <c r="N128" s="378">
        <f t="shared" si="28"/>
        <v>1</v>
      </c>
      <c r="O128" s="379">
        <f t="shared" si="25"/>
        <v>1</v>
      </c>
      <c r="P128" s="378" t="s">
        <v>1147</v>
      </c>
      <c r="Q128" s="380" t="s">
        <v>1148</v>
      </c>
      <c r="R128" s="378"/>
    </row>
    <row r="129" spans="1:18" hidden="1" outlineLevel="1">
      <c r="A129" s="394"/>
      <c r="B129" s="637"/>
      <c r="C129" s="382" t="s">
        <v>1251</v>
      </c>
      <c r="D129" s="387">
        <v>0.5</v>
      </c>
      <c r="E129" s="399"/>
      <c r="F129" s="387">
        <v>0.5</v>
      </c>
      <c r="G129" s="387"/>
      <c r="H129" s="387"/>
      <c r="I129" s="387"/>
      <c r="J129" s="387"/>
      <c r="K129" s="378" t="s">
        <v>549</v>
      </c>
      <c r="L129" s="378"/>
      <c r="M129" s="379">
        <f t="shared" si="27"/>
        <v>0</v>
      </c>
      <c r="N129" s="378">
        <f t="shared" si="28"/>
        <v>1</v>
      </c>
      <c r="O129" s="379">
        <f t="shared" si="25"/>
        <v>1</v>
      </c>
      <c r="P129" s="378" t="s">
        <v>1147</v>
      </c>
      <c r="Q129" s="380" t="s">
        <v>1148</v>
      </c>
      <c r="R129" s="378"/>
    </row>
    <row r="130" spans="1:18" hidden="1" outlineLevel="1">
      <c r="A130" s="394"/>
      <c r="B130" s="638"/>
      <c r="C130" s="382" t="s">
        <v>1252</v>
      </c>
      <c r="D130" s="387">
        <v>0.5</v>
      </c>
      <c r="E130" s="399"/>
      <c r="F130" s="387">
        <v>0.5</v>
      </c>
      <c r="G130" s="387"/>
      <c r="H130" s="387"/>
      <c r="I130" s="387"/>
      <c r="J130" s="387"/>
      <c r="K130" s="378" t="s">
        <v>549</v>
      </c>
      <c r="L130" s="378"/>
      <c r="M130" s="379">
        <f t="shared" si="27"/>
        <v>0</v>
      </c>
      <c r="N130" s="378">
        <f t="shared" si="28"/>
        <v>1</v>
      </c>
      <c r="O130" s="379">
        <f t="shared" si="25"/>
        <v>1</v>
      </c>
      <c r="P130" s="378" t="s">
        <v>1147</v>
      </c>
      <c r="Q130" s="380" t="s">
        <v>1148</v>
      </c>
      <c r="R130" s="378"/>
    </row>
    <row r="131" spans="1:18" hidden="1" outlineLevel="1">
      <c r="A131" s="388" t="s">
        <v>1253</v>
      </c>
      <c r="B131" s="381"/>
      <c r="C131" s="382"/>
      <c r="D131" s="398"/>
      <c r="E131" s="389"/>
      <c r="F131" s="398"/>
      <c r="G131" s="387"/>
      <c r="H131" s="387"/>
      <c r="I131" s="387"/>
      <c r="J131" s="387"/>
      <c r="K131" s="378"/>
      <c r="L131" s="378"/>
      <c r="M131" s="379">
        <f>M132</f>
        <v>0</v>
      </c>
      <c r="N131" s="378">
        <f>N132</f>
        <v>2</v>
      </c>
      <c r="O131" s="379">
        <f t="shared" si="25"/>
        <v>2</v>
      </c>
      <c r="P131" s="378" t="s">
        <v>1147</v>
      </c>
      <c r="Q131" s="380" t="s">
        <v>1148</v>
      </c>
      <c r="R131" s="378"/>
    </row>
    <row r="132" spans="1:18" hidden="1" outlineLevel="1">
      <c r="A132" s="406"/>
      <c r="B132" s="388" t="s">
        <v>1254</v>
      </c>
      <c r="C132" s="382" t="s">
        <v>1222</v>
      </c>
      <c r="D132" s="387">
        <v>0.5</v>
      </c>
      <c r="E132" s="389"/>
      <c r="F132" s="398">
        <v>0.5</v>
      </c>
      <c r="G132" s="387"/>
      <c r="H132" s="387"/>
      <c r="I132" s="387"/>
      <c r="J132" s="387"/>
      <c r="K132" s="378">
        <v>1</v>
      </c>
      <c r="L132" s="378"/>
      <c r="M132" s="379">
        <f>IFERROR(MIN(MAX(0,IF(K132="N/A",0,IF((D132=E132),5,5-QUOTIENT(D132,E132)))), MAX(0,IF(K132="N/A",0,IF((F132=G132),5,5-QUOTIENT(F132,G132))))),0)</f>
        <v>0</v>
      </c>
      <c r="N132" s="378">
        <f>IF(K132="N/A", 1, 2)</f>
        <v>2</v>
      </c>
      <c r="O132" s="379">
        <f t="shared" si="25"/>
        <v>2</v>
      </c>
      <c r="P132" s="378" t="s">
        <v>1147</v>
      </c>
      <c r="Q132" s="380" t="s">
        <v>1148</v>
      </c>
      <c r="R132" s="378"/>
    </row>
    <row r="133" spans="1:18" hidden="1" outlineLevel="1">
      <c r="A133" s="388" t="s">
        <v>1255</v>
      </c>
      <c r="B133" s="381"/>
      <c r="C133" s="382"/>
      <c r="D133" s="398"/>
      <c r="E133" s="389"/>
      <c r="F133" s="398"/>
      <c r="G133" s="387"/>
      <c r="H133" s="387"/>
      <c r="I133" s="387"/>
      <c r="J133" s="387"/>
      <c r="K133" s="378"/>
      <c r="L133" s="378"/>
      <c r="M133" s="379">
        <f>M134</f>
        <v>0</v>
      </c>
      <c r="N133" s="378">
        <f>N134</f>
        <v>1</v>
      </c>
      <c r="O133" s="379">
        <f t="shared" si="25"/>
        <v>1</v>
      </c>
      <c r="P133" s="378" t="s">
        <v>1147</v>
      </c>
      <c r="Q133" s="380" t="s">
        <v>1148</v>
      </c>
      <c r="R133" s="378"/>
    </row>
    <row r="134" spans="1:18" hidden="1" outlineLevel="1">
      <c r="A134" s="406"/>
      <c r="B134" s="388" t="s">
        <v>1256</v>
      </c>
      <c r="C134" s="382" t="s">
        <v>1222</v>
      </c>
      <c r="D134" s="387">
        <v>0.5</v>
      </c>
      <c r="E134" s="389"/>
      <c r="F134" s="398">
        <v>0.5</v>
      </c>
      <c r="G134" s="387"/>
      <c r="H134" s="387"/>
      <c r="I134" s="387"/>
      <c r="J134" s="387"/>
      <c r="K134" s="378" t="s">
        <v>549</v>
      </c>
      <c r="L134" s="378"/>
      <c r="M134" s="379">
        <f>IFERROR(MIN(MAX(0,IF(K134="N/A",0,IF((D134=E134),5,5-QUOTIENT(D134,E134)))), MAX(0,IF(K134="N/A",0,IF((F134=G134),5,5-QUOTIENT(F134,G134))))),0)</f>
        <v>0</v>
      </c>
      <c r="N134" s="378">
        <f>IF(K134="N/A", 1, 2)</f>
        <v>1</v>
      </c>
      <c r="O134" s="379">
        <f t="shared" si="25"/>
        <v>1</v>
      </c>
      <c r="P134" s="378" t="s">
        <v>1147</v>
      </c>
      <c r="Q134" s="380" t="s">
        <v>1148</v>
      </c>
      <c r="R134" s="378"/>
    </row>
    <row r="135" spans="1:18" hidden="1" outlineLevel="1">
      <c r="A135" s="388" t="s">
        <v>1257</v>
      </c>
      <c r="B135" s="381"/>
      <c r="C135" s="399"/>
      <c r="D135" s="398"/>
      <c r="E135" s="389"/>
      <c r="F135" s="398"/>
      <c r="G135" s="387"/>
      <c r="H135" s="387"/>
      <c r="I135" s="387"/>
      <c r="J135" s="387"/>
      <c r="K135" s="378"/>
      <c r="L135" s="378"/>
      <c r="M135" s="379">
        <f>M136</f>
        <v>0</v>
      </c>
      <c r="N135" s="378">
        <f>N136</f>
        <v>2</v>
      </c>
      <c r="O135" s="379">
        <f>MAX(M135:N135)</f>
        <v>2</v>
      </c>
      <c r="P135" s="378" t="s">
        <v>1147</v>
      </c>
      <c r="Q135" s="380" t="s">
        <v>1148</v>
      </c>
      <c r="R135" s="378"/>
    </row>
    <row r="136" spans="1:18" hidden="1" outlineLevel="1">
      <c r="A136" s="406"/>
      <c r="B136" s="388" t="s">
        <v>673</v>
      </c>
      <c r="C136" s="382" t="s">
        <v>1222</v>
      </c>
      <c r="D136" s="387">
        <v>0.5</v>
      </c>
      <c r="E136" s="389"/>
      <c r="F136" s="398">
        <v>0.5</v>
      </c>
      <c r="G136" s="387"/>
      <c r="H136" s="387"/>
      <c r="I136" s="387"/>
      <c r="J136" s="387"/>
      <c r="K136" s="378">
        <v>1</v>
      </c>
      <c r="L136" s="378"/>
      <c r="M136" s="379">
        <f>IFERROR(MIN(MAX(0,IF(K136="N/A",0,IF((D136=E136),5,5-QUOTIENT(D136,E136)))), MAX(0,IF(K136="N/A",0,IF((F136=G136),5,5-QUOTIENT(F136,G136))))),0)</f>
        <v>0</v>
      </c>
      <c r="N136" s="378">
        <f>IF(K136="N/A", 1, 2)</f>
        <v>2</v>
      </c>
      <c r="O136" s="379">
        <f t="shared" ref="O136" si="29">MAX(M136:N136)</f>
        <v>2</v>
      </c>
      <c r="P136" s="378" t="s">
        <v>1147</v>
      </c>
      <c r="Q136" s="380" t="s">
        <v>1148</v>
      </c>
      <c r="R136" s="378"/>
    </row>
    <row r="137" spans="1:18" hidden="1" outlineLevel="1">
      <c r="A137" s="388" t="s">
        <v>1258</v>
      </c>
      <c r="B137" s="381"/>
      <c r="C137" s="399"/>
      <c r="D137" s="398"/>
      <c r="E137" s="389"/>
      <c r="F137" s="398"/>
      <c r="G137" s="387"/>
      <c r="H137" s="387"/>
      <c r="I137" s="387"/>
      <c r="J137" s="387"/>
      <c r="K137" s="378"/>
      <c r="L137" s="378"/>
      <c r="M137" s="379">
        <f>M138</f>
        <v>0</v>
      </c>
      <c r="N137" s="378">
        <f>N138</f>
        <v>2</v>
      </c>
      <c r="O137" s="379">
        <f>MAX(M137:N137)</f>
        <v>2</v>
      </c>
      <c r="P137" s="378" t="s">
        <v>1147</v>
      </c>
      <c r="Q137" s="380" t="s">
        <v>1148</v>
      </c>
      <c r="R137" s="378"/>
    </row>
    <row r="138" spans="1:18" hidden="1" outlineLevel="1">
      <c r="A138" s="406"/>
      <c r="B138" s="388" t="s">
        <v>1259</v>
      </c>
      <c r="C138" s="382" t="s">
        <v>1222</v>
      </c>
      <c r="D138" s="387">
        <v>0.5</v>
      </c>
      <c r="E138" s="389"/>
      <c r="F138" s="398">
        <v>0.5</v>
      </c>
      <c r="G138" s="387"/>
      <c r="H138" s="387"/>
      <c r="I138" s="387"/>
      <c r="J138" s="387"/>
      <c r="K138" s="378">
        <v>1</v>
      </c>
      <c r="L138" s="378"/>
      <c r="M138" s="379">
        <f>IFERROR(MIN(MAX(0,IF(K138="N/A",0,IF((D138=E138),5,5-QUOTIENT(D138,E138)))), MAX(0,IF(K138="N/A",0,IF((F138=G138),5,5-QUOTIENT(F138,G138))))),0)</f>
        <v>0</v>
      </c>
      <c r="N138" s="378">
        <f>IF(K138="N/A", 1, 2)</f>
        <v>2</v>
      </c>
      <c r="O138" s="379">
        <f t="shared" ref="O138" si="30">MAX(M138:N138)</f>
        <v>2</v>
      </c>
      <c r="P138" s="378" t="s">
        <v>1147</v>
      </c>
      <c r="Q138" s="380" t="s">
        <v>1148</v>
      </c>
      <c r="R138" s="378"/>
    </row>
    <row r="139" spans="1:18" hidden="1" outlineLevel="1">
      <c r="A139" s="388" t="s">
        <v>1260</v>
      </c>
      <c r="B139" s="381"/>
      <c r="C139" s="399"/>
      <c r="D139" s="398"/>
      <c r="E139" s="389"/>
      <c r="F139" s="398"/>
      <c r="G139" s="387"/>
      <c r="H139" s="387"/>
      <c r="I139" s="387"/>
      <c r="J139" s="387"/>
      <c r="K139" s="378"/>
      <c r="L139" s="378"/>
      <c r="M139" s="379">
        <f>M140</f>
        <v>3</v>
      </c>
      <c r="N139" s="378">
        <f>N140</f>
        <v>2</v>
      </c>
      <c r="O139" s="379">
        <f>MAX(M139:N139)</f>
        <v>3</v>
      </c>
      <c r="P139" s="410" t="s">
        <v>1261</v>
      </c>
      <c r="Q139" s="411" t="s">
        <v>1262</v>
      </c>
      <c r="R139" s="378"/>
    </row>
    <row r="140" spans="1:18" hidden="1" outlineLevel="1">
      <c r="A140" s="412"/>
      <c r="B140" s="388" t="s">
        <v>1263</v>
      </c>
      <c r="C140" s="413" t="s">
        <v>1264</v>
      </c>
      <c r="D140" s="414">
        <v>5</v>
      </c>
      <c r="E140" s="414">
        <v>2</v>
      </c>
      <c r="F140" s="414">
        <v>5</v>
      </c>
      <c r="G140" s="391">
        <v>2</v>
      </c>
      <c r="H140" s="391"/>
      <c r="I140" s="391"/>
      <c r="J140" s="391"/>
      <c r="K140" s="378">
        <v>2</v>
      </c>
      <c r="L140" s="378"/>
      <c r="M140" s="379">
        <f>IFERROR(MIN(MAX(0,IF(K140="N/A",0,IF((D140=E140),5,5-QUOTIENT(D140,E140)))), MAX(0,IF(K140="N/A",0,IF((F140=G140),5,5-QUOTIENT(F140,G140))))),0)</f>
        <v>3</v>
      </c>
      <c r="N140" s="378">
        <f>IF(K140="N/A", 1, 2)</f>
        <v>2</v>
      </c>
      <c r="O140" s="379">
        <f t="shared" ref="O140" si="31">MAX(M140:N140)</f>
        <v>3</v>
      </c>
      <c r="P140" s="410" t="s">
        <v>1261</v>
      </c>
      <c r="Q140" s="411" t="s">
        <v>1262</v>
      </c>
      <c r="R140" s="378"/>
    </row>
    <row r="141" spans="1:18" hidden="1" outlineLevel="1">
      <c r="A141" s="415" t="s">
        <v>1265</v>
      </c>
      <c r="B141" s="416" t="s">
        <v>767</v>
      </c>
      <c r="C141" s="413" t="s">
        <v>1264</v>
      </c>
      <c r="D141" s="414">
        <v>5</v>
      </c>
      <c r="E141" s="414">
        <v>2</v>
      </c>
      <c r="F141" s="414">
        <v>5</v>
      </c>
      <c r="G141" s="391">
        <v>2</v>
      </c>
      <c r="H141" s="391"/>
      <c r="I141" s="391"/>
      <c r="J141" s="391"/>
      <c r="K141" s="378">
        <v>2</v>
      </c>
      <c r="L141" s="378"/>
      <c r="M141" s="379">
        <f>IFERROR(MIN(MAX(0,IF(K141="N/A",0,IF((D141=E141),5,5-QUOTIENT(D141,E141)))), MAX(0,IF(K141="N/A",0,IF((F141=G141),5,5-QUOTIENT(F141,G141))))),0)</f>
        <v>3</v>
      </c>
      <c r="N141" s="378">
        <f>IF(K141="N/A", 1, 2)</f>
        <v>2</v>
      </c>
      <c r="O141" s="379">
        <f t="shared" si="2"/>
        <v>3</v>
      </c>
      <c r="P141" s="410" t="s">
        <v>1261</v>
      </c>
      <c r="Q141" s="411" t="s">
        <v>1262</v>
      </c>
      <c r="R141" s="378"/>
    </row>
    <row r="142" spans="1:18" collapsed="1">
      <c r="A142" s="362" t="s">
        <v>1266</v>
      </c>
      <c r="D142" s="364"/>
      <c r="E142" s="364"/>
      <c r="F142" s="371"/>
      <c r="G142" s="364"/>
      <c r="H142" s="364"/>
      <c r="I142" s="364"/>
      <c r="J142" s="364"/>
      <c r="K142" s="364"/>
      <c r="L142" s="364"/>
      <c r="M142" s="371"/>
      <c r="N142" s="364"/>
      <c r="O142" s="371"/>
      <c r="P142" s="364"/>
      <c r="Q142" s="364"/>
    </row>
    <row r="145" spans="1:18" outlineLevel="1">
      <c r="A145" s="362"/>
      <c r="B145" s="363"/>
      <c r="C145" s="363"/>
      <c r="D145" s="628" t="s">
        <v>1132</v>
      </c>
      <c r="E145" s="629"/>
      <c r="F145" s="628" t="s">
        <v>1133</v>
      </c>
      <c r="G145" s="629"/>
      <c r="H145" s="370"/>
      <c r="I145" s="370"/>
      <c r="J145" s="370"/>
      <c r="K145" s="364"/>
      <c r="L145" s="364"/>
      <c r="M145" s="371"/>
      <c r="N145" s="364"/>
      <c r="O145" s="371"/>
      <c r="P145" s="364"/>
      <c r="Q145" s="364"/>
    </row>
    <row r="146" spans="1:18" outlineLevel="1">
      <c r="A146" s="372" t="s">
        <v>1134</v>
      </c>
      <c r="B146" s="373" t="s">
        <v>1135</v>
      </c>
      <c r="C146" s="373" t="s">
        <v>1136</v>
      </c>
      <c r="D146" s="373" t="s">
        <v>1137</v>
      </c>
      <c r="E146" s="373" t="s">
        <v>1138</v>
      </c>
      <c r="F146" s="374" t="s">
        <v>1137</v>
      </c>
      <c r="G146" s="373" t="s">
        <v>1138</v>
      </c>
      <c r="H146" s="373"/>
      <c r="I146" s="373"/>
      <c r="J146" s="373"/>
      <c r="K146" s="375" t="s">
        <v>1139</v>
      </c>
      <c r="L146" s="375"/>
      <c r="M146" s="374" t="s">
        <v>1140</v>
      </c>
      <c r="N146" s="373" t="s">
        <v>1141</v>
      </c>
      <c r="O146" s="374" t="s">
        <v>1142</v>
      </c>
      <c r="P146" s="373" t="s">
        <v>1143</v>
      </c>
      <c r="Q146" s="373" t="s">
        <v>1144</v>
      </c>
      <c r="R146" s="373" t="s">
        <v>1145</v>
      </c>
    </row>
    <row r="147" spans="1:18" outlineLevel="1">
      <c r="A147" s="376" t="s">
        <v>1146</v>
      </c>
      <c r="B147" s="630"/>
      <c r="C147" s="631"/>
      <c r="D147" s="631"/>
      <c r="E147" s="631"/>
      <c r="F147" s="631"/>
      <c r="G147" s="632"/>
      <c r="H147" s="377"/>
      <c r="I147" s="377"/>
      <c r="J147" s="377"/>
      <c r="K147" s="378"/>
      <c r="L147" s="378"/>
      <c r="M147" s="379">
        <f>IFERROR(MIN(M148:M166),0)</f>
        <v>0</v>
      </c>
      <c r="N147" s="378">
        <f>N148</f>
        <v>2</v>
      </c>
      <c r="O147" s="379">
        <f>MAX(M147:N147)</f>
        <v>2</v>
      </c>
      <c r="P147" s="378" t="s">
        <v>1147</v>
      </c>
      <c r="Q147" s="380" t="s">
        <v>1148</v>
      </c>
      <c r="R147" s="378"/>
    </row>
    <row r="148" spans="1:18" outlineLevel="1">
      <c r="A148" s="376"/>
      <c r="B148" s="381" t="s">
        <v>1149</v>
      </c>
      <c r="C148" s="382" t="s">
        <v>1150</v>
      </c>
      <c r="D148" s="378">
        <v>99</v>
      </c>
      <c r="E148" s="383"/>
      <c r="F148" s="384">
        <v>90</v>
      </c>
      <c r="G148" s="378"/>
      <c r="H148" s="378"/>
      <c r="I148" s="378"/>
      <c r="J148" s="378"/>
      <c r="K148" s="378">
        <v>1</v>
      </c>
      <c r="L148" s="378"/>
      <c r="M148" s="379">
        <f t="shared" ref="M148:M166" si="32">IFERROR(MIN(MAX(0,IF(K148="N/A",0,IF((D148=E148),5,5-QUOTIENT(D148,E148)))), MAX(0,IF(K148="N/A",0,IF((F148=G148),5,5-QUOTIENT(F148,G148))))),0)</f>
        <v>0</v>
      </c>
      <c r="N148" s="378">
        <f>IF(K148="N/A", 1, 2)</f>
        <v>2</v>
      </c>
      <c r="O148" s="379">
        <f>MAX(M148:N148)</f>
        <v>2</v>
      </c>
      <c r="P148" s="378" t="s">
        <v>1147</v>
      </c>
      <c r="Q148" s="380" t="s">
        <v>1148</v>
      </c>
      <c r="R148" s="378"/>
    </row>
    <row r="149" spans="1:18" outlineLevel="1">
      <c r="A149" s="376"/>
      <c r="B149" s="633" t="s">
        <v>1151</v>
      </c>
      <c r="C149" s="382" t="s">
        <v>1152</v>
      </c>
      <c r="D149" s="378">
        <v>5</v>
      </c>
      <c r="E149" s="383"/>
      <c r="F149" s="384">
        <v>5</v>
      </c>
      <c r="G149" s="378"/>
      <c r="H149" s="378"/>
      <c r="I149" s="378"/>
      <c r="J149" s="378"/>
      <c r="K149" s="378">
        <v>1</v>
      </c>
      <c r="L149" s="378"/>
      <c r="M149" s="379">
        <f t="shared" si="32"/>
        <v>0</v>
      </c>
      <c r="N149" s="378">
        <f t="shared" ref="N149:N166" si="33">IF(K149="N/A", 1, 2)</f>
        <v>2</v>
      </c>
      <c r="O149" s="379">
        <f t="shared" ref="O149:O194" si="34">MAX(M149:N149)</f>
        <v>2</v>
      </c>
      <c r="P149" s="378" t="s">
        <v>1147</v>
      </c>
      <c r="Q149" s="380" t="s">
        <v>1148</v>
      </c>
      <c r="R149" s="378"/>
    </row>
    <row r="150" spans="1:18" outlineLevel="1">
      <c r="A150" s="376"/>
      <c r="B150" s="634"/>
      <c r="C150" s="382" t="s">
        <v>1153</v>
      </c>
      <c r="D150" s="378">
        <v>5</v>
      </c>
      <c r="E150" s="383"/>
      <c r="F150" s="384">
        <v>5</v>
      </c>
      <c r="G150" s="378"/>
      <c r="H150" s="378"/>
      <c r="I150" s="378"/>
      <c r="J150" s="378"/>
      <c r="K150" s="378">
        <v>1</v>
      </c>
      <c r="L150" s="378"/>
      <c r="M150" s="379">
        <f t="shared" si="32"/>
        <v>0</v>
      </c>
      <c r="N150" s="378">
        <f t="shared" si="33"/>
        <v>2</v>
      </c>
      <c r="O150" s="379">
        <f t="shared" si="34"/>
        <v>2</v>
      </c>
      <c r="P150" s="378" t="s">
        <v>1147</v>
      </c>
      <c r="Q150" s="380" t="s">
        <v>1148</v>
      </c>
      <c r="R150" s="378"/>
    </row>
    <row r="151" spans="1:18" outlineLevel="1">
      <c r="A151" s="376"/>
      <c r="B151" s="635"/>
      <c r="C151" s="382" t="s">
        <v>1154</v>
      </c>
      <c r="D151" s="378">
        <v>0.5</v>
      </c>
      <c r="E151" s="383"/>
      <c r="F151" s="384">
        <v>0.5</v>
      </c>
      <c r="G151" s="378"/>
      <c r="H151" s="378"/>
      <c r="I151" s="378"/>
      <c r="J151" s="378"/>
      <c r="K151" s="378">
        <v>1</v>
      </c>
      <c r="L151" s="378"/>
      <c r="M151" s="379">
        <f t="shared" si="32"/>
        <v>0</v>
      </c>
      <c r="N151" s="378">
        <f t="shared" si="33"/>
        <v>2</v>
      </c>
      <c r="O151" s="379">
        <f t="shared" si="34"/>
        <v>2</v>
      </c>
      <c r="P151" s="378" t="s">
        <v>1147</v>
      </c>
      <c r="Q151" s="380" t="s">
        <v>1148</v>
      </c>
      <c r="R151" s="378"/>
    </row>
    <row r="152" spans="1:18" outlineLevel="1">
      <c r="A152" s="376"/>
      <c r="B152" s="633" t="s">
        <v>1155</v>
      </c>
      <c r="C152" s="382" t="s">
        <v>1152</v>
      </c>
      <c r="D152" s="378">
        <v>10</v>
      </c>
      <c r="E152" s="383"/>
      <c r="F152" s="384">
        <v>15</v>
      </c>
      <c r="G152" s="378"/>
      <c r="H152" s="378"/>
      <c r="I152" s="378"/>
      <c r="J152" s="378"/>
      <c r="K152" s="378">
        <v>1</v>
      </c>
      <c r="L152" s="378"/>
      <c r="M152" s="379">
        <f t="shared" si="32"/>
        <v>0</v>
      </c>
      <c r="N152" s="378">
        <f t="shared" si="33"/>
        <v>2</v>
      </c>
      <c r="O152" s="379">
        <f t="shared" si="34"/>
        <v>2</v>
      </c>
      <c r="P152" s="378" t="s">
        <v>1147</v>
      </c>
      <c r="Q152" s="380" t="s">
        <v>1148</v>
      </c>
      <c r="R152" s="378"/>
    </row>
    <row r="153" spans="1:18" outlineLevel="1">
      <c r="A153" s="376"/>
      <c r="B153" s="634"/>
      <c r="C153" s="382" t="s">
        <v>1153</v>
      </c>
      <c r="D153" s="378">
        <v>10</v>
      </c>
      <c r="E153" s="383"/>
      <c r="F153" s="384">
        <v>15</v>
      </c>
      <c r="G153" s="378"/>
      <c r="H153" s="378"/>
      <c r="I153" s="378"/>
      <c r="J153" s="378"/>
      <c r="K153" s="378">
        <v>1</v>
      </c>
      <c r="L153" s="378"/>
      <c r="M153" s="379">
        <f t="shared" si="32"/>
        <v>0</v>
      </c>
      <c r="N153" s="378">
        <f t="shared" si="33"/>
        <v>2</v>
      </c>
      <c r="O153" s="379">
        <f t="shared" si="34"/>
        <v>2</v>
      </c>
      <c r="P153" s="378" t="s">
        <v>1147</v>
      </c>
      <c r="Q153" s="380" t="s">
        <v>1148</v>
      </c>
      <c r="R153" s="378"/>
    </row>
    <row r="154" spans="1:18" outlineLevel="1">
      <c r="A154" s="376"/>
      <c r="B154" s="635"/>
      <c r="C154" s="382" t="s">
        <v>1154</v>
      </c>
      <c r="D154" s="378">
        <v>0.5</v>
      </c>
      <c r="E154" s="383"/>
      <c r="F154" s="384">
        <v>0.5</v>
      </c>
      <c r="G154" s="378"/>
      <c r="H154" s="378"/>
      <c r="I154" s="378"/>
      <c r="J154" s="378"/>
      <c r="K154" s="378">
        <v>1</v>
      </c>
      <c r="L154" s="378"/>
      <c r="M154" s="379">
        <f t="shared" si="32"/>
        <v>0</v>
      </c>
      <c r="N154" s="378">
        <f t="shared" si="33"/>
        <v>2</v>
      </c>
      <c r="O154" s="379">
        <f t="shared" si="34"/>
        <v>2</v>
      </c>
      <c r="P154" s="378" t="s">
        <v>1147</v>
      </c>
      <c r="Q154" s="380" t="s">
        <v>1148</v>
      </c>
      <c r="R154" s="378"/>
    </row>
    <row r="155" spans="1:18" outlineLevel="1">
      <c r="A155" s="376"/>
      <c r="B155" s="633" t="s">
        <v>1156</v>
      </c>
      <c r="C155" s="382" t="s">
        <v>1152</v>
      </c>
      <c r="D155" s="378">
        <v>25</v>
      </c>
      <c r="E155" s="383"/>
      <c r="F155" s="384">
        <v>40</v>
      </c>
      <c r="G155" s="378"/>
      <c r="H155" s="378"/>
      <c r="I155" s="378"/>
      <c r="J155" s="378"/>
      <c r="K155" s="378">
        <v>1</v>
      </c>
      <c r="L155" s="378"/>
      <c r="M155" s="379">
        <f t="shared" si="32"/>
        <v>0</v>
      </c>
      <c r="N155" s="378">
        <f t="shared" si="33"/>
        <v>2</v>
      </c>
      <c r="O155" s="379">
        <f t="shared" si="34"/>
        <v>2</v>
      </c>
      <c r="P155" s="378" t="s">
        <v>1147</v>
      </c>
      <c r="Q155" s="380" t="s">
        <v>1148</v>
      </c>
      <c r="R155" s="378"/>
    </row>
    <row r="156" spans="1:18" outlineLevel="1">
      <c r="A156" s="376"/>
      <c r="B156" s="634"/>
      <c r="C156" s="382" t="s">
        <v>1153</v>
      </c>
      <c r="D156" s="378">
        <v>25</v>
      </c>
      <c r="E156" s="383"/>
      <c r="F156" s="384">
        <v>40</v>
      </c>
      <c r="G156" s="378"/>
      <c r="H156" s="378"/>
      <c r="I156" s="378"/>
      <c r="J156" s="378"/>
      <c r="K156" s="378">
        <v>1</v>
      </c>
      <c r="L156" s="378"/>
      <c r="M156" s="379">
        <f t="shared" si="32"/>
        <v>0</v>
      </c>
      <c r="N156" s="378">
        <f t="shared" si="33"/>
        <v>2</v>
      </c>
      <c r="O156" s="379">
        <f t="shared" si="34"/>
        <v>2</v>
      </c>
      <c r="P156" s="378" t="s">
        <v>1147</v>
      </c>
      <c r="Q156" s="380" t="s">
        <v>1148</v>
      </c>
      <c r="R156" s="378"/>
    </row>
    <row r="157" spans="1:18" outlineLevel="1">
      <c r="A157" s="376"/>
      <c r="B157" s="635"/>
      <c r="C157" s="382" t="s">
        <v>1154</v>
      </c>
      <c r="D157" s="378">
        <v>0.5</v>
      </c>
      <c r="E157" s="383"/>
      <c r="F157" s="384">
        <v>0.5</v>
      </c>
      <c r="G157" s="378"/>
      <c r="H157" s="378"/>
      <c r="I157" s="378"/>
      <c r="J157" s="378"/>
      <c r="K157" s="378">
        <v>1</v>
      </c>
      <c r="L157" s="378"/>
      <c r="M157" s="379">
        <f t="shared" si="32"/>
        <v>0</v>
      </c>
      <c r="N157" s="378">
        <f t="shared" si="33"/>
        <v>2</v>
      </c>
      <c r="O157" s="379">
        <f t="shared" si="34"/>
        <v>2</v>
      </c>
      <c r="P157" s="378" t="s">
        <v>1147</v>
      </c>
      <c r="Q157" s="380" t="s">
        <v>1148</v>
      </c>
      <c r="R157" s="378"/>
    </row>
    <row r="158" spans="1:18" outlineLevel="1">
      <c r="A158" s="376"/>
      <c r="B158" s="633" t="s">
        <v>1157</v>
      </c>
      <c r="C158" s="382" t="s">
        <v>1158</v>
      </c>
      <c r="D158" s="378">
        <v>5</v>
      </c>
      <c r="E158" s="383"/>
      <c r="F158" s="384">
        <v>10</v>
      </c>
      <c r="G158" s="378"/>
      <c r="H158" s="378"/>
      <c r="I158" s="378"/>
      <c r="J158" s="378"/>
      <c r="K158" s="378">
        <v>1</v>
      </c>
      <c r="L158" s="378"/>
      <c r="M158" s="379">
        <f t="shared" si="32"/>
        <v>0</v>
      </c>
      <c r="N158" s="378">
        <f t="shared" si="33"/>
        <v>2</v>
      </c>
      <c r="O158" s="379">
        <f t="shared" si="34"/>
        <v>2</v>
      </c>
      <c r="P158" s="378" t="s">
        <v>1147</v>
      </c>
      <c r="Q158" s="380" t="s">
        <v>1148</v>
      </c>
      <c r="R158" s="378"/>
    </row>
    <row r="159" spans="1:18" outlineLevel="1">
      <c r="A159" s="376"/>
      <c r="B159" s="634"/>
      <c r="C159" s="382" t="s">
        <v>1159</v>
      </c>
      <c r="D159" s="378">
        <v>5</v>
      </c>
      <c r="E159" s="383"/>
      <c r="F159" s="384">
        <v>10</v>
      </c>
      <c r="G159" s="378"/>
      <c r="H159" s="378"/>
      <c r="I159" s="378"/>
      <c r="J159" s="378"/>
      <c r="K159" s="378">
        <v>1</v>
      </c>
      <c r="L159" s="378"/>
      <c r="M159" s="379">
        <f t="shared" si="32"/>
        <v>0</v>
      </c>
      <c r="N159" s="378">
        <f t="shared" si="33"/>
        <v>2</v>
      </c>
      <c r="O159" s="379">
        <f t="shared" si="34"/>
        <v>2</v>
      </c>
      <c r="P159" s="378" t="s">
        <v>1147</v>
      </c>
      <c r="Q159" s="380" t="s">
        <v>1148</v>
      </c>
      <c r="R159" s="378"/>
    </row>
    <row r="160" spans="1:18" outlineLevel="1">
      <c r="A160" s="376"/>
      <c r="B160" s="635"/>
      <c r="C160" s="382" t="s">
        <v>1160</v>
      </c>
      <c r="D160" s="378">
        <v>0.5</v>
      </c>
      <c r="E160" s="383"/>
      <c r="F160" s="384">
        <v>0.5</v>
      </c>
      <c r="G160" s="378"/>
      <c r="H160" s="378"/>
      <c r="I160" s="378"/>
      <c r="J160" s="378"/>
      <c r="K160" s="378">
        <v>1</v>
      </c>
      <c r="L160" s="378"/>
      <c r="M160" s="379">
        <f t="shared" si="32"/>
        <v>0</v>
      </c>
      <c r="N160" s="378">
        <f t="shared" si="33"/>
        <v>2</v>
      </c>
      <c r="O160" s="379">
        <f t="shared" si="34"/>
        <v>2</v>
      </c>
      <c r="P160" s="378" t="s">
        <v>1147</v>
      </c>
      <c r="Q160" s="380" t="s">
        <v>1148</v>
      </c>
      <c r="R160" s="378"/>
    </row>
    <row r="161" spans="1:18" outlineLevel="1">
      <c r="A161" s="376"/>
      <c r="B161" s="633" t="s">
        <v>1161</v>
      </c>
      <c r="C161" s="382" t="s">
        <v>1158</v>
      </c>
      <c r="D161" s="378">
        <v>5</v>
      </c>
      <c r="E161" s="383"/>
      <c r="F161" s="384">
        <v>10</v>
      </c>
      <c r="G161" s="378"/>
      <c r="H161" s="378"/>
      <c r="I161" s="378"/>
      <c r="J161" s="378"/>
      <c r="K161" s="378">
        <v>1</v>
      </c>
      <c r="L161" s="378"/>
      <c r="M161" s="379">
        <f t="shared" si="32"/>
        <v>0</v>
      </c>
      <c r="N161" s="378">
        <f t="shared" si="33"/>
        <v>2</v>
      </c>
      <c r="O161" s="379">
        <f t="shared" si="34"/>
        <v>2</v>
      </c>
      <c r="P161" s="378" t="s">
        <v>1147</v>
      </c>
      <c r="Q161" s="380" t="s">
        <v>1148</v>
      </c>
      <c r="R161" s="378"/>
    </row>
    <row r="162" spans="1:18" outlineLevel="1">
      <c r="A162" s="376"/>
      <c r="B162" s="634"/>
      <c r="C162" s="382" t="s">
        <v>1159</v>
      </c>
      <c r="D162" s="378">
        <v>5</v>
      </c>
      <c r="E162" s="383"/>
      <c r="F162" s="384">
        <v>10</v>
      </c>
      <c r="G162" s="378"/>
      <c r="H162" s="378"/>
      <c r="I162" s="378"/>
      <c r="J162" s="378"/>
      <c r="K162" s="378">
        <v>1</v>
      </c>
      <c r="L162" s="378"/>
      <c r="M162" s="379">
        <f t="shared" si="32"/>
        <v>0</v>
      </c>
      <c r="N162" s="378">
        <f t="shared" si="33"/>
        <v>2</v>
      </c>
      <c r="O162" s="379">
        <f t="shared" si="34"/>
        <v>2</v>
      </c>
      <c r="P162" s="378" t="s">
        <v>1147</v>
      </c>
      <c r="Q162" s="380" t="s">
        <v>1148</v>
      </c>
      <c r="R162" s="378"/>
    </row>
    <row r="163" spans="1:18" outlineLevel="1">
      <c r="A163" s="376"/>
      <c r="B163" s="635"/>
      <c r="C163" s="382" t="s">
        <v>1160</v>
      </c>
      <c r="D163" s="378">
        <v>0.5</v>
      </c>
      <c r="E163" s="383"/>
      <c r="F163" s="384">
        <v>0.5</v>
      </c>
      <c r="G163" s="378"/>
      <c r="H163" s="378"/>
      <c r="I163" s="378"/>
      <c r="J163" s="378"/>
      <c r="K163" s="378">
        <v>1</v>
      </c>
      <c r="L163" s="378"/>
      <c r="M163" s="379">
        <f t="shared" si="32"/>
        <v>0</v>
      </c>
      <c r="N163" s="378">
        <f t="shared" si="33"/>
        <v>2</v>
      </c>
      <c r="O163" s="379">
        <f t="shared" si="34"/>
        <v>2</v>
      </c>
      <c r="P163" s="378" t="s">
        <v>1147</v>
      </c>
      <c r="Q163" s="380" t="s">
        <v>1148</v>
      </c>
      <c r="R163" s="378"/>
    </row>
    <row r="164" spans="1:18" outlineLevel="1">
      <c r="A164" s="376"/>
      <c r="B164" s="633" t="s">
        <v>1162</v>
      </c>
      <c r="C164" s="382" t="s">
        <v>1158</v>
      </c>
      <c r="D164" s="378">
        <v>3</v>
      </c>
      <c r="E164" s="383"/>
      <c r="F164" s="384">
        <v>7</v>
      </c>
      <c r="G164" s="378"/>
      <c r="H164" s="378"/>
      <c r="I164" s="378"/>
      <c r="J164" s="378"/>
      <c r="K164" s="378">
        <v>1</v>
      </c>
      <c r="L164" s="378"/>
      <c r="M164" s="379">
        <f t="shared" si="32"/>
        <v>0</v>
      </c>
      <c r="N164" s="378">
        <f t="shared" si="33"/>
        <v>2</v>
      </c>
      <c r="O164" s="379">
        <f t="shared" si="34"/>
        <v>2</v>
      </c>
      <c r="P164" s="378" t="s">
        <v>1147</v>
      </c>
      <c r="Q164" s="380" t="s">
        <v>1148</v>
      </c>
      <c r="R164" s="378"/>
    </row>
    <row r="165" spans="1:18" outlineLevel="1">
      <c r="A165" s="376"/>
      <c r="B165" s="634"/>
      <c r="C165" s="382" t="s">
        <v>1159</v>
      </c>
      <c r="D165" s="378">
        <v>3</v>
      </c>
      <c r="E165" s="383"/>
      <c r="F165" s="384">
        <v>7</v>
      </c>
      <c r="G165" s="378"/>
      <c r="H165" s="378"/>
      <c r="I165" s="378"/>
      <c r="J165" s="378"/>
      <c r="K165" s="378">
        <v>1</v>
      </c>
      <c r="L165" s="378"/>
      <c r="M165" s="379">
        <f t="shared" si="32"/>
        <v>0</v>
      </c>
      <c r="N165" s="378">
        <f t="shared" si="33"/>
        <v>2</v>
      </c>
      <c r="O165" s="379">
        <f t="shared" si="34"/>
        <v>2</v>
      </c>
      <c r="P165" s="378" t="s">
        <v>1147</v>
      </c>
      <c r="Q165" s="380" t="s">
        <v>1148</v>
      </c>
      <c r="R165" s="378"/>
    </row>
    <row r="166" spans="1:18" outlineLevel="1">
      <c r="A166" s="376"/>
      <c r="B166" s="635"/>
      <c r="C166" s="382" t="s">
        <v>1160</v>
      </c>
      <c r="D166" s="385">
        <v>0.5</v>
      </c>
      <c r="E166" s="386"/>
      <c r="F166" s="385">
        <v>0.5</v>
      </c>
      <c r="G166" s="387"/>
      <c r="H166" s="387"/>
      <c r="I166" s="387"/>
      <c r="J166" s="387"/>
      <c r="K166" s="378">
        <v>1</v>
      </c>
      <c r="L166" s="378"/>
      <c r="M166" s="379">
        <f t="shared" si="32"/>
        <v>0</v>
      </c>
      <c r="N166" s="378">
        <f t="shared" si="33"/>
        <v>2</v>
      </c>
      <c r="O166" s="379">
        <f t="shared" si="34"/>
        <v>2</v>
      </c>
      <c r="P166" s="378" t="s">
        <v>1147</v>
      </c>
      <c r="Q166" s="380" t="s">
        <v>1148</v>
      </c>
      <c r="R166" s="378"/>
    </row>
    <row r="167" spans="1:18" outlineLevel="1">
      <c r="A167" s="388" t="s">
        <v>1163</v>
      </c>
      <c r="B167" s="630"/>
      <c r="C167" s="631"/>
      <c r="D167" s="631"/>
      <c r="E167" s="631"/>
      <c r="F167" s="631"/>
      <c r="G167" s="632"/>
      <c r="H167" s="377"/>
      <c r="I167" s="377"/>
      <c r="J167" s="377"/>
      <c r="K167" s="378"/>
      <c r="L167" s="378"/>
      <c r="M167" s="379">
        <f>IFERROR(MIN(M168:M170),0)</f>
        <v>0</v>
      </c>
      <c r="N167" s="378">
        <f>N168</f>
        <v>2</v>
      </c>
      <c r="O167" s="379">
        <f t="shared" si="34"/>
        <v>2</v>
      </c>
      <c r="P167" s="378" t="s">
        <v>1147</v>
      </c>
      <c r="Q167" s="380" t="s">
        <v>1148</v>
      </c>
      <c r="R167" s="378"/>
    </row>
    <row r="168" spans="1:18" outlineLevel="1">
      <c r="A168" s="388"/>
      <c r="B168" s="642" t="s">
        <v>1164</v>
      </c>
      <c r="C168" s="382" t="s">
        <v>1149</v>
      </c>
      <c r="D168" s="387">
        <v>0.98</v>
      </c>
      <c r="E168" s="389"/>
      <c r="F168" s="387">
        <v>0.9</v>
      </c>
      <c r="G168" s="387"/>
      <c r="H168" s="387"/>
      <c r="I168" s="387"/>
      <c r="J168" s="387"/>
      <c r="K168" s="378">
        <v>1</v>
      </c>
      <c r="L168" s="378"/>
      <c r="M168" s="379">
        <f>IFERROR(MIN(MAX(0,IF(K168="N/A",0,IF((D168=E168),5,5-QUOTIENT(D168,E168)))), MAX(0,IF(K168="N/A",0,IF((F168=G168),5,5-QUOTIENT(F168,G168))))),0)</f>
        <v>0</v>
      </c>
      <c r="N168" s="378">
        <f>IF(K168="N/A", 1, 2)</f>
        <v>2</v>
      </c>
      <c r="O168" s="379">
        <f t="shared" si="34"/>
        <v>2</v>
      </c>
      <c r="P168" s="378" t="s">
        <v>1147</v>
      </c>
      <c r="Q168" s="380" t="s">
        <v>1148</v>
      </c>
      <c r="R168" s="378"/>
    </row>
    <row r="169" spans="1:18" outlineLevel="1">
      <c r="A169" s="388"/>
      <c r="B169" s="642"/>
      <c r="C169" s="382" t="s">
        <v>1165</v>
      </c>
      <c r="D169" s="378">
        <v>2</v>
      </c>
      <c r="E169" s="390"/>
      <c r="F169" s="378">
        <v>4</v>
      </c>
      <c r="G169" s="387"/>
      <c r="H169" s="387"/>
      <c r="I169" s="387"/>
      <c r="J169" s="387"/>
      <c r="K169" s="378">
        <v>1</v>
      </c>
      <c r="L169" s="378"/>
      <c r="M169" s="379">
        <f>IFERROR(MIN(MAX(0,IF(K169="N/A",0,IF((D169=E169),5,5-QUOTIENT(D169,E169)))), MAX(0,IF(K169="N/A",0,IF((F169=G169),5,5-QUOTIENT(F169,G169))))),0)</f>
        <v>0</v>
      </c>
      <c r="N169" s="378">
        <f t="shared" ref="N169:N170" si="35">IF(K169="N/A", 1, 2)</f>
        <v>2</v>
      </c>
      <c r="O169" s="379">
        <f t="shared" si="34"/>
        <v>2</v>
      </c>
      <c r="P169" s="378" t="s">
        <v>1147</v>
      </c>
      <c r="Q169" s="380" t="s">
        <v>1148</v>
      </c>
      <c r="R169" s="378"/>
    </row>
    <row r="170" spans="1:18" outlineLevel="1">
      <c r="A170" s="388"/>
      <c r="B170" s="642"/>
      <c r="C170" s="382" t="s">
        <v>1153</v>
      </c>
      <c r="D170" s="378">
        <v>2</v>
      </c>
      <c r="E170" s="390"/>
      <c r="F170" s="378">
        <v>4</v>
      </c>
      <c r="G170" s="391"/>
      <c r="H170" s="391"/>
      <c r="I170" s="391"/>
      <c r="J170" s="391"/>
      <c r="K170" s="378">
        <v>1</v>
      </c>
      <c r="L170" s="378"/>
      <c r="M170" s="379">
        <f>IFERROR(MIN(MAX(0,IF(K170="N/A",0,IF((D170=E170),5,5-QUOTIENT(D170,E170)))), MAX(0,IF(K170="N/A",0,IF((F170=G170),5,5-QUOTIENT(F170,G170))))),0)</f>
        <v>0</v>
      </c>
      <c r="N170" s="378">
        <f t="shared" si="35"/>
        <v>2</v>
      </c>
      <c r="O170" s="379">
        <f t="shared" si="34"/>
        <v>2</v>
      </c>
      <c r="P170" s="378" t="s">
        <v>1147</v>
      </c>
      <c r="Q170" s="380" t="s">
        <v>1148</v>
      </c>
      <c r="R170" s="378"/>
    </row>
    <row r="171" spans="1:18" outlineLevel="1">
      <c r="A171" s="392" t="s">
        <v>1166</v>
      </c>
      <c r="B171" s="393"/>
      <c r="C171" s="382"/>
      <c r="D171" s="378"/>
      <c r="E171" s="390"/>
      <c r="F171" s="378"/>
      <c r="G171" s="391"/>
      <c r="H171" s="391"/>
      <c r="I171" s="391"/>
      <c r="J171" s="391"/>
      <c r="K171" s="378"/>
      <c r="L171" s="378"/>
      <c r="M171" s="379">
        <f>IFERROR(MIN(M172:M175),0)</f>
        <v>0</v>
      </c>
      <c r="N171" s="378">
        <f>N172</f>
        <v>2</v>
      </c>
      <c r="O171" s="379">
        <f t="shared" si="34"/>
        <v>2</v>
      </c>
      <c r="P171" s="378" t="s">
        <v>1147</v>
      </c>
      <c r="Q171" s="380" t="s">
        <v>1148</v>
      </c>
      <c r="R171" s="378"/>
    </row>
    <row r="172" spans="1:18" outlineLevel="1">
      <c r="A172" s="394"/>
      <c r="B172" s="643" t="s">
        <v>1167</v>
      </c>
      <c r="C172" s="382" t="s">
        <v>1168</v>
      </c>
      <c r="D172" s="387">
        <v>0.45</v>
      </c>
      <c r="E172" s="389"/>
      <c r="F172" s="387">
        <v>0.45</v>
      </c>
      <c r="G172" s="387"/>
      <c r="H172" s="387"/>
      <c r="I172" s="387"/>
      <c r="J172" s="387"/>
      <c r="K172" s="378">
        <v>1</v>
      </c>
      <c r="L172" s="378"/>
      <c r="M172" s="379">
        <f>IFERROR(MIN(MAX(0,IF(K172="N/A",0,IF((D172=E172),5,5-QUOTIENT(D172,E172)))), MAX(0,IF(K172="N/A",0,IF((F172=G172),5,5-QUOTIENT(F172,G172))))),0)</f>
        <v>0</v>
      </c>
      <c r="N172" s="378">
        <f>IF(K172="N/A", 1, 2)</f>
        <v>2</v>
      </c>
      <c r="O172" s="379">
        <f t="shared" si="34"/>
        <v>2</v>
      </c>
      <c r="P172" s="378" t="s">
        <v>1147</v>
      </c>
      <c r="Q172" s="380" t="s">
        <v>1148</v>
      </c>
      <c r="R172" s="378"/>
    </row>
    <row r="173" spans="1:18" outlineLevel="1">
      <c r="A173" s="394"/>
      <c r="B173" s="637"/>
      <c r="C173" s="382" t="s">
        <v>1169</v>
      </c>
      <c r="D173" s="387">
        <v>0.05</v>
      </c>
      <c r="E173" s="389"/>
      <c r="F173" s="387">
        <v>0.05</v>
      </c>
      <c r="G173" s="387"/>
      <c r="H173" s="387"/>
      <c r="I173" s="387"/>
      <c r="J173" s="387"/>
      <c r="K173" s="378">
        <v>1</v>
      </c>
      <c r="L173" s="378"/>
      <c r="M173" s="379">
        <f>IFERROR(MIN(MAX(0,IF(K173="N/A",0,IF((D173=E173),5,5-QUOTIENT(D173,E173)))), MAX(0,IF(K173="N/A",0,IF((F173=G173),5,5-QUOTIENT(F173,G173))))),0)</f>
        <v>0</v>
      </c>
      <c r="N173" s="378">
        <f t="shared" ref="N173:N175" si="36">IF(K173="N/A", 1, 2)</f>
        <v>2</v>
      </c>
      <c r="O173" s="379">
        <f t="shared" si="34"/>
        <v>2</v>
      </c>
      <c r="P173" s="378" t="s">
        <v>1147</v>
      </c>
      <c r="Q173" s="380" t="s">
        <v>1148</v>
      </c>
      <c r="R173" s="378"/>
    </row>
    <row r="174" spans="1:18" outlineLevel="1">
      <c r="A174" s="394"/>
      <c r="B174" s="637"/>
      <c r="C174" s="382" t="s">
        <v>1170</v>
      </c>
      <c r="D174" s="391">
        <v>1</v>
      </c>
      <c r="E174" s="389"/>
      <c r="F174" s="391">
        <v>1</v>
      </c>
      <c r="G174" s="387"/>
      <c r="H174" s="387"/>
      <c r="I174" s="387"/>
      <c r="J174" s="387"/>
      <c r="K174" s="378">
        <v>1</v>
      </c>
      <c r="L174" s="378"/>
      <c r="M174" s="379">
        <f>IFERROR(MIN(MAX(0,IF(K174="N/A",0,IF((D174=E174),5,5-QUOTIENT(D174,E174)))), MAX(0,IF(K174="N/A",0,IF((F174=G174),5,5-QUOTIENT(F174,G174))))),0)</f>
        <v>0</v>
      </c>
      <c r="N174" s="378">
        <f t="shared" si="36"/>
        <v>2</v>
      </c>
      <c r="O174" s="379">
        <f t="shared" si="34"/>
        <v>2</v>
      </c>
      <c r="P174" s="378" t="s">
        <v>1147</v>
      </c>
      <c r="Q174" s="380" t="s">
        <v>1148</v>
      </c>
      <c r="R174" s="378"/>
    </row>
    <row r="175" spans="1:18" outlineLevel="1">
      <c r="A175" s="394"/>
      <c r="B175" s="638"/>
      <c r="C175" s="382" t="s">
        <v>1171</v>
      </c>
      <c r="D175" s="391">
        <v>10</v>
      </c>
      <c r="E175" s="389"/>
      <c r="F175" s="391">
        <v>10</v>
      </c>
      <c r="G175" s="387"/>
      <c r="H175" s="387"/>
      <c r="I175" s="387"/>
      <c r="J175" s="387"/>
      <c r="K175" s="378">
        <v>1</v>
      </c>
      <c r="L175" s="378"/>
      <c r="M175" s="379">
        <f>IFERROR(MIN(MAX(0,IF(K175="N/A",0,IF((D175=E175),5,5-QUOTIENT(D175,E175)))), MAX(0,IF(K175="N/A",0,IF((F175=G175),5,5-QUOTIENT(F175,G175))))),0)</f>
        <v>0</v>
      </c>
      <c r="N175" s="378">
        <f t="shared" si="36"/>
        <v>2</v>
      </c>
      <c r="O175" s="379">
        <f t="shared" si="34"/>
        <v>2</v>
      </c>
      <c r="P175" s="378" t="s">
        <v>1147</v>
      </c>
      <c r="Q175" s="380" t="s">
        <v>1148</v>
      </c>
      <c r="R175" s="378"/>
    </row>
    <row r="176" spans="1:18" outlineLevel="1">
      <c r="A176" s="394" t="s">
        <v>1172</v>
      </c>
      <c r="B176" s="395"/>
      <c r="C176" s="382"/>
      <c r="D176" s="391"/>
      <c r="E176" s="389"/>
      <c r="F176" s="391"/>
      <c r="G176" s="387"/>
      <c r="H176" s="387"/>
      <c r="I176" s="387"/>
      <c r="J176" s="387"/>
      <c r="K176" s="378"/>
      <c r="L176" s="378"/>
      <c r="M176" s="379">
        <f>IFERROR(MIN(M177:M179),0)</f>
        <v>0</v>
      </c>
      <c r="N176" s="378">
        <f>N177</f>
        <v>2</v>
      </c>
      <c r="O176" s="379">
        <f t="shared" si="34"/>
        <v>2</v>
      </c>
      <c r="P176" s="378" t="s">
        <v>1147</v>
      </c>
      <c r="Q176" s="380" t="s">
        <v>1148</v>
      </c>
      <c r="R176" s="378"/>
    </row>
    <row r="177" spans="1:18" outlineLevel="1">
      <c r="A177" s="394"/>
      <c r="B177" s="636" t="s">
        <v>568</v>
      </c>
      <c r="C177" s="382" t="s">
        <v>1168</v>
      </c>
      <c r="D177" s="387">
        <v>0.8</v>
      </c>
      <c r="E177" s="389"/>
      <c r="F177" s="387">
        <v>0.8</v>
      </c>
      <c r="G177" s="387"/>
      <c r="H177" s="387"/>
      <c r="I177" s="387"/>
      <c r="J177" s="387"/>
      <c r="K177" s="378">
        <v>1</v>
      </c>
      <c r="L177" s="378"/>
      <c r="M177" s="379">
        <f>IFERROR(MIN(MAX(0,IF(K177="N/A",0,IF((D177=E177),5,5-QUOTIENT(D177,E177)))), MAX(0,IF(K177="N/A",0,IF((F177=G177),5,5-QUOTIENT(F177,G177))))),0)</f>
        <v>0</v>
      </c>
      <c r="N177" s="378">
        <f>IF(K177="N/A", 1, 2)</f>
        <v>2</v>
      </c>
      <c r="O177" s="379">
        <f t="shared" si="34"/>
        <v>2</v>
      </c>
      <c r="P177" s="378" t="s">
        <v>1147</v>
      </c>
      <c r="Q177" s="380" t="s">
        <v>1148</v>
      </c>
      <c r="R177" s="378"/>
    </row>
    <row r="178" spans="1:18" outlineLevel="1">
      <c r="A178" s="394"/>
      <c r="B178" s="637"/>
      <c r="C178" s="382" t="s">
        <v>1170</v>
      </c>
      <c r="D178" s="390">
        <v>0.05</v>
      </c>
      <c r="E178" s="389"/>
      <c r="F178" s="390">
        <v>0.05</v>
      </c>
      <c r="G178" s="387"/>
      <c r="H178" s="387"/>
      <c r="I178" s="387"/>
      <c r="J178" s="387"/>
      <c r="K178" s="378">
        <v>1</v>
      </c>
      <c r="L178" s="378"/>
      <c r="M178" s="379">
        <f>IFERROR(MIN(MAX(0,IF(K178="N/A",0,IF((D178=E178),5,5-QUOTIENT(D178,E178)))), MAX(0,IF(K178="N/A",0,IF((F178=G178),5,5-QUOTIENT(F178,G178))))),0)</f>
        <v>0</v>
      </c>
      <c r="N178" s="378">
        <f t="shared" ref="N178:N179" si="37">IF(K178="N/A", 1, 2)</f>
        <v>2</v>
      </c>
      <c r="O178" s="379">
        <f t="shared" si="34"/>
        <v>2</v>
      </c>
      <c r="P178" s="378" t="s">
        <v>1147</v>
      </c>
      <c r="Q178" s="380" t="s">
        <v>1148</v>
      </c>
      <c r="R178" s="378"/>
    </row>
    <row r="179" spans="1:18" outlineLevel="1">
      <c r="A179" s="394"/>
      <c r="B179" s="638"/>
      <c r="C179" s="382" t="s">
        <v>1173</v>
      </c>
      <c r="D179" s="391">
        <v>10</v>
      </c>
      <c r="E179" s="389"/>
      <c r="F179" s="391">
        <v>10</v>
      </c>
      <c r="G179" s="387"/>
      <c r="H179" s="387"/>
      <c r="I179" s="387"/>
      <c r="J179" s="387"/>
      <c r="K179" s="378">
        <v>1</v>
      </c>
      <c r="L179" s="378"/>
      <c r="M179" s="379">
        <f>IFERROR(MIN(MAX(0,IF(K179="N/A",0,IF((D179=E179),5,5-QUOTIENT(D179,E179)))), MAX(0,IF(K179="N/A",0,IF((F179=G179),5,5-QUOTIENT(F179,G179))))),0)</f>
        <v>0</v>
      </c>
      <c r="N179" s="378">
        <f t="shared" si="37"/>
        <v>2</v>
      </c>
      <c r="O179" s="379">
        <f t="shared" si="34"/>
        <v>2</v>
      </c>
      <c r="P179" s="378" t="s">
        <v>1147</v>
      </c>
      <c r="Q179" s="380" t="s">
        <v>1148</v>
      </c>
      <c r="R179" s="378"/>
    </row>
    <row r="180" spans="1:18" outlineLevel="1">
      <c r="A180" s="394" t="s">
        <v>1174</v>
      </c>
      <c r="B180" s="395"/>
      <c r="C180" s="382"/>
      <c r="D180" s="391"/>
      <c r="E180" s="389"/>
      <c r="F180" s="391"/>
      <c r="G180" s="387"/>
      <c r="H180" s="387"/>
      <c r="I180" s="387"/>
      <c r="J180" s="387"/>
      <c r="K180" s="378"/>
      <c r="L180" s="378"/>
      <c r="M180" s="379">
        <f>IFERROR(MIN(M181:M183),0)</f>
        <v>0</v>
      </c>
      <c r="N180" s="378">
        <f>N181</f>
        <v>2</v>
      </c>
      <c r="O180" s="379">
        <f t="shared" si="34"/>
        <v>2</v>
      </c>
      <c r="P180" s="378" t="s">
        <v>1147</v>
      </c>
      <c r="Q180" s="380" t="s">
        <v>1148</v>
      </c>
      <c r="R180" s="378"/>
    </row>
    <row r="181" spans="1:18" outlineLevel="1">
      <c r="A181" s="394"/>
      <c r="B181" s="636" t="s">
        <v>571</v>
      </c>
      <c r="C181" s="382" t="s">
        <v>1168</v>
      </c>
      <c r="D181" s="387">
        <v>0.95</v>
      </c>
      <c r="E181" s="389"/>
      <c r="F181" s="387">
        <v>0.95</v>
      </c>
      <c r="G181" s="387"/>
      <c r="H181" s="387"/>
      <c r="I181" s="387"/>
      <c r="J181" s="387"/>
      <c r="K181" s="378">
        <v>1</v>
      </c>
      <c r="L181" s="378"/>
      <c r="M181" s="379">
        <f>IFERROR(MIN(MAX(0,IF(K181="N/A",0,IF((D181=E181),5,5-QUOTIENT(D181,E181)))), MAX(0,IF(K181="N/A",0,IF((F181=G181),5,5-QUOTIENT(F181,G181))))),0)</f>
        <v>0</v>
      </c>
      <c r="N181" s="378">
        <f t="shared" ref="N181:N183" si="38">IF(K181="N/A", 0, 2)</f>
        <v>2</v>
      </c>
      <c r="O181" s="379">
        <f t="shared" si="34"/>
        <v>2</v>
      </c>
      <c r="P181" s="378" t="s">
        <v>1147</v>
      </c>
      <c r="Q181" s="380" t="s">
        <v>1148</v>
      </c>
      <c r="R181" s="378"/>
    </row>
    <row r="182" spans="1:18" outlineLevel="1">
      <c r="A182" s="394"/>
      <c r="B182" s="637"/>
      <c r="C182" s="382" t="s">
        <v>1170</v>
      </c>
      <c r="D182" s="390">
        <v>0.01</v>
      </c>
      <c r="E182" s="389"/>
      <c r="F182" s="390">
        <v>0.01</v>
      </c>
      <c r="G182" s="387"/>
      <c r="H182" s="387"/>
      <c r="I182" s="387"/>
      <c r="J182" s="387"/>
      <c r="K182" s="378">
        <v>1</v>
      </c>
      <c r="L182" s="378"/>
      <c r="M182" s="379">
        <f>IFERROR(MIN(MAX(0,IF(K182="N/A",0,IF((D182=E182),5,5-QUOTIENT(D182,E182)))), MAX(0,IF(K182="N/A",0,IF((F182=G182),5,5-QUOTIENT(F182,G182))))),0)</f>
        <v>0</v>
      </c>
      <c r="N182" s="378">
        <f t="shared" si="38"/>
        <v>2</v>
      </c>
      <c r="O182" s="379">
        <f t="shared" si="34"/>
        <v>2</v>
      </c>
      <c r="P182" s="378" t="s">
        <v>1147</v>
      </c>
      <c r="Q182" s="380" t="s">
        <v>1148</v>
      </c>
      <c r="R182" s="378"/>
    </row>
    <row r="183" spans="1:18" outlineLevel="1">
      <c r="A183" s="394"/>
      <c r="B183" s="638"/>
      <c r="C183" s="382" t="s">
        <v>1173</v>
      </c>
      <c r="D183" s="391">
        <v>6</v>
      </c>
      <c r="E183" s="389"/>
      <c r="F183" s="391">
        <v>6</v>
      </c>
      <c r="G183" s="387"/>
      <c r="H183" s="387"/>
      <c r="I183" s="387"/>
      <c r="J183" s="387"/>
      <c r="K183" s="378">
        <v>1</v>
      </c>
      <c r="L183" s="378"/>
      <c r="M183" s="379">
        <f>IFERROR(MIN(MAX(0,IF(K183="N/A",0,IF((D183=E183),5,5-QUOTIENT(D183,E183)))), MAX(0,IF(K183="N/A",0,IF((F183=G183),5,5-QUOTIENT(F183,G183))))),0)</f>
        <v>0</v>
      </c>
      <c r="N183" s="378">
        <f t="shared" si="38"/>
        <v>2</v>
      </c>
      <c r="O183" s="379">
        <f t="shared" si="34"/>
        <v>2</v>
      </c>
      <c r="P183" s="378" t="s">
        <v>1147</v>
      </c>
      <c r="Q183" s="380" t="s">
        <v>1148</v>
      </c>
      <c r="R183" s="378"/>
    </row>
    <row r="184" spans="1:18" outlineLevel="1">
      <c r="A184" s="394" t="s">
        <v>1175</v>
      </c>
      <c r="B184" s="396"/>
      <c r="C184" s="382"/>
      <c r="D184" s="391"/>
      <c r="E184" s="389"/>
      <c r="F184" s="391"/>
      <c r="G184" s="387"/>
      <c r="H184" s="387"/>
      <c r="I184" s="387"/>
      <c r="J184" s="387"/>
      <c r="K184" s="378"/>
      <c r="L184" s="378"/>
      <c r="M184" s="379">
        <f>IFERROR(MIN(M185:M194),0)</f>
        <v>0</v>
      </c>
      <c r="N184" s="378">
        <f>N185</f>
        <v>2</v>
      </c>
      <c r="O184" s="379">
        <f t="shared" si="34"/>
        <v>2</v>
      </c>
      <c r="P184" s="378" t="s">
        <v>1147</v>
      </c>
      <c r="Q184" s="380" t="s">
        <v>1148</v>
      </c>
      <c r="R184" s="378"/>
    </row>
    <row r="185" spans="1:18" outlineLevel="1">
      <c r="A185" s="394"/>
      <c r="B185" s="397" t="s">
        <v>1149</v>
      </c>
      <c r="C185" s="382" t="s">
        <v>1150</v>
      </c>
      <c r="D185" s="387">
        <v>0.99</v>
      </c>
      <c r="E185" s="389"/>
      <c r="F185" s="398">
        <v>0.99</v>
      </c>
      <c r="G185" s="387"/>
      <c r="H185" s="387"/>
      <c r="I185" s="387"/>
      <c r="J185" s="387"/>
      <c r="K185" s="378">
        <v>1</v>
      </c>
      <c r="L185" s="378"/>
      <c r="M185" s="379">
        <f t="shared" ref="M185:M194" si="39">IFERROR(MIN(MAX(0,IF(K185="N/A",0,IF((D185=E185),5,5-QUOTIENT(D185,E185)))), MAX(0,IF(K185="N/A",0,IF((F185=G185),5,5-QUOTIENT(F185,G185))))),0)</f>
        <v>0</v>
      </c>
      <c r="N185" s="378">
        <f>IF(K185="N/A", 1, 2)</f>
        <v>2</v>
      </c>
      <c r="O185" s="379">
        <f t="shared" si="34"/>
        <v>2</v>
      </c>
      <c r="P185" s="378" t="s">
        <v>1147</v>
      </c>
      <c r="Q185" s="380" t="s">
        <v>1148</v>
      </c>
      <c r="R185" s="378"/>
    </row>
    <row r="186" spans="1:18" outlineLevel="1">
      <c r="A186" s="394"/>
      <c r="B186" s="636" t="s">
        <v>1176</v>
      </c>
      <c r="C186" s="382" t="s">
        <v>1177</v>
      </c>
      <c r="D186" s="387">
        <v>0.98</v>
      </c>
      <c r="E186" s="389"/>
      <c r="F186" s="398">
        <v>0.95</v>
      </c>
      <c r="G186" s="387"/>
      <c r="H186" s="387"/>
      <c r="I186" s="387"/>
      <c r="J186" s="387"/>
      <c r="K186" s="378">
        <v>1</v>
      </c>
      <c r="L186" s="378"/>
      <c r="M186" s="379">
        <f t="shared" si="39"/>
        <v>0</v>
      </c>
      <c r="N186" s="378">
        <f t="shared" ref="N186:N194" si="40">IF(K186="N/A", 1, 2)</f>
        <v>2</v>
      </c>
      <c r="O186" s="379">
        <f t="shared" si="34"/>
        <v>2</v>
      </c>
      <c r="P186" s="378" t="s">
        <v>1147</v>
      </c>
      <c r="Q186" s="380" t="s">
        <v>1148</v>
      </c>
      <c r="R186" s="378"/>
    </row>
    <row r="187" spans="1:18" outlineLevel="1">
      <c r="A187" s="394"/>
      <c r="B187" s="638"/>
      <c r="C187" s="382" t="s">
        <v>1178</v>
      </c>
      <c r="D187" s="387">
        <v>0.95</v>
      </c>
      <c r="E187" s="399"/>
      <c r="F187" s="398">
        <v>0.9</v>
      </c>
      <c r="G187" s="387"/>
      <c r="H187" s="387"/>
      <c r="I187" s="387"/>
      <c r="J187" s="387"/>
      <c r="K187" s="378">
        <v>1</v>
      </c>
      <c r="L187" s="378"/>
      <c r="M187" s="379">
        <f t="shared" si="39"/>
        <v>0</v>
      </c>
      <c r="N187" s="378">
        <f t="shared" si="40"/>
        <v>2</v>
      </c>
      <c r="O187" s="379">
        <f t="shared" si="34"/>
        <v>2</v>
      </c>
      <c r="P187" s="378" t="s">
        <v>1147</v>
      </c>
      <c r="Q187" s="380" t="s">
        <v>1148</v>
      </c>
      <c r="R187" s="378"/>
    </row>
    <row r="188" spans="1:18" outlineLevel="1">
      <c r="A188" s="394"/>
      <c r="B188" s="636" t="s">
        <v>1179</v>
      </c>
      <c r="C188" s="382" t="s">
        <v>1177</v>
      </c>
      <c r="D188" s="387">
        <v>0.95</v>
      </c>
      <c r="E188" s="399"/>
      <c r="F188" s="387">
        <v>0.95</v>
      </c>
      <c r="G188" s="387"/>
      <c r="H188" s="387"/>
      <c r="I188" s="387"/>
      <c r="J188" s="387"/>
      <c r="K188" s="378">
        <v>1</v>
      </c>
      <c r="L188" s="378"/>
      <c r="M188" s="379">
        <f t="shared" si="39"/>
        <v>0</v>
      </c>
      <c r="N188" s="378">
        <f t="shared" si="40"/>
        <v>2</v>
      </c>
      <c r="O188" s="379">
        <f t="shared" si="34"/>
        <v>2</v>
      </c>
      <c r="P188" s="378" t="s">
        <v>1147</v>
      </c>
      <c r="Q188" s="380" t="s">
        <v>1148</v>
      </c>
      <c r="R188" s="378"/>
    </row>
    <row r="189" spans="1:18" outlineLevel="1">
      <c r="A189" s="394"/>
      <c r="B189" s="637"/>
      <c r="C189" s="382" t="s">
        <v>1180</v>
      </c>
      <c r="D189" s="387">
        <v>0.85</v>
      </c>
      <c r="E189" s="399"/>
      <c r="F189" s="387">
        <v>0.85</v>
      </c>
      <c r="G189" s="387"/>
      <c r="H189" s="387"/>
      <c r="I189" s="387"/>
      <c r="J189" s="387"/>
      <c r="K189" s="378">
        <v>1</v>
      </c>
      <c r="L189" s="378"/>
      <c r="M189" s="379">
        <f t="shared" si="39"/>
        <v>0</v>
      </c>
      <c r="N189" s="378">
        <f t="shared" si="40"/>
        <v>2</v>
      </c>
      <c r="O189" s="379">
        <f t="shared" si="34"/>
        <v>2</v>
      </c>
      <c r="P189" s="378" t="s">
        <v>1147</v>
      </c>
      <c r="Q189" s="380" t="s">
        <v>1148</v>
      </c>
      <c r="R189" s="378"/>
    </row>
    <row r="190" spans="1:18" outlineLevel="1">
      <c r="A190" s="394"/>
      <c r="B190" s="637"/>
      <c r="C190" s="382" t="s">
        <v>1181</v>
      </c>
      <c r="D190" s="387">
        <v>0.9</v>
      </c>
      <c r="E190" s="399"/>
      <c r="F190" s="387">
        <v>0.9</v>
      </c>
      <c r="G190" s="387"/>
      <c r="H190" s="387"/>
      <c r="I190" s="387"/>
      <c r="J190" s="387"/>
      <c r="K190" s="378">
        <v>1</v>
      </c>
      <c r="L190" s="378"/>
      <c r="M190" s="379">
        <f t="shared" si="39"/>
        <v>0</v>
      </c>
      <c r="N190" s="378">
        <f t="shared" si="40"/>
        <v>2</v>
      </c>
      <c r="O190" s="379">
        <f t="shared" si="34"/>
        <v>2</v>
      </c>
      <c r="P190" s="378" t="s">
        <v>1147</v>
      </c>
      <c r="Q190" s="380" t="s">
        <v>1148</v>
      </c>
      <c r="R190" s="378"/>
    </row>
    <row r="191" spans="1:18" outlineLevel="1">
      <c r="A191" s="394"/>
      <c r="B191" s="637"/>
      <c r="C191" s="382" t="s">
        <v>1182</v>
      </c>
      <c r="D191" s="387">
        <v>0.9</v>
      </c>
      <c r="E191" s="399"/>
      <c r="F191" s="387">
        <v>0.9</v>
      </c>
      <c r="G191" s="387"/>
      <c r="H191" s="387"/>
      <c r="I191" s="387"/>
      <c r="J191" s="387"/>
      <c r="K191" s="378">
        <v>1</v>
      </c>
      <c r="L191" s="378"/>
      <c r="M191" s="379">
        <f t="shared" si="39"/>
        <v>0</v>
      </c>
      <c r="N191" s="378">
        <f t="shared" si="40"/>
        <v>2</v>
      </c>
      <c r="O191" s="379">
        <f t="shared" si="34"/>
        <v>2</v>
      </c>
      <c r="P191" s="378" t="s">
        <v>1147</v>
      </c>
      <c r="Q191" s="380" t="s">
        <v>1148</v>
      </c>
      <c r="R191" s="378"/>
    </row>
    <row r="192" spans="1:18" outlineLevel="1">
      <c r="A192" s="394"/>
      <c r="B192" s="637"/>
      <c r="C192" s="382" t="s">
        <v>1183</v>
      </c>
      <c r="D192" s="387">
        <v>0.9</v>
      </c>
      <c r="E192" s="399"/>
      <c r="F192" s="387">
        <v>0.9</v>
      </c>
      <c r="G192" s="387"/>
      <c r="H192" s="387"/>
      <c r="I192" s="387"/>
      <c r="J192" s="387"/>
      <c r="K192" s="378">
        <v>1</v>
      </c>
      <c r="L192" s="378"/>
      <c r="M192" s="379">
        <f t="shared" si="39"/>
        <v>0</v>
      </c>
      <c r="N192" s="378">
        <f t="shared" si="40"/>
        <v>2</v>
      </c>
      <c r="O192" s="379">
        <f t="shared" si="34"/>
        <v>2</v>
      </c>
      <c r="P192" s="378" t="s">
        <v>1147</v>
      </c>
      <c r="Q192" s="380" t="s">
        <v>1148</v>
      </c>
      <c r="R192" s="378"/>
    </row>
    <row r="193" spans="1:18" outlineLevel="1">
      <c r="A193" s="394"/>
      <c r="B193" s="637"/>
      <c r="C193" s="382" t="s">
        <v>1178</v>
      </c>
      <c r="D193" s="387">
        <v>0.9</v>
      </c>
      <c r="E193" s="399"/>
      <c r="F193" s="387">
        <v>0.9</v>
      </c>
      <c r="G193" s="387"/>
      <c r="H193" s="387"/>
      <c r="I193" s="387"/>
      <c r="J193" s="387"/>
      <c r="K193" s="378">
        <v>1</v>
      </c>
      <c r="L193" s="378"/>
      <c r="M193" s="379">
        <f t="shared" si="39"/>
        <v>0</v>
      </c>
      <c r="N193" s="378">
        <f t="shared" si="40"/>
        <v>2</v>
      </c>
      <c r="O193" s="379">
        <f t="shared" si="34"/>
        <v>2</v>
      </c>
      <c r="P193" s="378" t="s">
        <v>1147</v>
      </c>
      <c r="Q193" s="380" t="s">
        <v>1148</v>
      </c>
      <c r="R193" s="378"/>
    </row>
    <row r="194" spans="1:18" outlineLevel="1">
      <c r="A194" s="394"/>
      <c r="B194" s="638"/>
      <c r="C194" s="382" t="s">
        <v>1184</v>
      </c>
      <c r="D194" s="387">
        <v>0.85</v>
      </c>
      <c r="E194" s="399"/>
      <c r="F194" s="387">
        <v>0.85</v>
      </c>
      <c r="G194" s="387"/>
      <c r="H194" s="387"/>
      <c r="I194" s="387"/>
      <c r="J194" s="387"/>
      <c r="K194" s="378">
        <v>1</v>
      </c>
      <c r="L194" s="378"/>
      <c r="M194" s="379">
        <f t="shared" si="39"/>
        <v>0</v>
      </c>
      <c r="N194" s="378">
        <f t="shared" si="40"/>
        <v>2</v>
      </c>
      <c r="O194" s="379">
        <f t="shared" si="34"/>
        <v>2</v>
      </c>
      <c r="P194" s="378" t="s">
        <v>1147</v>
      </c>
      <c r="Q194" s="380" t="s">
        <v>1148</v>
      </c>
      <c r="R194" s="378"/>
    </row>
    <row r="195" spans="1:18" outlineLevel="1">
      <c r="A195" s="394" t="s">
        <v>1185</v>
      </c>
      <c r="B195" s="395"/>
      <c r="C195" s="382"/>
      <c r="D195" s="387"/>
      <c r="E195" s="399"/>
      <c r="F195" s="387"/>
      <c r="G195" s="387"/>
      <c r="H195" s="387"/>
      <c r="I195" s="387"/>
      <c r="J195" s="387"/>
      <c r="K195" s="378"/>
      <c r="L195" s="378"/>
      <c r="M195" s="379">
        <f>IFERROR(MIN(M196:M199),0)</f>
        <v>0</v>
      </c>
      <c r="N195" s="378">
        <f>N196</f>
        <v>2</v>
      </c>
      <c r="O195" s="379">
        <f>MAX(M195:N195)</f>
        <v>2</v>
      </c>
      <c r="P195" s="378" t="s">
        <v>1147</v>
      </c>
      <c r="Q195" s="380" t="s">
        <v>1148</v>
      </c>
      <c r="R195" s="378"/>
    </row>
    <row r="196" spans="1:18" outlineLevel="1">
      <c r="A196" s="394"/>
      <c r="B196" s="636" t="s">
        <v>1186</v>
      </c>
      <c r="C196" s="382" t="s">
        <v>1187</v>
      </c>
      <c r="D196" s="387">
        <v>0.95</v>
      </c>
      <c r="E196" s="389"/>
      <c r="F196" s="398">
        <v>0.45</v>
      </c>
      <c r="G196" s="387"/>
      <c r="H196" s="387"/>
      <c r="I196" s="387"/>
      <c r="J196" s="387"/>
      <c r="K196" s="378">
        <v>1</v>
      </c>
      <c r="L196" s="378"/>
      <c r="M196" s="379">
        <f>IFERROR(MIN(MAX(0,IF(K196="N/A",0,IF((D196=E196),5,5-QUOTIENT(D196,E196)))), MAX(0,IF(K196="N/A",0,IF((F196=G196),5,5-QUOTIENT(F196,G196))))),0)</f>
        <v>0</v>
      </c>
      <c r="N196" s="378">
        <f>IF(K196="N/A", 1, 2)</f>
        <v>2</v>
      </c>
      <c r="O196" s="379">
        <f t="shared" ref="O196:O222" si="41">MAX(M196:N196)</f>
        <v>2</v>
      </c>
      <c r="P196" s="378" t="s">
        <v>1147</v>
      </c>
      <c r="Q196" s="380" t="s">
        <v>1148</v>
      </c>
      <c r="R196" s="378"/>
    </row>
    <row r="197" spans="1:18" outlineLevel="1">
      <c r="A197" s="394"/>
      <c r="B197" s="637"/>
      <c r="C197" s="382" t="s">
        <v>1188</v>
      </c>
      <c r="D197" s="387">
        <v>0.9</v>
      </c>
      <c r="E197" s="389"/>
      <c r="F197" s="398">
        <v>0.4</v>
      </c>
      <c r="G197" s="387"/>
      <c r="H197" s="387"/>
      <c r="I197" s="387"/>
      <c r="J197" s="387"/>
      <c r="K197" s="378">
        <v>1</v>
      </c>
      <c r="L197" s="378"/>
      <c r="M197" s="379">
        <f>IFERROR(MIN(MAX(0,IF(K197="N/A",0,IF((D197=E197),5,5-QUOTIENT(D197,E197)))), MAX(0,IF(K197="N/A",0,IF((F197=G197),5,5-QUOTIENT(F197,G197))))),0)</f>
        <v>0</v>
      </c>
      <c r="N197" s="378">
        <f t="shared" ref="N197:N199" si="42">IF(K197="N/A", 1, 2)</f>
        <v>2</v>
      </c>
      <c r="O197" s="379">
        <f t="shared" si="41"/>
        <v>2</v>
      </c>
      <c r="P197" s="378" t="s">
        <v>1147</v>
      </c>
      <c r="Q197" s="380" t="s">
        <v>1148</v>
      </c>
      <c r="R197" s="378"/>
    </row>
    <row r="198" spans="1:18" outlineLevel="1">
      <c r="A198" s="394"/>
      <c r="B198" s="637"/>
      <c r="C198" s="382" t="s">
        <v>1170</v>
      </c>
      <c r="D198" s="390">
        <v>0.05</v>
      </c>
      <c r="E198" s="389"/>
      <c r="F198" s="390">
        <v>0.05</v>
      </c>
      <c r="G198" s="387"/>
      <c r="H198" s="387"/>
      <c r="I198" s="387"/>
      <c r="J198" s="387"/>
      <c r="K198" s="378">
        <v>1</v>
      </c>
      <c r="L198" s="378"/>
      <c r="M198" s="379">
        <f>IFERROR(MIN(MAX(0,IF(K198="N/A",0,IF((D198=E198),5,5-QUOTIENT(D198,E198)))), MAX(0,IF(K198="N/A",0,IF((F198=G198),5,5-QUOTIENT(F198,G198))))),0)</f>
        <v>0</v>
      </c>
      <c r="N198" s="378">
        <f t="shared" si="42"/>
        <v>2</v>
      </c>
      <c r="O198" s="379">
        <f t="shared" si="41"/>
        <v>2</v>
      </c>
      <c r="P198" s="378" t="s">
        <v>1147</v>
      </c>
      <c r="Q198" s="380" t="s">
        <v>1148</v>
      </c>
      <c r="R198" s="378"/>
    </row>
    <row r="199" spans="1:18" outlineLevel="1">
      <c r="A199" s="394"/>
      <c r="B199" s="638"/>
      <c r="C199" s="382" t="s">
        <v>1189</v>
      </c>
      <c r="D199" s="391">
        <v>100</v>
      </c>
      <c r="E199" s="389"/>
      <c r="F199" s="391">
        <v>100</v>
      </c>
      <c r="G199" s="387"/>
      <c r="H199" s="387"/>
      <c r="I199" s="387"/>
      <c r="J199" s="387"/>
      <c r="K199" s="378">
        <v>1</v>
      </c>
      <c r="L199" s="378"/>
      <c r="M199" s="379">
        <f>IFERROR(MIN(MAX(0,IF(K199="N/A",0,IF((D199=E199),5,5-QUOTIENT(D199,E199)))), MAX(0,IF(K199="N/A",0,IF((F199=G199),5,5-QUOTIENT(F199,G199))))),0)</f>
        <v>0</v>
      </c>
      <c r="N199" s="378">
        <f t="shared" si="42"/>
        <v>2</v>
      </c>
      <c r="O199" s="379">
        <f t="shared" si="41"/>
        <v>2</v>
      </c>
      <c r="P199" s="378" t="s">
        <v>1147</v>
      </c>
      <c r="Q199" s="380" t="s">
        <v>1148</v>
      </c>
      <c r="R199" s="378"/>
    </row>
    <row r="200" spans="1:18" outlineLevel="1">
      <c r="A200" s="394" t="s">
        <v>1190</v>
      </c>
      <c r="B200" s="396"/>
      <c r="C200" s="382"/>
      <c r="D200" s="391"/>
      <c r="E200" s="389"/>
      <c r="F200" s="391"/>
      <c r="G200" s="387"/>
      <c r="H200" s="387"/>
      <c r="I200" s="387"/>
      <c r="J200" s="387"/>
      <c r="K200" s="378"/>
      <c r="L200" s="378"/>
      <c r="M200" s="379">
        <f>IFERROR(MIN(M201:M204),0)</f>
        <v>0</v>
      </c>
      <c r="N200" s="378">
        <f>N201</f>
        <v>2</v>
      </c>
      <c r="O200" s="379">
        <f t="shared" si="41"/>
        <v>2</v>
      </c>
      <c r="P200" s="378" t="s">
        <v>1147</v>
      </c>
      <c r="Q200" s="380" t="s">
        <v>1148</v>
      </c>
      <c r="R200" s="378"/>
    </row>
    <row r="201" spans="1:18" outlineLevel="1">
      <c r="A201" s="394"/>
      <c r="B201" s="397" t="s">
        <v>752</v>
      </c>
      <c r="C201" s="382" t="s">
        <v>1191</v>
      </c>
      <c r="D201" s="387">
        <v>0.85</v>
      </c>
      <c r="E201" s="389"/>
      <c r="F201" s="398">
        <v>0.85</v>
      </c>
      <c r="G201" s="387"/>
      <c r="H201" s="387"/>
      <c r="I201" s="387"/>
      <c r="J201" s="387"/>
      <c r="K201" s="378">
        <v>1</v>
      </c>
      <c r="L201" s="378"/>
      <c r="M201" s="379">
        <f>IFERROR(MIN(MAX(0,IF(K201="N/A",0,IF((D201=E201),5,5-QUOTIENT(D201,E201)))), MAX(0,IF(K201="N/A",0,IF((F201=G201),5,5-QUOTIENT(F201,G201))))),0)</f>
        <v>0</v>
      </c>
      <c r="N201" s="378">
        <f>IF(K201="N/A", 1, 2)</f>
        <v>2</v>
      </c>
      <c r="O201" s="379">
        <f t="shared" si="41"/>
        <v>2</v>
      </c>
      <c r="P201" s="378" t="s">
        <v>1147</v>
      </c>
      <c r="Q201" s="380" t="s">
        <v>1148</v>
      </c>
      <c r="R201" s="378"/>
    </row>
    <row r="202" spans="1:18" outlineLevel="1">
      <c r="A202" s="394"/>
      <c r="B202" s="397" t="s">
        <v>752</v>
      </c>
      <c r="C202" s="400" t="s">
        <v>1170</v>
      </c>
      <c r="D202" s="401">
        <v>1</v>
      </c>
      <c r="E202" s="389"/>
      <c r="F202" s="401">
        <v>1</v>
      </c>
      <c r="G202" s="387"/>
      <c r="H202" s="387"/>
      <c r="I202" s="387"/>
      <c r="J202" s="387"/>
      <c r="K202" s="378">
        <v>1</v>
      </c>
      <c r="L202" s="378"/>
      <c r="M202" s="379">
        <f>IFERROR(MIN(MAX(0,IF(K202="N/A",0,IF((D202=E202),5,5-QUOTIENT(D202,E202)))), MAX(0,IF(K202="N/A",0,IF((F202=G202),5,5-QUOTIENT(F202,G202))))),0)</f>
        <v>0</v>
      </c>
      <c r="N202" s="378">
        <f t="shared" ref="N202:N204" si="43">IF(K202="N/A", 1, 2)</f>
        <v>2</v>
      </c>
      <c r="O202" s="379">
        <f t="shared" si="41"/>
        <v>2</v>
      </c>
      <c r="P202" s="378" t="s">
        <v>1147</v>
      </c>
      <c r="Q202" s="380" t="s">
        <v>1148</v>
      </c>
      <c r="R202" s="378"/>
    </row>
    <row r="203" spans="1:18" outlineLevel="1">
      <c r="A203" s="394"/>
      <c r="B203" s="402" t="s">
        <v>1192</v>
      </c>
      <c r="C203" s="400" t="s">
        <v>1193</v>
      </c>
      <c r="D203" s="403">
        <v>0.999</v>
      </c>
      <c r="E203" s="389"/>
      <c r="F203" s="403">
        <v>0.999</v>
      </c>
      <c r="G203" s="387"/>
      <c r="H203" s="387"/>
      <c r="I203" s="387"/>
      <c r="J203" s="387"/>
      <c r="K203" s="378">
        <v>1</v>
      </c>
      <c r="L203" s="378"/>
      <c r="M203" s="379">
        <f>IFERROR(MIN(MAX(0,IF(K203="N/A",0,IF((D203=E203),5,5-QUOTIENT(D203,E203)))), MAX(0,IF(K203="N/A",0,IF((F203=G203),5,5-QUOTIENT(F203,G203))))),0)</f>
        <v>0</v>
      </c>
      <c r="N203" s="378">
        <f t="shared" si="43"/>
        <v>2</v>
      </c>
      <c r="O203" s="379">
        <f t="shared" si="41"/>
        <v>2</v>
      </c>
      <c r="P203" s="378" t="s">
        <v>1147</v>
      </c>
      <c r="Q203" s="380" t="s">
        <v>1148</v>
      </c>
      <c r="R203" s="378"/>
    </row>
    <row r="204" spans="1:18" outlineLevel="1">
      <c r="A204" s="394"/>
      <c r="B204" s="402" t="s">
        <v>1192</v>
      </c>
      <c r="C204" s="400" t="s">
        <v>1194</v>
      </c>
      <c r="D204" s="403">
        <v>0.999</v>
      </c>
      <c r="E204" s="389"/>
      <c r="F204" s="403">
        <v>0.999</v>
      </c>
      <c r="G204" s="387"/>
      <c r="H204" s="387"/>
      <c r="I204" s="387"/>
      <c r="J204" s="387"/>
      <c r="K204" s="378">
        <v>1</v>
      </c>
      <c r="L204" s="378"/>
      <c r="M204" s="379">
        <f>IFERROR(MIN(MAX(0,IF(K204="N/A",0,IF((D204=E204),5,5-QUOTIENT(D204,E204)))), MAX(0,IF(K204="N/A",0,IF((F204=G204),5,5-QUOTIENT(F204,G204))))),0)</f>
        <v>0</v>
      </c>
      <c r="N204" s="378">
        <f t="shared" si="43"/>
        <v>2</v>
      </c>
      <c r="O204" s="379">
        <f t="shared" si="41"/>
        <v>2</v>
      </c>
      <c r="P204" s="378" t="s">
        <v>1147</v>
      </c>
      <c r="Q204" s="380" t="s">
        <v>1148</v>
      </c>
      <c r="R204" s="378"/>
    </row>
    <row r="205" spans="1:18" outlineLevel="1">
      <c r="A205" s="404" t="s">
        <v>1195</v>
      </c>
      <c r="B205" s="405"/>
      <c r="C205" s="400"/>
      <c r="D205" s="403"/>
      <c r="E205" s="389"/>
      <c r="F205" s="403"/>
      <c r="G205" s="387"/>
      <c r="H205" s="387"/>
      <c r="I205" s="387"/>
      <c r="J205" s="387"/>
      <c r="K205" s="378"/>
      <c r="L205" s="378"/>
      <c r="M205" s="379">
        <f>IFERROR(MIN(M206:M217),0)</f>
        <v>0</v>
      </c>
      <c r="N205" s="378">
        <f>N208</f>
        <v>2</v>
      </c>
      <c r="O205" s="379">
        <f t="shared" si="41"/>
        <v>2</v>
      </c>
      <c r="P205" s="378" t="s">
        <v>1147</v>
      </c>
      <c r="Q205" s="380" t="s">
        <v>1148</v>
      </c>
      <c r="R205" s="378"/>
    </row>
    <row r="206" spans="1:18" outlineLevel="1">
      <c r="A206" s="406"/>
      <c r="B206" s="639" t="s">
        <v>1196</v>
      </c>
      <c r="C206" s="382" t="s">
        <v>1197</v>
      </c>
      <c r="D206" s="387">
        <v>0.99</v>
      </c>
      <c r="E206" s="389"/>
      <c r="F206" s="398">
        <v>0.95</v>
      </c>
      <c r="G206" s="387"/>
      <c r="H206" s="387"/>
      <c r="I206" s="387"/>
      <c r="J206" s="387"/>
      <c r="K206" s="378">
        <v>1</v>
      </c>
      <c r="L206" s="378"/>
      <c r="M206" s="379">
        <f t="shared" ref="M206:M217" si="44">IFERROR(MIN(MAX(0,IF(K206="N/A",0,IF((D206=E206),5,5-QUOTIENT(D206,E206)))), MAX(0,IF(K206="N/A",0,IF((F206=G206),5,5-QUOTIENT(F206,G206))))),0)</f>
        <v>0</v>
      </c>
      <c r="N206" s="378">
        <f>IF(K206="N/A", 1, 2)</f>
        <v>2</v>
      </c>
      <c r="O206" s="379">
        <f t="shared" si="41"/>
        <v>2</v>
      </c>
      <c r="P206" s="378" t="s">
        <v>1147</v>
      </c>
      <c r="Q206" s="380" t="s">
        <v>1148</v>
      </c>
      <c r="R206" s="378"/>
    </row>
    <row r="207" spans="1:18" outlineLevel="1">
      <c r="A207" s="406"/>
      <c r="B207" s="640"/>
      <c r="C207" s="382" t="s">
        <v>1198</v>
      </c>
      <c r="D207" s="387">
        <v>0.85</v>
      </c>
      <c r="E207" s="389"/>
      <c r="F207" s="398">
        <v>0.8</v>
      </c>
      <c r="G207" s="387"/>
      <c r="H207" s="387"/>
      <c r="I207" s="387"/>
      <c r="J207" s="387"/>
      <c r="K207" s="378">
        <v>1</v>
      </c>
      <c r="L207" s="378"/>
      <c r="M207" s="379">
        <f t="shared" si="44"/>
        <v>0</v>
      </c>
      <c r="N207" s="378">
        <f t="shared" ref="N207:N208" si="45">IF(K207="N/A", 1, 2)</f>
        <v>2</v>
      </c>
      <c r="O207" s="379">
        <f t="shared" si="41"/>
        <v>2</v>
      </c>
      <c r="P207" s="378" t="s">
        <v>1147</v>
      </c>
      <c r="Q207" s="380" t="s">
        <v>1148</v>
      </c>
      <c r="R207" s="378"/>
    </row>
    <row r="208" spans="1:18" ht="15" customHeight="1" outlineLevel="1">
      <c r="A208" s="406"/>
      <c r="B208" s="641"/>
      <c r="C208" s="382" t="s">
        <v>1193</v>
      </c>
      <c r="D208" s="387">
        <v>0.99</v>
      </c>
      <c r="E208" s="389"/>
      <c r="F208" s="398">
        <v>0.95</v>
      </c>
      <c r="G208" s="387"/>
      <c r="H208" s="387"/>
      <c r="I208" s="387"/>
      <c r="J208" s="387"/>
      <c r="K208" s="378">
        <v>1</v>
      </c>
      <c r="L208" s="378"/>
      <c r="M208" s="379">
        <f t="shared" si="44"/>
        <v>0</v>
      </c>
      <c r="N208" s="378">
        <f t="shared" si="45"/>
        <v>2</v>
      </c>
      <c r="O208" s="379">
        <f t="shared" si="41"/>
        <v>2</v>
      </c>
      <c r="P208" s="378" t="s">
        <v>1147</v>
      </c>
      <c r="Q208" s="380" t="s">
        <v>1148</v>
      </c>
      <c r="R208" s="378"/>
    </row>
    <row r="209" spans="1:18" outlineLevel="1">
      <c r="A209" s="406"/>
      <c r="B209" s="639" t="s">
        <v>1199</v>
      </c>
      <c r="C209" s="382" t="s">
        <v>1197</v>
      </c>
      <c r="D209" s="387">
        <v>0.99</v>
      </c>
      <c r="E209" s="389"/>
      <c r="F209" s="398">
        <v>0.95</v>
      </c>
      <c r="G209" s="387"/>
      <c r="H209" s="387"/>
      <c r="I209" s="387"/>
      <c r="J209" s="387"/>
      <c r="K209" s="378" t="s">
        <v>549</v>
      </c>
      <c r="L209" s="378"/>
      <c r="M209" s="379">
        <f t="shared" si="44"/>
        <v>0</v>
      </c>
      <c r="N209" s="378">
        <f>IF(K209="N/A", 1, 2)</f>
        <v>1</v>
      </c>
      <c r="O209" s="379">
        <f t="shared" si="41"/>
        <v>1</v>
      </c>
      <c r="P209" s="378" t="s">
        <v>1147</v>
      </c>
      <c r="Q209" s="380" t="s">
        <v>1148</v>
      </c>
      <c r="R209" s="378"/>
    </row>
    <row r="210" spans="1:18" outlineLevel="1">
      <c r="A210" s="406"/>
      <c r="B210" s="640"/>
      <c r="C210" s="382" t="s">
        <v>1198</v>
      </c>
      <c r="D210" s="387">
        <v>0.85</v>
      </c>
      <c r="E210" s="389"/>
      <c r="F210" s="398">
        <v>0.8</v>
      </c>
      <c r="G210" s="387"/>
      <c r="H210" s="387"/>
      <c r="I210" s="387"/>
      <c r="J210" s="387"/>
      <c r="K210" s="378" t="s">
        <v>549</v>
      </c>
      <c r="L210" s="378"/>
      <c r="M210" s="379">
        <f t="shared" si="44"/>
        <v>0</v>
      </c>
      <c r="N210" s="378">
        <f t="shared" ref="N210:N217" si="46">IF(K210="N/A", 1, 2)</f>
        <v>1</v>
      </c>
      <c r="O210" s="379">
        <f t="shared" si="41"/>
        <v>1</v>
      </c>
      <c r="P210" s="378" t="s">
        <v>1147</v>
      </c>
      <c r="Q210" s="380" t="s">
        <v>1148</v>
      </c>
      <c r="R210" s="378"/>
    </row>
    <row r="211" spans="1:18" outlineLevel="1">
      <c r="A211" s="406"/>
      <c r="B211" s="641"/>
      <c r="C211" s="382" t="s">
        <v>1193</v>
      </c>
      <c r="D211" s="387">
        <v>0.99</v>
      </c>
      <c r="E211" s="389"/>
      <c r="F211" s="398">
        <v>0.95</v>
      </c>
      <c r="G211" s="387"/>
      <c r="H211" s="387"/>
      <c r="I211" s="387"/>
      <c r="J211" s="387"/>
      <c r="K211" s="378" t="s">
        <v>549</v>
      </c>
      <c r="L211" s="378"/>
      <c r="M211" s="379">
        <f t="shared" si="44"/>
        <v>0</v>
      </c>
      <c r="N211" s="378">
        <f t="shared" si="46"/>
        <v>1</v>
      </c>
      <c r="O211" s="379">
        <f t="shared" si="41"/>
        <v>1</v>
      </c>
      <c r="P211" s="378" t="s">
        <v>1147</v>
      </c>
      <c r="Q211" s="380" t="s">
        <v>1148</v>
      </c>
      <c r="R211" s="378"/>
    </row>
    <row r="212" spans="1:18" outlineLevel="1">
      <c r="A212" s="406"/>
      <c r="B212" s="639" t="s">
        <v>1200</v>
      </c>
      <c r="C212" s="382" t="s">
        <v>1197</v>
      </c>
      <c r="D212" s="387">
        <v>0.99</v>
      </c>
      <c r="E212" s="389"/>
      <c r="F212" s="398">
        <v>0.95</v>
      </c>
      <c r="G212" s="387"/>
      <c r="H212" s="387"/>
      <c r="I212" s="387"/>
      <c r="J212" s="387"/>
      <c r="K212" s="378" t="s">
        <v>549</v>
      </c>
      <c r="L212" s="378"/>
      <c r="M212" s="379">
        <f t="shared" si="44"/>
        <v>0</v>
      </c>
      <c r="N212" s="378">
        <f t="shared" si="46"/>
        <v>1</v>
      </c>
      <c r="O212" s="379">
        <f t="shared" si="41"/>
        <v>1</v>
      </c>
      <c r="P212" s="378" t="s">
        <v>1147</v>
      </c>
      <c r="Q212" s="380" t="s">
        <v>1148</v>
      </c>
      <c r="R212" s="378"/>
    </row>
    <row r="213" spans="1:18" outlineLevel="1">
      <c r="A213" s="406"/>
      <c r="B213" s="640"/>
      <c r="C213" s="382" t="s">
        <v>1198</v>
      </c>
      <c r="D213" s="387">
        <v>0.85</v>
      </c>
      <c r="E213" s="389"/>
      <c r="F213" s="398">
        <v>0.8</v>
      </c>
      <c r="G213" s="387"/>
      <c r="H213" s="387"/>
      <c r="I213" s="387"/>
      <c r="J213" s="387"/>
      <c r="K213" s="378" t="s">
        <v>549</v>
      </c>
      <c r="L213" s="378"/>
      <c r="M213" s="379">
        <f t="shared" si="44"/>
        <v>0</v>
      </c>
      <c r="N213" s="378">
        <f t="shared" si="46"/>
        <v>1</v>
      </c>
      <c r="O213" s="379">
        <f t="shared" si="41"/>
        <v>1</v>
      </c>
      <c r="P213" s="378" t="s">
        <v>1147</v>
      </c>
      <c r="Q213" s="380" t="s">
        <v>1148</v>
      </c>
      <c r="R213" s="378"/>
    </row>
    <row r="214" spans="1:18" outlineLevel="1">
      <c r="A214" s="406"/>
      <c r="B214" s="641"/>
      <c r="C214" s="382" t="s">
        <v>1193</v>
      </c>
      <c r="D214" s="387">
        <v>0.99</v>
      </c>
      <c r="E214" s="389"/>
      <c r="F214" s="398">
        <v>0.95</v>
      </c>
      <c r="G214" s="387"/>
      <c r="H214" s="387"/>
      <c r="I214" s="387"/>
      <c r="J214" s="387"/>
      <c r="K214" s="378" t="s">
        <v>549</v>
      </c>
      <c r="L214" s="378"/>
      <c r="M214" s="379">
        <f t="shared" si="44"/>
        <v>0</v>
      </c>
      <c r="N214" s="378">
        <f t="shared" si="46"/>
        <v>1</v>
      </c>
      <c r="O214" s="379">
        <f t="shared" si="41"/>
        <v>1</v>
      </c>
      <c r="P214" s="378" t="s">
        <v>1147</v>
      </c>
      <c r="Q214" s="380" t="s">
        <v>1148</v>
      </c>
      <c r="R214" s="378"/>
    </row>
    <row r="215" spans="1:18" outlineLevel="1">
      <c r="A215" s="406"/>
      <c r="B215" s="639" t="s">
        <v>1201</v>
      </c>
      <c r="C215" s="382" t="s">
        <v>1197</v>
      </c>
      <c r="D215" s="387">
        <v>0.99</v>
      </c>
      <c r="E215" s="389"/>
      <c r="F215" s="398">
        <v>0.95</v>
      </c>
      <c r="G215" s="387"/>
      <c r="H215" s="387"/>
      <c r="I215" s="387"/>
      <c r="J215" s="387"/>
      <c r="K215" s="378" t="s">
        <v>549</v>
      </c>
      <c r="L215" s="378"/>
      <c r="M215" s="379">
        <f t="shared" si="44"/>
        <v>0</v>
      </c>
      <c r="N215" s="378">
        <f t="shared" si="46"/>
        <v>1</v>
      </c>
      <c r="O215" s="379">
        <f t="shared" si="41"/>
        <v>1</v>
      </c>
      <c r="P215" s="378" t="s">
        <v>1147</v>
      </c>
      <c r="Q215" s="380" t="s">
        <v>1148</v>
      </c>
      <c r="R215" s="378"/>
    </row>
    <row r="216" spans="1:18" outlineLevel="1">
      <c r="A216" s="406"/>
      <c r="B216" s="640"/>
      <c r="C216" s="382" t="s">
        <v>1198</v>
      </c>
      <c r="D216" s="387">
        <v>0.85</v>
      </c>
      <c r="E216" s="389"/>
      <c r="F216" s="398">
        <v>0.8</v>
      </c>
      <c r="G216" s="387"/>
      <c r="H216" s="387"/>
      <c r="I216" s="387"/>
      <c r="J216" s="387"/>
      <c r="K216" s="378" t="s">
        <v>549</v>
      </c>
      <c r="L216" s="378"/>
      <c r="M216" s="379">
        <f t="shared" si="44"/>
        <v>0</v>
      </c>
      <c r="N216" s="378">
        <f t="shared" si="46"/>
        <v>1</v>
      </c>
      <c r="O216" s="379">
        <f t="shared" si="41"/>
        <v>1</v>
      </c>
      <c r="P216" s="378" t="s">
        <v>1147</v>
      </c>
      <c r="Q216" s="380" t="s">
        <v>1148</v>
      </c>
      <c r="R216" s="378"/>
    </row>
    <row r="217" spans="1:18" outlineLevel="1">
      <c r="A217" s="406"/>
      <c r="B217" s="641"/>
      <c r="C217" s="382" t="s">
        <v>1193</v>
      </c>
      <c r="D217" s="387">
        <v>0.99</v>
      </c>
      <c r="E217" s="389"/>
      <c r="F217" s="398">
        <v>0.95</v>
      </c>
      <c r="G217" s="387"/>
      <c r="H217" s="387"/>
      <c r="I217" s="387"/>
      <c r="J217" s="387"/>
      <c r="K217" s="378" t="s">
        <v>549</v>
      </c>
      <c r="L217" s="378"/>
      <c r="M217" s="379">
        <f t="shared" si="44"/>
        <v>0</v>
      </c>
      <c r="N217" s="378">
        <f t="shared" si="46"/>
        <v>1</v>
      </c>
      <c r="O217" s="379">
        <f t="shared" si="41"/>
        <v>1</v>
      </c>
      <c r="P217" s="378" t="s">
        <v>1147</v>
      </c>
      <c r="Q217" s="380" t="s">
        <v>1148</v>
      </c>
      <c r="R217" s="378"/>
    </row>
    <row r="218" spans="1:18" outlineLevel="1">
      <c r="A218" s="404" t="s">
        <v>1202</v>
      </c>
      <c r="B218" s="407"/>
      <c r="C218" s="382"/>
      <c r="D218" s="387"/>
      <c r="E218" s="389"/>
      <c r="F218" s="398"/>
      <c r="G218" s="387"/>
      <c r="H218" s="387"/>
      <c r="I218" s="387"/>
      <c r="J218" s="387"/>
      <c r="K218" s="378"/>
      <c r="L218" s="378"/>
      <c r="M218" s="379">
        <f>M219</f>
        <v>0</v>
      </c>
      <c r="N218" s="378">
        <f>N219</f>
        <v>1</v>
      </c>
      <c r="O218" s="379">
        <f t="shared" si="41"/>
        <v>1</v>
      </c>
      <c r="P218" s="378" t="s">
        <v>1147</v>
      </c>
      <c r="Q218" s="380" t="s">
        <v>1148</v>
      </c>
      <c r="R218" s="378"/>
    </row>
    <row r="219" spans="1:18" outlineLevel="1">
      <c r="A219" s="406"/>
      <c r="B219" s="388" t="s">
        <v>1192</v>
      </c>
      <c r="C219" s="382" t="s">
        <v>1203</v>
      </c>
      <c r="D219" s="387">
        <v>0.95</v>
      </c>
      <c r="E219" s="389"/>
      <c r="F219" s="398">
        <v>0.9</v>
      </c>
      <c r="G219" s="387"/>
      <c r="H219" s="387"/>
      <c r="I219" s="387"/>
      <c r="J219" s="387"/>
      <c r="K219" s="378" t="s">
        <v>549</v>
      </c>
      <c r="L219" s="378"/>
      <c r="M219" s="379">
        <f>IFERROR(MIN(MAX(0,IF(K219="N/A",0,IF((D219=E219),5,5-QUOTIENT(D219,E219)))), MAX(0,IF(K219="N/A",0,IF((F219=G219),5,5-QUOTIENT(F219,G219))))),0)</f>
        <v>0</v>
      </c>
      <c r="N219" s="378">
        <f>IF(K219="N/A", 1, 2)</f>
        <v>1</v>
      </c>
      <c r="O219" s="379">
        <f t="shared" si="41"/>
        <v>1</v>
      </c>
      <c r="P219" s="378" t="s">
        <v>1147</v>
      </c>
      <c r="Q219" s="380" t="s">
        <v>1148</v>
      </c>
      <c r="R219" s="378"/>
    </row>
    <row r="220" spans="1:18" outlineLevel="1">
      <c r="A220" s="404" t="s">
        <v>1204</v>
      </c>
      <c r="B220" s="408"/>
      <c r="C220" s="382"/>
      <c r="D220" s="387"/>
      <c r="E220" s="389"/>
      <c r="F220" s="398"/>
      <c r="G220" s="387"/>
      <c r="H220" s="387"/>
      <c r="I220" s="387"/>
      <c r="J220" s="387"/>
      <c r="K220" s="378"/>
      <c r="L220" s="378"/>
      <c r="M220" s="379">
        <f>IFERROR(MIN(M221:M222),0)</f>
        <v>0</v>
      </c>
      <c r="N220" s="378">
        <f>N221</f>
        <v>1</v>
      </c>
      <c r="O220" s="379">
        <f t="shared" si="41"/>
        <v>1</v>
      </c>
      <c r="P220" s="378" t="s">
        <v>1147</v>
      </c>
      <c r="Q220" s="380" t="s">
        <v>1148</v>
      </c>
      <c r="R220" s="378"/>
    </row>
    <row r="221" spans="1:18" outlineLevel="1">
      <c r="A221" s="404"/>
      <c r="B221" s="644" t="s">
        <v>1205</v>
      </c>
      <c r="C221" s="382" t="s">
        <v>1206</v>
      </c>
      <c r="D221" s="387">
        <v>0.9</v>
      </c>
      <c r="E221" s="389"/>
      <c r="F221" s="398" t="s">
        <v>549</v>
      </c>
      <c r="G221" s="387"/>
      <c r="H221" s="387"/>
      <c r="I221" s="387"/>
      <c r="J221" s="387"/>
      <c r="K221" s="378" t="s">
        <v>549</v>
      </c>
      <c r="L221" s="378"/>
      <c r="M221" s="379">
        <f>IFERROR(MIN(MAX(0,IF(K221="N/A",0,IF((D221=E221),5,5-QUOTIENT(D221,E221)))), MAX(0,IF(K221="N/A",0,IF((F221=G221),5,5-QUOTIENT(F221,G221))))),0)</f>
        <v>0</v>
      </c>
      <c r="N221" s="378">
        <f>IF(K221="N/A", 1, 2)</f>
        <v>1</v>
      </c>
      <c r="O221" s="379">
        <f t="shared" si="41"/>
        <v>1</v>
      </c>
      <c r="P221" s="378" t="s">
        <v>1147</v>
      </c>
      <c r="Q221" s="380" t="s">
        <v>1148</v>
      </c>
      <c r="R221" s="378"/>
    </row>
    <row r="222" spans="1:18" outlineLevel="1">
      <c r="A222" s="404"/>
      <c r="B222" s="645"/>
      <c r="C222" s="382" t="s">
        <v>1207</v>
      </c>
      <c r="D222" s="387">
        <v>0.9</v>
      </c>
      <c r="E222" s="389"/>
      <c r="F222" s="398" t="s">
        <v>549</v>
      </c>
      <c r="G222" s="387"/>
      <c r="H222" s="387"/>
      <c r="I222" s="387"/>
      <c r="J222" s="387"/>
      <c r="K222" s="378" t="s">
        <v>549</v>
      </c>
      <c r="L222" s="378"/>
      <c r="M222" s="379">
        <f>IFERROR(MIN(MAX(0,IF(K222="N/A",0,IF((D222=E222),5,5-QUOTIENT(D222,E222)))), MAX(0,IF(K222="N/A",0,IF((F222=G222),5,5-QUOTIENT(F222,G222))))),0)</f>
        <v>0</v>
      </c>
      <c r="N222" s="378">
        <f>IF(K222="N/A", 1, 2)</f>
        <v>1</v>
      </c>
      <c r="O222" s="379">
        <f t="shared" si="41"/>
        <v>1</v>
      </c>
      <c r="P222" s="378" t="s">
        <v>1147</v>
      </c>
      <c r="Q222" s="380" t="s">
        <v>1148</v>
      </c>
      <c r="R222" s="378"/>
    </row>
    <row r="223" spans="1:18" outlineLevel="1">
      <c r="A223" s="404" t="s">
        <v>1208</v>
      </c>
      <c r="B223" s="408"/>
      <c r="C223" s="382"/>
      <c r="D223" s="387"/>
      <c r="E223" s="389"/>
      <c r="F223" s="398"/>
      <c r="G223" s="387"/>
      <c r="H223" s="387"/>
      <c r="I223" s="387"/>
      <c r="J223" s="387"/>
      <c r="K223" s="378"/>
      <c r="L223" s="378"/>
      <c r="M223" s="379">
        <f>IFERROR(MIN(M224:M225),0)</f>
        <v>0</v>
      </c>
      <c r="N223" s="378">
        <f>N224</f>
        <v>2</v>
      </c>
      <c r="O223" s="379">
        <f>MAX(M223:N223)</f>
        <v>2</v>
      </c>
      <c r="P223" s="378" t="s">
        <v>1147</v>
      </c>
      <c r="Q223" s="380" t="s">
        <v>1148</v>
      </c>
      <c r="R223" s="378"/>
    </row>
    <row r="224" spans="1:18" outlineLevel="1">
      <c r="A224" s="404"/>
      <c r="B224" s="644" t="s">
        <v>1209</v>
      </c>
      <c r="C224" s="382" t="s">
        <v>1210</v>
      </c>
      <c r="D224" s="387">
        <v>0.9</v>
      </c>
      <c r="E224" s="389"/>
      <c r="F224" s="398" t="s">
        <v>549</v>
      </c>
      <c r="G224" s="387"/>
      <c r="H224" s="387"/>
      <c r="I224" s="387"/>
      <c r="J224" s="387"/>
      <c r="K224" s="378">
        <v>1</v>
      </c>
      <c r="L224" s="378"/>
      <c r="M224" s="379">
        <f>IFERROR(MIN(MAX(0,IF(K224="N/A",0,IF((D224=E224),5,5-QUOTIENT(D224,E224)))), MAX(0,IF(K224="N/A",0,IF((F224=G224),5,5-QUOTIENT(F224,G224))))),0)</f>
        <v>0</v>
      </c>
      <c r="N224" s="378">
        <f>IF(K224="N/A", 1, 2)</f>
        <v>2</v>
      </c>
      <c r="O224" s="379">
        <f t="shared" ref="O224:O228" si="47">MAX(M224:N224)</f>
        <v>2</v>
      </c>
      <c r="P224" s="378" t="s">
        <v>1147</v>
      </c>
      <c r="Q224" s="380" t="s">
        <v>1148</v>
      </c>
      <c r="R224" s="378"/>
    </row>
    <row r="225" spans="1:18" outlineLevel="1">
      <c r="A225" s="404"/>
      <c r="B225" s="645"/>
      <c r="C225" s="382" t="s">
        <v>1211</v>
      </c>
      <c r="D225" s="387">
        <v>0.9</v>
      </c>
      <c r="E225" s="389"/>
      <c r="F225" s="398" t="s">
        <v>549</v>
      </c>
      <c r="G225" s="387"/>
      <c r="H225" s="387"/>
      <c r="I225" s="387"/>
      <c r="J225" s="387"/>
      <c r="K225" s="378">
        <v>1</v>
      </c>
      <c r="L225" s="378"/>
      <c r="M225" s="379">
        <f>IFERROR(MIN(MAX(0,IF(K225="N/A",0,IF((D225=E225),5,5-QUOTIENT(D225,E225)))), MAX(0,IF(K225="N/A",0,IF((F225=G225),5,5-QUOTIENT(F225,G225))))),0)</f>
        <v>0</v>
      </c>
      <c r="N225" s="378">
        <f>IF(K225="N/A", 1, 2)</f>
        <v>2</v>
      </c>
      <c r="O225" s="379">
        <f t="shared" si="47"/>
        <v>2</v>
      </c>
      <c r="P225" s="378" t="s">
        <v>1147</v>
      </c>
      <c r="Q225" s="380" t="s">
        <v>1148</v>
      </c>
      <c r="R225" s="378"/>
    </row>
    <row r="226" spans="1:18" outlineLevel="1">
      <c r="A226" s="404" t="s">
        <v>1212</v>
      </c>
      <c r="B226" s="408"/>
      <c r="C226" s="382"/>
      <c r="D226" s="387"/>
      <c r="E226" s="389"/>
      <c r="F226" s="398"/>
      <c r="G226" s="387"/>
      <c r="H226" s="387"/>
      <c r="I226" s="387"/>
      <c r="J226" s="387"/>
      <c r="K226" s="378"/>
      <c r="L226" s="378"/>
      <c r="M226" s="379">
        <f>IFERROR(MIN(M227:M228),0)</f>
        <v>0</v>
      </c>
      <c r="N226" s="378">
        <f>N227</f>
        <v>2</v>
      </c>
      <c r="O226" s="379">
        <f t="shared" si="47"/>
        <v>2</v>
      </c>
      <c r="P226" s="378" t="s">
        <v>1147</v>
      </c>
      <c r="Q226" s="380" t="s">
        <v>1148</v>
      </c>
      <c r="R226" s="378"/>
    </row>
    <row r="227" spans="1:18" outlineLevel="1">
      <c r="A227" s="404"/>
      <c r="B227" s="644" t="s">
        <v>1213</v>
      </c>
      <c r="C227" s="382" t="s">
        <v>1214</v>
      </c>
      <c r="D227" s="387">
        <v>0.9</v>
      </c>
      <c r="E227" s="389"/>
      <c r="F227" s="398" t="s">
        <v>549</v>
      </c>
      <c r="G227" s="387"/>
      <c r="H227" s="387"/>
      <c r="I227" s="387"/>
      <c r="J227" s="387"/>
      <c r="K227" s="378">
        <v>1</v>
      </c>
      <c r="L227" s="378"/>
      <c r="M227" s="379">
        <f>IFERROR(MIN(MAX(0,IF(K227="N/A",0,IF((D227=E227),5,5-QUOTIENT(D227,E227)))), MAX(0,IF(K227="N/A",0,IF((F227=G227),5,5-QUOTIENT(F227,G227))))),0)</f>
        <v>0</v>
      </c>
      <c r="N227" s="378">
        <f>IF(K227="N/A", 1, 2)</f>
        <v>2</v>
      </c>
      <c r="O227" s="379">
        <f t="shared" si="47"/>
        <v>2</v>
      </c>
      <c r="P227" s="378" t="s">
        <v>1147</v>
      </c>
      <c r="Q227" s="380" t="s">
        <v>1148</v>
      </c>
      <c r="R227" s="378"/>
    </row>
    <row r="228" spans="1:18" outlineLevel="1">
      <c r="A228" s="404"/>
      <c r="B228" s="645"/>
      <c r="C228" s="382" t="s">
        <v>1215</v>
      </c>
      <c r="D228" s="387">
        <v>0.9</v>
      </c>
      <c r="E228" s="389"/>
      <c r="F228" s="398" t="s">
        <v>549</v>
      </c>
      <c r="G228" s="387"/>
      <c r="H228" s="387"/>
      <c r="I228" s="387"/>
      <c r="J228" s="387"/>
      <c r="K228" s="378">
        <v>1</v>
      </c>
      <c r="L228" s="378"/>
      <c r="M228" s="379">
        <f>IFERROR(MIN(MAX(0,IF(K228="N/A",0,IF((D228=E228),5,5-QUOTIENT(D228,E228)))), MAX(0,IF(K228="N/A",0,IF((F228=G228),5,5-QUOTIENT(F228,G228))))),0)</f>
        <v>0</v>
      </c>
      <c r="N228" s="378">
        <f>IF(K228="N/A", 1, 2)</f>
        <v>2</v>
      </c>
      <c r="O228" s="379">
        <f t="shared" si="47"/>
        <v>2</v>
      </c>
      <c r="P228" s="378" t="s">
        <v>1147</v>
      </c>
      <c r="Q228" s="380" t="s">
        <v>1148</v>
      </c>
      <c r="R228" s="378"/>
    </row>
    <row r="229" spans="1:18" outlineLevel="1">
      <c r="A229" s="388" t="s">
        <v>1216</v>
      </c>
      <c r="B229" s="409"/>
      <c r="C229" s="382"/>
      <c r="D229" s="387"/>
      <c r="E229" s="389"/>
      <c r="F229" s="398"/>
      <c r="G229" s="387"/>
      <c r="H229" s="387"/>
      <c r="I229" s="387"/>
      <c r="J229" s="387"/>
      <c r="K229" s="378"/>
      <c r="L229" s="378"/>
      <c r="M229" s="379"/>
      <c r="N229" s="378"/>
      <c r="O229" s="379"/>
      <c r="P229" s="378" t="s">
        <v>1147</v>
      </c>
      <c r="Q229" s="380" t="s">
        <v>1148</v>
      </c>
      <c r="R229" s="378"/>
    </row>
    <row r="230" spans="1:18" outlineLevel="1">
      <c r="A230" s="388"/>
      <c r="B230" s="633" t="s">
        <v>1217</v>
      </c>
      <c r="C230" s="382" t="s">
        <v>1168</v>
      </c>
      <c r="D230" s="398" t="s">
        <v>549</v>
      </c>
      <c r="E230" s="389"/>
      <c r="F230" s="398" t="s">
        <v>549</v>
      </c>
      <c r="G230" s="387"/>
      <c r="H230" s="387"/>
      <c r="I230" s="387"/>
      <c r="J230" s="387"/>
      <c r="K230" s="378" t="s">
        <v>549</v>
      </c>
      <c r="L230" s="378"/>
      <c r="M230" s="379">
        <f t="shared" ref="M230:M235" si="48">IFERROR(MIN(MAX(0,IF(K230="N/A",0,IF((D230=E230),5,5-QUOTIENT(D230,E230)))), MAX(0,IF(K230="N/A",0,IF((F230=G230),5,5-QUOTIENT(F230,G230))))),0)</f>
        <v>0</v>
      </c>
      <c r="N230" s="378">
        <f t="shared" ref="N230:N235" si="49">IF(K230="N/A", 0, 2)</f>
        <v>0</v>
      </c>
      <c r="O230" s="379">
        <f t="shared" ref="O230:O239" si="50">MAX(M230:N230)</f>
        <v>0</v>
      </c>
      <c r="P230" s="378" t="s">
        <v>1147</v>
      </c>
      <c r="Q230" s="380" t="s">
        <v>1148</v>
      </c>
      <c r="R230" s="378"/>
    </row>
    <row r="231" spans="1:18" outlineLevel="1">
      <c r="A231" s="388"/>
      <c r="B231" s="634"/>
      <c r="C231" s="382" t="s">
        <v>1169</v>
      </c>
      <c r="D231" s="398" t="s">
        <v>549</v>
      </c>
      <c r="E231" s="389"/>
      <c r="F231" s="398" t="s">
        <v>549</v>
      </c>
      <c r="G231" s="387"/>
      <c r="H231" s="387"/>
      <c r="I231" s="387"/>
      <c r="J231" s="387"/>
      <c r="K231" s="378" t="s">
        <v>549</v>
      </c>
      <c r="L231" s="378"/>
      <c r="M231" s="379">
        <f t="shared" si="48"/>
        <v>0</v>
      </c>
      <c r="N231" s="378">
        <f t="shared" si="49"/>
        <v>0</v>
      </c>
      <c r="O231" s="379">
        <f t="shared" si="50"/>
        <v>0</v>
      </c>
      <c r="P231" s="378" t="s">
        <v>1147</v>
      </c>
      <c r="Q231" s="380" t="s">
        <v>1148</v>
      </c>
      <c r="R231" s="378"/>
    </row>
    <row r="232" spans="1:18" outlineLevel="1">
      <c r="A232" s="388"/>
      <c r="B232" s="642" t="s">
        <v>1218</v>
      </c>
      <c r="C232" s="382" t="s">
        <v>1168</v>
      </c>
      <c r="D232" s="398" t="s">
        <v>549</v>
      </c>
      <c r="E232" s="389"/>
      <c r="F232" s="398" t="s">
        <v>549</v>
      </c>
      <c r="G232" s="387"/>
      <c r="H232" s="387"/>
      <c r="I232" s="387"/>
      <c r="J232" s="387"/>
      <c r="K232" s="378" t="s">
        <v>549</v>
      </c>
      <c r="L232" s="378"/>
      <c r="M232" s="379">
        <f t="shared" si="48"/>
        <v>0</v>
      </c>
      <c r="N232" s="378">
        <f t="shared" si="49"/>
        <v>0</v>
      </c>
      <c r="O232" s="379">
        <f t="shared" si="50"/>
        <v>0</v>
      </c>
      <c r="P232" s="378" t="s">
        <v>1147</v>
      </c>
      <c r="Q232" s="380" t="s">
        <v>1148</v>
      </c>
      <c r="R232" s="378"/>
    </row>
    <row r="233" spans="1:18" outlineLevel="1">
      <c r="A233" s="388"/>
      <c r="B233" s="642"/>
      <c r="C233" s="382" t="s">
        <v>1169</v>
      </c>
      <c r="D233" s="398" t="s">
        <v>549</v>
      </c>
      <c r="E233" s="389"/>
      <c r="F233" s="398" t="s">
        <v>549</v>
      </c>
      <c r="G233" s="387"/>
      <c r="H233" s="387"/>
      <c r="I233" s="387"/>
      <c r="J233" s="387"/>
      <c r="K233" s="378" t="s">
        <v>549</v>
      </c>
      <c r="L233" s="378"/>
      <c r="M233" s="379">
        <f t="shared" si="48"/>
        <v>0</v>
      </c>
      <c r="N233" s="378">
        <f t="shared" si="49"/>
        <v>0</v>
      </c>
      <c r="O233" s="379">
        <f t="shared" si="50"/>
        <v>0</v>
      </c>
      <c r="P233" s="378" t="s">
        <v>1147</v>
      </c>
      <c r="Q233" s="380" t="s">
        <v>1148</v>
      </c>
      <c r="R233" s="378"/>
    </row>
    <row r="234" spans="1:18" outlineLevel="1">
      <c r="A234" s="388"/>
      <c r="B234" s="642" t="s">
        <v>1219</v>
      </c>
      <c r="C234" s="382" t="s">
        <v>1168</v>
      </c>
      <c r="D234" s="398" t="s">
        <v>549</v>
      </c>
      <c r="E234" s="389"/>
      <c r="F234" s="398" t="s">
        <v>549</v>
      </c>
      <c r="G234" s="387"/>
      <c r="H234" s="387"/>
      <c r="I234" s="387"/>
      <c r="J234" s="387"/>
      <c r="K234" s="378" t="s">
        <v>549</v>
      </c>
      <c r="L234" s="378"/>
      <c r="M234" s="379">
        <f t="shared" si="48"/>
        <v>0</v>
      </c>
      <c r="N234" s="378">
        <f t="shared" si="49"/>
        <v>0</v>
      </c>
      <c r="O234" s="379">
        <f t="shared" si="50"/>
        <v>0</v>
      </c>
      <c r="P234" s="378" t="s">
        <v>1147</v>
      </c>
      <c r="Q234" s="380" t="s">
        <v>1148</v>
      </c>
      <c r="R234" s="378"/>
    </row>
    <row r="235" spans="1:18" outlineLevel="1">
      <c r="A235" s="388"/>
      <c r="B235" s="642"/>
      <c r="C235" s="382" t="s">
        <v>1169</v>
      </c>
      <c r="D235" s="398" t="s">
        <v>549</v>
      </c>
      <c r="E235" s="389"/>
      <c r="F235" s="398" t="s">
        <v>549</v>
      </c>
      <c r="G235" s="387"/>
      <c r="H235" s="387"/>
      <c r="I235" s="387"/>
      <c r="J235" s="387"/>
      <c r="K235" s="378" t="s">
        <v>549</v>
      </c>
      <c r="L235" s="378"/>
      <c r="M235" s="379">
        <f t="shared" si="48"/>
        <v>0</v>
      </c>
      <c r="N235" s="378">
        <f t="shared" si="49"/>
        <v>0</v>
      </c>
      <c r="O235" s="379">
        <f t="shared" si="50"/>
        <v>0</v>
      </c>
      <c r="P235" s="378" t="s">
        <v>1147</v>
      </c>
      <c r="Q235" s="380" t="s">
        <v>1148</v>
      </c>
      <c r="R235" s="378"/>
    </row>
    <row r="236" spans="1:18" outlineLevel="1">
      <c r="A236" s="388" t="s">
        <v>1220</v>
      </c>
      <c r="B236" s="381"/>
      <c r="C236" s="382"/>
      <c r="D236" s="398"/>
      <c r="E236" s="389"/>
      <c r="F236" s="398"/>
      <c r="G236" s="387"/>
      <c r="H236" s="387"/>
      <c r="I236" s="387"/>
      <c r="J236" s="387"/>
      <c r="K236" s="378"/>
      <c r="L236" s="378"/>
      <c r="M236" s="379">
        <f>M237</f>
        <v>0</v>
      </c>
      <c r="N236" s="378">
        <f>N237</f>
        <v>2</v>
      </c>
      <c r="O236" s="379">
        <f t="shared" si="50"/>
        <v>2</v>
      </c>
      <c r="P236" s="378" t="s">
        <v>1147</v>
      </c>
      <c r="Q236" s="380" t="s">
        <v>1148</v>
      </c>
      <c r="R236" s="378"/>
    </row>
    <row r="237" spans="1:18" outlineLevel="1">
      <c r="A237" s="406"/>
      <c r="B237" s="388" t="s">
        <v>1221</v>
      </c>
      <c r="C237" s="382" t="s">
        <v>1222</v>
      </c>
      <c r="D237" s="387">
        <v>0.95</v>
      </c>
      <c r="E237" s="389"/>
      <c r="F237" s="398">
        <v>0.9</v>
      </c>
      <c r="G237" s="387"/>
      <c r="H237" s="387"/>
      <c r="I237" s="387"/>
      <c r="J237" s="387"/>
      <c r="K237" s="378">
        <v>1</v>
      </c>
      <c r="L237" s="378"/>
      <c r="M237" s="379">
        <f>IFERROR(MIN(MAX(0,IF(K237="N/A",0,IF((D237=E237),5,5-QUOTIENT(D237,E237)))), MAX(0,IF(K237="N/A",0,IF((F237=G237),5,5-QUOTIENT(F237,G237))))),0)</f>
        <v>0</v>
      </c>
      <c r="N237" s="378">
        <f>IF(K237="N/A", 1, 2)</f>
        <v>2</v>
      </c>
      <c r="O237" s="379">
        <f t="shared" si="50"/>
        <v>2</v>
      </c>
      <c r="P237" s="378" t="s">
        <v>1147</v>
      </c>
      <c r="Q237" s="380" t="s">
        <v>1148</v>
      </c>
      <c r="R237" s="378"/>
    </row>
    <row r="238" spans="1:18" outlineLevel="1">
      <c r="A238" s="388" t="s">
        <v>1223</v>
      </c>
      <c r="B238" s="381"/>
      <c r="C238" s="382"/>
      <c r="D238" s="398"/>
      <c r="E238" s="389"/>
      <c r="F238" s="398"/>
      <c r="G238" s="387"/>
      <c r="H238" s="387"/>
      <c r="I238" s="387"/>
      <c r="J238" s="387"/>
      <c r="K238" s="378"/>
      <c r="L238" s="378"/>
      <c r="M238" s="379">
        <f>M239</f>
        <v>0</v>
      </c>
      <c r="N238" s="378">
        <f>N239</f>
        <v>2</v>
      </c>
      <c r="O238" s="379">
        <f t="shared" si="50"/>
        <v>2</v>
      </c>
      <c r="P238" s="378" t="s">
        <v>1147</v>
      </c>
      <c r="Q238" s="380" t="s">
        <v>1148</v>
      </c>
      <c r="R238" s="378"/>
    </row>
    <row r="239" spans="1:18" outlineLevel="1">
      <c r="A239" s="406"/>
      <c r="B239" s="388" t="s">
        <v>1224</v>
      </c>
      <c r="C239" s="382" t="s">
        <v>1222</v>
      </c>
      <c r="D239" s="387">
        <v>0.95</v>
      </c>
      <c r="E239" s="389"/>
      <c r="F239" s="398">
        <v>0.9</v>
      </c>
      <c r="G239" s="387"/>
      <c r="H239" s="387"/>
      <c r="I239" s="387"/>
      <c r="J239" s="387"/>
      <c r="K239" s="378">
        <v>1</v>
      </c>
      <c r="L239" s="378"/>
      <c r="M239" s="379">
        <f>IFERROR(MIN(MAX(0,IF(K239="N/A",0,IF((D239=E239),5,5-QUOTIENT(D239,E239)))), MAX(0,IF(K239="N/A",0,IF((F239=G239),5,5-QUOTIENT(F239,G239))))),0)</f>
        <v>0</v>
      </c>
      <c r="N239" s="378">
        <f>IF(K239="N/A", 1, 2)</f>
        <v>2</v>
      </c>
      <c r="O239" s="379">
        <f t="shared" si="50"/>
        <v>2</v>
      </c>
      <c r="P239" s="378" t="s">
        <v>1147</v>
      </c>
      <c r="Q239" s="380" t="s">
        <v>1148</v>
      </c>
      <c r="R239" s="378"/>
    </row>
    <row r="240" spans="1:18" outlineLevel="1">
      <c r="A240" s="388" t="s">
        <v>1225</v>
      </c>
      <c r="B240" s="381"/>
      <c r="C240" s="382"/>
      <c r="D240" s="398"/>
      <c r="E240" s="389"/>
      <c r="F240" s="398"/>
      <c r="G240" s="387"/>
      <c r="H240" s="387"/>
      <c r="I240" s="387"/>
      <c r="J240" s="387"/>
      <c r="K240" s="378"/>
      <c r="L240" s="378"/>
      <c r="M240" s="379">
        <f>M241</f>
        <v>0</v>
      </c>
      <c r="N240" s="378">
        <f>N241</f>
        <v>1</v>
      </c>
      <c r="O240" s="379">
        <f>MAX(M240:N240)</f>
        <v>1</v>
      </c>
      <c r="P240" s="378" t="s">
        <v>1147</v>
      </c>
      <c r="Q240" s="380" t="s">
        <v>1148</v>
      </c>
      <c r="R240" s="378"/>
    </row>
    <row r="241" spans="1:18" outlineLevel="1">
      <c r="A241" s="406"/>
      <c r="B241" s="388" t="s">
        <v>1226</v>
      </c>
      <c r="C241" s="382" t="s">
        <v>1222</v>
      </c>
      <c r="D241" s="387">
        <v>0.95</v>
      </c>
      <c r="E241" s="389"/>
      <c r="F241" s="398">
        <v>0.9</v>
      </c>
      <c r="G241" s="387"/>
      <c r="H241" s="387"/>
      <c r="I241" s="387"/>
      <c r="J241" s="387"/>
      <c r="K241" s="378" t="s">
        <v>549</v>
      </c>
      <c r="L241" s="378"/>
      <c r="M241" s="379">
        <f>IFERROR(MIN(MAX(0,IF(K241="N/A",0,IF((D241=E241),5,5-QUOTIENT(D241,E241)))), MAX(0,IF(K241="N/A",0,IF((F241=G241),5,5-QUOTIENT(F241,G241))))),0)</f>
        <v>0</v>
      </c>
      <c r="N241" s="378">
        <f>IF(K241="N/A", 1, 2)</f>
        <v>1</v>
      </c>
      <c r="O241" s="379">
        <f t="shared" ref="O241" si="51">MAX(M241:N241)</f>
        <v>1</v>
      </c>
      <c r="P241" s="378" t="s">
        <v>1147</v>
      </c>
      <c r="Q241" s="380" t="s">
        <v>1148</v>
      </c>
      <c r="R241" s="378"/>
    </row>
    <row r="242" spans="1:18" outlineLevel="1">
      <c r="A242" s="388" t="s">
        <v>1227</v>
      </c>
      <c r="B242" s="381"/>
      <c r="C242" s="382"/>
      <c r="D242" s="398"/>
      <c r="E242" s="389"/>
      <c r="F242" s="398"/>
      <c r="G242" s="387"/>
      <c r="H242" s="387"/>
      <c r="I242" s="387"/>
      <c r="J242" s="387"/>
      <c r="K242" s="378"/>
      <c r="L242" s="378"/>
      <c r="M242" s="379">
        <f>M243</f>
        <v>0</v>
      </c>
      <c r="N242" s="378">
        <f>N243</f>
        <v>1</v>
      </c>
      <c r="O242" s="379">
        <f>MAX(M242:N242)</f>
        <v>1</v>
      </c>
      <c r="P242" s="378" t="s">
        <v>1147</v>
      </c>
      <c r="Q242" s="380" t="s">
        <v>1148</v>
      </c>
      <c r="R242" s="378"/>
    </row>
    <row r="243" spans="1:18" outlineLevel="1">
      <c r="A243" s="406"/>
      <c r="B243" s="388" t="s">
        <v>1228</v>
      </c>
      <c r="C243" s="382" t="s">
        <v>1222</v>
      </c>
      <c r="D243" s="387">
        <v>0.95</v>
      </c>
      <c r="E243" s="389"/>
      <c r="F243" s="398">
        <v>0.9</v>
      </c>
      <c r="G243" s="387"/>
      <c r="H243" s="387"/>
      <c r="I243" s="387"/>
      <c r="J243" s="387"/>
      <c r="K243" s="378" t="s">
        <v>549</v>
      </c>
      <c r="L243" s="378"/>
      <c r="M243" s="379">
        <f>IFERROR(MIN(MAX(0,IF(K243="N/A",0,IF((D243=E243),5,5-QUOTIENT(D243,E243)))), MAX(0,IF(K243="N/A",0,IF((F243=G243),5,5-QUOTIENT(F243,G243))))),0)</f>
        <v>0</v>
      </c>
      <c r="N243" s="378">
        <f>IF(K243="N/A", 1, 2)</f>
        <v>1</v>
      </c>
      <c r="O243" s="379">
        <f t="shared" ref="O243" si="52">MAX(M243:N243)</f>
        <v>1</v>
      </c>
      <c r="P243" s="378" t="s">
        <v>1147</v>
      </c>
      <c r="Q243" s="380" t="s">
        <v>1148</v>
      </c>
      <c r="R243" s="378"/>
    </row>
    <row r="244" spans="1:18" outlineLevel="1">
      <c r="A244" s="388" t="s">
        <v>1229</v>
      </c>
      <c r="B244" s="381"/>
      <c r="C244" s="382"/>
      <c r="D244" s="398"/>
      <c r="E244" s="389"/>
      <c r="F244" s="398"/>
      <c r="G244" s="387"/>
      <c r="H244" s="387"/>
      <c r="I244" s="387"/>
      <c r="J244" s="387"/>
      <c r="K244" s="378"/>
      <c r="L244" s="378"/>
      <c r="M244" s="379">
        <f>M245</f>
        <v>0</v>
      </c>
      <c r="N244" s="378">
        <f>N245</f>
        <v>2</v>
      </c>
      <c r="O244" s="379">
        <f>MAX(M244:N244)</f>
        <v>2</v>
      </c>
      <c r="P244" s="378" t="s">
        <v>1147</v>
      </c>
      <c r="Q244" s="380" t="s">
        <v>1148</v>
      </c>
      <c r="R244" s="378"/>
    </row>
    <row r="245" spans="1:18" outlineLevel="1">
      <c r="A245" s="406"/>
      <c r="B245" s="388" t="s">
        <v>1230</v>
      </c>
      <c r="C245" s="382" t="s">
        <v>1222</v>
      </c>
      <c r="D245" s="387">
        <v>0.95</v>
      </c>
      <c r="E245" s="389"/>
      <c r="F245" s="398">
        <v>0.9</v>
      </c>
      <c r="G245" s="387"/>
      <c r="H245" s="387"/>
      <c r="I245" s="387"/>
      <c r="J245" s="387"/>
      <c r="K245" s="378">
        <v>1</v>
      </c>
      <c r="L245" s="378"/>
      <c r="M245" s="379">
        <f>IFERROR(MIN(MAX(0,IF(K245="N/A",0,IF((D245=E245),5,5-QUOTIENT(D245,E245)))), MAX(0,IF(K245="N/A",0,IF((F245=G245),5,5-QUOTIENT(F245,G245))))),0)</f>
        <v>0</v>
      </c>
      <c r="N245" s="378">
        <f>IF(K245="N/A", 1, 2)</f>
        <v>2</v>
      </c>
      <c r="O245" s="379">
        <f t="shared" ref="O245" si="53">MAX(M245:N245)</f>
        <v>2</v>
      </c>
      <c r="P245" s="378" t="s">
        <v>1147</v>
      </c>
      <c r="Q245" s="380" t="s">
        <v>1148</v>
      </c>
      <c r="R245" s="378"/>
    </row>
    <row r="246" spans="1:18" outlineLevel="1">
      <c r="A246" s="388" t="s">
        <v>1231</v>
      </c>
      <c r="B246" s="381"/>
      <c r="C246" s="382"/>
      <c r="D246" s="398"/>
      <c r="E246" s="389"/>
      <c r="F246" s="398"/>
      <c r="G246" s="387"/>
      <c r="H246" s="387"/>
      <c r="I246" s="387"/>
      <c r="J246" s="387"/>
      <c r="K246" s="378"/>
      <c r="L246" s="378"/>
      <c r="M246" s="379">
        <f>IFERROR(MIN(M247:M253),0)</f>
        <v>0</v>
      </c>
      <c r="N246" s="378">
        <f>N247</f>
        <v>1</v>
      </c>
      <c r="O246" s="379">
        <f>MAX(M246:N246)</f>
        <v>1</v>
      </c>
      <c r="P246" s="378" t="s">
        <v>1147</v>
      </c>
      <c r="Q246" s="380" t="s">
        <v>1148</v>
      </c>
      <c r="R246" s="378"/>
    </row>
    <row r="247" spans="1:18" outlineLevel="1">
      <c r="A247" s="394"/>
      <c r="B247" s="636" t="s">
        <v>1179</v>
      </c>
      <c r="C247" s="382" t="s">
        <v>1232</v>
      </c>
      <c r="D247" s="387">
        <v>0.5</v>
      </c>
      <c r="E247" s="399"/>
      <c r="F247" s="387">
        <v>0.5</v>
      </c>
      <c r="G247" s="387"/>
      <c r="H247" s="387"/>
      <c r="I247" s="387"/>
      <c r="J247" s="387"/>
      <c r="K247" s="378" t="s">
        <v>549</v>
      </c>
      <c r="L247" s="378"/>
      <c r="M247" s="379">
        <f t="shared" ref="M247:M253" si="54">IFERROR(MIN(MAX(0,IF(K247="N/A",0,IF((D247=E247),5,5-QUOTIENT(D247,E247)))), MAX(0,IF(K247="N/A",0,IF((F247=G247),5,5-QUOTIENT(F247,G247))))),0)</f>
        <v>0</v>
      </c>
      <c r="N247" s="378">
        <f>IF(K247="N/A", 1, 2)</f>
        <v>1</v>
      </c>
      <c r="O247" s="379">
        <f t="shared" ref="O247:O257" si="55">MAX(M247:N247)</f>
        <v>1</v>
      </c>
      <c r="P247" s="378" t="s">
        <v>1147</v>
      </c>
      <c r="Q247" s="380" t="s">
        <v>1148</v>
      </c>
      <c r="R247" s="378"/>
    </row>
    <row r="248" spans="1:18" outlineLevel="1">
      <c r="A248" s="394"/>
      <c r="B248" s="637"/>
      <c r="C248" s="382" t="s">
        <v>1233</v>
      </c>
      <c r="D248" s="387">
        <v>0.5</v>
      </c>
      <c r="E248" s="399"/>
      <c r="F248" s="387">
        <v>0.5</v>
      </c>
      <c r="G248" s="387"/>
      <c r="H248" s="387"/>
      <c r="I248" s="387"/>
      <c r="J248" s="387"/>
      <c r="K248" s="378" t="s">
        <v>549</v>
      </c>
      <c r="L248" s="378"/>
      <c r="M248" s="379">
        <f t="shared" si="54"/>
        <v>0</v>
      </c>
      <c r="N248" s="378">
        <f t="shared" ref="N248:N253" si="56">IF(K248="N/A", 1, 2)</f>
        <v>1</v>
      </c>
      <c r="O248" s="379">
        <f t="shared" si="55"/>
        <v>1</v>
      </c>
      <c r="P248" s="378" t="s">
        <v>1147</v>
      </c>
      <c r="Q248" s="380" t="s">
        <v>1148</v>
      </c>
      <c r="R248" s="378"/>
    </row>
    <row r="249" spans="1:18" outlineLevel="1">
      <c r="A249" s="394"/>
      <c r="B249" s="637"/>
      <c r="C249" s="382" t="s">
        <v>1234</v>
      </c>
      <c r="D249" s="387">
        <v>0.5</v>
      </c>
      <c r="E249" s="399"/>
      <c r="F249" s="387">
        <v>0.5</v>
      </c>
      <c r="G249" s="387"/>
      <c r="H249" s="387"/>
      <c r="I249" s="387"/>
      <c r="J249" s="387"/>
      <c r="K249" s="378" t="s">
        <v>549</v>
      </c>
      <c r="L249" s="378"/>
      <c r="M249" s="379">
        <f t="shared" si="54"/>
        <v>0</v>
      </c>
      <c r="N249" s="378">
        <f t="shared" si="56"/>
        <v>1</v>
      </c>
      <c r="O249" s="379">
        <f t="shared" si="55"/>
        <v>1</v>
      </c>
      <c r="P249" s="378" t="s">
        <v>1147</v>
      </c>
      <c r="Q249" s="380" t="s">
        <v>1148</v>
      </c>
      <c r="R249" s="378"/>
    </row>
    <row r="250" spans="1:18" outlineLevel="1">
      <c r="A250" s="394"/>
      <c r="B250" s="637"/>
      <c r="C250" s="382" t="s">
        <v>1235</v>
      </c>
      <c r="D250" s="387">
        <v>0.5</v>
      </c>
      <c r="E250" s="399"/>
      <c r="F250" s="387">
        <v>0.5</v>
      </c>
      <c r="G250" s="387"/>
      <c r="H250" s="387"/>
      <c r="I250" s="387"/>
      <c r="J250" s="387"/>
      <c r="K250" s="378" t="s">
        <v>549</v>
      </c>
      <c r="L250" s="378"/>
      <c r="M250" s="379">
        <f t="shared" si="54"/>
        <v>0</v>
      </c>
      <c r="N250" s="378">
        <f t="shared" si="56"/>
        <v>1</v>
      </c>
      <c r="O250" s="379">
        <f t="shared" si="55"/>
        <v>1</v>
      </c>
      <c r="P250" s="378" t="s">
        <v>1147</v>
      </c>
      <c r="Q250" s="380" t="s">
        <v>1148</v>
      </c>
      <c r="R250" s="378"/>
    </row>
    <row r="251" spans="1:18" outlineLevel="1">
      <c r="A251" s="394"/>
      <c r="B251" s="637"/>
      <c r="C251" s="382" t="s">
        <v>1236</v>
      </c>
      <c r="D251" s="387">
        <v>0.5</v>
      </c>
      <c r="E251" s="399"/>
      <c r="F251" s="387">
        <v>0.5</v>
      </c>
      <c r="G251" s="387"/>
      <c r="H251" s="387"/>
      <c r="I251" s="387"/>
      <c r="J251" s="387"/>
      <c r="K251" s="378" t="s">
        <v>549</v>
      </c>
      <c r="L251" s="378"/>
      <c r="M251" s="379">
        <f t="shared" si="54"/>
        <v>0</v>
      </c>
      <c r="N251" s="378">
        <f t="shared" si="56"/>
        <v>1</v>
      </c>
      <c r="O251" s="379">
        <f t="shared" si="55"/>
        <v>1</v>
      </c>
      <c r="P251" s="378" t="s">
        <v>1147</v>
      </c>
      <c r="Q251" s="380" t="s">
        <v>1148</v>
      </c>
      <c r="R251" s="378"/>
    </row>
    <row r="252" spans="1:18" outlineLevel="1">
      <c r="A252" s="394"/>
      <c r="B252" s="637"/>
      <c r="C252" s="382" t="s">
        <v>1237</v>
      </c>
      <c r="D252" s="387">
        <v>0.5</v>
      </c>
      <c r="E252" s="399"/>
      <c r="F252" s="387">
        <v>0.5</v>
      </c>
      <c r="G252" s="387"/>
      <c r="H252" s="387"/>
      <c r="I252" s="387"/>
      <c r="J252" s="387"/>
      <c r="K252" s="378" t="s">
        <v>549</v>
      </c>
      <c r="L252" s="378"/>
      <c r="M252" s="379">
        <f t="shared" si="54"/>
        <v>0</v>
      </c>
      <c r="N252" s="378">
        <f t="shared" si="56"/>
        <v>1</v>
      </c>
      <c r="O252" s="379">
        <f t="shared" si="55"/>
        <v>1</v>
      </c>
      <c r="P252" s="378" t="s">
        <v>1147</v>
      </c>
      <c r="Q252" s="380" t="s">
        <v>1148</v>
      </c>
      <c r="R252" s="378"/>
    </row>
    <row r="253" spans="1:18" outlineLevel="1">
      <c r="A253" s="394"/>
      <c r="B253" s="638"/>
      <c r="C253" s="382" t="s">
        <v>1238</v>
      </c>
      <c r="D253" s="387">
        <v>0.5</v>
      </c>
      <c r="E253" s="399"/>
      <c r="F253" s="387">
        <v>0.5</v>
      </c>
      <c r="G253" s="387"/>
      <c r="H253" s="387"/>
      <c r="I253" s="387"/>
      <c r="J253" s="387"/>
      <c r="K253" s="378" t="s">
        <v>549</v>
      </c>
      <c r="L253" s="378"/>
      <c r="M253" s="379">
        <f t="shared" si="54"/>
        <v>0</v>
      </c>
      <c r="N253" s="378">
        <f t="shared" si="56"/>
        <v>1</v>
      </c>
      <c r="O253" s="379">
        <f t="shared" si="55"/>
        <v>1</v>
      </c>
      <c r="P253" s="378" t="s">
        <v>1147</v>
      </c>
      <c r="Q253" s="380" t="s">
        <v>1148</v>
      </c>
      <c r="R253" s="378"/>
    </row>
    <row r="254" spans="1:18" outlineLevel="1">
      <c r="A254" s="388" t="s">
        <v>1239</v>
      </c>
      <c r="B254" s="381"/>
      <c r="C254" s="382"/>
      <c r="D254" s="398"/>
      <c r="E254" s="389"/>
      <c r="F254" s="398"/>
      <c r="G254" s="387"/>
      <c r="H254" s="387"/>
      <c r="I254" s="387"/>
      <c r="J254" s="387"/>
      <c r="K254" s="378"/>
      <c r="L254" s="378"/>
      <c r="M254" s="379">
        <f>M255</f>
        <v>0</v>
      </c>
      <c r="N254" s="378">
        <f>N255</f>
        <v>1</v>
      </c>
      <c r="O254" s="379">
        <f t="shared" si="55"/>
        <v>1</v>
      </c>
      <c r="P254" s="378" t="s">
        <v>1147</v>
      </c>
      <c r="Q254" s="380" t="s">
        <v>1148</v>
      </c>
      <c r="R254" s="378"/>
    </row>
    <row r="255" spans="1:18" outlineLevel="1">
      <c r="A255" s="406"/>
      <c r="B255" s="388" t="s">
        <v>1240</v>
      </c>
      <c r="C255" s="382" t="s">
        <v>1222</v>
      </c>
      <c r="D255" s="387">
        <v>0.95</v>
      </c>
      <c r="E255" s="389"/>
      <c r="F255" s="398">
        <v>0.9</v>
      </c>
      <c r="G255" s="387"/>
      <c r="H255" s="387"/>
      <c r="I255" s="387"/>
      <c r="J255" s="387"/>
      <c r="K255" s="378" t="s">
        <v>549</v>
      </c>
      <c r="L255" s="378"/>
      <c r="M255" s="379">
        <f>IFERROR(MIN(MAX(0,IF(K255="N/A",0,IF((D255=E255),5,5-QUOTIENT(D255,E255)))), MAX(0,IF(K255="N/A",0,IF((F255=G255),5,5-QUOTIENT(F255,G255))))),0)</f>
        <v>0</v>
      </c>
      <c r="N255" s="378">
        <f>IF(K255="N/A", 1, 2)</f>
        <v>1</v>
      </c>
      <c r="O255" s="379">
        <f t="shared" si="55"/>
        <v>1</v>
      </c>
      <c r="P255" s="378" t="s">
        <v>1147</v>
      </c>
      <c r="Q255" s="380" t="s">
        <v>1148</v>
      </c>
      <c r="R255" s="378"/>
    </row>
    <row r="256" spans="1:18" outlineLevel="1">
      <c r="A256" s="388" t="s">
        <v>1241</v>
      </c>
      <c r="B256" s="381"/>
      <c r="C256" s="382"/>
      <c r="D256" s="398"/>
      <c r="E256" s="389"/>
      <c r="F256" s="398"/>
      <c r="G256" s="387"/>
      <c r="H256" s="387"/>
      <c r="I256" s="387"/>
      <c r="J256" s="387"/>
      <c r="K256" s="378"/>
      <c r="L256" s="378"/>
      <c r="M256" s="379">
        <f>M257</f>
        <v>0</v>
      </c>
      <c r="N256" s="378">
        <f>N257</f>
        <v>1</v>
      </c>
      <c r="O256" s="379">
        <f t="shared" si="55"/>
        <v>1</v>
      </c>
      <c r="P256" s="378" t="s">
        <v>1147</v>
      </c>
      <c r="Q256" s="380" t="s">
        <v>1148</v>
      </c>
      <c r="R256" s="378"/>
    </row>
    <row r="257" spans="1:18" outlineLevel="1">
      <c r="A257" s="406"/>
      <c r="B257" s="388" t="s">
        <v>1242</v>
      </c>
      <c r="C257" s="382" t="s">
        <v>1222</v>
      </c>
      <c r="D257" s="387">
        <v>0.95</v>
      </c>
      <c r="E257" s="389"/>
      <c r="F257" s="398">
        <v>0.9</v>
      </c>
      <c r="G257" s="387"/>
      <c r="H257" s="387"/>
      <c r="I257" s="387"/>
      <c r="J257" s="387"/>
      <c r="K257" s="378" t="s">
        <v>549</v>
      </c>
      <c r="L257" s="378"/>
      <c r="M257" s="379">
        <f>IFERROR(MIN(MAX(0,IF(K257="N/A",0,IF((D257=E257),5,5-QUOTIENT(D257,E257)))), MAX(0,IF(K257="N/A",0,IF((F257=G257),5,5-QUOTIENT(F257,G257))))),0)</f>
        <v>0</v>
      </c>
      <c r="N257" s="378">
        <f>IF(K257="N/A", 1, 2)</f>
        <v>1</v>
      </c>
      <c r="O257" s="379">
        <f t="shared" si="55"/>
        <v>1</v>
      </c>
      <c r="P257" s="378" t="s">
        <v>1147</v>
      </c>
      <c r="Q257" s="380" t="s">
        <v>1148</v>
      </c>
      <c r="R257" s="378"/>
    </row>
    <row r="258" spans="1:18" outlineLevel="1">
      <c r="A258" s="388" t="s">
        <v>1243</v>
      </c>
      <c r="B258" s="381"/>
      <c r="C258" s="382"/>
      <c r="D258" s="398"/>
      <c r="E258" s="389"/>
      <c r="F258" s="398"/>
      <c r="G258" s="387"/>
      <c r="H258" s="387"/>
      <c r="I258" s="387"/>
      <c r="J258" s="387"/>
      <c r="K258" s="378"/>
      <c r="L258" s="378"/>
      <c r="M258" s="379">
        <f>IFERROR(MIN(M259:M265),0)</f>
        <v>0</v>
      </c>
      <c r="N258" s="378">
        <f>N259</f>
        <v>1</v>
      </c>
      <c r="O258" s="379">
        <f>MAX(M258:N258)</f>
        <v>1</v>
      </c>
      <c r="P258" s="378" t="s">
        <v>1147</v>
      </c>
      <c r="Q258" s="380" t="s">
        <v>1148</v>
      </c>
      <c r="R258" s="378"/>
    </row>
    <row r="259" spans="1:18" outlineLevel="1">
      <c r="A259" s="394"/>
      <c r="B259" s="636" t="s">
        <v>1179</v>
      </c>
      <c r="C259" s="382" t="s">
        <v>1232</v>
      </c>
      <c r="D259" s="387">
        <v>0.5</v>
      </c>
      <c r="E259" s="399"/>
      <c r="F259" s="387">
        <v>0.5</v>
      </c>
      <c r="G259" s="387"/>
      <c r="H259" s="387"/>
      <c r="I259" s="387"/>
      <c r="J259" s="387"/>
      <c r="K259" s="378" t="s">
        <v>549</v>
      </c>
      <c r="L259" s="378"/>
      <c r="M259" s="379">
        <f t="shared" ref="M259:M265" si="57">IFERROR(MIN(MAX(0,IF(K259="N/A",0,IF((D259=E259),5,5-QUOTIENT(D259,E259)))), MAX(0,IF(K259="N/A",0,IF((F259=G259),5,5-QUOTIENT(F259,G259))))),0)</f>
        <v>0</v>
      </c>
      <c r="N259" s="378">
        <f>IF(K259="N/A", 1, 2)</f>
        <v>1</v>
      </c>
      <c r="O259" s="379">
        <f t="shared" ref="O259:O277" si="58">MAX(M259:N259)</f>
        <v>1</v>
      </c>
      <c r="P259" s="378" t="s">
        <v>1147</v>
      </c>
      <c r="Q259" s="380" t="s">
        <v>1148</v>
      </c>
      <c r="R259" s="378"/>
    </row>
    <row r="260" spans="1:18" outlineLevel="1">
      <c r="A260" s="394"/>
      <c r="B260" s="637"/>
      <c r="C260" s="382" t="s">
        <v>1233</v>
      </c>
      <c r="D260" s="387">
        <v>0.5</v>
      </c>
      <c r="E260" s="399"/>
      <c r="F260" s="387">
        <v>0.5</v>
      </c>
      <c r="G260" s="387"/>
      <c r="H260" s="387"/>
      <c r="I260" s="387"/>
      <c r="J260" s="387"/>
      <c r="K260" s="378" t="s">
        <v>549</v>
      </c>
      <c r="L260" s="378"/>
      <c r="M260" s="379">
        <f t="shared" si="57"/>
        <v>0</v>
      </c>
      <c r="N260" s="378">
        <f t="shared" ref="N260:N265" si="59">IF(K260="N/A", 1, 2)</f>
        <v>1</v>
      </c>
      <c r="O260" s="379">
        <f t="shared" si="58"/>
        <v>1</v>
      </c>
      <c r="P260" s="378" t="s">
        <v>1147</v>
      </c>
      <c r="Q260" s="380" t="s">
        <v>1148</v>
      </c>
      <c r="R260" s="378"/>
    </row>
    <row r="261" spans="1:18" outlineLevel="1">
      <c r="A261" s="394"/>
      <c r="B261" s="637"/>
      <c r="C261" s="382" t="s">
        <v>1234</v>
      </c>
      <c r="D261" s="387">
        <v>0.5</v>
      </c>
      <c r="E261" s="399"/>
      <c r="F261" s="387">
        <v>0.5</v>
      </c>
      <c r="G261" s="387"/>
      <c r="H261" s="387"/>
      <c r="I261" s="387"/>
      <c r="J261" s="387"/>
      <c r="K261" s="378" t="s">
        <v>549</v>
      </c>
      <c r="L261" s="378"/>
      <c r="M261" s="379">
        <f t="shared" si="57"/>
        <v>0</v>
      </c>
      <c r="N261" s="378">
        <f t="shared" si="59"/>
        <v>1</v>
      </c>
      <c r="O261" s="379">
        <f t="shared" si="58"/>
        <v>1</v>
      </c>
      <c r="P261" s="378" t="s">
        <v>1147</v>
      </c>
      <c r="Q261" s="380" t="s">
        <v>1148</v>
      </c>
      <c r="R261" s="378"/>
    </row>
    <row r="262" spans="1:18" outlineLevel="1">
      <c r="A262" s="394"/>
      <c r="B262" s="637"/>
      <c r="C262" s="382" t="s">
        <v>1235</v>
      </c>
      <c r="D262" s="387">
        <v>0.5</v>
      </c>
      <c r="E262" s="399"/>
      <c r="F262" s="387">
        <v>0.5</v>
      </c>
      <c r="G262" s="387"/>
      <c r="H262" s="387"/>
      <c r="I262" s="387"/>
      <c r="J262" s="387"/>
      <c r="K262" s="378" t="s">
        <v>549</v>
      </c>
      <c r="L262" s="378"/>
      <c r="M262" s="379">
        <f t="shared" si="57"/>
        <v>0</v>
      </c>
      <c r="N262" s="378">
        <f t="shared" si="59"/>
        <v>1</v>
      </c>
      <c r="O262" s="379">
        <f t="shared" si="58"/>
        <v>1</v>
      </c>
      <c r="P262" s="378" t="s">
        <v>1147</v>
      </c>
      <c r="Q262" s="380" t="s">
        <v>1148</v>
      </c>
      <c r="R262" s="378"/>
    </row>
    <row r="263" spans="1:18" outlineLevel="1">
      <c r="A263" s="394"/>
      <c r="B263" s="637"/>
      <c r="C263" s="382" t="s">
        <v>1236</v>
      </c>
      <c r="D263" s="387">
        <v>0.5</v>
      </c>
      <c r="E263" s="399"/>
      <c r="F263" s="387">
        <v>0.5</v>
      </c>
      <c r="G263" s="387"/>
      <c r="H263" s="387"/>
      <c r="I263" s="387"/>
      <c r="J263" s="387"/>
      <c r="K263" s="378" t="s">
        <v>549</v>
      </c>
      <c r="L263" s="378"/>
      <c r="M263" s="379">
        <f t="shared" si="57"/>
        <v>0</v>
      </c>
      <c r="N263" s="378">
        <f t="shared" si="59"/>
        <v>1</v>
      </c>
      <c r="O263" s="379">
        <f t="shared" si="58"/>
        <v>1</v>
      </c>
      <c r="P263" s="378" t="s">
        <v>1147</v>
      </c>
      <c r="Q263" s="380" t="s">
        <v>1148</v>
      </c>
      <c r="R263" s="378"/>
    </row>
    <row r="264" spans="1:18" outlineLevel="1">
      <c r="A264" s="394"/>
      <c r="B264" s="637"/>
      <c r="C264" s="382" t="s">
        <v>1237</v>
      </c>
      <c r="D264" s="387">
        <v>0.5</v>
      </c>
      <c r="E264" s="399"/>
      <c r="F264" s="387">
        <v>0.5</v>
      </c>
      <c r="G264" s="387"/>
      <c r="H264" s="387"/>
      <c r="I264" s="387"/>
      <c r="J264" s="387"/>
      <c r="K264" s="378" t="s">
        <v>549</v>
      </c>
      <c r="L264" s="378"/>
      <c r="M264" s="379">
        <f t="shared" si="57"/>
        <v>0</v>
      </c>
      <c r="N264" s="378">
        <f t="shared" si="59"/>
        <v>1</v>
      </c>
      <c r="O264" s="379">
        <f t="shared" si="58"/>
        <v>1</v>
      </c>
      <c r="P264" s="378" t="s">
        <v>1147</v>
      </c>
      <c r="Q264" s="380" t="s">
        <v>1148</v>
      </c>
      <c r="R264" s="378"/>
    </row>
    <row r="265" spans="1:18" outlineLevel="1">
      <c r="A265" s="394"/>
      <c r="B265" s="638"/>
      <c r="C265" s="382" t="s">
        <v>1238</v>
      </c>
      <c r="D265" s="387">
        <v>0.5</v>
      </c>
      <c r="E265" s="399"/>
      <c r="F265" s="387">
        <v>0.5</v>
      </c>
      <c r="G265" s="387"/>
      <c r="H265" s="387"/>
      <c r="I265" s="387"/>
      <c r="J265" s="387"/>
      <c r="K265" s="378" t="s">
        <v>549</v>
      </c>
      <c r="L265" s="378"/>
      <c r="M265" s="379">
        <f t="shared" si="57"/>
        <v>0</v>
      </c>
      <c r="N265" s="378">
        <f t="shared" si="59"/>
        <v>1</v>
      </c>
      <c r="O265" s="379">
        <f t="shared" si="58"/>
        <v>1</v>
      </c>
      <c r="P265" s="378" t="s">
        <v>1147</v>
      </c>
      <c r="Q265" s="380" t="s">
        <v>1148</v>
      </c>
      <c r="R265" s="378"/>
    </row>
    <row r="266" spans="1:18" outlineLevel="1">
      <c r="A266" s="388" t="s">
        <v>1244</v>
      </c>
      <c r="B266" s="381"/>
      <c r="C266" s="382"/>
      <c r="D266" s="398"/>
      <c r="E266" s="389"/>
      <c r="F266" s="398"/>
      <c r="G266" s="387"/>
      <c r="H266" s="387"/>
      <c r="I266" s="387"/>
      <c r="J266" s="387"/>
      <c r="K266" s="378"/>
      <c r="L266" s="378"/>
      <c r="M266" s="379">
        <f>IFERROR(MIN(M267:M273),0)</f>
        <v>0</v>
      </c>
      <c r="N266" s="378">
        <f>N267</f>
        <v>1</v>
      </c>
      <c r="O266" s="379">
        <f t="shared" si="58"/>
        <v>1</v>
      </c>
      <c r="P266" s="378" t="s">
        <v>1147</v>
      </c>
      <c r="Q266" s="380" t="s">
        <v>1148</v>
      </c>
      <c r="R266" s="378"/>
    </row>
    <row r="267" spans="1:18" outlineLevel="1">
      <c r="A267" s="394"/>
      <c r="B267" s="636" t="s">
        <v>1245</v>
      </c>
      <c r="C267" s="382" t="s">
        <v>1246</v>
      </c>
      <c r="D267" s="387">
        <v>0.5</v>
      </c>
      <c r="E267" s="399"/>
      <c r="F267" s="387">
        <v>0.5</v>
      </c>
      <c r="G267" s="387"/>
      <c r="H267" s="387"/>
      <c r="I267" s="387"/>
      <c r="J267" s="387"/>
      <c r="K267" s="378" t="s">
        <v>549</v>
      </c>
      <c r="L267" s="378"/>
      <c r="M267" s="379">
        <f t="shared" ref="M267:M273" si="60">IFERROR(MIN(MAX(0,IF(K267="N/A",0,IF((D267=E267),5,5-QUOTIENT(D267,E267)))), MAX(0,IF(K267="N/A",0,IF((F267=G267),5,5-QUOTIENT(F267,G267))))),0)</f>
        <v>0</v>
      </c>
      <c r="N267" s="378">
        <f>IF(K267="N/A", 1, 2)</f>
        <v>1</v>
      </c>
      <c r="O267" s="379">
        <f t="shared" si="58"/>
        <v>1</v>
      </c>
      <c r="P267" s="378" t="s">
        <v>1147</v>
      </c>
      <c r="Q267" s="380" t="s">
        <v>1148</v>
      </c>
      <c r="R267" s="378"/>
    </row>
    <row r="268" spans="1:18" outlineLevel="1">
      <c r="A268" s="394"/>
      <c r="B268" s="637"/>
      <c r="C268" s="382" t="s">
        <v>1247</v>
      </c>
      <c r="D268" s="387">
        <v>0.5</v>
      </c>
      <c r="E268" s="399"/>
      <c r="F268" s="387">
        <v>0.5</v>
      </c>
      <c r="G268" s="387"/>
      <c r="H268" s="387"/>
      <c r="I268" s="387"/>
      <c r="J268" s="387"/>
      <c r="K268" s="378" t="s">
        <v>549</v>
      </c>
      <c r="L268" s="378"/>
      <c r="M268" s="379">
        <f t="shared" si="60"/>
        <v>0</v>
      </c>
      <c r="N268" s="378">
        <f t="shared" ref="N268:N273" si="61">IF(K268="N/A", 1, 2)</f>
        <v>1</v>
      </c>
      <c r="O268" s="379">
        <f t="shared" si="58"/>
        <v>1</v>
      </c>
      <c r="P268" s="378" t="s">
        <v>1147</v>
      </c>
      <c r="Q268" s="380" t="s">
        <v>1148</v>
      </c>
      <c r="R268" s="378"/>
    </row>
    <row r="269" spans="1:18" outlineLevel="1">
      <c r="A269" s="394"/>
      <c r="B269" s="637"/>
      <c r="C269" s="382" t="s">
        <v>1248</v>
      </c>
      <c r="D269" s="387">
        <v>0.5</v>
      </c>
      <c r="E269" s="399"/>
      <c r="F269" s="387">
        <v>0.5</v>
      </c>
      <c r="G269" s="387"/>
      <c r="H269" s="387"/>
      <c r="I269" s="387"/>
      <c r="J269" s="387"/>
      <c r="K269" s="378" t="s">
        <v>549</v>
      </c>
      <c r="L269" s="378"/>
      <c r="M269" s="379">
        <f t="shared" si="60"/>
        <v>0</v>
      </c>
      <c r="N269" s="378">
        <f t="shared" si="61"/>
        <v>1</v>
      </c>
      <c r="O269" s="379">
        <f t="shared" si="58"/>
        <v>1</v>
      </c>
      <c r="P269" s="378" t="s">
        <v>1147</v>
      </c>
      <c r="Q269" s="380" t="s">
        <v>1148</v>
      </c>
      <c r="R269" s="378"/>
    </row>
    <row r="270" spans="1:18" outlineLevel="1">
      <c r="A270" s="394"/>
      <c r="B270" s="637"/>
      <c r="C270" s="382" t="s">
        <v>1249</v>
      </c>
      <c r="D270" s="387">
        <v>0.5</v>
      </c>
      <c r="E270" s="399"/>
      <c r="F270" s="387">
        <v>0.5</v>
      </c>
      <c r="G270" s="387"/>
      <c r="H270" s="387"/>
      <c r="I270" s="387"/>
      <c r="J270" s="387"/>
      <c r="K270" s="378" t="s">
        <v>549</v>
      </c>
      <c r="L270" s="378"/>
      <c r="M270" s="379">
        <f t="shared" si="60"/>
        <v>0</v>
      </c>
      <c r="N270" s="378">
        <f t="shared" si="61"/>
        <v>1</v>
      </c>
      <c r="O270" s="379">
        <f t="shared" si="58"/>
        <v>1</v>
      </c>
      <c r="P270" s="378" t="s">
        <v>1147</v>
      </c>
      <c r="Q270" s="380" t="s">
        <v>1148</v>
      </c>
      <c r="R270" s="378"/>
    </row>
    <row r="271" spans="1:18" outlineLevel="1">
      <c r="A271" s="394"/>
      <c r="B271" s="637"/>
      <c r="C271" s="382" t="s">
        <v>1250</v>
      </c>
      <c r="D271" s="387">
        <v>0.5</v>
      </c>
      <c r="E271" s="399"/>
      <c r="F271" s="387">
        <v>0.5</v>
      </c>
      <c r="G271" s="387"/>
      <c r="H271" s="387"/>
      <c r="I271" s="387"/>
      <c r="J271" s="387"/>
      <c r="K271" s="378" t="s">
        <v>549</v>
      </c>
      <c r="L271" s="378"/>
      <c r="M271" s="379">
        <f t="shared" si="60"/>
        <v>0</v>
      </c>
      <c r="N271" s="378">
        <f t="shared" si="61"/>
        <v>1</v>
      </c>
      <c r="O271" s="379">
        <f t="shared" si="58"/>
        <v>1</v>
      </c>
      <c r="P271" s="378" t="s">
        <v>1147</v>
      </c>
      <c r="Q271" s="380" t="s">
        <v>1148</v>
      </c>
      <c r="R271" s="378"/>
    </row>
    <row r="272" spans="1:18" outlineLevel="1">
      <c r="A272" s="394"/>
      <c r="B272" s="637"/>
      <c r="C272" s="382" t="s">
        <v>1251</v>
      </c>
      <c r="D272" s="387">
        <v>0.5</v>
      </c>
      <c r="E272" s="399"/>
      <c r="F272" s="387">
        <v>0.5</v>
      </c>
      <c r="G272" s="387"/>
      <c r="H272" s="387"/>
      <c r="I272" s="387"/>
      <c r="J272" s="387"/>
      <c r="K272" s="378" t="s">
        <v>549</v>
      </c>
      <c r="L272" s="378"/>
      <c r="M272" s="379">
        <f t="shared" si="60"/>
        <v>0</v>
      </c>
      <c r="N272" s="378">
        <f t="shared" si="61"/>
        <v>1</v>
      </c>
      <c r="O272" s="379">
        <f t="shared" si="58"/>
        <v>1</v>
      </c>
      <c r="P272" s="378" t="s">
        <v>1147</v>
      </c>
      <c r="Q272" s="380" t="s">
        <v>1148</v>
      </c>
      <c r="R272" s="378"/>
    </row>
    <row r="273" spans="1:18" outlineLevel="1">
      <c r="A273" s="394"/>
      <c r="B273" s="638"/>
      <c r="C273" s="382" t="s">
        <v>1252</v>
      </c>
      <c r="D273" s="387">
        <v>0.5</v>
      </c>
      <c r="E273" s="399"/>
      <c r="F273" s="387">
        <v>0.5</v>
      </c>
      <c r="G273" s="387"/>
      <c r="H273" s="387"/>
      <c r="I273" s="387"/>
      <c r="J273" s="387"/>
      <c r="K273" s="378" t="s">
        <v>549</v>
      </c>
      <c r="L273" s="378"/>
      <c r="M273" s="379">
        <f t="shared" si="60"/>
        <v>0</v>
      </c>
      <c r="N273" s="378">
        <f t="shared" si="61"/>
        <v>1</v>
      </c>
      <c r="O273" s="379">
        <f t="shared" si="58"/>
        <v>1</v>
      </c>
      <c r="P273" s="378" t="s">
        <v>1147</v>
      </c>
      <c r="Q273" s="380" t="s">
        <v>1148</v>
      </c>
      <c r="R273" s="378"/>
    </row>
    <row r="274" spans="1:18" outlineLevel="1">
      <c r="A274" s="388" t="s">
        <v>1253</v>
      </c>
      <c r="B274" s="381"/>
      <c r="C274" s="382"/>
      <c r="D274" s="398"/>
      <c r="E274" s="389"/>
      <c r="F274" s="398"/>
      <c r="G274" s="387"/>
      <c r="H274" s="387"/>
      <c r="I274" s="387"/>
      <c r="J274" s="387"/>
      <c r="K274" s="378"/>
      <c r="L274" s="378"/>
      <c r="M274" s="379">
        <f>M275</f>
        <v>0</v>
      </c>
      <c r="N274" s="378">
        <f>N275</f>
        <v>2</v>
      </c>
      <c r="O274" s="379">
        <f t="shared" si="58"/>
        <v>2</v>
      </c>
      <c r="P274" s="378" t="s">
        <v>1147</v>
      </c>
      <c r="Q274" s="380" t="s">
        <v>1148</v>
      </c>
      <c r="R274" s="378"/>
    </row>
    <row r="275" spans="1:18" outlineLevel="1">
      <c r="A275" s="406"/>
      <c r="B275" s="388" t="s">
        <v>1254</v>
      </c>
      <c r="C275" s="382" t="s">
        <v>1222</v>
      </c>
      <c r="D275" s="387">
        <v>0.5</v>
      </c>
      <c r="E275" s="389"/>
      <c r="F275" s="398">
        <v>0.5</v>
      </c>
      <c r="G275" s="387"/>
      <c r="H275" s="387"/>
      <c r="I275" s="387"/>
      <c r="J275" s="387"/>
      <c r="K275" s="378">
        <v>1</v>
      </c>
      <c r="L275" s="378"/>
      <c r="M275" s="379">
        <f>IFERROR(MIN(MAX(0,IF(K275="N/A",0,IF((D275=E275),5,5-QUOTIENT(D275,E275)))), MAX(0,IF(K275="N/A",0,IF((F275=G275),5,5-QUOTIENT(F275,G275))))),0)</f>
        <v>0</v>
      </c>
      <c r="N275" s="378">
        <f>IF(K275="N/A", 1, 2)</f>
        <v>2</v>
      </c>
      <c r="O275" s="379">
        <f t="shared" si="58"/>
        <v>2</v>
      </c>
      <c r="P275" s="378" t="s">
        <v>1147</v>
      </c>
      <c r="Q275" s="380" t="s">
        <v>1148</v>
      </c>
      <c r="R275" s="378"/>
    </row>
    <row r="276" spans="1:18" outlineLevel="1">
      <c r="A276" s="388" t="s">
        <v>1255</v>
      </c>
      <c r="B276" s="381"/>
      <c r="C276" s="382"/>
      <c r="D276" s="398"/>
      <c r="E276" s="389"/>
      <c r="F276" s="398"/>
      <c r="G276" s="387"/>
      <c r="H276" s="387"/>
      <c r="I276" s="387"/>
      <c r="J276" s="387"/>
      <c r="K276" s="378"/>
      <c r="L276" s="378"/>
      <c r="M276" s="379">
        <f>M277</f>
        <v>0</v>
      </c>
      <c r="N276" s="378">
        <f>N277</f>
        <v>1</v>
      </c>
      <c r="O276" s="379">
        <f t="shared" si="58"/>
        <v>1</v>
      </c>
      <c r="P276" s="378" t="s">
        <v>1147</v>
      </c>
      <c r="Q276" s="380" t="s">
        <v>1148</v>
      </c>
      <c r="R276" s="378"/>
    </row>
    <row r="277" spans="1:18" outlineLevel="1">
      <c r="A277" s="406"/>
      <c r="B277" s="388" t="s">
        <v>1256</v>
      </c>
      <c r="C277" s="382" t="s">
        <v>1222</v>
      </c>
      <c r="D277" s="387">
        <v>0.5</v>
      </c>
      <c r="E277" s="389"/>
      <c r="F277" s="398">
        <v>0.5</v>
      </c>
      <c r="G277" s="387"/>
      <c r="H277" s="387"/>
      <c r="I277" s="387"/>
      <c r="J277" s="387"/>
      <c r="K277" s="378" t="s">
        <v>549</v>
      </c>
      <c r="L277" s="378"/>
      <c r="M277" s="379">
        <f>IFERROR(MIN(MAX(0,IF(K277="N/A",0,IF((D277=E277),5,5-QUOTIENT(D277,E277)))), MAX(0,IF(K277="N/A",0,IF((F277=G277),5,5-QUOTIENT(F277,G277))))),0)</f>
        <v>0</v>
      </c>
      <c r="N277" s="378">
        <f>IF(K277="N/A", 1, 2)</f>
        <v>1</v>
      </c>
      <c r="O277" s="379">
        <f t="shared" si="58"/>
        <v>1</v>
      </c>
      <c r="P277" s="378" t="s">
        <v>1147</v>
      </c>
      <c r="Q277" s="380" t="s">
        <v>1148</v>
      </c>
      <c r="R277" s="378"/>
    </row>
    <row r="278" spans="1:18" outlineLevel="1">
      <c r="A278" s="388" t="s">
        <v>1257</v>
      </c>
      <c r="B278" s="381"/>
      <c r="C278" s="399"/>
      <c r="D278" s="398"/>
      <c r="E278" s="389"/>
      <c r="F278" s="398"/>
      <c r="G278" s="387"/>
      <c r="H278" s="387"/>
      <c r="I278" s="387"/>
      <c r="J278" s="387"/>
      <c r="K278" s="378"/>
      <c r="L278" s="378"/>
      <c r="M278" s="379">
        <f>M279</f>
        <v>0</v>
      </c>
      <c r="N278" s="378">
        <f>N279</f>
        <v>2</v>
      </c>
      <c r="O278" s="379">
        <f>MAX(M278:N278)</f>
        <v>2</v>
      </c>
      <c r="P278" s="378" t="s">
        <v>1147</v>
      </c>
      <c r="Q278" s="380" t="s">
        <v>1148</v>
      </c>
      <c r="R278" s="378"/>
    </row>
    <row r="279" spans="1:18" outlineLevel="1">
      <c r="A279" s="406"/>
      <c r="B279" s="388" t="s">
        <v>673</v>
      </c>
      <c r="C279" s="382" t="s">
        <v>1222</v>
      </c>
      <c r="D279" s="387">
        <v>0.5</v>
      </c>
      <c r="E279" s="389"/>
      <c r="F279" s="398">
        <v>0.5</v>
      </c>
      <c r="G279" s="387"/>
      <c r="H279" s="387"/>
      <c r="I279" s="387"/>
      <c r="J279" s="387"/>
      <c r="K279" s="378">
        <v>1</v>
      </c>
      <c r="L279" s="378"/>
      <c r="M279" s="379">
        <f>IFERROR(MIN(MAX(0,IF(K279="N/A",0,IF((D279=E279),5,5-QUOTIENT(D279,E279)))), MAX(0,IF(K279="N/A",0,IF((F279=G279),5,5-QUOTIENT(F279,G279))))),0)</f>
        <v>0</v>
      </c>
      <c r="N279" s="378">
        <f>IF(K279="N/A", 1, 2)</f>
        <v>2</v>
      </c>
      <c r="O279" s="379">
        <f t="shared" ref="O279" si="62">MAX(M279:N279)</f>
        <v>2</v>
      </c>
      <c r="P279" s="378" t="s">
        <v>1147</v>
      </c>
      <c r="Q279" s="380" t="s">
        <v>1148</v>
      </c>
      <c r="R279" s="378"/>
    </row>
    <row r="280" spans="1:18" outlineLevel="1">
      <c r="A280" s="388" t="s">
        <v>1258</v>
      </c>
      <c r="B280" s="381"/>
      <c r="C280" s="399"/>
      <c r="D280" s="398"/>
      <c r="E280" s="389"/>
      <c r="F280" s="398"/>
      <c r="G280" s="387"/>
      <c r="H280" s="387"/>
      <c r="I280" s="387"/>
      <c r="J280" s="387"/>
      <c r="K280" s="378"/>
      <c r="L280" s="378"/>
      <c r="M280" s="379">
        <f>M281</f>
        <v>0</v>
      </c>
      <c r="N280" s="378">
        <f>N281</f>
        <v>2</v>
      </c>
      <c r="O280" s="379">
        <f>MAX(M280:N280)</f>
        <v>2</v>
      </c>
      <c r="P280" s="378" t="s">
        <v>1147</v>
      </c>
      <c r="Q280" s="380" t="s">
        <v>1148</v>
      </c>
      <c r="R280" s="378"/>
    </row>
    <row r="281" spans="1:18" outlineLevel="1">
      <c r="A281" s="406"/>
      <c r="B281" s="388" t="s">
        <v>1259</v>
      </c>
      <c r="C281" s="382" t="s">
        <v>1222</v>
      </c>
      <c r="D281" s="387">
        <v>0.5</v>
      </c>
      <c r="E281" s="389"/>
      <c r="F281" s="398">
        <v>0.5</v>
      </c>
      <c r="G281" s="387"/>
      <c r="H281" s="387"/>
      <c r="I281" s="387"/>
      <c r="J281" s="387"/>
      <c r="K281" s="378">
        <v>1</v>
      </c>
      <c r="L281" s="378"/>
      <c r="M281" s="379">
        <f>IFERROR(MIN(MAX(0,IF(K281="N/A",0,IF((D281=E281),5,5-QUOTIENT(D281,E281)))), MAX(0,IF(K281="N/A",0,IF((F281=G281),5,5-QUOTIENT(F281,G281))))),0)</f>
        <v>0</v>
      </c>
      <c r="N281" s="378">
        <f>IF(K281="N/A", 1, 2)</f>
        <v>2</v>
      </c>
      <c r="O281" s="379">
        <f t="shared" ref="O281" si="63">MAX(M281:N281)</f>
        <v>2</v>
      </c>
      <c r="P281" s="378" t="s">
        <v>1147</v>
      </c>
      <c r="Q281" s="380" t="s">
        <v>1148</v>
      </c>
      <c r="R281" s="378"/>
    </row>
    <row r="282" spans="1:18" outlineLevel="1">
      <c r="A282" s="388" t="s">
        <v>1260</v>
      </c>
      <c r="B282" s="381"/>
      <c r="C282" s="399"/>
      <c r="D282" s="398"/>
      <c r="E282" s="389"/>
      <c r="F282" s="398"/>
      <c r="G282" s="387"/>
      <c r="H282" s="387"/>
      <c r="I282" s="387"/>
      <c r="J282" s="387"/>
      <c r="K282" s="378"/>
      <c r="L282" s="378"/>
      <c r="M282" s="379">
        <f>M283</f>
        <v>3</v>
      </c>
      <c r="N282" s="378">
        <f>N283</f>
        <v>2</v>
      </c>
      <c r="O282" s="379">
        <f>MAX(M282:N282)</f>
        <v>3</v>
      </c>
      <c r="P282" s="410" t="s">
        <v>1261</v>
      </c>
      <c r="Q282" s="411" t="s">
        <v>1262</v>
      </c>
      <c r="R282" s="378"/>
    </row>
    <row r="283" spans="1:18" outlineLevel="1">
      <c r="A283" s="412"/>
      <c r="B283" s="388" t="s">
        <v>1263</v>
      </c>
      <c r="C283" s="413" t="s">
        <v>1264</v>
      </c>
      <c r="D283" s="414">
        <v>5</v>
      </c>
      <c r="E283" s="414">
        <v>2</v>
      </c>
      <c r="F283" s="414">
        <v>5</v>
      </c>
      <c r="G283" s="391">
        <v>2</v>
      </c>
      <c r="H283" s="391"/>
      <c r="I283" s="391"/>
      <c r="J283" s="391"/>
      <c r="K283" s="378">
        <v>2</v>
      </c>
      <c r="L283" s="378"/>
      <c r="M283" s="379">
        <f>IFERROR(MIN(MAX(0,IF(K283="N/A",0,IF((D283=E283),5,5-QUOTIENT(D283,E283)))), MAX(0,IF(K283="N/A",0,IF((F283=G283),5,5-QUOTIENT(F283,G283))))),0)</f>
        <v>3</v>
      </c>
      <c r="N283" s="378">
        <f>IF(K283="N/A", 1, 2)</f>
        <v>2</v>
      </c>
      <c r="O283" s="379">
        <f t="shared" ref="O283:O284" si="64">MAX(M283:N283)</f>
        <v>3</v>
      </c>
      <c r="P283" s="410" t="s">
        <v>1261</v>
      </c>
      <c r="Q283" s="411" t="s">
        <v>1262</v>
      </c>
      <c r="R283" s="378"/>
    </row>
    <row r="284" spans="1:18" outlineLevel="1">
      <c r="A284" s="415" t="s">
        <v>1265</v>
      </c>
      <c r="B284" s="416" t="s">
        <v>767</v>
      </c>
      <c r="C284" s="413" t="s">
        <v>1264</v>
      </c>
      <c r="D284" s="414">
        <v>5</v>
      </c>
      <c r="E284" s="414">
        <v>2</v>
      </c>
      <c r="F284" s="414">
        <v>5</v>
      </c>
      <c r="G284" s="391">
        <v>2</v>
      </c>
      <c r="H284" s="391"/>
      <c r="I284" s="391"/>
      <c r="J284" s="391"/>
      <c r="K284" s="378">
        <v>2</v>
      </c>
      <c r="L284" s="378"/>
      <c r="M284" s="379">
        <f>IFERROR(MIN(MAX(0,IF(K284="N/A",0,IF((D284=E284),5,5-QUOTIENT(D284,E284)))), MAX(0,IF(K284="N/A",0,IF((F284=G284),5,5-QUOTIENT(F284,G284))))),0)</f>
        <v>3</v>
      </c>
      <c r="N284" s="378">
        <f>IF(K284="N/A", 1, 2)</f>
        <v>2</v>
      </c>
      <c r="O284" s="379">
        <f t="shared" si="64"/>
        <v>3</v>
      </c>
      <c r="P284" s="410" t="s">
        <v>1261</v>
      </c>
      <c r="Q284" s="411" t="s">
        <v>1262</v>
      </c>
      <c r="R284" s="378"/>
    </row>
    <row r="285" spans="1:18">
      <c r="A285" s="362" t="s">
        <v>1267</v>
      </c>
      <c r="D285" s="364"/>
      <c r="E285" s="364"/>
      <c r="F285" s="371"/>
      <c r="G285" s="364"/>
      <c r="H285" s="364"/>
      <c r="I285" s="364"/>
      <c r="J285" s="364"/>
      <c r="K285" s="364"/>
      <c r="L285" s="364"/>
      <c r="M285" s="371"/>
      <c r="N285" s="364"/>
      <c r="O285" s="371"/>
      <c r="P285" s="364"/>
      <c r="Q285" s="364"/>
    </row>
    <row r="286" spans="1:18">
      <c r="B286" s="646"/>
      <c r="D286" s="364"/>
      <c r="E286" s="417"/>
      <c r="F286" s="418"/>
      <c r="G286" s="364"/>
      <c r="H286" s="364"/>
      <c r="I286" s="364"/>
      <c r="J286" s="364"/>
      <c r="K286" s="364"/>
      <c r="L286" s="364"/>
      <c r="M286" s="371"/>
      <c r="N286" s="364"/>
      <c r="O286" s="371"/>
      <c r="P286" s="364"/>
      <c r="Q286" s="364"/>
      <c r="R286" s="364"/>
    </row>
    <row r="287" spans="1:18">
      <c r="B287" s="646"/>
      <c r="D287" s="364"/>
      <c r="E287" s="417"/>
      <c r="F287" s="418"/>
      <c r="G287" s="364"/>
      <c r="H287" s="364"/>
      <c r="I287" s="364"/>
      <c r="J287" s="364"/>
      <c r="K287" s="364"/>
      <c r="L287" s="364"/>
      <c r="M287" s="371"/>
      <c r="N287" s="364"/>
      <c r="O287" s="371"/>
      <c r="P287" s="364"/>
      <c r="Q287" s="364"/>
      <c r="R287" s="364"/>
    </row>
    <row r="288" spans="1:18" outlineLevel="1">
      <c r="A288" s="362"/>
      <c r="B288" s="646"/>
      <c r="C288" s="363"/>
      <c r="D288" s="628" t="s">
        <v>1132</v>
      </c>
      <c r="E288" s="629"/>
      <c r="F288" s="628" t="s">
        <v>1133</v>
      </c>
      <c r="G288" s="629"/>
      <c r="H288" s="370"/>
      <c r="I288" s="370"/>
      <c r="J288" s="370"/>
      <c r="K288" s="364"/>
      <c r="L288" s="364"/>
      <c r="M288" s="371"/>
      <c r="N288" s="364"/>
      <c r="O288" s="371"/>
      <c r="P288" s="364"/>
      <c r="Q288" s="364"/>
    </row>
    <row r="289" spans="1:18" outlineLevel="1">
      <c r="A289" s="372" t="s">
        <v>1134</v>
      </c>
      <c r="B289" s="373" t="s">
        <v>1135</v>
      </c>
      <c r="C289" s="373" t="s">
        <v>1136</v>
      </c>
      <c r="D289" s="373" t="s">
        <v>1137</v>
      </c>
      <c r="E289" s="373" t="s">
        <v>1138</v>
      </c>
      <c r="F289" s="374" t="s">
        <v>1137</v>
      </c>
      <c r="G289" s="373" t="s">
        <v>1138</v>
      </c>
      <c r="H289" s="373" t="s">
        <v>1268</v>
      </c>
      <c r="I289" s="373" t="s">
        <v>1269</v>
      </c>
      <c r="J289" s="373" t="s">
        <v>1270</v>
      </c>
      <c r="K289" s="375" t="s">
        <v>1139</v>
      </c>
      <c r="L289" s="375" t="s">
        <v>1271</v>
      </c>
      <c r="M289" s="374" t="s">
        <v>1140</v>
      </c>
      <c r="N289" s="373" t="s">
        <v>1141</v>
      </c>
      <c r="O289" s="374" t="s">
        <v>1142</v>
      </c>
      <c r="P289" s="373" t="s">
        <v>1143</v>
      </c>
      <c r="Q289" s="373" t="s">
        <v>1144</v>
      </c>
      <c r="R289" s="373" t="s">
        <v>1145</v>
      </c>
    </row>
    <row r="290" spans="1:18" outlineLevel="1">
      <c r="A290" s="376" t="s">
        <v>1146</v>
      </c>
      <c r="B290" s="630"/>
      <c r="C290" s="631"/>
      <c r="D290" s="631"/>
      <c r="E290" s="631"/>
      <c r="F290" s="631"/>
      <c r="G290" s="632"/>
      <c r="H290" s="377"/>
      <c r="I290" s="377"/>
      <c r="J290" s="377"/>
      <c r="K290" s="378"/>
      <c r="L290" s="378"/>
      <c r="M290" s="379">
        <f>IFERROR(MIN(M291:M309),0)</f>
        <v>0</v>
      </c>
      <c r="N290" s="378">
        <f>N291</f>
        <v>2</v>
      </c>
      <c r="O290" s="379">
        <f>MAX(M290:N290)</f>
        <v>2</v>
      </c>
      <c r="P290" s="378" t="s">
        <v>1147</v>
      </c>
      <c r="Q290" s="380" t="s">
        <v>1148</v>
      </c>
      <c r="R290" s="378"/>
    </row>
    <row r="291" spans="1:18" outlineLevel="1">
      <c r="A291" s="376"/>
      <c r="B291" s="381" t="s">
        <v>1149</v>
      </c>
      <c r="C291" s="382" t="s">
        <v>1150</v>
      </c>
      <c r="D291" s="378">
        <v>99</v>
      </c>
      <c r="E291" s="383"/>
      <c r="F291" s="384">
        <v>90</v>
      </c>
      <c r="G291" s="378"/>
      <c r="H291" s="378"/>
      <c r="I291" s="378"/>
      <c r="J291" s="378"/>
      <c r="K291" s="378">
        <v>1</v>
      </c>
      <c r="L291" s="378"/>
      <c r="M291" s="379">
        <f t="shared" ref="M291:M309" si="65">IFERROR(MIN(MAX(0,IF(K291="N/A",0,IF((D291=E291),5,5-QUOTIENT(D291,E291)))), MAX(0,IF(K291="N/A",0,IF((F291=G291),5,5-QUOTIENT(F291,G291))))),0)</f>
        <v>0</v>
      </c>
      <c r="N291" s="378">
        <f>IF(K291="N/A", 1, 2)</f>
        <v>2</v>
      </c>
      <c r="O291" s="379">
        <f>MAX(M291:N291)</f>
        <v>2</v>
      </c>
      <c r="P291" s="378" t="s">
        <v>1147</v>
      </c>
      <c r="Q291" s="380" t="s">
        <v>1148</v>
      </c>
      <c r="R291" s="378"/>
    </row>
    <row r="292" spans="1:18" outlineLevel="1">
      <c r="A292" s="376"/>
      <c r="B292" s="633" t="s">
        <v>1151</v>
      </c>
      <c r="C292" s="382" t="s">
        <v>1152</v>
      </c>
      <c r="D292" s="378">
        <v>5</v>
      </c>
      <c r="E292" s="383"/>
      <c r="F292" s="384">
        <v>5</v>
      </c>
      <c r="G292" s="378"/>
      <c r="H292" s="378"/>
      <c r="I292" s="378"/>
      <c r="J292" s="378"/>
      <c r="K292" s="378">
        <v>1</v>
      </c>
      <c r="L292" s="378"/>
      <c r="M292" s="379">
        <f t="shared" si="65"/>
        <v>0</v>
      </c>
      <c r="N292" s="378">
        <f t="shared" ref="N292:N309" si="66">IF(K292="N/A", 1, 2)</f>
        <v>2</v>
      </c>
      <c r="O292" s="379">
        <f t="shared" ref="O292:O337" si="67">MAX(M292:N292)</f>
        <v>2</v>
      </c>
      <c r="P292" s="378" t="s">
        <v>1147</v>
      </c>
      <c r="Q292" s="380" t="s">
        <v>1148</v>
      </c>
      <c r="R292" s="378"/>
    </row>
    <row r="293" spans="1:18" outlineLevel="1">
      <c r="A293" s="376"/>
      <c r="B293" s="634"/>
      <c r="C293" s="382" t="s">
        <v>1153</v>
      </c>
      <c r="D293" s="378">
        <v>5</v>
      </c>
      <c r="E293" s="383"/>
      <c r="F293" s="384">
        <v>5</v>
      </c>
      <c r="G293" s="378"/>
      <c r="H293" s="378"/>
      <c r="I293" s="378"/>
      <c r="J293" s="378"/>
      <c r="K293" s="378">
        <v>1</v>
      </c>
      <c r="L293" s="378"/>
      <c r="M293" s="379">
        <f t="shared" si="65"/>
        <v>0</v>
      </c>
      <c r="N293" s="378">
        <f t="shared" si="66"/>
        <v>2</v>
      </c>
      <c r="O293" s="379">
        <f t="shared" si="67"/>
        <v>2</v>
      </c>
      <c r="P293" s="378" t="s">
        <v>1147</v>
      </c>
      <c r="Q293" s="380" t="s">
        <v>1148</v>
      </c>
      <c r="R293" s="378"/>
    </row>
    <row r="294" spans="1:18" outlineLevel="1">
      <c r="A294" s="376"/>
      <c r="B294" s="635"/>
      <c r="C294" s="382" t="s">
        <v>1154</v>
      </c>
      <c r="D294" s="378">
        <v>0.5</v>
      </c>
      <c r="E294" s="383"/>
      <c r="F294" s="384">
        <v>0.5</v>
      </c>
      <c r="G294" s="378"/>
      <c r="H294" s="378"/>
      <c r="I294" s="378"/>
      <c r="J294" s="378"/>
      <c r="K294" s="378">
        <v>1</v>
      </c>
      <c r="L294" s="378"/>
      <c r="M294" s="379">
        <f t="shared" si="65"/>
        <v>0</v>
      </c>
      <c r="N294" s="378">
        <f t="shared" si="66"/>
        <v>2</v>
      </c>
      <c r="O294" s="379">
        <f t="shared" si="67"/>
        <v>2</v>
      </c>
      <c r="P294" s="378" t="s">
        <v>1147</v>
      </c>
      <c r="Q294" s="380" t="s">
        <v>1148</v>
      </c>
      <c r="R294" s="378"/>
    </row>
    <row r="295" spans="1:18" outlineLevel="1">
      <c r="A295" s="376"/>
      <c r="B295" s="633" t="s">
        <v>1155</v>
      </c>
      <c r="C295" s="382" t="s">
        <v>1152</v>
      </c>
      <c r="D295" s="378">
        <v>10</v>
      </c>
      <c r="E295" s="383"/>
      <c r="F295" s="384">
        <v>15</v>
      </c>
      <c r="G295" s="378"/>
      <c r="H295" s="378"/>
      <c r="I295" s="378"/>
      <c r="J295" s="378"/>
      <c r="K295" s="378">
        <v>1</v>
      </c>
      <c r="L295" s="378"/>
      <c r="M295" s="379">
        <f t="shared" si="65"/>
        <v>0</v>
      </c>
      <c r="N295" s="378">
        <f t="shared" si="66"/>
        <v>2</v>
      </c>
      <c r="O295" s="379">
        <f t="shared" si="67"/>
        <v>2</v>
      </c>
      <c r="P295" s="378" t="s">
        <v>1147</v>
      </c>
      <c r="Q295" s="380" t="s">
        <v>1148</v>
      </c>
      <c r="R295" s="378"/>
    </row>
    <row r="296" spans="1:18" outlineLevel="1">
      <c r="A296" s="376"/>
      <c r="B296" s="634"/>
      <c r="C296" s="382" t="s">
        <v>1153</v>
      </c>
      <c r="D296" s="378">
        <v>10</v>
      </c>
      <c r="E296" s="383"/>
      <c r="F296" s="384">
        <v>15</v>
      </c>
      <c r="G296" s="378"/>
      <c r="H296" s="378"/>
      <c r="I296" s="378"/>
      <c r="J296" s="378"/>
      <c r="K296" s="378">
        <v>1</v>
      </c>
      <c r="L296" s="378"/>
      <c r="M296" s="379">
        <f t="shared" si="65"/>
        <v>0</v>
      </c>
      <c r="N296" s="378">
        <f t="shared" si="66"/>
        <v>2</v>
      </c>
      <c r="O296" s="379">
        <f t="shared" si="67"/>
        <v>2</v>
      </c>
      <c r="P296" s="378" t="s">
        <v>1147</v>
      </c>
      <c r="Q296" s="380" t="s">
        <v>1148</v>
      </c>
      <c r="R296" s="378"/>
    </row>
    <row r="297" spans="1:18" outlineLevel="1">
      <c r="A297" s="376"/>
      <c r="B297" s="635"/>
      <c r="C297" s="382" t="s">
        <v>1154</v>
      </c>
      <c r="D297" s="378">
        <v>0.5</v>
      </c>
      <c r="E297" s="383"/>
      <c r="F297" s="384">
        <v>0.5</v>
      </c>
      <c r="G297" s="378"/>
      <c r="H297" s="378"/>
      <c r="I297" s="378"/>
      <c r="J297" s="378"/>
      <c r="K297" s="378">
        <v>1</v>
      </c>
      <c r="L297" s="378"/>
      <c r="M297" s="379">
        <f t="shared" si="65"/>
        <v>0</v>
      </c>
      <c r="N297" s="378">
        <f t="shared" si="66"/>
        <v>2</v>
      </c>
      <c r="O297" s="379">
        <f t="shared" si="67"/>
        <v>2</v>
      </c>
      <c r="P297" s="378" t="s">
        <v>1147</v>
      </c>
      <c r="Q297" s="380" t="s">
        <v>1148</v>
      </c>
      <c r="R297" s="378"/>
    </row>
    <row r="298" spans="1:18" outlineLevel="1">
      <c r="A298" s="376"/>
      <c r="B298" s="633" t="s">
        <v>1156</v>
      </c>
      <c r="C298" s="382" t="s">
        <v>1152</v>
      </c>
      <c r="D298" s="378">
        <v>25</v>
      </c>
      <c r="E298" s="383"/>
      <c r="F298" s="384">
        <v>40</v>
      </c>
      <c r="G298" s="378"/>
      <c r="H298" s="378"/>
      <c r="I298" s="378"/>
      <c r="J298" s="378"/>
      <c r="K298" s="378">
        <v>1</v>
      </c>
      <c r="L298" s="378"/>
      <c r="M298" s="379">
        <f t="shared" si="65"/>
        <v>0</v>
      </c>
      <c r="N298" s="378">
        <f t="shared" si="66"/>
        <v>2</v>
      </c>
      <c r="O298" s="379">
        <f t="shared" si="67"/>
        <v>2</v>
      </c>
      <c r="P298" s="378" t="s">
        <v>1147</v>
      </c>
      <c r="Q298" s="380" t="s">
        <v>1148</v>
      </c>
      <c r="R298" s="378"/>
    </row>
    <row r="299" spans="1:18" outlineLevel="1">
      <c r="A299" s="376"/>
      <c r="B299" s="634"/>
      <c r="C299" s="382" t="s">
        <v>1153</v>
      </c>
      <c r="D299" s="378">
        <v>25</v>
      </c>
      <c r="E299" s="383"/>
      <c r="F299" s="384">
        <v>40</v>
      </c>
      <c r="G299" s="378"/>
      <c r="H299" s="378"/>
      <c r="I299" s="378"/>
      <c r="J299" s="378"/>
      <c r="K299" s="378">
        <v>1</v>
      </c>
      <c r="L299" s="378"/>
      <c r="M299" s="379">
        <f t="shared" si="65"/>
        <v>0</v>
      </c>
      <c r="N299" s="378">
        <f t="shared" si="66"/>
        <v>2</v>
      </c>
      <c r="O299" s="379">
        <f t="shared" si="67"/>
        <v>2</v>
      </c>
      <c r="P299" s="378" t="s">
        <v>1147</v>
      </c>
      <c r="Q299" s="380" t="s">
        <v>1148</v>
      </c>
      <c r="R299" s="378"/>
    </row>
    <row r="300" spans="1:18" outlineLevel="1">
      <c r="A300" s="376"/>
      <c r="B300" s="635"/>
      <c r="C300" s="382" t="s">
        <v>1154</v>
      </c>
      <c r="D300" s="378">
        <v>0.5</v>
      </c>
      <c r="E300" s="383"/>
      <c r="F300" s="384">
        <v>0.5</v>
      </c>
      <c r="G300" s="378"/>
      <c r="H300" s="378"/>
      <c r="I300" s="378"/>
      <c r="J300" s="378"/>
      <c r="K300" s="378">
        <v>1</v>
      </c>
      <c r="L300" s="378"/>
      <c r="M300" s="379">
        <f t="shared" si="65"/>
        <v>0</v>
      </c>
      <c r="N300" s="378">
        <f t="shared" si="66"/>
        <v>2</v>
      </c>
      <c r="O300" s="379">
        <f t="shared" si="67"/>
        <v>2</v>
      </c>
      <c r="P300" s="378" t="s">
        <v>1147</v>
      </c>
      <c r="Q300" s="380" t="s">
        <v>1148</v>
      </c>
      <c r="R300" s="378"/>
    </row>
    <row r="301" spans="1:18" outlineLevel="1">
      <c r="A301" s="376"/>
      <c r="B301" s="633" t="s">
        <v>1157</v>
      </c>
      <c r="C301" s="382" t="s">
        <v>1158</v>
      </c>
      <c r="D301" s="378">
        <v>5</v>
      </c>
      <c r="E301" s="383"/>
      <c r="F301" s="384">
        <v>10</v>
      </c>
      <c r="G301" s="378"/>
      <c r="H301" s="378"/>
      <c r="I301" s="378"/>
      <c r="J301" s="378"/>
      <c r="K301" s="378">
        <v>1</v>
      </c>
      <c r="L301" s="378"/>
      <c r="M301" s="379">
        <f t="shared" si="65"/>
        <v>0</v>
      </c>
      <c r="N301" s="378">
        <f t="shared" si="66"/>
        <v>2</v>
      </c>
      <c r="O301" s="379">
        <f t="shared" si="67"/>
        <v>2</v>
      </c>
      <c r="P301" s="378" t="s">
        <v>1147</v>
      </c>
      <c r="Q301" s="380" t="s">
        <v>1148</v>
      </c>
      <c r="R301" s="378"/>
    </row>
    <row r="302" spans="1:18" outlineLevel="1">
      <c r="A302" s="376"/>
      <c r="B302" s="634"/>
      <c r="C302" s="382" t="s">
        <v>1159</v>
      </c>
      <c r="D302" s="378">
        <v>5</v>
      </c>
      <c r="E302" s="383"/>
      <c r="F302" s="384">
        <v>10</v>
      </c>
      <c r="G302" s="378"/>
      <c r="H302" s="378"/>
      <c r="I302" s="378"/>
      <c r="J302" s="378"/>
      <c r="K302" s="378">
        <v>1</v>
      </c>
      <c r="L302" s="378"/>
      <c r="M302" s="379">
        <f t="shared" si="65"/>
        <v>0</v>
      </c>
      <c r="N302" s="378">
        <f t="shared" si="66"/>
        <v>2</v>
      </c>
      <c r="O302" s="379">
        <f t="shared" si="67"/>
        <v>2</v>
      </c>
      <c r="P302" s="378" t="s">
        <v>1147</v>
      </c>
      <c r="Q302" s="380" t="s">
        <v>1148</v>
      </c>
      <c r="R302" s="378"/>
    </row>
    <row r="303" spans="1:18" outlineLevel="1">
      <c r="A303" s="376"/>
      <c r="B303" s="635"/>
      <c r="C303" s="382" t="s">
        <v>1160</v>
      </c>
      <c r="D303" s="378">
        <v>0.5</v>
      </c>
      <c r="E303" s="383"/>
      <c r="F303" s="384">
        <v>0.5</v>
      </c>
      <c r="G303" s="378"/>
      <c r="H303" s="378"/>
      <c r="I303" s="378"/>
      <c r="J303" s="378"/>
      <c r="K303" s="378">
        <v>1</v>
      </c>
      <c r="L303" s="378"/>
      <c r="M303" s="379">
        <f t="shared" si="65"/>
        <v>0</v>
      </c>
      <c r="N303" s="378">
        <f t="shared" si="66"/>
        <v>2</v>
      </c>
      <c r="O303" s="379">
        <f t="shared" si="67"/>
        <v>2</v>
      </c>
      <c r="P303" s="378" t="s">
        <v>1147</v>
      </c>
      <c r="Q303" s="380" t="s">
        <v>1148</v>
      </c>
      <c r="R303" s="378"/>
    </row>
    <row r="304" spans="1:18" outlineLevel="1">
      <c r="A304" s="376"/>
      <c r="B304" s="633" t="s">
        <v>1161</v>
      </c>
      <c r="C304" s="382" t="s">
        <v>1158</v>
      </c>
      <c r="D304" s="378">
        <v>5</v>
      </c>
      <c r="E304" s="383"/>
      <c r="F304" s="384">
        <v>10</v>
      </c>
      <c r="G304" s="378"/>
      <c r="H304" s="378"/>
      <c r="I304" s="378"/>
      <c r="J304" s="378"/>
      <c r="K304" s="378">
        <v>1</v>
      </c>
      <c r="L304" s="378"/>
      <c r="M304" s="379">
        <f t="shared" si="65"/>
        <v>0</v>
      </c>
      <c r="N304" s="378">
        <f t="shared" si="66"/>
        <v>2</v>
      </c>
      <c r="O304" s="379">
        <f t="shared" si="67"/>
        <v>2</v>
      </c>
      <c r="P304" s="378" t="s">
        <v>1147</v>
      </c>
      <c r="Q304" s="380" t="s">
        <v>1148</v>
      </c>
      <c r="R304" s="378"/>
    </row>
    <row r="305" spans="1:18" outlineLevel="1">
      <c r="A305" s="376"/>
      <c r="B305" s="634"/>
      <c r="C305" s="382" t="s">
        <v>1159</v>
      </c>
      <c r="D305" s="378">
        <v>5</v>
      </c>
      <c r="E305" s="383"/>
      <c r="F305" s="384">
        <v>10</v>
      </c>
      <c r="G305" s="378"/>
      <c r="H305" s="378"/>
      <c r="I305" s="378"/>
      <c r="J305" s="378"/>
      <c r="K305" s="378">
        <v>1</v>
      </c>
      <c r="L305" s="378"/>
      <c r="M305" s="379">
        <f t="shared" si="65"/>
        <v>0</v>
      </c>
      <c r="N305" s="378">
        <f t="shared" si="66"/>
        <v>2</v>
      </c>
      <c r="O305" s="379">
        <f t="shared" si="67"/>
        <v>2</v>
      </c>
      <c r="P305" s="378" t="s">
        <v>1147</v>
      </c>
      <c r="Q305" s="380" t="s">
        <v>1148</v>
      </c>
      <c r="R305" s="378"/>
    </row>
    <row r="306" spans="1:18" outlineLevel="1">
      <c r="A306" s="376"/>
      <c r="B306" s="635"/>
      <c r="C306" s="382" t="s">
        <v>1160</v>
      </c>
      <c r="D306" s="378">
        <v>0.5</v>
      </c>
      <c r="E306" s="383"/>
      <c r="F306" s="384">
        <v>0.5</v>
      </c>
      <c r="G306" s="378"/>
      <c r="H306" s="378"/>
      <c r="I306" s="378"/>
      <c r="J306" s="378"/>
      <c r="K306" s="378">
        <v>1</v>
      </c>
      <c r="L306" s="378"/>
      <c r="M306" s="379">
        <f t="shared" si="65"/>
        <v>0</v>
      </c>
      <c r="N306" s="378">
        <f t="shared" si="66"/>
        <v>2</v>
      </c>
      <c r="O306" s="379">
        <f t="shared" si="67"/>
        <v>2</v>
      </c>
      <c r="P306" s="378" t="s">
        <v>1147</v>
      </c>
      <c r="Q306" s="380" t="s">
        <v>1148</v>
      </c>
      <c r="R306" s="378"/>
    </row>
    <row r="307" spans="1:18" outlineLevel="1">
      <c r="A307" s="376"/>
      <c r="B307" s="633" t="s">
        <v>1162</v>
      </c>
      <c r="C307" s="382" t="s">
        <v>1158</v>
      </c>
      <c r="D307" s="378">
        <v>3</v>
      </c>
      <c r="E307" s="383"/>
      <c r="F307" s="384">
        <v>7</v>
      </c>
      <c r="G307" s="378"/>
      <c r="H307" s="378"/>
      <c r="I307" s="378"/>
      <c r="J307" s="378"/>
      <c r="K307" s="378">
        <v>1</v>
      </c>
      <c r="L307" s="378"/>
      <c r="M307" s="379">
        <f t="shared" si="65"/>
        <v>0</v>
      </c>
      <c r="N307" s="378">
        <f t="shared" si="66"/>
        <v>2</v>
      </c>
      <c r="O307" s="379">
        <f t="shared" si="67"/>
        <v>2</v>
      </c>
      <c r="P307" s="378" t="s">
        <v>1147</v>
      </c>
      <c r="Q307" s="380" t="s">
        <v>1148</v>
      </c>
      <c r="R307" s="378"/>
    </row>
    <row r="308" spans="1:18" outlineLevel="1">
      <c r="A308" s="376"/>
      <c r="B308" s="634"/>
      <c r="C308" s="382" t="s">
        <v>1159</v>
      </c>
      <c r="D308" s="378">
        <v>3</v>
      </c>
      <c r="E308" s="383"/>
      <c r="F308" s="384">
        <v>7</v>
      </c>
      <c r="G308" s="378"/>
      <c r="H308" s="378"/>
      <c r="I308" s="378"/>
      <c r="J308" s="378"/>
      <c r="K308" s="378">
        <v>1</v>
      </c>
      <c r="L308" s="378"/>
      <c r="M308" s="379">
        <f t="shared" si="65"/>
        <v>0</v>
      </c>
      <c r="N308" s="378">
        <f t="shared" si="66"/>
        <v>2</v>
      </c>
      <c r="O308" s="379">
        <f t="shared" si="67"/>
        <v>2</v>
      </c>
      <c r="P308" s="378" t="s">
        <v>1147</v>
      </c>
      <c r="Q308" s="380" t="s">
        <v>1148</v>
      </c>
      <c r="R308" s="378"/>
    </row>
    <row r="309" spans="1:18" outlineLevel="1">
      <c r="A309" s="376"/>
      <c r="B309" s="635"/>
      <c r="C309" s="382" t="s">
        <v>1160</v>
      </c>
      <c r="D309" s="385">
        <v>0.5</v>
      </c>
      <c r="E309" s="386"/>
      <c r="F309" s="385">
        <v>0.5</v>
      </c>
      <c r="G309" s="387"/>
      <c r="H309" s="387"/>
      <c r="I309" s="387"/>
      <c r="J309" s="387"/>
      <c r="K309" s="378">
        <v>1</v>
      </c>
      <c r="L309" s="378"/>
      <c r="M309" s="379">
        <f t="shared" si="65"/>
        <v>0</v>
      </c>
      <c r="N309" s="378">
        <f t="shared" si="66"/>
        <v>2</v>
      </c>
      <c r="O309" s="379">
        <f t="shared" si="67"/>
        <v>2</v>
      </c>
      <c r="P309" s="378" t="s">
        <v>1147</v>
      </c>
      <c r="Q309" s="380" t="s">
        <v>1148</v>
      </c>
      <c r="R309" s="378"/>
    </row>
    <row r="310" spans="1:18" outlineLevel="1">
      <c r="A310" s="388" t="s">
        <v>1163</v>
      </c>
      <c r="B310" s="630"/>
      <c r="C310" s="631"/>
      <c r="D310" s="631"/>
      <c r="E310" s="631"/>
      <c r="F310" s="631"/>
      <c r="G310" s="632"/>
      <c r="H310" s="377"/>
      <c r="I310" s="377"/>
      <c r="J310" s="377"/>
      <c r="K310" s="378"/>
      <c r="L310" s="378"/>
      <c r="M310" s="379">
        <f>IFERROR(MIN(M311:M313),0)</f>
        <v>0</v>
      </c>
      <c r="N310" s="378">
        <f>N311</f>
        <v>2</v>
      </c>
      <c r="O310" s="379">
        <f t="shared" si="67"/>
        <v>2</v>
      </c>
      <c r="P310" s="378" t="s">
        <v>1147</v>
      </c>
      <c r="Q310" s="380" t="s">
        <v>1148</v>
      </c>
      <c r="R310" s="378"/>
    </row>
    <row r="311" spans="1:18" outlineLevel="1">
      <c r="A311" s="388"/>
      <c r="B311" s="642" t="s">
        <v>1164</v>
      </c>
      <c r="C311" s="382" t="s">
        <v>1149</v>
      </c>
      <c r="D311" s="387">
        <v>0.98</v>
      </c>
      <c r="E311" s="389"/>
      <c r="F311" s="387">
        <v>0.9</v>
      </c>
      <c r="G311" s="387"/>
      <c r="H311" s="387"/>
      <c r="I311" s="387"/>
      <c r="J311" s="387"/>
      <c r="K311" s="378">
        <v>1</v>
      </c>
      <c r="L311" s="378"/>
      <c r="M311" s="379">
        <f>IFERROR(MIN(MAX(0,IF(K311="N/A",0,IF((D311=E311),5,5-QUOTIENT(D311,E311)))), MAX(0,IF(K311="N/A",0,IF((F311=G311),5,5-QUOTIENT(F311,G311))))),0)</f>
        <v>0</v>
      </c>
      <c r="N311" s="378">
        <f>IF(K311="N/A", 1, 2)</f>
        <v>2</v>
      </c>
      <c r="O311" s="379">
        <f t="shared" si="67"/>
        <v>2</v>
      </c>
      <c r="P311" s="378" t="s">
        <v>1147</v>
      </c>
      <c r="Q311" s="380" t="s">
        <v>1148</v>
      </c>
      <c r="R311" s="378"/>
    </row>
    <row r="312" spans="1:18" outlineLevel="1">
      <c r="A312" s="388"/>
      <c r="B312" s="642"/>
      <c r="C312" s="382" t="s">
        <v>1165</v>
      </c>
      <c r="D312" s="378">
        <v>2</v>
      </c>
      <c r="E312" s="390"/>
      <c r="F312" s="378">
        <v>4</v>
      </c>
      <c r="G312" s="387"/>
      <c r="H312" s="387"/>
      <c r="I312" s="387"/>
      <c r="J312" s="387"/>
      <c r="K312" s="378">
        <v>1</v>
      </c>
      <c r="L312" s="378"/>
      <c r="M312" s="379">
        <f>IFERROR(MIN(MAX(0,IF(K312="N/A",0,IF((D312=E312),5,5-QUOTIENT(D312,E312)))), MAX(0,IF(K312="N/A",0,IF((F312=G312),5,5-QUOTIENT(F312,G312))))),0)</f>
        <v>0</v>
      </c>
      <c r="N312" s="378">
        <f t="shared" ref="N312:N313" si="68">IF(K312="N/A", 1, 2)</f>
        <v>2</v>
      </c>
      <c r="O312" s="379">
        <f t="shared" si="67"/>
        <v>2</v>
      </c>
      <c r="P312" s="378" t="s">
        <v>1147</v>
      </c>
      <c r="Q312" s="380" t="s">
        <v>1148</v>
      </c>
      <c r="R312" s="378"/>
    </row>
    <row r="313" spans="1:18" outlineLevel="1">
      <c r="A313" s="388"/>
      <c r="B313" s="642"/>
      <c r="C313" s="382" t="s">
        <v>1153</v>
      </c>
      <c r="D313" s="378">
        <v>2</v>
      </c>
      <c r="E313" s="390"/>
      <c r="F313" s="378">
        <v>4</v>
      </c>
      <c r="G313" s="391"/>
      <c r="H313" s="391"/>
      <c r="I313" s="391"/>
      <c r="J313" s="391"/>
      <c r="K313" s="378">
        <v>1</v>
      </c>
      <c r="L313" s="378"/>
      <c r="M313" s="379">
        <f>IFERROR(MIN(MAX(0,IF(K313="N/A",0,IF((D313=E313),5,5-QUOTIENT(D313,E313)))), MAX(0,IF(K313="N/A",0,IF((F313=G313),5,5-QUOTIENT(F313,G313))))),0)</f>
        <v>0</v>
      </c>
      <c r="N313" s="378">
        <f t="shared" si="68"/>
        <v>2</v>
      </c>
      <c r="O313" s="379">
        <f t="shared" si="67"/>
        <v>2</v>
      </c>
      <c r="P313" s="378" t="s">
        <v>1147</v>
      </c>
      <c r="Q313" s="380" t="s">
        <v>1148</v>
      </c>
      <c r="R313" s="378"/>
    </row>
    <row r="314" spans="1:18" outlineLevel="1">
      <c r="A314" s="392" t="s">
        <v>1166</v>
      </c>
      <c r="B314" s="393"/>
      <c r="C314" s="382"/>
      <c r="D314" s="378"/>
      <c r="E314" s="390"/>
      <c r="F314" s="378"/>
      <c r="G314" s="391"/>
      <c r="H314" s="391"/>
      <c r="I314" s="391"/>
      <c r="J314" s="391"/>
      <c r="K314" s="378"/>
      <c r="L314" s="378"/>
      <c r="M314" s="379">
        <f>IFERROR(MIN(M315:M318),0)</f>
        <v>0</v>
      </c>
      <c r="N314" s="378">
        <f>N315</f>
        <v>2</v>
      </c>
      <c r="O314" s="379">
        <f t="shared" si="67"/>
        <v>2</v>
      </c>
      <c r="P314" s="378" t="s">
        <v>1147</v>
      </c>
      <c r="Q314" s="380" t="s">
        <v>1148</v>
      </c>
      <c r="R314" s="378"/>
    </row>
    <row r="315" spans="1:18" outlineLevel="1">
      <c r="A315" s="394"/>
      <c r="B315" s="643" t="s">
        <v>1167</v>
      </c>
      <c r="C315" s="382" t="s">
        <v>1168</v>
      </c>
      <c r="D315" s="387">
        <v>0.45</v>
      </c>
      <c r="E315" s="389"/>
      <c r="F315" s="387">
        <v>0.45</v>
      </c>
      <c r="G315" s="387"/>
      <c r="H315" s="387"/>
      <c r="I315" s="387"/>
      <c r="J315" s="387"/>
      <c r="K315" s="378">
        <v>1</v>
      </c>
      <c r="L315" s="378"/>
      <c r="M315" s="379">
        <f>IFERROR(MIN(MAX(0,IF(K315="N/A",0,IF((D315=E315),5,5-QUOTIENT(D315,E315)))), MAX(0,IF(K315="N/A",0,IF((F315=G315),5,5-QUOTIENT(F315,G315))))),0)</f>
        <v>0</v>
      </c>
      <c r="N315" s="378">
        <f>IF(K315="N/A", 1, 2)</f>
        <v>2</v>
      </c>
      <c r="O315" s="379">
        <f t="shared" si="67"/>
        <v>2</v>
      </c>
      <c r="P315" s="378" t="s">
        <v>1147</v>
      </c>
      <c r="Q315" s="380" t="s">
        <v>1148</v>
      </c>
      <c r="R315" s="378"/>
    </row>
    <row r="316" spans="1:18" outlineLevel="1">
      <c r="A316" s="394"/>
      <c r="B316" s="637"/>
      <c r="C316" s="382" t="s">
        <v>1169</v>
      </c>
      <c r="D316" s="387">
        <v>0.05</v>
      </c>
      <c r="E316" s="389"/>
      <c r="F316" s="387">
        <v>0.05</v>
      </c>
      <c r="G316" s="387"/>
      <c r="H316" s="387"/>
      <c r="I316" s="387"/>
      <c r="J316" s="387"/>
      <c r="K316" s="378">
        <v>1</v>
      </c>
      <c r="L316" s="378"/>
      <c r="M316" s="379">
        <f>IFERROR(MIN(MAX(0,IF(K316="N/A",0,IF((D316=E316),5,5-QUOTIENT(D316,E316)))), MAX(0,IF(K316="N/A",0,IF((F316=G316),5,5-QUOTIENT(F316,G316))))),0)</f>
        <v>0</v>
      </c>
      <c r="N316" s="378">
        <f t="shared" ref="N316:N318" si="69">IF(K316="N/A", 1, 2)</f>
        <v>2</v>
      </c>
      <c r="O316" s="379">
        <f t="shared" si="67"/>
        <v>2</v>
      </c>
      <c r="P316" s="378" t="s">
        <v>1147</v>
      </c>
      <c r="Q316" s="380" t="s">
        <v>1148</v>
      </c>
      <c r="R316" s="378"/>
    </row>
    <row r="317" spans="1:18" outlineLevel="1">
      <c r="A317" s="394"/>
      <c r="B317" s="637"/>
      <c r="C317" s="382" t="s">
        <v>1170</v>
      </c>
      <c r="D317" s="391">
        <v>1</v>
      </c>
      <c r="E317" s="389"/>
      <c r="F317" s="391">
        <v>1</v>
      </c>
      <c r="G317" s="387"/>
      <c r="H317" s="387"/>
      <c r="I317" s="387"/>
      <c r="J317" s="387"/>
      <c r="K317" s="378">
        <v>1</v>
      </c>
      <c r="L317" s="378"/>
      <c r="M317" s="379">
        <f>IFERROR(MIN(MAX(0,IF(K317="N/A",0,IF((D317=E317),5,5-QUOTIENT(D317,E317)))), MAX(0,IF(K317="N/A",0,IF((F317=G317),5,5-QUOTIENT(F317,G317))))),0)</f>
        <v>0</v>
      </c>
      <c r="N317" s="378">
        <f t="shared" si="69"/>
        <v>2</v>
      </c>
      <c r="O317" s="379">
        <f t="shared" si="67"/>
        <v>2</v>
      </c>
      <c r="P317" s="378" t="s">
        <v>1147</v>
      </c>
      <c r="Q317" s="380" t="s">
        <v>1148</v>
      </c>
      <c r="R317" s="378"/>
    </row>
    <row r="318" spans="1:18" outlineLevel="1">
      <c r="A318" s="394"/>
      <c r="B318" s="638"/>
      <c r="C318" s="382" t="s">
        <v>1171</v>
      </c>
      <c r="D318" s="391">
        <v>10</v>
      </c>
      <c r="E318" s="389"/>
      <c r="F318" s="391">
        <v>10</v>
      </c>
      <c r="G318" s="387"/>
      <c r="H318" s="387"/>
      <c r="I318" s="387"/>
      <c r="J318" s="387"/>
      <c r="K318" s="378">
        <v>1</v>
      </c>
      <c r="L318" s="378"/>
      <c r="M318" s="379">
        <f>IFERROR(MIN(MAX(0,IF(K318="N/A",0,IF((D318=E318),5,5-QUOTIENT(D318,E318)))), MAX(0,IF(K318="N/A",0,IF((F318=G318),5,5-QUOTIENT(F318,G318))))),0)</f>
        <v>0</v>
      </c>
      <c r="N318" s="378">
        <f t="shared" si="69"/>
        <v>2</v>
      </c>
      <c r="O318" s="379">
        <f t="shared" si="67"/>
        <v>2</v>
      </c>
      <c r="P318" s="378" t="s">
        <v>1147</v>
      </c>
      <c r="Q318" s="380" t="s">
        <v>1148</v>
      </c>
      <c r="R318" s="378"/>
    </row>
    <row r="319" spans="1:18" outlineLevel="1">
      <c r="A319" s="394" t="s">
        <v>1172</v>
      </c>
      <c r="B319" s="395"/>
      <c r="C319" s="382"/>
      <c r="D319" s="391"/>
      <c r="E319" s="389"/>
      <c r="F319" s="391"/>
      <c r="G319" s="387"/>
      <c r="H319" s="387"/>
      <c r="I319" s="387"/>
      <c r="J319" s="387"/>
      <c r="K319" s="378"/>
      <c r="L319" s="378"/>
      <c r="M319" s="379">
        <f>IFERROR(MIN(M320:M322),0)</f>
        <v>0</v>
      </c>
      <c r="N319" s="378">
        <f>N320</f>
        <v>2</v>
      </c>
      <c r="O319" s="379">
        <f t="shared" si="67"/>
        <v>2</v>
      </c>
      <c r="P319" s="378" t="s">
        <v>1147</v>
      </c>
      <c r="Q319" s="380" t="s">
        <v>1148</v>
      </c>
      <c r="R319" s="378"/>
    </row>
    <row r="320" spans="1:18" outlineLevel="1">
      <c r="A320" s="394"/>
      <c r="B320" s="636" t="s">
        <v>568</v>
      </c>
      <c r="C320" s="382" t="s">
        <v>1168</v>
      </c>
      <c r="D320" s="387">
        <v>0.8</v>
      </c>
      <c r="E320" s="389"/>
      <c r="F320" s="387">
        <v>0.8</v>
      </c>
      <c r="G320" s="387"/>
      <c r="H320" s="387"/>
      <c r="I320" s="387"/>
      <c r="J320" s="387"/>
      <c r="K320" s="378">
        <v>1</v>
      </c>
      <c r="L320" s="378"/>
      <c r="M320" s="379">
        <f>IFERROR(MIN(MAX(0,IF(K320="N/A",0,IF((D320=E320),5,5-QUOTIENT(D320,E320)))), MAX(0,IF(K320="N/A",0,IF((F320=G320),5,5-QUOTIENT(F320,G320))))),0)</f>
        <v>0</v>
      </c>
      <c r="N320" s="378">
        <f>IF(K320="N/A", 1, 2)</f>
        <v>2</v>
      </c>
      <c r="O320" s="379">
        <f t="shared" si="67"/>
        <v>2</v>
      </c>
      <c r="P320" s="378" t="s">
        <v>1147</v>
      </c>
      <c r="Q320" s="380" t="s">
        <v>1148</v>
      </c>
      <c r="R320" s="378"/>
    </row>
    <row r="321" spans="1:18" outlineLevel="1">
      <c r="A321" s="394"/>
      <c r="B321" s="637"/>
      <c r="C321" s="382" t="s">
        <v>1170</v>
      </c>
      <c r="D321" s="390">
        <v>0.05</v>
      </c>
      <c r="E321" s="389"/>
      <c r="F321" s="390">
        <v>0.05</v>
      </c>
      <c r="G321" s="387"/>
      <c r="H321" s="387"/>
      <c r="I321" s="387"/>
      <c r="J321" s="387"/>
      <c r="K321" s="378">
        <v>1</v>
      </c>
      <c r="L321" s="378"/>
      <c r="M321" s="379">
        <f>IFERROR(MIN(MAX(0,IF(K321="N/A",0,IF((D321=E321),5,5-QUOTIENT(D321,E321)))), MAX(0,IF(K321="N/A",0,IF((F321=G321),5,5-QUOTIENT(F321,G321))))),0)</f>
        <v>0</v>
      </c>
      <c r="N321" s="378">
        <f t="shared" ref="N321:N322" si="70">IF(K321="N/A", 1, 2)</f>
        <v>2</v>
      </c>
      <c r="O321" s="379">
        <f t="shared" si="67"/>
        <v>2</v>
      </c>
      <c r="P321" s="378" t="s">
        <v>1147</v>
      </c>
      <c r="Q321" s="380" t="s">
        <v>1148</v>
      </c>
      <c r="R321" s="378"/>
    </row>
    <row r="322" spans="1:18" outlineLevel="1">
      <c r="A322" s="394"/>
      <c r="B322" s="638"/>
      <c r="C322" s="382" t="s">
        <v>1173</v>
      </c>
      <c r="D322" s="391">
        <v>10</v>
      </c>
      <c r="E322" s="389"/>
      <c r="F322" s="391">
        <v>10</v>
      </c>
      <c r="G322" s="387"/>
      <c r="H322" s="387"/>
      <c r="I322" s="387"/>
      <c r="J322" s="387"/>
      <c r="K322" s="378">
        <v>1</v>
      </c>
      <c r="L322" s="378"/>
      <c r="M322" s="379">
        <f>IFERROR(MIN(MAX(0,IF(K322="N/A",0,IF((D322=E322),5,5-QUOTIENT(D322,E322)))), MAX(0,IF(K322="N/A",0,IF((F322=G322),5,5-QUOTIENT(F322,G322))))),0)</f>
        <v>0</v>
      </c>
      <c r="N322" s="378">
        <f t="shared" si="70"/>
        <v>2</v>
      </c>
      <c r="O322" s="379">
        <f t="shared" si="67"/>
        <v>2</v>
      </c>
      <c r="P322" s="378" t="s">
        <v>1147</v>
      </c>
      <c r="Q322" s="380" t="s">
        <v>1148</v>
      </c>
      <c r="R322" s="378"/>
    </row>
    <row r="323" spans="1:18" outlineLevel="1">
      <c r="A323" s="394" t="s">
        <v>1174</v>
      </c>
      <c r="B323" s="395"/>
      <c r="C323" s="382"/>
      <c r="D323" s="391"/>
      <c r="E323" s="389"/>
      <c r="F323" s="391"/>
      <c r="G323" s="387"/>
      <c r="H323" s="387"/>
      <c r="I323" s="387"/>
      <c r="J323" s="387"/>
      <c r="K323" s="378"/>
      <c r="L323" s="378"/>
      <c r="M323" s="379">
        <f>IFERROR(MIN(M324:M326),0)</f>
        <v>0</v>
      </c>
      <c r="N323" s="378">
        <f>N324</f>
        <v>2</v>
      </c>
      <c r="O323" s="379">
        <f t="shared" si="67"/>
        <v>2</v>
      </c>
      <c r="P323" s="378" t="s">
        <v>1147</v>
      </c>
      <c r="Q323" s="380" t="s">
        <v>1148</v>
      </c>
      <c r="R323" s="378"/>
    </row>
    <row r="324" spans="1:18" outlineLevel="1">
      <c r="A324" s="394"/>
      <c r="B324" s="636" t="s">
        <v>571</v>
      </c>
      <c r="C324" s="382" t="s">
        <v>1168</v>
      </c>
      <c r="D324" s="387">
        <v>0.95</v>
      </c>
      <c r="E324" s="389"/>
      <c r="F324" s="387">
        <v>0.95</v>
      </c>
      <c r="G324" s="387"/>
      <c r="H324" s="387"/>
      <c r="I324" s="387"/>
      <c r="J324" s="387"/>
      <c r="K324" s="378">
        <v>1</v>
      </c>
      <c r="L324" s="378"/>
      <c r="M324" s="379">
        <f>IFERROR(MIN(MAX(0,IF(K324="N/A",0,IF((D324=E324),5,5-QUOTIENT(D324,E324)))), MAX(0,IF(K324="N/A",0,IF((F324=G324),5,5-QUOTIENT(F324,G324))))),0)</f>
        <v>0</v>
      </c>
      <c r="N324" s="378">
        <f t="shared" ref="N324:N326" si="71">IF(K324="N/A", 0, 2)</f>
        <v>2</v>
      </c>
      <c r="O324" s="379">
        <f t="shared" si="67"/>
        <v>2</v>
      </c>
      <c r="P324" s="378" t="s">
        <v>1147</v>
      </c>
      <c r="Q324" s="380" t="s">
        <v>1148</v>
      </c>
      <c r="R324" s="378"/>
    </row>
    <row r="325" spans="1:18" outlineLevel="1">
      <c r="A325" s="394"/>
      <c r="B325" s="637"/>
      <c r="C325" s="382" t="s">
        <v>1170</v>
      </c>
      <c r="D325" s="390">
        <v>0.01</v>
      </c>
      <c r="E325" s="389"/>
      <c r="F325" s="390">
        <v>0.01</v>
      </c>
      <c r="G325" s="387"/>
      <c r="H325" s="387"/>
      <c r="I325" s="387"/>
      <c r="J325" s="387"/>
      <c r="K325" s="378">
        <v>1</v>
      </c>
      <c r="L325" s="378"/>
      <c r="M325" s="379">
        <f>IFERROR(MIN(MAX(0,IF(K325="N/A",0,IF((D325=E325),5,5-QUOTIENT(D325,E325)))), MAX(0,IF(K325="N/A",0,IF((F325=G325),5,5-QUOTIENT(F325,G325))))),0)</f>
        <v>0</v>
      </c>
      <c r="N325" s="378">
        <f t="shared" si="71"/>
        <v>2</v>
      </c>
      <c r="O325" s="379">
        <f t="shared" si="67"/>
        <v>2</v>
      </c>
      <c r="P325" s="378" t="s">
        <v>1147</v>
      </c>
      <c r="Q325" s="380" t="s">
        <v>1148</v>
      </c>
      <c r="R325" s="378"/>
    </row>
    <row r="326" spans="1:18" outlineLevel="1">
      <c r="A326" s="394"/>
      <c r="B326" s="638"/>
      <c r="C326" s="382" t="s">
        <v>1173</v>
      </c>
      <c r="D326" s="391">
        <v>6</v>
      </c>
      <c r="E326" s="389"/>
      <c r="F326" s="391">
        <v>6</v>
      </c>
      <c r="G326" s="387"/>
      <c r="H326" s="387"/>
      <c r="I326" s="387"/>
      <c r="J326" s="387"/>
      <c r="K326" s="378">
        <v>1</v>
      </c>
      <c r="L326" s="378"/>
      <c r="M326" s="379">
        <f>IFERROR(MIN(MAX(0,IF(K326="N/A",0,IF((D326=E326),5,5-QUOTIENT(D326,E326)))), MAX(0,IF(K326="N/A",0,IF((F326=G326),5,5-QUOTIENT(F326,G326))))),0)</f>
        <v>0</v>
      </c>
      <c r="N326" s="378">
        <f t="shared" si="71"/>
        <v>2</v>
      </c>
      <c r="O326" s="379">
        <f t="shared" si="67"/>
        <v>2</v>
      </c>
      <c r="P326" s="378" t="s">
        <v>1147</v>
      </c>
      <c r="Q326" s="380" t="s">
        <v>1148</v>
      </c>
      <c r="R326" s="378"/>
    </row>
    <row r="327" spans="1:18" outlineLevel="1">
      <c r="A327" s="394" t="s">
        <v>1175</v>
      </c>
      <c r="B327" s="396"/>
      <c r="C327" s="382"/>
      <c r="D327" s="391"/>
      <c r="E327" s="389"/>
      <c r="F327" s="391"/>
      <c r="G327" s="387"/>
      <c r="H327" s="387"/>
      <c r="I327" s="387"/>
      <c r="J327" s="387"/>
      <c r="K327" s="378"/>
      <c r="L327" s="378"/>
      <c r="M327" s="379">
        <f>IFERROR(MIN(M328:M337),0)</f>
        <v>0</v>
      </c>
      <c r="N327" s="378">
        <f>N328</f>
        <v>2</v>
      </c>
      <c r="O327" s="379">
        <f t="shared" si="67"/>
        <v>2</v>
      </c>
      <c r="P327" s="378" t="s">
        <v>1147</v>
      </c>
      <c r="Q327" s="380" t="s">
        <v>1148</v>
      </c>
      <c r="R327" s="378"/>
    </row>
    <row r="328" spans="1:18" outlineLevel="1">
      <c r="A328" s="394"/>
      <c r="B328" s="397" t="s">
        <v>1149</v>
      </c>
      <c r="C328" s="382" t="s">
        <v>1150</v>
      </c>
      <c r="D328" s="387">
        <v>0.99</v>
      </c>
      <c r="E328" s="389"/>
      <c r="F328" s="398">
        <v>0.99</v>
      </c>
      <c r="G328" s="387"/>
      <c r="H328" s="387"/>
      <c r="I328" s="387"/>
      <c r="J328" s="387"/>
      <c r="K328" s="378">
        <v>1</v>
      </c>
      <c r="L328" s="378"/>
      <c r="M328" s="379">
        <f t="shared" ref="M328:M337" si="72">IFERROR(MIN(MAX(0,IF(K328="N/A",0,IF((D328=E328),5,5-QUOTIENT(D328,E328)))), MAX(0,IF(K328="N/A",0,IF((F328=G328),5,5-QUOTIENT(F328,G328))))),0)</f>
        <v>0</v>
      </c>
      <c r="N328" s="378">
        <f>IF(K328="N/A", 1, 2)</f>
        <v>2</v>
      </c>
      <c r="O328" s="379">
        <f t="shared" si="67"/>
        <v>2</v>
      </c>
      <c r="P328" s="378" t="s">
        <v>1147</v>
      </c>
      <c r="Q328" s="380" t="s">
        <v>1148</v>
      </c>
      <c r="R328" s="378"/>
    </row>
    <row r="329" spans="1:18" outlineLevel="1">
      <c r="A329" s="394"/>
      <c r="B329" s="636" t="s">
        <v>1176</v>
      </c>
      <c r="C329" s="382" t="s">
        <v>1177</v>
      </c>
      <c r="D329" s="387">
        <v>0.98</v>
      </c>
      <c r="E329" s="389"/>
      <c r="F329" s="398">
        <v>0.95</v>
      </c>
      <c r="G329" s="387"/>
      <c r="H329" s="387"/>
      <c r="I329" s="387"/>
      <c r="J329" s="387"/>
      <c r="K329" s="378">
        <v>1</v>
      </c>
      <c r="L329" s="378"/>
      <c r="M329" s="379">
        <f t="shared" si="72"/>
        <v>0</v>
      </c>
      <c r="N329" s="378">
        <f t="shared" ref="N329:N337" si="73">IF(K329="N/A", 1, 2)</f>
        <v>2</v>
      </c>
      <c r="O329" s="379">
        <f t="shared" si="67"/>
        <v>2</v>
      </c>
      <c r="P329" s="378" t="s">
        <v>1147</v>
      </c>
      <c r="Q329" s="380" t="s">
        <v>1148</v>
      </c>
      <c r="R329" s="378"/>
    </row>
    <row r="330" spans="1:18" outlineLevel="1">
      <c r="A330" s="394"/>
      <c r="B330" s="638"/>
      <c r="C330" s="382" t="s">
        <v>1178</v>
      </c>
      <c r="D330" s="387">
        <v>0.95</v>
      </c>
      <c r="E330" s="399"/>
      <c r="F330" s="398">
        <v>0.9</v>
      </c>
      <c r="G330" s="387"/>
      <c r="H330" s="387"/>
      <c r="I330" s="387"/>
      <c r="J330" s="387"/>
      <c r="K330" s="378">
        <v>1</v>
      </c>
      <c r="L330" s="378"/>
      <c r="M330" s="379">
        <f t="shared" si="72"/>
        <v>0</v>
      </c>
      <c r="N330" s="378">
        <f t="shared" si="73"/>
        <v>2</v>
      </c>
      <c r="O330" s="379">
        <f t="shared" si="67"/>
        <v>2</v>
      </c>
      <c r="P330" s="378" t="s">
        <v>1147</v>
      </c>
      <c r="Q330" s="380" t="s">
        <v>1148</v>
      </c>
      <c r="R330" s="378"/>
    </row>
    <row r="331" spans="1:18" outlineLevel="1">
      <c r="A331" s="394"/>
      <c r="B331" s="636" t="s">
        <v>1179</v>
      </c>
      <c r="C331" s="382" t="s">
        <v>1177</v>
      </c>
      <c r="D331" s="387">
        <v>0.95</v>
      </c>
      <c r="E331" s="399"/>
      <c r="F331" s="387">
        <v>0.95</v>
      </c>
      <c r="G331" s="387"/>
      <c r="H331" s="387"/>
      <c r="I331" s="387"/>
      <c r="J331" s="387"/>
      <c r="K331" s="378">
        <v>1</v>
      </c>
      <c r="L331" s="378"/>
      <c r="M331" s="379">
        <f t="shared" si="72"/>
        <v>0</v>
      </c>
      <c r="N331" s="378">
        <f t="shared" si="73"/>
        <v>2</v>
      </c>
      <c r="O331" s="379">
        <f t="shared" si="67"/>
        <v>2</v>
      </c>
      <c r="P331" s="378" t="s">
        <v>1147</v>
      </c>
      <c r="Q331" s="380" t="s">
        <v>1148</v>
      </c>
      <c r="R331" s="378"/>
    </row>
    <row r="332" spans="1:18" outlineLevel="1">
      <c r="A332" s="394"/>
      <c r="B332" s="637"/>
      <c r="C332" s="382" t="s">
        <v>1180</v>
      </c>
      <c r="D332" s="387">
        <v>0.85</v>
      </c>
      <c r="E332" s="399"/>
      <c r="F332" s="387">
        <v>0.85</v>
      </c>
      <c r="G332" s="387"/>
      <c r="H332" s="387"/>
      <c r="I332" s="387"/>
      <c r="J332" s="387"/>
      <c r="K332" s="378">
        <v>1</v>
      </c>
      <c r="L332" s="378"/>
      <c r="M332" s="379">
        <f t="shared" si="72"/>
        <v>0</v>
      </c>
      <c r="N332" s="378">
        <f t="shared" si="73"/>
        <v>2</v>
      </c>
      <c r="O332" s="379">
        <f t="shared" si="67"/>
        <v>2</v>
      </c>
      <c r="P332" s="378" t="s">
        <v>1147</v>
      </c>
      <c r="Q332" s="380" t="s">
        <v>1148</v>
      </c>
      <c r="R332" s="378"/>
    </row>
    <row r="333" spans="1:18" outlineLevel="1">
      <c r="A333" s="394"/>
      <c r="B333" s="637"/>
      <c r="C333" s="382" t="s">
        <v>1181</v>
      </c>
      <c r="D333" s="387">
        <v>0.9</v>
      </c>
      <c r="E333" s="399"/>
      <c r="F333" s="387">
        <v>0.9</v>
      </c>
      <c r="G333" s="387"/>
      <c r="H333" s="387"/>
      <c r="I333" s="387"/>
      <c r="J333" s="387"/>
      <c r="K333" s="378">
        <v>1</v>
      </c>
      <c r="L333" s="378"/>
      <c r="M333" s="379">
        <f t="shared" si="72"/>
        <v>0</v>
      </c>
      <c r="N333" s="378">
        <f t="shared" si="73"/>
        <v>2</v>
      </c>
      <c r="O333" s="379">
        <f t="shared" si="67"/>
        <v>2</v>
      </c>
      <c r="P333" s="378" t="s">
        <v>1147</v>
      </c>
      <c r="Q333" s="380" t="s">
        <v>1148</v>
      </c>
      <c r="R333" s="378"/>
    </row>
    <row r="334" spans="1:18" outlineLevel="1">
      <c r="A334" s="394"/>
      <c r="B334" s="637"/>
      <c r="C334" s="382" t="s">
        <v>1182</v>
      </c>
      <c r="D334" s="387">
        <v>0.9</v>
      </c>
      <c r="E334" s="399"/>
      <c r="F334" s="387">
        <v>0.9</v>
      </c>
      <c r="G334" s="387"/>
      <c r="H334" s="387"/>
      <c r="I334" s="387"/>
      <c r="J334" s="387"/>
      <c r="K334" s="378">
        <v>1</v>
      </c>
      <c r="L334" s="378"/>
      <c r="M334" s="379">
        <f t="shared" si="72"/>
        <v>0</v>
      </c>
      <c r="N334" s="378">
        <f t="shared" si="73"/>
        <v>2</v>
      </c>
      <c r="O334" s="379">
        <f t="shared" si="67"/>
        <v>2</v>
      </c>
      <c r="P334" s="378" t="s">
        <v>1147</v>
      </c>
      <c r="Q334" s="380" t="s">
        <v>1148</v>
      </c>
      <c r="R334" s="378"/>
    </row>
    <row r="335" spans="1:18" outlineLevel="1">
      <c r="A335" s="394"/>
      <c r="B335" s="637"/>
      <c r="C335" s="382" t="s">
        <v>1183</v>
      </c>
      <c r="D335" s="387">
        <v>0.9</v>
      </c>
      <c r="E335" s="399"/>
      <c r="F335" s="387">
        <v>0.9</v>
      </c>
      <c r="G335" s="387"/>
      <c r="H335" s="387"/>
      <c r="I335" s="387"/>
      <c r="J335" s="387"/>
      <c r="K335" s="378">
        <v>1</v>
      </c>
      <c r="L335" s="378"/>
      <c r="M335" s="379">
        <f t="shared" si="72"/>
        <v>0</v>
      </c>
      <c r="N335" s="378">
        <f t="shared" si="73"/>
        <v>2</v>
      </c>
      <c r="O335" s="379">
        <f t="shared" si="67"/>
        <v>2</v>
      </c>
      <c r="P335" s="378" t="s">
        <v>1147</v>
      </c>
      <c r="Q335" s="380" t="s">
        <v>1148</v>
      </c>
      <c r="R335" s="378"/>
    </row>
    <row r="336" spans="1:18" outlineLevel="1">
      <c r="A336" s="394"/>
      <c r="B336" s="637"/>
      <c r="C336" s="382" t="s">
        <v>1178</v>
      </c>
      <c r="D336" s="387">
        <v>0.9</v>
      </c>
      <c r="E336" s="399"/>
      <c r="F336" s="387">
        <v>0.9</v>
      </c>
      <c r="G336" s="387"/>
      <c r="H336" s="387"/>
      <c r="I336" s="387"/>
      <c r="J336" s="387"/>
      <c r="K336" s="378">
        <v>1</v>
      </c>
      <c r="L336" s="378"/>
      <c r="M336" s="379">
        <f t="shared" si="72"/>
        <v>0</v>
      </c>
      <c r="N336" s="378">
        <f t="shared" si="73"/>
        <v>2</v>
      </c>
      <c r="O336" s="379">
        <f t="shared" si="67"/>
        <v>2</v>
      </c>
      <c r="P336" s="378" t="s">
        <v>1147</v>
      </c>
      <c r="Q336" s="380" t="s">
        <v>1148</v>
      </c>
      <c r="R336" s="378"/>
    </row>
    <row r="337" spans="1:18" outlineLevel="1">
      <c r="A337" s="394"/>
      <c r="B337" s="638"/>
      <c r="C337" s="382" t="s">
        <v>1184</v>
      </c>
      <c r="D337" s="387">
        <v>0.85</v>
      </c>
      <c r="E337" s="399"/>
      <c r="F337" s="387">
        <v>0.85</v>
      </c>
      <c r="G337" s="387"/>
      <c r="H337" s="387"/>
      <c r="I337" s="387"/>
      <c r="J337" s="387"/>
      <c r="K337" s="378">
        <v>1</v>
      </c>
      <c r="L337" s="378"/>
      <c r="M337" s="379">
        <f t="shared" si="72"/>
        <v>0</v>
      </c>
      <c r="N337" s="378">
        <f t="shared" si="73"/>
        <v>2</v>
      </c>
      <c r="O337" s="379">
        <f t="shared" si="67"/>
        <v>2</v>
      </c>
      <c r="P337" s="378" t="s">
        <v>1147</v>
      </c>
      <c r="Q337" s="380" t="s">
        <v>1148</v>
      </c>
      <c r="R337" s="378"/>
    </row>
    <row r="338" spans="1:18" outlineLevel="1">
      <c r="A338" s="394" t="s">
        <v>1185</v>
      </c>
      <c r="B338" s="395"/>
      <c r="C338" s="382"/>
      <c r="D338" s="387"/>
      <c r="E338" s="399"/>
      <c r="F338" s="387"/>
      <c r="G338" s="387"/>
      <c r="H338" s="387"/>
      <c r="I338" s="387"/>
      <c r="J338" s="387"/>
      <c r="K338" s="378"/>
      <c r="L338" s="378"/>
      <c r="M338" s="379">
        <f>IFERROR(MIN(M339:M342),0)</f>
        <v>0</v>
      </c>
      <c r="N338" s="378">
        <f>N339</f>
        <v>2</v>
      </c>
      <c r="O338" s="379">
        <f>MAX(M338:N338)</f>
        <v>2</v>
      </c>
      <c r="P338" s="378" t="s">
        <v>1147</v>
      </c>
      <c r="Q338" s="380" t="s">
        <v>1148</v>
      </c>
      <c r="R338" s="378"/>
    </row>
    <row r="339" spans="1:18" outlineLevel="1">
      <c r="A339" s="394"/>
      <c r="B339" s="636" t="s">
        <v>1186</v>
      </c>
      <c r="C339" s="382" t="s">
        <v>1187</v>
      </c>
      <c r="D339" s="387">
        <v>0.95</v>
      </c>
      <c r="E339" s="389"/>
      <c r="F339" s="398">
        <v>0.45</v>
      </c>
      <c r="G339" s="387"/>
      <c r="H339" s="387"/>
      <c r="I339" s="387"/>
      <c r="J339" s="387"/>
      <c r="K339" s="378">
        <v>1</v>
      </c>
      <c r="L339" s="378"/>
      <c r="M339" s="379">
        <f>IFERROR(MIN(MAX(0,IF(K339="N/A",0,IF((D339=E339),5,5-QUOTIENT(D339,E339)))), MAX(0,IF(K339="N/A",0,IF((F339=G339),5,5-QUOTIENT(F339,G339))))),0)</f>
        <v>0</v>
      </c>
      <c r="N339" s="378">
        <f>IF(K339="N/A", 1, 2)</f>
        <v>2</v>
      </c>
      <c r="O339" s="379">
        <f t="shared" ref="O339:O365" si="74">MAX(M339:N339)</f>
        <v>2</v>
      </c>
      <c r="P339" s="378" t="s">
        <v>1147</v>
      </c>
      <c r="Q339" s="380" t="s">
        <v>1148</v>
      </c>
      <c r="R339" s="378"/>
    </row>
    <row r="340" spans="1:18" outlineLevel="1">
      <c r="A340" s="394"/>
      <c r="B340" s="637"/>
      <c r="C340" s="382" t="s">
        <v>1188</v>
      </c>
      <c r="D340" s="387">
        <v>0.9</v>
      </c>
      <c r="E340" s="389"/>
      <c r="F340" s="398">
        <v>0.4</v>
      </c>
      <c r="G340" s="387"/>
      <c r="H340" s="387"/>
      <c r="I340" s="387"/>
      <c r="J340" s="387"/>
      <c r="K340" s="378">
        <v>1</v>
      </c>
      <c r="L340" s="378"/>
      <c r="M340" s="379">
        <f>IFERROR(MIN(MAX(0,IF(K340="N/A",0,IF((D340=E340),5,5-QUOTIENT(D340,E340)))), MAX(0,IF(K340="N/A",0,IF((F340=G340),5,5-QUOTIENT(F340,G340))))),0)</f>
        <v>0</v>
      </c>
      <c r="N340" s="378">
        <f t="shared" ref="N340:N342" si="75">IF(K340="N/A", 1, 2)</f>
        <v>2</v>
      </c>
      <c r="O340" s="379">
        <f t="shared" si="74"/>
        <v>2</v>
      </c>
      <c r="P340" s="378" t="s">
        <v>1147</v>
      </c>
      <c r="Q340" s="380" t="s">
        <v>1148</v>
      </c>
      <c r="R340" s="378"/>
    </row>
    <row r="341" spans="1:18" outlineLevel="1">
      <c r="A341" s="394"/>
      <c r="B341" s="637"/>
      <c r="C341" s="382" t="s">
        <v>1170</v>
      </c>
      <c r="D341" s="390">
        <v>0.05</v>
      </c>
      <c r="E341" s="389"/>
      <c r="F341" s="390">
        <v>0.05</v>
      </c>
      <c r="G341" s="387"/>
      <c r="H341" s="387"/>
      <c r="I341" s="387"/>
      <c r="J341" s="387"/>
      <c r="K341" s="378">
        <v>1</v>
      </c>
      <c r="L341" s="378"/>
      <c r="M341" s="379">
        <f>IFERROR(MIN(MAX(0,IF(K341="N/A",0,IF((D341=E341),5,5-QUOTIENT(D341,E341)))), MAX(0,IF(K341="N/A",0,IF((F341=G341),5,5-QUOTIENT(F341,G341))))),0)</f>
        <v>0</v>
      </c>
      <c r="N341" s="378">
        <f t="shared" si="75"/>
        <v>2</v>
      </c>
      <c r="O341" s="379">
        <f t="shared" si="74"/>
        <v>2</v>
      </c>
      <c r="P341" s="378" t="s">
        <v>1147</v>
      </c>
      <c r="Q341" s="380" t="s">
        <v>1148</v>
      </c>
      <c r="R341" s="378"/>
    </row>
    <row r="342" spans="1:18" outlineLevel="1">
      <c r="A342" s="394"/>
      <c r="B342" s="638"/>
      <c r="C342" s="382" t="s">
        <v>1189</v>
      </c>
      <c r="D342" s="391">
        <v>100</v>
      </c>
      <c r="E342" s="389"/>
      <c r="F342" s="391">
        <v>100</v>
      </c>
      <c r="G342" s="387"/>
      <c r="H342" s="387"/>
      <c r="I342" s="387"/>
      <c r="J342" s="387"/>
      <c r="K342" s="378">
        <v>1</v>
      </c>
      <c r="L342" s="378"/>
      <c r="M342" s="379">
        <f>IFERROR(MIN(MAX(0,IF(K342="N/A",0,IF((D342=E342),5,5-QUOTIENT(D342,E342)))), MAX(0,IF(K342="N/A",0,IF((F342=G342),5,5-QUOTIENT(F342,G342))))),0)</f>
        <v>0</v>
      </c>
      <c r="N342" s="378">
        <f t="shared" si="75"/>
        <v>2</v>
      </c>
      <c r="O342" s="379">
        <f t="shared" si="74"/>
        <v>2</v>
      </c>
      <c r="P342" s="378" t="s">
        <v>1147</v>
      </c>
      <c r="Q342" s="380" t="s">
        <v>1148</v>
      </c>
      <c r="R342" s="378"/>
    </row>
    <row r="343" spans="1:18" outlineLevel="1">
      <c r="A343" s="394" t="s">
        <v>1190</v>
      </c>
      <c r="B343" s="396"/>
      <c r="C343" s="382"/>
      <c r="D343" s="391"/>
      <c r="E343" s="389"/>
      <c r="F343" s="391"/>
      <c r="G343" s="387"/>
      <c r="H343" s="387"/>
      <c r="I343" s="387"/>
      <c r="J343" s="387"/>
      <c r="K343" s="378"/>
      <c r="L343" s="378"/>
      <c r="M343" s="379">
        <f>IFERROR(MIN(M344:M347),0)</f>
        <v>0</v>
      </c>
      <c r="N343" s="378">
        <f>N344</f>
        <v>2</v>
      </c>
      <c r="O343" s="379">
        <f t="shared" si="74"/>
        <v>2</v>
      </c>
      <c r="P343" s="378" t="s">
        <v>1147</v>
      </c>
      <c r="Q343" s="380" t="s">
        <v>1148</v>
      </c>
      <c r="R343" s="378"/>
    </row>
    <row r="344" spans="1:18" outlineLevel="1">
      <c r="A344" s="394"/>
      <c r="B344" s="397" t="s">
        <v>752</v>
      </c>
      <c r="C344" s="382" t="s">
        <v>1191</v>
      </c>
      <c r="D344" s="387">
        <v>0.85</v>
      </c>
      <c r="E344" s="389"/>
      <c r="F344" s="398">
        <v>0.85</v>
      </c>
      <c r="G344" s="387"/>
      <c r="H344" s="387"/>
      <c r="I344" s="387"/>
      <c r="J344" s="387"/>
      <c r="K344" s="378">
        <v>1</v>
      </c>
      <c r="L344" s="378"/>
      <c r="M344" s="379">
        <f>IFERROR(MIN(MAX(0,IF(K344="N/A",0,IF((D344=E344),5,5-QUOTIENT(D344,E344)))), MAX(0,IF(K344="N/A",0,IF((F344=G344),5,5-QUOTIENT(F344,G344))))),0)</f>
        <v>0</v>
      </c>
      <c r="N344" s="378">
        <f>IF(K344="N/A", 1, 2)</f>
        <v>2</v>
      </c>
      <c r="O344" s="379">
        <f t="shared" si="74"/>
        <v>2</v>
      </c>
      <c r="P344" s="378" t="s">
        <v>1147</v>
      </c>
      <c r="Q344" s="380" t="s">
        <v>1148</v>
      </c>
      <c r="R344" s="378"/>
    </row>
    <row r="345" spans="1:18" outlineLevel="1">
      <c r="A345" s="394"/>
      <c r="B345" s="397" t="s">
        <v>752</v>
      </c>
      <c r="C345" s="400" t="s">
        <v>1170</v>
      </c>
      <c r="D345" s="401">
        <v>1</v>
      </c>
      <c r="E345" s="389"/>
      <c r="F345" s="401">
        <v>1</v>
      </c>
      <c r="G345" s="387"/>
      <c r="H345" s="387"/>
      <c r="I345" s="387"/>
      <c r="J345" s="387"/>
      <c r="K345" s="378">
        <v>1</v>
      </c>
      <c r="L345" s="378"/>
      <c r="M345" s="379">
        <f>IFERROR(MIN(MAX(0,IF(K345="N/A",0,IF((D345=E345),5,5-QUOTIENT(D345,E345)))), MAX(0,IF(K345="N/A",0,IF((F345=G345),5,5-QUOTIENT(F345,G345))))),0)</f>
        <v>0</v>
      </c>
      <c r="N345" s="378">
        <f t="shared" ref="N345:N347" si="76">IF(K345="N/A", 1, 2)</f>
        <v>2</v>
      </c>
      <c r="O345" s="379">
        <f t="shared" si="74"/>
        <v>2</v>
      </c>
      <c r="P345" s="378" t="s">
        <v>1147</v>
      </c>
      <c r="Q345" s="380" t="s">
        <v>1148</v>
      </c>
      <c r="R345" s="378"/>
    </row>
    <row r="346" spans="1:18" outlineLevel="1">
      <c r="A346" s="394"/>
      <c r="B346" s="402" t="s">
        <v>1192</v>
      </c>
      <c r="C346" s="400" t="s">
        <v>1193</v>
      </c>
      <c r="D346" s="403">
        <v>0.999</v>
      </c>
      <c r="E346" s="389"/>
      <c r="F346" s="403">
        <v>0.999</v>
      </c>
      <c r="G346" s="387"/>
      <c r="H346" s="387"/>
      <c r="I346" s="387"/>
      <c r="J346" s="387"/>
      <c r="K346" s="378">
        <v>1</v>
      </c>
      <c r="L346" s="378"/>
      <c r="M346" s="379">
        <f>IFERROR(MIN(MAX(0,IF(K346="N/A",0,IF((D346=E346),5,5-QUOTIENT(D346,E346)))), MAX(0,IF(K346="N/A",0,IF((F346=G346),5,5-QUOTIENT(F346,G346))))),0)</f>
        <v>0</v>
      </c>
      <c r="N346" s="378">
        <f t="shared" si="76"/>
        <v>2</v>
      </c>
      <c r="O346" s="379">
        <f t="shared" si="74"/>
        <v>2</v>
      </c>
      <c r="P346" s="378" t="s">
        <v>1147</v>
      </c>
      <c r="Q346" s="380" t="s">
        <v>1148</v>
      </c>
      <c r="R346" s="378"/>
    </row>
    <row r="347" spans="1:18" outlineLevel="1">
      <c r="A347" s="394"/>
      <c r="B347" s="402" t="s">
        <v>1192</v>
      </c>
      <c r="C347" s="400" t="s">
        <v>1194</v>
      </c>
      <c r="D347" s="403">
        <v>0.999</v>
      </c>
      <c r="E347" s="389"/>
      <c r="F347" s="403">
        <v>0.999</v>
      </c>
      <c r="G347" s="387"/>
      <c r="H347" s="387"/>
      <c r="I347" s="387"/>
      <c r="J347" s="387"/>
      <c r="K347" s="378">
        <v>1</v>
      </c>
      <c r="L347" s="378"/>
      <c r="M347" s="379">
        <f>IFERROR(MIN(MAX(0,IF(K347="N/A",0,IF((D347=E347),5,5-QUOTIENT(D347,E347)))), MAX(0,IF(K347="N/A",0,IF((F347=G347),5,5-QUOTIENT(F347,G347))))),0)</f>
        <v>0</v>
      </c>
      <c r="N347" s="378">
        <f t="shared" si="76"/>
        <v>2</v>
      </c>
      <c r="O347" s="379">
        <f t="shared" si="74"/>
        <v>2</v>
      </c>
      <c r="P347" s="378" t="s">
        <v>1147</v>
      </c>
      <c r="Q347" s="380" t="s">
        <v>1148</v>
      </c>
      <c r="R347" s="378"/>
    </row>
    <row r="348" spans="1:18" outlineLevel="1">
      <c r="A348" s="404" t="s">
        <v>1195</v>
      </c>
      <c r="B348" s="405"/>
      <c r="C348" s="400"/>
      <c r="D348" s="403"/>
      <c r="E348" s="389"/>
      <c r="F348" s="403"/>
      <c r="G348" s="387"/>
      <c r="H348" s="387"/>
      <c r="I348" s="387"/>
      <c r="J348" s="387"/>
      <c r="K348" s="378"/>
      <c r="L348" s="378"/>
      <c r="M348" s="379">
        <f>IFERROR(MIN(M349:M360),0)</f>
        <v>0</v>
      </c>
      <c r="N348" s="378">
        <f>N351</f>
        <v>2</v>
      </c>
      <c r="O348" s="379">
        <f t="shared" si="74"/>
        <v>2</v>
      </c>
      <c r="P348" s="378" t="s">
        <v>1147</v>
      </c>
      <c r="Q348" s="380" t="s">
        <v>1148</v>
      </c>
      <c r="R348" s="378"/>
    </row>
    <row r="349" spans="1:18" outlineLevel="1">
      <c r="A349" s="406"/>
      <c r="B349" s="639" t="s">
        <v>1196</v>
      </c>
      <c r="C349" s="382" t="s">
        <v>1197</v>
      </c>
      <c r="D349" s="387">
        <v>0.99</v>
      </c>
      <c r="E349" s="389"/>
      <c r="F349" s="398">
        <v>0.95</v>
      </c>
      <c r="G349" s="387"/>
      <c r="H349" s="387"/>
      <c r="I349" s="387"/>
      <c r="J349" s="387"/>
      <c r="K349" s="378">
        <v>1</v>
      </c>
      <c r="L349" s="378"/>
      <c r="M349" s="379">
        <f t="shared" ref="M349:M360" si="77">IFERROR(MIN(MAX(0,IF(K349="N/A",0,IF((D349=E349),5,5-QUOTIENT(D349,E349)))), MAX(0,IF(K349="N/A",0,IF((F349=G349),5,5-QUOTIENT(F349,G349))))),0)</f>
        <v>0</v>
      </c>
      <c r="N349" s="378">
        <f>IF(K349="N/A", 1, 2)</f>
        <v>2</v>
      </c>
      <c r="O349" s="379">
        <f t="shared" si="74"/>
        <v>2</v>
      </c>
      <c r="P349" s="378" t="s">
        <v>1147</v>
      </c>
      <c r="Q349" s="380" t="s">
        <v>1148</v>
      </c>
      <c r="R349" s="378"/>
    </row>
    <row r="350" spans="1:18" outlineLevel="1">
      <c r="A350" s="406"/>
      <c r="B350" s="640"/>
      <c r="C350" s="382" t="s">
        <v>1198</v>
      </c>
      <c r="D350" s="387">
        <v>0.85</v>
      </c>
      <c r="E350" s="389"/>
      <c r="F350" s="398">
        <v>0.8</v>
      </c>
      <c r="G350" s="387"/>
      <c r="H350" s="387"/>
      <c r="I350" s="387"/>
      <c r="J350" s="387"/>
      <c r="K350" s="378">
        <v>1</v>
      </c>
      <c r="L350" s="378"/>
      <c r="M350" s="379">
        <f t="shared" si="77"/>
        <v>0</v>
      </c>
      <c r="N350" s="378">
        <f t="shared" ref="N350:N351" si="78">IF(K350="N/A", 1, 2)</f>
        <v>2</v>
      </c>
      <c r="O350" s="379">
        <f t="shared" si="74"/>
        <v>2</v>
      </c>
      <c r="P350" s="378" t="s">
        <v>1147</v>
      </c>
      <c r="Q350" s="380" t="s">
        <v>1148</v>
      </c>
      <c r="R350" s="378"/>
    </row>
    <row r="351" spans="1:18" ht="15" customHeight="1" outlineLevel="1">
      <c r="A351" s="406"/>
      <c r="B351" s="641"/>
      <c r="C351" s="382" t="s">
        <v>1193</v>
      </c>
      <c r="D351" s="387">
        <v>0.99</v>
      </c>
      <c r="E351" s="389"/>
      <c r="F351" s="398">
        <v>0.95</v>
      </c>
      <c r="G351" s="387"/>
      <c r="H351" s="387"/>
      <c r="I351" s="387"/>
      <c r="J351" s="387"/>
      <c r="K351" s="378">
        <v>1</v>
      </c>
      <c r="L351" s="378"/>
      <c r="M351" s="379">
        <f t="shared" si="77"/>
        <v>0</v>
      </c>
      <c r="N351" s="378">
        <f t="shared" si="78"/>
        <v>2</v>
      </c>
      <c r="O351" s="379">
        <f t="shared" si="74"/>
        <v>2</v>
      </c>
      <c r="P351" s="378" t="s">
        <v>1147</v>
      </c>
      <c r="Q351" s="380" t="s">
        <v>1148</v>
      </c>
      <c r="R351" s="378"/>
    </row>
    <row r="352" spans="1:18" outlineLevel="1">
      <c r="A352" s="406"/>
      <c r="B352" s="639" t="s">
        <v>1199</v>
      </c>
      <c r="C352" s="382" t="s">
        <v>1197</v>
      </c>
      <c r="D352" s="387">
        <v>0.99</v>
      </c>
      <c r="E352" s="389"/>
      <c r="F352" s="398">
        <v>0.95</v>
      </c>
      <c r="G352" s="387"/>
      <c r="H352" s="387"/>
      <c r="I352" s="387"/>
      <c r="J352" s="387"/>
      <c r="K352" s="378" t="s">
        <v>549</v>
      </c>
      <c r="L352" s="378"/>
      <c r="M352" s="379">
        <f t="shared" si="77"/>
        <v>0</v>
      </c>
      <c r="N352" s="378">
        <f>IF(K352="N/A", 1, 2)</f>
        <v>1</v>
      </c>
      <c r="O352" s="379">
        <f t="shared" si="74"/>
        <v>1</v>
      </c>
      <c r="P352" s="378" t="s">
        <v>1147</v>
      </c>
      <c r="Q352" s="380" t="s">
        <v>1148</v>
      </c>
      <c r="R352" s="378"/>
    </row>
    <row r="353" spans="1:18" outlineLevel="1">
      <c r="A353" s="406"/>
      <c r="B353" s="640"/>
      <c r="C353" s="382" t="s">
        <v>1198</v>
      </c>
      <c r="D353" s="387">
        <v>0.85</v>
      </c>
      <c r="E353" s="389"/>
      <c r="F353" s="398">
        <v>0.8</v>
      </c>
      <c r="G353" s="387"/>
      <c r="H353" s="387"/>
      <c r="I353" s="387"/>
      <c r="J353" s="387"/>
      <c r="K353" s="378" t="s">
        <v>549</v>
      </c>
      <c r="L353" s="378"/>
      <c r="M353" s="379">
        <f t="shared" si="77"/>
        <v>0</v>
      </c>
      <c r="N353" s="378">
        <f t="shared" ref="N353:N360" si="79">IF(K353="N/A", 1, 2)</f>
        <v>1</v>
      </c>
      <c r="O353" s="379">
        <f t="shared" si="74"/>
        <v>1</v>
      </c>
      <c r="P353" s="378" t="s">
        <v>1147</v>
      </c>
      <c r="Q353" s="380" t="s">
        <v>1148</v>
      </c>
      <c r="R353" s="378"/>
    </row>
    <row r="354" spans="1:18" outlineLevel="1">
      <c r="A354" s="406"/>
      <c r="B354" s="641"/>
      <c r="C354" s="382" t="s">
        <v>1193</v>
      </c>
      <c r="D354" s="387">
        <v>0.99</v>
      </c>
      <c r="E354" s="389"/>
      <c r="F354" s="398">
        <v>0.95</v>
      </c>
      <c r="G354" s="387"/>
      <c r="H354" s="387"/>
      <c r="I354" s="387"/>
      <c r="J354" s="387"/>
      <c r="K354" s="378" t="s">
        <v>549</v>
      </c>
      <c r="L354" s="378"/>
      <c r="M354" s="379">
        <f t="shared" si="77"/>
        <v>0</v>
      </c>
      <c r="N354" s="378">
        <f t="shared" si="79"/>
        <v>1</v>
      </c>
      <c r="O354" s="379">
        <f t="shared" si="74"/>
        <v>1</v>
      </c>
      <c r="P354" s="378" t="s">
        <v>1147</v>
      </c>
      <c r="Q354" s="380" t="s">
        <v>1148</v>
      </c>
      <c r="R354" s="378"/>
    </row>
    <row r="355" spans="1:18" outlineLevel="1">
      <c r="A355" s="406"/>
      <c r="B355" s="639" t="s">
        <v>1200</v>
      </c>
      <c r="C355" s="382" t="s">
        <v>1197</v>
      </c>
      <c r="D355" s="387">
        <v>0.99</v>
      </c>
      <c r="E355" s="389"/>
      <c r="F355" s="398">
        <v>0.95</v>
      </c>
      <c r="G355" s="387"/>
      <c r="H355" s="387"/>
      <c r="I355" s="387"/>
      <c r="J355" s="387"/>
      <c r="K355" s="378" t="s">
        <v>549</v>
      </c>
      <c r="L355" s="378"/>
      <c r="M355" s="379">
        <f t="shared" si="77"/>
        <v>0</v>
      </c>
      <c r="N355" s="378">
        <f t="shared" si="79"/>
        <v>1</v>
      </c>
      <c r="O355" s="379">
        <f t="shared" si="74"/>
        <v>1</v>
      </c>
      <c r="P355" s="378" t="s">
        <v>1147</v>
      </c>
      <c r="Q355" s="380" t="s">
        <v>1148</v>
      </c>
      <c r="R355" s="378"/>
    </row>
    <row r="356" spans="1:18" outlineLevel="1">
      <c r="A356" s="406"/>
      <c r="B356" s="640"/>
      <c r="C356" s="382" t="s">
        <v>1198</v>
      </c>
      <c r="D356" s="387">
        <v>0.85</v>
      </c>
      <c r="E356" s="389"/>
      <c r="F356" s="398">
        <v>0.8</v>
      </c>
      <c r="G356" s="387"/>
      <c r="H356" s="387"/>
      <c r="I356" s="387"/>
      <c r="J356" s="387"/>
      <c r="K356" s="378" t="s">
        <v>549</v>
      </c>
      <c r="L356" s="378"/>
      <c r="M356" s="379">
        <f t="shared" si="77"/>
        <v>0</v>
      </c>
      <c r="N356" s="378">
        <f t="shared" si="79"/>
        <v>1</v>
      </c>
      <c r="O356" s="379">
        <f t="shared" si="74"/>
        <v>1</v>
      </c>
      <c r="P356" s="378" t="s">
        <v>1147</v>
      </c>
      <c r="Q356" s="380" t="s">
        <v>1148</v>
      </c>
      <c r="R356" s="378"/>
    </row>
    <row r="357" spans="1:18" outlineLevel="1">
      <c r="A357" s="406"/>
      <c r="B357" s="641"/>
      <c r="C357" s="382" t="s">
        <v>1193</v>
      </c>
      <c r="D357" s="387">
        <v>0.99</v>
      </c>
      <c r="E357" s="389"/>
      <c r="F357" s="398">
        <v>0.95</v>
      </c>
      <c r="G357" s="387"/>
      <c r="H357" s="387"/>
      <c r="I357" s="387"/>
      <c r="J357" s="387"/>
      <c r="K357" s="378" t="s">
        <v>549</v>
      </c>
      <c r="L357" s="378"/>
      <c r="M357" s="379">
        <f t="shared" si="77"/>
        <v>0</v>
      </c>
      <c r="N357" s="378">
        <f t="shared" si="79"/>
        <v>1</v>
      </c>
      <c r="O357" s="379">
        <f t="shared" si="74"/>
        <v>1</v>
      </c>
      <c r="P357" s="378" t="s">
        <v>1147</v>
      </c>
      <c r="Q357" s="380" t="s">
        <v>1148</v>
      </c>
      <c r="R357" s="378"/>
    </row>
    <row r="358" spans="1:18" outlineLevel="1">
      <c r="A358" s="406"/>
      <c r="B358" s="639" t="s">
        <v>1201</v>
      </c>
      <c r="C358" s="382" t="s">
        <v>1197</v>
      </c>
      <c r="D358" s="387">
        <v>0.99</v>
      </c>
      <c r="E358" s="389"/>
      <c r="F358" s="398">
        <v>0.95</v>
      </c>
      <c r="G358" s="387"/>
      <c r="H358" s="387"/>
      <c r="I358" s="387"/>
      <c r="J358" s="387"/>
      <c r="K358" s="378" t="s">
        <v>549</v>
      </c>
      <c r="L358" s="378"/>
      <c r="M358" s="379">
        <f t="shared" si="77"/>
        <v>0</v>
      </c>
      <c r="N358" s="378">
        <f t="shared" si="79"/>
        <v>1</v>
      </c>
      <c r="O358" s="379">
        <f t="shared" si="74"/>
        <v>1</v>
      </c>
      <c r="P358" s="378" t="s">
        <v>1147</v>
      </c>
      <c r="Q358" s="380" t="s">
        <v>1148</v>
      </c>
      <c r="R358" s="378"/>
    </row>
    <row r="359" spans="1:18" outlineLevel="1">
      <c r="A359" s="406"/>
      <c r="B359" s="640"/>
      <c r="C359" s="382" t="s">
        <v>1198</v>
      </c>
      <c r="D359" s="387">
        <v>0.85</v>
      </c>
      <c r="E359" s="389"/>
      <c r="F359" s="398">
        <v>0.8</v>
      </c>
      <c r="G359" s="387"/>
      <c r="H359" s="387"/>
      <c r="I359" s="387"/>
      <c r="J359" s="387"/>
      <c r="K359" s="378" t="s">
        <v>549</v>
      </c>
      <c r="L359" s="378"/>
      <c r="M359" s="379">
        <f t="shared" si="77"/>
        <v>0</v>
      </c>
      <c r="N359" s="378">
        <f t="shared" si="79"/>
        <v>1</v>
      </c>
      <c r="O359" s="379">
        <f t="shared" si="74"/>
        <v>1</v>
      </c>
      <c r="P359" s="378" t="s">
        <v>1147</v>
      </c>
      <c r="Q359" s="380" t="s">
        <v>1148</v>
      </c>
      <c r="R359" s="378"/>
    </row>
    <row r="360" spans="1:18" outlineLevel="1">
      <c r="A360" s="406"/>
      <c r="B360" s="641"/>
      <c r="C360" s="382" t="s">
        <v>1193</v>
      </c>
      <c r="D360" s="387">
        <v>0.99</v>
      </c>
      <c r="E360" s="389"/>
      <c r="F360" s="398">
        <v>0.95</v>
      </c>
      <c r="G360" s="387"/>
      <c r="H360" s="387"/>
      <c r="I360" s="387"/>
      <c r="J360" s="387"/>
      <c r="K360" s="378" t="s">
        <v>549</v>
      </c>
      <c r="L360" s="378"/>
      <c r="M360" s="379">
        <f t="shared" si="77"/>
        <v>0</v>
      </c>
      <c r="N360" s="378">
        <f t="shared" si="79"/>
        <v>1</v>
      </c>
      <c r="O360" s="379">
        <f t="shared" si="74"/>
        <v>1</v>
      </c>
      <c r="P360" s="378" t="s">
        <v>1147</v>
      </c>
      <c r="Q360" s="380" t="s">
        <v>1148</v>
      </c>
      <c r="R360" s="378"/>
    </row>
    <row r="361" spans="1:18" outlineLevel="1">
      <c r="A361" s="404" t="s">
        <v>1202</v>
      </c>
      <c r="B361" s="407"/>
      <c r="C361" s="382"/>
      <c r="D361" s="387"/>
      <c r="E361" s="389"/>
      <c r="F361" s="398"/>
      <c r="G361" s="387"/>
      <c r="H361" s="387"/>
      <c r="I361" s="387"/>
      <c r="J361" s="387"/>
      <c r="K361" s="378"/>
      <c r="L361" s="378"/>
      <c r="M361" s="379">
        <f>M362</f>
        <v>0</v>
      </c>
      <c r="N361" s="378">
        <f>N362</f>
        <v>1</v>
      </c>
      <c r="O361" s="379">
        <f t="shared" si="74"/>
        <v>1</v>
      </c>
      <c r="P361" s="378" t="s">
        <v>1147</v>
      </c>
      <c r="Q361" s="380" t="s">
        <v>1148</v>
      </c>
      <c r="R361" s="378"/>
    </row>
    <row r="362" spans="1:18" outlineLevel="1">
      <c r="A362" s="406"/>
      <c r="B362" s="388" t="s">
        <v>1192</v>
      </c>
      <c r="C362" s="382" t="s">
        <v>1203</v>
      </c>
      <c r="D362" s="387">
        <v>0.95</v>
      </c>
      <c r="E362" s="389"/>
      <c r="F362" s="398">
        <v>0.9</v>
      </c>
      <c r="G362" s="387"/>
      <c r="H362" s="387"/>
      <c r="I362" s="387"/>
      <c r="J362" s="387"/>
      <c r="K362" s="378" t="s">
        <v>549</v>
      </c>
      <c r="L362" s="378"/>
      <c r="M362" s="379">
        <f>IFERROR(MIN(MAX(0,IF(K362="N/A",0,IF((D362=E362),5,5-QUOTIENT(D362,E362)))), MAX(0,IF(K362="N/A",0,IF((F362=G362),5,5-QUOTIENT(F362,G362))))),0)</f>
        <v>0</v>
      </c>
      <c r="N362" s="378">
        <f>IF(K362="N/A", 1, 2)</f>
        <v>1</v>
      </c>
      <c r="O362" s="379">
        <f t="shared" si="74"/>
        <v>1</v>
      </c>
      <c r="P362" s="378" t="s">
        <v>1147</v>
      </c>
      <c r="Q362" s="380" t="s">
        <v>1148</v>
      </c>
      <c r="R362" s="378"/>
    </row>
    <row r="363" spans="1:18" outlineLevel="1">
      <c r="A363" s="404" t="s">
        <v>1204</v>
      </c>
      <c r="B363" s="408"/>
      <c r="C363" s="382"/>
      <c r="D363" s="387"/>
      <c r="E363" s="389"/>
      <c r="F363" s="398"/>
      <c r="G363" s="387"/>
      <c r="H363" s="387"/>
      <c r="I363" s="387"/>
      <c r="J363" s="387"/>
      <c r="K363" s="378"/>
      <c r="L363" s="378"/>
      <c r="M363" s="379">
        <f>IFERROR(MIN(M364:M365),0)</f>
        <v>0</v>
      </c>
      <c r="N363" s="378">
        <f>N364</f>
        <v>1</v>
      </c>
      <c r="O363" s="379">
        <f t="shared" si="74"/>
        <v>1</v>
      </c>
      <c r="P363" s="378" t="s">
        <v>1147</v>
      </c>
      <c r="Q363" s="380" t="s">
        <v>1148</v>
      </c>
      <c r="R363" s="378"/>
    </row>
    <row r="364" spans="1:18" outlineLevel="1">
      <c r="A364" s="404"/>
      <c r="B364" s="644" t="s">
        <v>1205</v>
      </c>
      <c r="C364" s="382" t="s">
        <v>1206</v>
      </c>
      <c r="D364" s="387">
        <v>0.9</v>
      </c>
      <c r="E364" s="389"/>
      <c r="F364" s="398" t="s">
        <v>549</v>
      </c>
      <c r="G364" s="387"/>
      <c r="H364" s="387"/>
      <c r="I364" s="387"/>
      <c r="J364" s="387"/>
      <c r="K364" s="378" t="s">
        <v>549</v>
      </c>
      <c r="L364" s="378"/>
      <c r="M364" s="379">
        <f>IFERROR(MIN(MAX(0,IF(K364="N/A",0,IF((D364=E364),5,5-QUOTIENT(D364,E364)))), MAX(0,IF(K364="N/A",0,IF((F364=G364),5,5-QUOTIENT(F364,G364))))),0)</f>
        <v>0</v>
      </c>
      <c r="N364" s="378">
        <f>IF(K364="N/A", 1, 2)</f>
        <v>1</v>
      </c>
      <c r="O364" s="379">
        <f t="shared" si="74"/>
        <v>1</v>
      </c>
      <c r="P364" s="378" t="s">
        <v>1147</v>
      </c>
      <c r="Q364" s="380" t="s">
        <v>1148</v>
      </c>
      <c r="R364" s="378"/>
    </row>
    <row r="365" spans="1:18" outlineLevel="1">
      <c r="A365" s="404"/>
      <c r="B365" s="645"/>
      <c r="C365" s="382" t="s">
        <v>1207</v>
      </c>
      <c r="D365" s="387">
        <v>0.9</v>
      </c>
      <c r="E365" s="389"/>
      <c r="F365" s="398" t="s">
        <v>549</v>
      </c>
      <c r="G365" s="387"/>
      <c r="H365" s="387"/>
      <c r="I365" s="387"/>
      <c r="J365" s="387"/>
      <c r="K365" s="378" t="s">
        <v>549</v>
      </c>
      <c r="L365" s="378"/>
      <c r="M365" s="379">
        <f>IFERROR(MIN(MAX(0,IF(K365="N/A",0,IF((D365=E365),5,5-QUOTIENT(D365,E365)))), MAX(0,IF(K365="N/A",0,IF((F365=G365),5,5-QUOTIENT(F365,G365))))),0)</f>
        <v>0</v>
      </c>
      <c r="N365" s="378">
        <f>IF(K365="N/A", 1, 2)</f>
        <v>1</v>
      </c>
      <c r="O365" s="379">
        <f t="shared" si="74"/>
        <v>1</v>
      </c>
      <c r="P365" s="378" t="s">
        <v>1147</v>
      </c>
      <c r="Q365" s="380" t="s">
        <v>1148</v>
      </c>
      <c r="R365" s="378"/>
    </row>
    <row r="366" spans="1:18" outlineLevel="1">
      <c r="A366" s="404" t="s">
        <v>1208</v>
      </c>
      <c r="B366" s="408"/>
      <c r="C366" s="382"/>
      <c r="D366" s="387"/>
      <c r="E366" s="389"/>
      <c r="F366" s="398"/>
      <c r="G366" s="387"/>
      <c r="H366" s="387"/>
      <c r="I366" s="387"/>
      <c r="J366" s="387"/>
      <c r="K366" s="378"/>
      <c r="L366" s="378"/>
      <c r="M366" s="379">
        <f>IFERROR(MIN(M367:M368),0)</f>
        <v>0</v>
      </c>
      <c r="N366" s="378">
        <f>N367</f>
        <v>2</v>
      </c>
      <c r="O366" s="379">
        <f>MAX(M366:N366)</f>
        <v>2</v>
      </c>
      <c r="P366" s="378" t="s">
        <v>1147</v>
      </c>
      <c r="Q366" s="380" t="s">
        <v>1148</v>
      </c>
      <c r="R366" s="378"/>
    </row>
    <row r="367" spans="1:18" outlineLevel="1">
      <c r="A367" s="404"/>
      <c r="B367" s="644" t="s">
        <v>1209</v>
      </c>
      <c r="C367" s="382" t="s">
        <v>1210</v>
      </c>
      <c r="D367" s="387">
        <v>0.9</v>
      </c>
      <c r="E367" s="389"/>
      <c r="F367" s="398" t="s">
        <v>549</v>
      </c>
      <c r="G367" s="387"/>
      <c r="H367" s="387"/>
      <c r="I367" s="387"/>
      <c r="J367" s="387"/>
      <c r="K367" s="378">
        <v>1</v>
      </c>
      <c r="L367" s="378"/>
      <c r="M367" s="379">
        <f>IFERROR(MIN(MAX(0,IF(K367="N/A",0,IF((D367=E367),5,5-QUOTIENT(D367,E367)))), MAX(0,IF(K367="N/A",0,IF((F367=G367),5,5-QUOTIENT(F367,G367))))),0)</f>
        <v>0</v>
      </c>
      <c r="N367" s="378">
        <f>IF(K367="N/A", 1, 2)</f>
        <v>2</v>
      </c>
      <c r="O367" s="379">
        <f t="shared" ref="O367:O371" si="80">MAX(M367:N367)</f>
        <v>2</v>
      </c>
      <c r="P367" s="378" t="s">
        <v>1147</v>
      </c>
      <c r="Q367" s="380" t="s">
        <v>1148</v>
      </c>
      <c r="R367" s="378"/>
    </row>
    <row r="368" spans="1:18" outlineLevel="1">
      <c r="A368" s="404"/>
      <c r="B368" s="645"/>
      <c r="C368" s="382" t="s">
        <v>1211</v>
      </c>
      <c r="D368" s="387">
        <v>0.9</v>
      </c>
      <c r="E368" s="389"/>
      <c r="F368" s="398" t="s">
        <v>549</v>
      </c>
      <c r="G368" s="387"/>
      <c r="H368" s="387"/>
      <c r="I368" s="387"/>
      <c r="J368" s="387"/>
      <c r="K368" s="378">
        <v>1</v>
      </c>
      <c r="L368" s="378"/>
      <c r="M368" s="379">
        <f>IFERROR(MIN(MAX(0,IF(K368="N/A",0,IF((D368=E368),5,5-QUOTIENT(D368,E368)))), MAX(0,IF(K368="N/A",0,IF((F368=G368),5,5-QUOTIENT(F368,G368))))),0)</f>
        <v>0</v>
      </c>
      <c r="N368" s="378">
        <f>IF(K368="N/A", 1, 2)</f>
        <v>2</v>
      </c>
      <c r="O368" s="379">
        <f t="shared" si="80"/>
        <v>2</v>
      </c>
      <c r="P368" s="378" t="s">
        <v>1147</v>
      </c>
      <c r="Q368" s="380" t="s">
        <v>1148</v>
      </c>
      <c r="R368" s="378"/>
    </row>
    <row r="369" spans="1:18" outlineLevel="1">
      <c r="A369" s="404" t="s">
        <v>1212</v>
      </c>
      <c r="B369" s="408"/>
      <c r="C369" s="382"/>
      <c r="D369" s="387"/>
      <c r="E369" s="389"/>
      <c r="F369" s="398"/>
      <c r="G369" s="387"/>
      <c r="H369" s="387"/>
      <c r="I369" s="387"/>
      <c r="J369" s="387"/>
      <c r="K369" s="378"/>
      <c r="L369" s="378"/>
      <c r="M369" s="379">
        <f>IFERROR(MIN(M370:M371),0)</f>
        <v>0</v>
      </c>
      <c r="N369" s="378">
        <f>N370</f>
        <v>2</v>
      </c>
      <c r="O369" s="379">
        <f t="shared" si="80"/>
        <v>2</v>
      </c>
      <c r="P369" s="378" t="s">
        <v>1147</v>
      </c>
      <c r="Q369" s="380" t="s">
        <v>1148</v>
      </c>
      <c r="R369" s="378"/>
    </row>
    <row r="370" spans="1:18" outlineLevel="1">
      <c r="A370" s="404"/>
      <c r="B370" s="644" t="s">
        <v>1213</v>
      </c>
      <c r="C370" s="382" t="s">
        <v>1214</v>
      </c>
      <c r="D370" s="387">
        <v>0.9</v>
      </c>
      <c r="E370" s="389"/>
      <c r="F370" s="398" t="s">
        <v>549</v>
      </c>
      <c r="G370" s="387"/>
      <c r="H370" s="387"/>
      <c r="I370" s="387"/>
      <c r="J370" s="387"/>
      <c r="K370" s="378">
        <v>1</v>
      </c>
      <c r="L370" s="378"/>
      <c r="M370" s="379">
        <f>IFERROR(MIN(MAX(0,IF(K370="N/A",0,IF((D370=E370),5,5-QUOTIENT(D370,E370)))), MAX(0,IF(K370="N/A",0,IF((F370=G370),5,5-QUOTIENT(F370,G370))))),0)</f>
        <v>0</v>
      </c>
      <c r="N370" s="378">
        <f>IF(K370="N/A", 1, 2)</f>
        <v>2</v>
      </c>
      <c r="O370" s="379">
        <f t="shared" si="80"/>
        <v>2</v>
      </c>
      <c r="P370" s="378" t="s">
        <v>1147</v>
      </c>
      <c r="Q370" s="380" t="s">
        <v>1148</v>
      </c>
      <c r="R370" s="378"/>
    </row>
    <row r="371" spans="1:18" outlineLevel="1">
      <c r="A371" s="404"/>
      <c r="B371" s="645"/>
      <c r="C371" s="382" t="s">
        <v>1215</v>
      </c>
      <c r="D371" s="387">
        <v>0.9</v>
      </c>
      <c r="E371" s="389"/>
      <c r="F371" s="398" t="s">
        <v>549</v>
      </c>
      <c r="G371" s="387"/>
      <c r="H371" s="387"/>
      <c r="I371" s="387"/>
      <c r="J371" s="387"/>
      <c r="K371" s="378">
        <v>1</v>
      </c>
      <c r="L371" s="378"/>
      <c r="M371" s="379">
        <f>IFERROR(MIN(MAX(0,IF(K371="N/A",0,IF((D371=E371),5,5-QUOTIENT(D371,E371)))), MAX(0,IF(K371="N/A",0,IF((F371=G371),5,5-QUOTIENT(F371,G371))))),0)</f>
        <v>0</v>
      </c>
      <c r="N371" s="378">
        <f>IF(K371="N/A", 1, 2)</f>
        <v>2</v>
      </c>
      <c r="O371" s="379">
        <f t="shared" si="80"/>
        <v>2</v>
      </c>
      <c r="P371" s="378" t="s">
        <v>1147</v>
      </c>
      <c r="Q371" s="380" t="s">
        <v>1148</v>
      </c>
      <c r="R371" s="378"/>
    </row>
    <row r="372" spans="1:18" outlineLevel="1">
      <c r="A372" s="388" t="s">
        <v>1216</v>
      </c>
      <c r="B372" s="409"/>
      <c r="C372" s="382"/>
      <c r="D372" s="387"/>
      <c r="E372" s="389"/>
      <c r="F372" s="398"/>
      <c r="G372" s="387"/>
      <c r="H372" s="387"/>
      <c r="I372" s="387"/>
      <c r="J372" s="387"/>
      <c r="K372" s="378"/>
      <c r="L372" s="378"/>
      <c r="M372" s="379"/>
      <c r="N372" s="378"/>
      <c r="O372" s="379"/>
      <c r="P372" s="378" t="s">
        <v>1147</v>
      </c>
      <c r="Q372" s="380" t="s">
        <v>1148</v>
      </c>
      <c r="R372" s="378"/>
    </row>
    <row r="373" spans="1:18" outlineLevel="1">
      <c r="A373" s="388"/>
      <c r="B373" s="633" t="s">
        <v>1217</v>
      </c>
      <c r="C373" s="382" t="s">
        <v>1168</v>
      </c>
      <c r="D373" s="398" t="s">
        <v>549</v>
      </c>
      <c r="E373" s="389"/>
      <c r="F373" s="398" t="s">
        <v>549</v>
      </c>
      <c r="G373" s="387"/>
      <c r="H373" s="387"/>
      <c r="I373" s="387"/>
      <c r="J373" s="387"/>
      <c r="K373" s="378" t="s">
        <v>549</v>
      </c>
      <c r="L373" s="378"/>
      <c r="M373" s="379">
        <f t="shared" ref="M373:M378" si="81">IFERROR(MIN(MAX(0,IF(K373="N/A",0,IF((D373=E373),5,5-QUOTIENT(D373,E373)))), MAX(0,IF(K373="N/A",0,IF((F373=G373),5,5-QUOTIENT(F373,G373))))),0)</f>
        <v>0</v>
      </c>
      <c r="N373" s="378">
        <f t="shared" ref="N373:N378" si="82">IF(K373="N/A", 0, 2)</f>
        <v>0</v>
      </c>
      <c r="O373" s="379">
        <f t="shared" ref="O373:O382" si="83">MAX(M373:N373)</f>
        <v>0</v>
      </c>
      <c r="P373" s="378" t="s">
        <v>1147</v>
      </c>
      <c r="Q373" s="380" t="s">
        <v>1148</v>
      </c>
      <c r="R373" s="378"/>
    </row>
    <row r="374" spans="1:18" outlineLevel="1">
      <c r="A374" s="388"/>
      <c r="B374" s="634"/>
      <c r="C374" s="382" t="s">
        <v>1169</v>
      </c>
      <c r="D374" s="398" t="s">
        <v>549</v>
      </c>
      <c r="E374" s="389"/>
      <c r="F374" s="398" t="s">
        <v>549</v>
      </c>
      <c r="G374" s="387"/>
      <c r="H374" s="387"/>
      <c r="I374" s="387"/>
      <c r="J374" s="387"/>
      <c r="K374" s="378" t="s">
        <v>549</v>
      </c>
      <c r="L374" s="378"/>
      <c r="M374" s="379">
        <f t="shared" si="81"/>
        <v>0</v>
      </c>
      <c r="N374" s="378">
        <f t="shared" si="82"/>
        <v>0</v>
      </c>
      <c r="O374" s="379">
        <f t="shared" si="83"/>
        <v>0</v>
      </c>
      <c r="P374" s="378" t="s">
        <v>1147</v>
      </c>
      <c r="Q374" s="380" t="s">
        <v>1148</v>
      </c>
      <c r="R374" s="378"/>
    </row>
    <row r="375" spans="1:18" outlineLevel="1">
      <c r="A375" s="388"/>
      <c r="B375" s="642" t="s">
        <v>1218</v>
      </c>
      <c r="C375" s="382" t="s">
        <v>1168</v>
      </c>
      <c r="D375" s="398" t="s">
        <v>549</v>
      </c>
      <c r="E375" s="389"/>
      <c r="F375" s="398" t="s">
        <v>549</v>
      </c>
      <c r="G375" s="387"/>
      <c r="H375" s="387"/>
      <c r="I375" s="387"/>
      <c r="J375" s="387"/>
      <c r="K375" s="378" t="s">
        <v>549</v>
      </c>
      <c r="L375" s="378"/>
      <c r="M375" s="379">
        <f t="shared" si="81"/>
        <v>0</v>
      </c>
      <c r="N375" s="378">
        <f t="shared" si="82"/>
        <v>0</v>
      </c>
      <c r="O375" s="379">
        <f t="shared" si="83"/>
        <v>0</v>
      </c>
      <c r="P375" s="378" t="s">
        <v>1147</v>
      </c>
      <c r="Q375" s="380" t="s">
        <v>1148</v>
      </c>
      <c r="R375" s="378"/>
    </row>
    <row r="376" spans="1:18" outlineLevel="1">
      <c r="A376" s="388"/>
      <c r="B376" s="642"/>
      <c r="C376" s="382" t="s">
        <v>1169</v>
      </c>
      <c r="D376" s="398" t="s">
        <v>549</v>
      </c>
      <c r="E376" s="389"/>
      <c r="F376" s="398" t="s">
        <v>549</v>
      </c>
      <c r="G376" s="387"/>
      <c r="H376" s="387"/>
      <c r="I376" s="387"/>
      <c r="J376" s="387"/>
      <c r="K376" s="378" t="s">
        <v>549</v>
      </c>
      <c r="L376" s="378"/>
      <c r="M376" s="379">
        <f t="shared" si="81"/>
        <v>0</v>
      </c>
      <c r="N376" s="378">
        <f t="shared" si="82"/>
        <v>0</v>
      </c>
      <c r="O376" s="379">
        <f t="shared" si="83"/>
        <v>0</v>
      </c>
      <c r="P376" s="378" t="s">
        <v>1147</v>
      </c>
      <c r="Q376" s="380" t="s">
        <v>1148</v>
      </c>
      <c r="R376" s="378"/>
    </row>
    <row r="377" spans="1:18" outlineLevel="1">
      <c r="A377" s="388"/>
      <c r="B377" s="642" t="s">
        <v>1219</v>
      </c>
      <c r="C377" s="382" t="s">
        <v>1168</v>
      </c>
      <c r="D377" s="398" t="s">
        <v>549</v>
      </c>
      <c r="E377" s="389"/>
      <c r="F377" s="398" t="s">
        <v>549</v>
      </c>
      <c r="G377" s="387"/>
      <c r="H377" s="387"/>
      <c r="I377" s="387"/>
      <c r="J377" s="387"/>
      <c r="K377" s="378" t="s">
        <v>549</v>
      </c>
      <c r="L377" s="378"/>
      <c r="M377" s="379">
        <f t="shared" si="81"/>
        <v>0</v>
      </c>
      <c r="N377" s="378">
        <f t="shared" si="82"/>
        <v>0</v>
      </c>
      <c r="O377" s="379">
        <f t="shared" si="83"/>
        <v>0</v>
      </c>
      <c r="P377" s="378" t="s">
        <v>1147</v>
      </c>
      <c r="Q377" s="380" t="s">
        <v>1148</v>
      </c>
      <c r="R377" s="378"/>
    </row>
    <row r="378" spans="1:18" outlineLevel="1">
      <c r="A378" s="388"/>
      <c r="B378" s="642"/>
      <c r="C378" s="382" t="s">
        <v>1169</v>
      </c>
      <c r="D378" s="398" t="s">
        <v>549</v>
      </c>
      <c r="E378" s="389"/>
      <c r="F378" s="398" t="s">
        <v>549</v>
      </c>
      <c r="G378" s="387"/>
      <c r="H378" s="387"/>
      <c r="I378" s="387"/>
      <c r="J378" s="387"/>
      <c r="K378" s="378" t="s">
        <v>549</v>
      </c>
      <c r="L378" s="378"/>
      <c r="M378" s="379">
        <f t="shared" si="81"/>
        <v>0</v>
      </c>
      <c r="N378" s="378">
        <f t="shared" si="82"/>
        <v>0</v>
      </c>
      <c r="O378" s="379">
        <f t="shared" si="83"/>
        <v>0</v>
      </c>
      <c r="P378" s="378" t="s">
        <v>1147</v>
      </c>
      <c r="Q378" s="380" t="s">
        <v>1148</v>
      </c>
      <c r="R378" s="378"/>
    </row>
    <row r="379" spans="1:18" outlineLevel="1">
      <c r="A379" s="388" t="s">
        <v>1220</v>
      </c>
      <c r="B379" s="381"/>
      <c r="C379" s="382"/>
      <c r="D379" s="398"/>
      <c r="E379" s="389"/>
      <c r="F379" s="398"/>
      <c r="G379" s="387"/>
      <c r="H379" s="387"/>
      <c r="I379" s="387"/>
      <c r="J379" s="387"/>
      <c r="K379" s="378"/>
      <c r="L379" s="378"/>
      <c r="M379" s="379">
        <f>M380</f>
        <v>0</v>
      </c>
      <c r="N379" s="378">
        <f>N380</f>
        <v>2</v>
      </c>
      <c r="O379" s="379">
        <f t="shared" si="83"/>
        <v>2</v>
      </c>
      <c r="P379" s="378" t="s">
        <v>1147</v>
      </c>
      <c r="Q379" s="380" t="s">
        <v>1148</v>
      </c>
      <c r="R379" s="378"/>
    </row>
    <row r="380" spans="1:18" outlineLevel="1">
      <c r="A380" s="406"/>
      <c r="B380" s="388" t="s">
        <v>1221</v>
      </c>
      <c r="C380" s="382" t="s">
        <v>1222</v>
      </c>
      <c r="D380" s="387">
        <v>0.95</v>
      </c>
      <c r="E380" s="389"/>
      <c r="F380" s="398">
        <v>0.9</v>
      </c>
      <c r="G380" s="387"/>
      <c r="H380" s="387"/>
      <c r="I380" s="387"/>
      <c r="J380" s="387"/>
      <c r="K380" s="378">
        <v>1</v>
      </c>
      <c r="L380" s="378"/>
      <c r="M380" s="379">
        <f>IFERROR(MIN(MAX(0,IF(K380="N/A",0,IF((D380=E380),5,5-QUOTIENT(D380,E380)))), MAX(0,IF(K380="N/A",0,IF((F380=G380),5,5-QUOTIENT(F380,G380))))),0)</f>
        <v>0</v>
      </c>
      <c r="N380" s="378">
        <f>IF(K380="N/A", 1, 2)</f>
        <v>2</v>
      </c>
      <c r="O380" s="379">
        <f t="shared" si="83"/>
        <v>2</v>
      </c>
      <c r="P380" s="378" t="s">
        <v>1147</v>
      </c>
      <c r="Q380" s="380" t="s">
        <v>1148</v>
      </c>
      <c r="R380" s="378"/>
    </row>
    <row r="381" spans="1:18" outlineLevel="1">
      <c r="A381" s="388" t="s">
        <v>1223</v>
      </c>
      <c r="B381" s="381"/>
      <c r="C381" s="382"/>
      <c r="D381" s="398"/>
      <c r="E381" s="389"/>
      <c r="F381" s="398"/>
      <c r="G381" s="387"/>
      <c r="H381" s="387"/>
      <c r="I381" s="387"/>
      <c r="J381" s="387"/>
      <c r="K381" s="378"/>
      <c r="L381" s="378"/>
      <c r="M381" s="379">
        <f>M382</f>
        <v>0</v>
      </c>
      <c r="N381" s="378">
        <f>N382</f>
        <v>2</v>
      </c>
      <c r="O381" s="379">
        <f t="shared" si="83"/>
        <v>2</v>
      </c>
      <c r="P381" s="378" t="s">
        <v>1147</v>
      </c>
      <c r="Q381" s="380" t="s">
        <v>1148</v>
      </c>
      <c r="R381" s="378"/>
    </row>
    <row r="382" spans="1:18" outlineLevel="1">
      <c r="A382" s="406"/>
      <c r="B382" s="388" t="s">
        <v>1224</v>
      </c>
      <c r="C382" s="382" t="s">
        <v>1222</v>
      </c>
      <c r="D382" s="387">
        <v>0.95</v>
      </c>
      <c r="E382" s="389"/>
      <c r="F382" s="398">
        <v>0.9</v>
      </c>
      <c r="G382" s="387"/>
      <c r="H382" s="387"/>
      <c r="I382" s="387"/>
      <c r="J382" s="387"/>
      <c r="K382" s="378">
        <v>1</v>
      </c>
      <c r="L382" s="378"/>
      <c r="M382" s="379">
        <f>IFERROR(MIN(MAX(0,IF(K382="N/A",0,IF((D382=E382),5,5-QUOTIENT(D382,E382)))), MAX(0,IF(K382="N/A",0,IF((F382=G382),5,5-QUOTIENT(F382,G382))))),0)</f>
        <v>0</v>
      </c>
      <c r="N382" s="378">
        <f>IF(K382="N/A", 1, 2)</f>
        <v>2</v>
      </c>
      <c r="O382" s="379">
        <f t="shared" si="83"/>
        <v>2</v>
      </c>
      <c r="P382" s="378" t="s">
        <v>1147</v>
      </c>
      <c r="Q382" s="380" t="s">
        <v>1148</v>
      </c>
      <c r="R382" s="378"/>
    </row>
    <row r="383" spans="1:18" outlineLevel="1">
      <c r="A383" s="388" t="s">
        <v>1225</v>
      </c>
      <c r="B383" s="381"/>
      <c r="C383" s="382"/>
      <c r="D383" s="398"/>
      <c r="E383" s="389"/>
      <c r="F383" s="398"/>
      <c r="G383" s="387"/>
      <c r="H383" s="387"/>
      <c r="I383" s="387"/>
      <c r="J383" s="387"/>
      <c r="K383" s="378"/>
      <c r="L383" s="378"/>
      <c r="M383" s="379">
        <f>M384</f>
        <v>0</v>
      </c>
      <c r="N383" s="378">
        <f>N384</f>
        <v>1</v>
      </c>
      <c r="O383" s="379">
        <f>MAX(M383:N383)</f>
        <v>1</v>
      </c>
      <c r="P383" s="378" t="s">
        <v>1147</v>
      </c>
      <c r="Q383" s="380" t="s">
        <v>1148</v>
      </c>
      <c r="R383" s="378"/>
    </row>
    <row r="384" spans="1:18" outlineLevel="1">
      <c r="A384" s="406"/>
      <c r="B384" s="388" t="s">
        <v>1226</v>
      </c>
      <c r="C384" s="382" t="s">
        <v>1222</v>
      </c>
      <c r="D384" s="387">
        <v>0.95</v>
      </c>
      <c r="E384" s="389"/>
      <c r="F384" s="398">
        <v>0.9</v>
      </c>
      <c r="G384" s="387"/>
      <c r="H384" s="387"/>
      <c r="I384" s="387"/>
      <c r="J384" s="387"/>
      <c r="K384" s="378" t="s">
        <v>549</v>
      </c>
      <c r="L384" s="378"/>
      <c r="M384" s="379">
        <f>IFERROR(MIN(MAX(0,IF(K384="N/A",0,IF((D384=E384),5,5-QUOTIENT(D384,E384)))), MAX(0,IF(K384="N/A",0,IF((F384=G384),5,5-QUOTIENT(F384,G384))))),0)</f>
        <v>0</v>
      </c>
      <c r="N384" s="378">
        <f>IF(K384="N/A", 1, 2)</f>
        <v>1</v>
      </c>
      <c r="O384" s="379">
        <f t="shared" ref="O384" si="84">MAX(M384:N384)</f>
        <v>1</v>
      </c>
      <c r="P384" s="378" t="s">
        <v>1147</v>
      </c>
      <c r="Q384" s="380" t="s">
        <v>1148</v>
      </c>
      <c r="R384" s="378"/>
    </row>
    <row r="385" spans="1:18" outlineLevel="1">
      <c r="A385" s="388" t="s">
        <v>1227</v>
      </c>
      <c r="B385" s="381"/>
      <c r="C385" s="382"/>
      <c r="D385" s="398"/>
      <c r="E385" s="389"/>
      <c r="F385" s="398"/>
      <c r="G385" s="387"/>
      <c r="H385" s="387"/>
      <c r="I385" s="387"/>
      <c r="J385" s="387"/>
      <c r="K385" s="378"/>
      <c r="L385" s="378"/>
      <c r="M385" s="379">
        <f>M386</f>
        <v>0</v>
      </c>
      <c r="N385" s="378">
        <f>N386</f>
        <v>1</v>
      </c>
      <c r="O385" s="379">
        <f>MAX(M385:N385)</f>
        <v>1</v>
      </c>
      <c r="P385" s="378" t="s">
        <v>1147</v>
      </c>
      <c r="Q385" s="380" t="s">
        <v>1148</v>
      </c>
      <c r="R385" s="378"/>
    </row>
    <row r="386" spans="1:18" outlineLevel="1">
      <c r="A386" s="406"/>
      <c r="B386" s="388" t="s">
        <v>1228</v>
      </c>
      <c r="C386" s="382" t="s">
        <v>1222</v>
      </c>
      <c r="D386" s="387">
        <v>0.95</v>
      </c>
      <c r="E386" s="389"/>
      <c r="F386" s="398">
        <v>0.9</v>
      </c>
      <c r="G386" s="387"/>
      <c r="H386" s="387"/>
      <c r="I386" s="387"/>
      <c r="J386" s="387"/>
      <c r="K386" s="378" t="s">
        <v>549</v>
      </c>
      <c r="L386" s="378"/>
      <c r="M386" s="379">
        <f>IFERROR(MIN(MAX(0,IF(K386="N/A",0,IF((D386=E386),5,5-QUOTIENT(D386,E386)))), MAX(0,IF(K386="N/A",0,IF((F386=G386),5,5-QUOTIENT(F386,G386))))),0)</f>
        <v>0</v>
      </c>
      <c r="N386" s="378">
        <f>IF(K386="N/A", 1, 2)</f>
        <v>1</v>
      </c>
      <c r="O386" s="379">
        <f t="shared" ref="O386" si="85">MAX(M386:N386)</f>
        <v>1</v>
      </c>
      <c r="P386" s="378" t="s">
        <v>1147</v>
      </c>
      <c r="Q386" s="380" t="s">
        <v>1148</v>
      </c>
      <c r="R386" s="378"/>
    </row>
    <row r="387" spans="1:18" outlineLevel="1">
      <c r="A387" s="388" t="s">
        <v>1229</v>
      </c>
      <c r="B387" s="381"/>
      <c r="C387" s="382"/>
      <c r="D387" s="398"/>
      <c r="E387" s="389"/>
      <c r="F387" s="398"/>
      <c r="G387" s="387"/>
      <c r="H387" s="387"/>
      <c r="I387" s="387"/>
      <c r="J387" s="387"/>
      <c r="K387" s="378"/>
      <c r="L387" s="378"/>
      <c r="M387" s="379">
        <f>M388</f>
        <v>0</v>
      </c>
      <c r="N387" s="378">
        <f>N388</f>
        <v>2</v>
      </c>
      <c r="O387" s="379">
        <f>MAX(M387:N387)</f>
        <v>2</v>
      </c>
      <c r="P387" s="378" t="s">
        <v>1147</v>
      </c>
      <c r="Q387" s="380" t="s">
        <v>1148</v>
      </c>
      <c r="R387" s="378"/>
    </row>
    <row r="388" spans="1:18" outlineLevel="1">
      <c r="A388" s="406"/>
      <c r="B388" s="388" t="s">
        <v>1230</v>
      </c>
      <c r="C388" s="382" t="s">
        <v>1222</v>
      </c>
      <c r="D388" s="387">
        <v>0.95</v>
      </c>
      <c r="E388" s="389"/>
      <c r="F388" s="398">
        <v>0.9</v>
      </c>
      <c r="G388" s="387"/>
      <c r="H388" s="387"/>
      <c r="I388" s="387"/>
      <c r="J388" s="387"/>
      <c r="K388" s="378">
        <v>1</v>
      </c>
      <c r="L388" s="378"/>
      <c r="M388" s="379">
        <f>IFERROR(MIN(MAX(0,IF(K388="N/A",0,IF((D388=E388),5,5-QUOTIENT(D388,E388)))), MAX(0,IF(K388="N/A",0,IF((F388=G388),5,5-QUOTIENT(F388,G388))))),0)</f>
        <v>0</v>
      </c>
      <c r="N388" s="378">
        <f>IF(K388="N/A", 1, 2)</f>
        <v>2</v>
      </c>
      <c r="O388" s="379">
        <f t="shared" ref="O388" si="86">MAX(M388:N388)</f>
        <v>2</v>
      </c>
      <c r="P388" s="378" t="s">
        <v>1147</v>
      </c>
      <c r="Q388" s="380" t="s">
        <v>1148</v>
      </c>
      <c r="R388" s="378"/>
    </row>
    <row r="389" spans="1:18" outlineLevel="1">
      <c r="A389" s="388" t="s">
        <v>1231</v>
      </c>
      <c r="B389" s="381"/>
      <c r="C389" s="382"/>
      <c r="D389" s="398"/>
      <c r="E389" s="389"/>
      <c r="F389" s="398"/>
      <c r="G389" s="387"/>
      <c r="H389" s="387"/>
      <c r="I389" s="387"/>
      <c r="J389" s="387"/>
      <c r="K389" s="378"/>
      <c r="L389" s="378"/>
      <c r="M389" s="379">
        <f>IFERROR(MIN(M390:M396),0)</f>
        <v>0</v>
      </c>
      <c r="N389" s="378">
        <f>N390</f>
        <v>1</v>
      </c>
      <c r="O389" s="379">
        <f>MAX(M389:N389)</f>
        <v>1</v>
      </c>
      <c r="P389" s="378" t="s">
        <v>1147</v>
      </c>
      <c r="Q389" s="380" t="s">
        <v>1148</v>
      </c>
      <c r="R389" s="378"/>
    </row>
    <row r="390" spans="1:18" outlineLevel="1">
      <c r="A390" s="394"/>
      <c r="B390" s="636" t="s">
        <v>1179</v>
      </c>
      <c r="C390" s="382" t="s">
        <v>1232</v>
      </c>
      <c r="D390" s="387">
        <v>0.5</v>
      </c>
      <c r="E390" s="399"/>
      <c r="F390" s="387">
        <v>0.5</v>
      </c>
      <c r="G390" s="387"/>
      <c r="H390" s="387"/>
      <c r="I390" s="387"/>
      <c r="J390" s="387"/>
      <c r="K390" s="378" t="s">
        <v>549</v>
      </c>
      <c r="L390" s="378"/>
      <c r="M390" s="379">
        <f t="shared" ref="M390:M396" si="87">IFERROR(MIN(MAX(0,IF(K390="N/A",0,IF((D390=E390),5,5-QUOTIENT(D390,E390)))), MAX(0,IF(K390="N/A",0,IF((F390=G390),5,5-QUOTIENT(F390,G390))))),0)</f>
        <v>0</v>
      </c>
      <c r="N390" s="378">
        <f>IF(K390="N/A", 1, 2)</f>
        <v>1</v>
      </c>
      <c r="O390" s="379">
        <f t="shared" ref="O390:O400" si="88">MAX(M390:N390)</f>
        <v>1</v>
      </c>
      <c r="P390" s="378" t="s">
        <v>1147</v>
      </c>
      <c r="Q390" s="380" t="s">
        <v>1148</v>
      </c>
      <c r="R390" s="378"/>
    </row>
    <row r="391" spans="1:18" outlineLevel="1">
      <c r="A391" s="394"/>
      <c r="B391" s="637"/>
      <c r="C391" s="382" t="s">
        <v>1233</v>
      </c>
      <c r="D391" s="387">
        <v>0.5</v>
      </c>
      <c r="E391" s="399"/>
      <c r="F391" s="387">
        <v>0.5</v>
      </c>
      <c r="G391" s="387"/>
      <c r="H391" s="387"/>
      <c r="I391" s="387"/>
      <c r="J391" s="387"/>
      <c r="K391" s="378" t="s">
        <v>549</v>
      </c>
      <c r="L391" s="378"/>
      <c r="M391" s="379">
        <f t="shared" si="87"/>
        <v>0</v>
      </c>
      <c r="N391" s="378">
        <f t="shared" ref="N391:N396" si="89">IF(K391="N/A", 1, 2)</f>
        <v>1</v>
      </c>
      <c r="O391" s="379">
        <f t="shared" si="88"/>
        <v>1</v>
      </c>
      <c r="P391" s="378" t="s">
        <v>1147</v>
      </c>
      <c r="Q391" s="380" t="s">
        <v>1148</v>
      </c>
      <c r="R391" s="378"/>
    </row>
    <row r="392" spans="1:18" outlineLevel="1">
      <c r="A392" s="394"/>
      <c r="B392" s="637"/>
      <c r="C392" s="382" t="s">
        <v>1234</v>
      </c>
      <c r="D392" s="387">
        <v>0.5</v>
      </c>
      <c r="E392" s="399"/>
      <c r="F392" s="387">
        <v>0.5</v>
      </c>
      <c r="G392" s="387"/>
      <c r="H392" s="387"/>
      <c r="I392" s="387"/>
      <c r="J392" s="387"/>
      <c r="K392" s="378" t="s">
        <v>549</v>
      </c>
      <c r="L392" s="378"/>
      <c r="M392" s="379">
        <f t="shared" si="87"/>
        <v>0</v>
      </c>
      <c r="N392" s="378">
        <f t="shared" si="89"/>
        <v>1</v>
      </c>
      <c r="O392" s="379">
        <f t="shared" si="88"/>
        <v>1</v>
      </c>
      <c r="P392" s="378" t="s">
        <v>1147</v>
      </c>
      <c r="Q392" s="380" t="s">
        <v>1148</v>
      </c>
      <c r="R392" s="378"/>
    </row>
    <row r="393" spans="1:18" outlineLevel="1">
      <c r="A393" s="394"/>
      <c r="B393" s="637"/>
      <c r="C393" s="382" t="s">
        <v>1235</v>
      </c>
      <c r="D393" s="387">
        <v>0.5</v>
      </c>
      <c r="E393" s="399"/>
      <c r="F393" s="387">
        <v>0.5</v>
      </c>
      <c r="G393" s="387"/>
      <c r="H393" s="387"/>
      <c r="I393" s="387"/>
      <c r="J393" s="387"/>
      <c r="K393" s="378" t="s">
        <v>549</v>
      </c>
      <c r="L393" s="378"/>
      <c r="M393" s="379">
        <f t="shared" si="87"/>
        <v>0</v>
      </c>
      <c r="N393" s="378">
        <f t="shared" si="89"/>
        <v>1</v>
      </c>
      <c r="O393" s="379">
        <f t="shared" si="88"/>
        <v>1</v>
      </c>
      <c r="P393" s="378" t="s">
        <v>1147</v>
      </c>
      <c r="Q393" s="380" t="s">
        <v>1148</v>
      </c>
      <c r="R393" s="378"/>
    </row>
    <row r="394" spans="1:18" outlineLevel="1">
      <c r="A394" s="394"/>
      <c r="B394" s="637"/>
      <c r="C394" s="382" t="s">
        <v>1236</v>
      </c>
      <c r="D394" s="387">
        <v>0.5</v>
      </c>
      <c r="E394" s="399"/>
      <c r="F394" s="387">
        <v>0.5</v>
      </c>
      <c r="G394" s="387"/>
      <c r="H394" s="387"/>
      <c r="I394" s="387"/>
      <c r="J394" s="387"/>
      <c r="K394" s="378" t="s">
        <v>549</v>
      </c>
      <c r="L394" s="378"/>
      <c r="M394" s="379">
        <f t="shared" si="87"/>
        <v>0</v>
      </c>
      <c r="N394" s="378">
        <f t="shared" si="89"/>
        <v>1</v>
      </c>
      <c r="O394" s="379">
        <f t="shared" si="88"/>
        <v>1</v>
      </c>
      <c r="P394" s="378" t="s">
        <v>1147</v>
      </c>
      <c r="Q394" s="380" t="s">
        <v>1148</v>
      </c>
      <c r="R394" s="378"/>
    </row>
    <row r="395" spans="1:18" outlineLevel="1">
      <c r="A395" s="394"/>
      <c r="B395" s="637"/>
      <c r="C395" s="382" t="s">
        <v>1237</v>
      </c>
      <c r="D395" s="387">
        <v>0.5</v>
      </c>
      <c r="E395" s="399"/>
      <c r="F395" s="387">
        <v>0.5</v>
      </c>
      <c r="G395" s="387"/>
      <c r="H395" s="387"/>
      <c r="I395" s="387"/>
      <c r="J395" s="387"/>
      <c r="K395" s="378" t="s">
        <v>549</v>
      </c>
      <c r="L395" s="378"/>
      <c r="M395" s="379">
        <f t="shared" si="87"/>
        <v>0</v>
      </c>
      <c r="N395" s="378">
        <f t="shared" si="89"/>
        <v>1</v>
      </c>
      <c r="O395" s="379">
        <f t="shared" si="88"/>
        <v>1</v>
      </c>
      <c r="P395" s="378" t="s">
        <v>1147</v>
      </c>
      <c r="Q395" s="380" t="s">
        <v>1148</v>
      </c>
      <c r="R395" s="378"/>
    </row>
    <row r="396" spans="1:18" outlineLevel="1">
      <c r="A396" s="394"/>
      <c r="B396" s="638"/>
      <c r="C396" s="382" t="s">
        <v>1238</v>
      </c>
      <c r="D396" s="387">
        <v>0.5</v>
      </c>
      <c r="E396" s="399"/>
      <c r="F396" s="387">
        <v>0.5</v>
      </c>
      <c r="G396" s="387"/>
      <c r="H396" s="387"/>
      <c r="I396" s="387"/>
      <c r="J396" s="387"/>
      <c r="K396" s="378" t="s">
        <v>549</v>
      </c>
      <c r="L396" s="378"/>
      <c r="M396" s="379">
        <f t="shared" si="87"/>
        <v>0</v>
      </c>
      <c r="N396" s="378">
        <f t="shared" si="89"/>
        <v>1</v>
      </c>
      <c r="O396" s="379">
        <f t="shared" si="88"/>
        <v>1</v>
      </c>
      <c r="P396" s="378" t="s">
        <v>1147</v>
      </c>
      <c r="Q396" s="380" t="s">
        <v>1148</v>
      </c>
      <c r="R396" s="378"/>
    </row>
    <row r="397" spans="1:18" outlineLevel="1">
      <c r="A397" s="388" t="s">
        <v>1239</v>
      </c>
      <c r="B397" s="381"/>
      <c r="C397" s="382"/>
      <c r="D397" s="398"/>
      <c r="E397" s="389"/>
      <c r="F397" s="398"/>
      <c r="G397" s="387"/>
      <c r="H397" s="387"/>
      <c r="I397" s="387"/>
      <c r="J397" s="387"/>
      <c r="K397" s="378"/>
      <c r="L397" s="378"/>
      <c r="M397" s="379">
        <f>M398</f>
        <v>0</v>
      </c>
      <c r="N397" s="378">
        <f>N398</f>
        <v>1</v>
      </c>
      <c r="O397" s="379">
        <f t="shared" si="88"/>
        <v>1</v>
      </c>
      <c r="P397" s="378" t="s">
        <v>1147</v>
      </c>
      <c r="Q397" s="380" t="s">
        <v>1148</v>
      </c>
      <c r="R397" s="378"/>
    </row>
    <row r="398" spans="1:18" outlineLevel="1">
      <c r="A398" s="406"/>
      <c r="B398" s="388" t="s">
        <v>1240</v>
      </c>
      <c r="C398" s="382" t="s">
        <v>1222</v>
      </c>
      <c r="D398" s="387">
        <v>0.95</v>
      </c>
      <c r="E398" s="389"/>
      <c r="F398" s="398">
        <v>0.9</v>
      </c>
      <c r="G398" s="387"/>
      <c r="H398" s="387"/>
      <c r="I398" s="387"/>
      <c r="J398" s="387"/>
      <c r="K398" s="378" t="s">
        <v>549</v>
      </c>
      <c r="L398" s="378"/>
      <c r="M398" s="379">
        <f>IFERROR(MIN(MAX(0,IF(K398="N/A",0,IF((D398=E398),5,5-QUOTIENT(D398,E398)))), MAX(0,IF(K398="N/A",0,IF((F398=G398),5,5-QUOTIENT(F398,G398))))),0)</f>
        <v>0</v>
      </c>
      <c r="N398" s="378">
        <f>IF(K398="N/A", 1, 2)</f>
        <v>1</v>
      </c>
      <c r="O398" s="379">
        <f t="shared" si="88"/>
        <v>1</v>
      </c>
      <c r="P398" s="378" t="s">
        <v>1147</v>
      </c>
      <c r="Q398" s="380" t="s">
        <v>1148</v>
      </c>
      <c r="R398" s="378"/>
    </row>
    <row r="399" spans="1:18" outlineLevel="1">
      <c r="A399" s="388" t="s">
        <v>1241</v>
      </c>
      <c r="B399" s="381"/>
      <c r="C399" s="382"/>
      <c r="D399" s="398"/>
      <c r="E399" s="389"/>
      <c r="F399" s="398"/>
      <c r="G399" s="387"/>
      <c r="H399" s="387"/>
      <c r="I399" s="387"/>
      <c r="J399" s="387"/>
      <c r="K399" s="378"/>
      <c r="L399" s="378"/>
      <c r="M399" s="379">
        <f>M400</f>
        <v>0</v>
      </c>
      <c r="N399" s="378">
        <f>N400</f>
        <v>1</v>
      </c>
      <c r="O399" s="379">
        <f t="shared" si="88"/>
        <v>1</v>
      </c>
      <c r="P399" s="378" t="s">
        <v>1147</v>
      </c>
      <c r="Q399" s="380" t="s">
        <v>1148</v>
      </c>
      <c r="R399" s="378"/>
    </row>
    <row r="400" spans="1:18" outlineLevel="1">
      <c r="A400" s="406"/>
      <c r="B400" s="388" t="s">
        <v>1242</v>
      </c>
      <c r="C400" s="382" t="s">
        <v>1222</v>
      </c>
      <c r="D400" s="387">
        <v>0.95</v>
      </c>
      <c r="E400" s="389"/>
      <c r="F400" s="398">
        <v>0.9</v>
      </c>
      <c r="G400" s="387"/>
      <c r="H400" s="387"/>
      <c r="I400" s="387"/>
      <c r="J400" s="387"/>
      <c r="K400" s="378" t="s">
        <v>549</v>
      </c>
      <c r="L400" s="378"/>
      <c r="M400" s="379">
        <f>IFERROR(MIN(MAX(0,IF(K400="N/A",0,IF((D400=E400),5,5-QUOTIENT(D400,E400)))), MAX(0,IF(K400="N/A",0,IF((F400=G400),5,5-QUOTIENT(F400,G400))))),0)</f>
        <v>0</v>
      </c>
      <c r="N400" s="378">
        <f>IF(K400="N/A", 1, 2)</f>
        <v>1</v>
      </c>
      <c r="O400" s="379">
        <f t="shared" si="88"/>
        <v>1</v>
      </c>
      <c r="P400" s="378" t="s">
        <v>1147</v>
      </c>
      <c r="Q400" s="380" t="s">
        <v>1148</v>
      </c>
      <c r="R400" s="378"/>
    </row>
    <row r="401" spans="1:18" outlineLevel="1">
      <c r="A401" s="388" t="s">
        <v>1243</v>
      </c>
      <c r="B401" s="381"/>
      <c r="C401" s="382"/>
      <c r="D401" s="398"/>
      <c r="E401" s="389"/>
      <c r="F401" s="398"/>
      <c r="G401" s="387"/>
      <c r="H401" s="387"/>
      <c r="I401" s="387"/>
      <c r="J401" s="387"/>
      <c r="K401" s="378"/>
      <c r="L401" s="378"/>
      <c r="M401" s="379">
        <f>IFERROR(MIN(M402:M408),0)</f>
        <v>0</v>
      </c>
      <c r="N401" s="378">
        <f>N402</f>
        <v>1</v>
      </c>
      <c r="O401" s="379">
        <f>MAX(M401:N401)</f>
        <v>1</v>
      </c>
      <c r="P401" s="378" t="s">
        <v>1147</v>
      </c>
      <c r="Q401" s="380" t="s">
        <v>1148</v>
      </c>
      <c r="R401" s="378"/>
    </row>
    <row r="402" spans="1:18" outlineLevel="1">
      <c r="A402" s="394"/>
      <c r="B402" s="636" t="s">
        <v>1179</v>
      </c>
      <c r="C402" s="382" t="s">
        <v>1232</v>
      </c>
      <c r="D402" s="387">
        <v>0.5</v>
      </c>
      <c r="E402" s="399"/>
      <c r="F402" s="387">
        <v>0.5</v>
      </c>
      <c r="G402" s="387"/>
      <c r="H402" s="387"/>
      <c r="I402" s="387"/>
      <c r="J402" s="387"/>
      <c r="K402" s="378" t="s">
        <v>549</v>
      </c>
      <c r="L402" s="378"/>
      <c r="M402" s="379">
        <f t="shared" ref="M402:M408" si="90">IFERROR(MIN(MAX(0,IF(K402="N/A",0,IF((D402=E402),5,5-QUOTIENT(D402,E402)))), MAX(0,IF(K402="N/A",0,IF((F402=G402),5,5-QUOTIENT(F402,G402))))),0)</f>
        <v>0</v>
      </c>
      <c r="N402" s="378">
        <f>IF(K402="N/A", 1, 2)</f>
        <v>1</v>
      </c>
      <c r="O402" s="379">
        <f t="shared" ref="O402:O420" si="91">MAX(M402:N402)</f>
        <v>1</v>
      </c>
      <c r="P402" s="378" t="s">
        <v>1147</v>
      </c>
      <c r="Q402" s="380" t="s">
        <v>1148</v>
      </c>
      <c r="R402" s="378"/>
    </row>
    <row r="403" spans="1:18" outlineLevel="1">
      <c r="A403" s="394"/>
      <c r="B403" s="637"/>
      <c r="C403" s="382" t="s">
        <v>1233</v>
      </c>
      <c r="D403" s="387">
        <v>0.5</v>
      </c>
      <c r="E403" s="399"/>
      <c r="F403" s="387">
        <v>0.5</v>
      </c>
      <c r="G403" s="387"/>
      <c r="H403" s="387"/>
      <c r="I403" s="387"/>
      <c r="J403" s="387"/>
      <c r="K403" s="378" t="s">
        <v>549</v>
      </c>
      <c r="L403" s="378"/>
      <c r="M403" s="379">
        <f t="shared" si="90"/>
        <v>0</v>
      </c>
      <c r="N403" s="378">
        <f t="shared" ref="N403:N408" si="92">IF(K403="N/A", 1, 2)</f>
        <v>1</v>
      </c>
      <c r="O403" s="379">
        <f t="shared" si="91"/>
        <v>1</v>
      </c>
      <c r="P403" s="378" t="s">
        <v>1147</v>
      </c>
      <c r="Q403" s="380" t="s">
        <v>1148</v>
      </c>
      <c r="R403" s="378"/>
    </row>
    <row r="404" spans="1:18" outlineLevel="1">
      <c r="A404" s="394"/>
      <c r="B404" s="637"/>
      <c r="C404" s="382" t="s">
        <v>1234</v>
      </c>
      <c r="D404" s="387">
        <v>0.5</v>
      </c>
      <c r="E404" s="399"/>
      <c r="F404" s="387">
        <v>0.5</v>
      </c>
      <c r="G404" s="387"/>
      <c r="H404" s="387"/>
      <c r="I404" s="387"/>
      <c r="J404" s="387"/>
      <c r="K404" s="378" t="s">
        <v>549</v>
      </c>
      <c r="L404" s="378"/>
      <c r="M404" s="379">
        <f t="shared" si="90"/>
        <v>0</v>
      </c>
      <c r="N404" s="378">
        <f t="shared" si="92"/>
        <v>1</v>
      </c>
      <c r="O404" s="379">
        <f t="shared" si="91"/>
        <v>1</v>
      </c>
      <c r="P404" s="378" t="s">
        <v>1147</v>
      </c>
      <c r="Q404" s="380" t="s">
        <v>1148</v>
      </c>
      <c r="R404" s="378"/>
    </row>
    <row r="405" spans="1:18" outlineLevel="1">
      <c r="A405" s="394"/>
      <c r="B405" s="637"/>
      <c r="C405" s="382" t="s">
        <v>1235</v>
      </c>
      <c r="D405" s="387">
        <v>0.5</v>
      </c>
      <c r="E405" s="399"/>
      <c r="F405" s="387">
        <v>0.5</v>
      </c>
      <c r="G405" s="387"/>
      <c r="H405" s="387"/>
      <c r="I405" s="387"/>
      <c r="J405" s="387"/>
      <c r="K405" s="378" t="s">
        <v>549</v>
      </c>
      <c r="L405" s="378"/>
      <c r="M405" s="379">
        <f t="shared" si="90"/>
        <v>0</v>
      </c>
      <c r="N405" s="378">
        <f t="shared" si="92"/>
        <v>1</v>
      </c>
      <c r="O405" s="379">
        <f t="shared" si="91"/>
        <v>1</v>
      </c>
      <c r="P405" s="378" t="s">
        <v>1147</v>
      </c>
      <c r="Q405" s="380" t="s">
        <v>1148</v>
      </c>
      <c r="R405" s="378"/>
    </row>
    <row r="406" spans="1:18" outlineLevel="1">
      <c r="A406" s="394"/>
      <c r="B406" s="637"/>
      <c r="C406" s="382" t="s">
        <v>1236</v>
      </c>
      <c r="D406" s="387">
        <v>0.5</v>
      </c>
      <c r="E406" s="399"/>
      <c r="F406" s="387">
        <v>0.5</v>
      </c>
      <c r="G406" s="387"/>
      <c r="H406" s="387"/>
      <c r="I406" s="387"/>
      <c r="J406" s="387"/>
      <c r="K406" s="378" t="s">
        <v>549</v>
      </c>
      <c r="L406" s="378"/>
      <c r="M406" s="379">
        <f t="shared" si="90"/>
        <v>0</v>
      </c>
      <c r="N406" s="378">
        <f t="shared" si="92"/>
        <v>1</v>
      </c>
      <c r="O406" s="379">
        <f t="shared" si="91"/>
        <v>1</v>
      </c>
      <c r="P406" s="378" t="s">
        <v>1147</v>
      </c>
      <c r="Q406" s="380" t="s">
        <v>1148</v>
      </c>
      <c r="R406" s="378"/>
    </row>
    <row r="407" spans="1:18" outlineLevel="1">
      <c r="A407" s="394"/>
      <c r="B407" s="637"/>
      <c r="C407" s="382" t="s">
        <v>1237</v>
      </c>
      <c r="D407" s="387">
        <v>0.5</v>
      </c>
      <c r="E407" s="399"/>
      <c r="F407" s="387">
        <v>0.5</v>
      </c>
      <c r="G407" s="387"/>
      <c r="H407" s="387"/>
      <c r="I407" s="387"/>
      <c r="J407" s="387"/>
      <c r="K407" s="378" t="s">
        <v>549</v>
      </c>
      <c r="L407" s="378"/>
      <c r="M407" s="379">
        <f t="shared" si="90"/>
        <v>0</v>
      </c>
      <c r="N407" s="378">
        <f t="shared" si="92"/>
        <v>1</v>
      </c>
      <c r="O407" s="379">
        <f t="shared" si="91"/>
        <v>1</v>
      </c>
      <c r="P407" s="378" t="s">
        <v>1147</v>
      </c>
      <c r="Q407" s="380" t="s">
        <v>1148</v>
      </c>
      <c r="R407" s="378"/>
    </row>
    <row r="408" spans="1:18" outlineLevel="1">
      <c r="A408" s="394"/>
      <c r="B408" s="638"/>
      <c r="C408" s="382" t="s">
        <v>1238</v>
      </c>
      <c r="D408" s="387">
        <v>0.5</v>
      </c>
      <c r="E408" s="399"/>
      <c r="F408" s="387">
        <v>0.5</v>
      </c>
      <c r="G408" s="387"/>
      <c r="H408" s="387"/>
      <c r="I408" s="387"/>
      <c r="J408" s="387"/>
      <c r="K408" s="378" t="s">
        <v>549</v>
      </c>
      <c r="L408" s="378"/>
      <c r="M408" s="379">
        <f t="shared" si="90"/>
        <v>0</v>
      </c>
      <c r="N408" s="378">
        <f t="shared" si="92"/>
        <v>1</v>
      </c>
      <c r="O408" s="379">
        <f t="shared" si="91"/>
        <v>1</v>
      </c>
      <c r="P408" s="378" t="s">
        <v>1147</v>
      </c>
      <c r="Q408" s="380" t="s">
        <v>1148</v>
      </c>
      <c r="R408" s="378"/>
    </row>
    <row r="409" spans="1:18" outlineLevel="1">
      <c r="A409" s="388" t="s">
        <v>1244</v>
      </c>
      <c r="B409" s="381"/>
      <c r="C409" s="382"/>
      <c r="D409" s="398"/>
      <c r="E409" s="389"/>
      <c r="F409" s="398"/>
      <c r="G409" s="387"/>
      <c r="H409" s="387"/>
      <c r="I409" s="387"/>
      <c r="J409" s="387"/>
      <c r="K409" s="378"/>
      <c r="L409" s="378"/>
      <c r="M409" s="379">
        <f>IFERROR(MIN(M410:M416),0)</f>
        <v>0</v>
      </c>
      <c r="N409" s="378">
        <f>N410</f>
        <v>1</v>
      </c>
      <c r="O409" s="379">
        <f t="shared" si="91"/>
        <v>1</v>
      </c>
      <c r="P409" s="378" t="s">
        <v>1147</v>
      </c>
      <c r="Q409" s="380" t="s">
        <v>1148</v>
      </c>
      <c r="R409" s="378"/>
    </row>
    <row r="410" spans="1:18" outlineLevel="1">
      <c r="A410" s="394"/>
      <c r="B410" s="636" t="s">
        <v>1245</v>
      </c>
      <c r="C410" s="382" t="s">
        <v>1246</v>
      </c>
      <c r="D410" s="387">
        <v>0.5</v>
      </c>
      <c r="E410" s="399"/>
      <c r="F410" s="387">
        <v>0.5</v>
      </c>
      <c r="G410" s="387"/>
      <c r="H410" s="387"/>
      <c r="I410" s="387"/>
      <c r="J410" s="387"/>
      <c r="K410" s="378" t="s">
        <v>549</v>
      </c>
      <c r="L410" s="378"/>
      <c r="M410" s="379">
        <f t="shared" ref="M410:M416" si="93">IFERROR(MIN(MAX(0,IF(K410="N/A",0,IF((D410=E410),5,5-QUOTIENT(D410,E410)))), MAX(0,IF(K410="N/A",0,IF((F410=G410),5,5-QUOTIENT(F410,G410))))),0)</f>
        <v>0</v>
      </c>
      <c r="N410" s="378">
        <f>IF(K410="N/A", 1, 2)</f>
        <v>1</v>
      </c>
      <c r="O410" s="379">
        <f t="shared" si="91"/>
        <v>1</v>
      </c>
      <c r="P410" s="378" t="s">
        <v>1147</v>
      </c>
      <c r="Q410" s="380" t="s">
        <v>1148</v>
      </c>
      <c r="R410" s="378"/>
    </row>
    <row r="411" spans="1:18" outlineLevel="1">
      <c r="A411" s="394"/>
      <c r="B411" s="637"/>
      <c r="C411" s="382" t="s">
        <v>1247</v>
      </c>
      <c r="D411" s="387">
        <v>0.5</v>
      </c>
      <c r="E411" s="399"/>
      <c r="F411" s="387">
        <v>0.5</v>
      </c>
      <c r="G411" s="387"/>
      <c r="H411" s="387"/>
      <c r="I411" s="387"/>
      <c r="J411" s="387"/>
      <c r="K411" s="378" t="s">
        <v>549</v>
      </c>
      <c r="L411" s="378"/>
      <c r="M411" s="379">
        <f t="shared" si="93"/>
        <v>0</v>
      </c>
      <c r="N411" s="378">
        <f t="shared" ref="N411:N416" si="94">IF(K411="N/A", 1, 2)</f>
        <v>1</v>
      </c>
      <c r="O411" s="379">
        <f t="shared" si="91"/>
        <v>1</v>
      </c>
      <c r="P411" s="378" t="s">
        <v>1147</v>
      </c>
      <c r="Q411" s="380" t="s">
        <v>1148</v>
      </c>
      <c r="R411" s="378"/>
    </row>
    <row r="412" spans="1:18" outlineLevel="1">
      <c r="A412" s="394"/>
      <c r="B412" s="637"/>
      <c r="C412" s="382" t="s">
        <v>1248</v>
      </c>
      <c r="D412" s="387">
        <v>0.5</v>
      </c>
      <c r="E412" s="399"/>
      <c r="F412" s="387">
        <v>0.5</v>
      </c>
      <c r="G412" s="387"/>
      <c r="H412" s="387"/>
      <c r="I412" s="387"/>
      <c r="J412" s="387"/>
      <c r="K412" s="378" t="s">
        <v>549</v>
      </c>
      <c r="L412" s="378"/>
      <c r="M412" s="379">
        <f t="shared" si="93"/>
        <v>0</v>
      </c>
      <c r="N412" s="378">
        <f t="shared" si="94"/>
        <v>1</v>
      </c>
      <c r="O412" s="379">
        <f t="shared" si="91"/>
        <v>1</v>
      </c>
      <c r="P412" s="378" t="s">
        <v>1147</v>
      </c>
      <c r="Q412" s="380" t="s">
        <v>1148</v>
      </c>
      <c r="R412" s="378"/>
    </row>
    <row r="413" spans="1:18" outlineLevel="1">
      <c r="A413" s="394"/>
      <c r="B413" s="637"/>
      <c r="C413" s="382" t="s">
        <v>1249</v>
      </c>
      <c r="D413" s="387">
        <v>0.5</v>
      </c>
      <c r="E413" s="399"/>
      <c r="F413" s="387">
        <v>0.5</v>
      </c>
      <c r="G413" s="387"/>
      <c r="H413" s="387"/>
      <c r="I413" s="387"/>
      <c r="J413" s="387"/>
      <c r="K413" s="378" t="s">
        <v>549</v>
      </c>
      <c r="L413" s="378"/>
      <c r="M413" s="379">
        <f t="shared" si="93"/>
        <v>0</v>
      </c>
      <c r="N413" s="378">
        <f t="shared" si="94"/>
        <v>1</v>
      </c>
      <c r="O413" s="379">
        <f t="shared" si="91"/>
        <v>1</v>
      </c>
      <c r="P413" s="378" t="s">
        <v>1147</v>
      </c>
      <c r="Q413" s="380" t="s">
        <v>1148</v>
      </c>
      <c r="R413" s="378"/>
    </row>
    <row r="414" spans="1:18" outlineLevel="1">
      <c r="A414" s="394"/>
      <c r="B414" s="637"/>
      <c r="C414" s="382" t="s">
        <v>1250</v>
      </c>
      <c r="D414" s="387">
        <v>0.5</v>
      </c>
      <c r="E414" s="399"/>
      <c r="F414" s="387">
        <v>0.5</v>
      </c>
      <c r="G414" s="387"/>
      <c r="H414" s="387"/>
      <c r="I414" s="387"/>
      <c r="J414" s="387"/>
      <c r="K414" s="378" t="s">
        <v>549</v>
      </c>
      <c r="L414" s="378"/>
      <c r="M414" s="379">
        <f t="shared" si="93"/>
        <v>0</v>
      </c>
      <c r="N414" s="378">
        <f t="shared" si="94"/>
        <v>1</v>
      </c>
      <c r="O414" s="379">
        <f t="shared" si="91"/>
        <v>1</v>
      </c>
      <c r="P414" s="378" t="s">
        <v>1147</v>
      </c>
      <c r="Q414" s="380" t="s">
        <v>1148</v>
      </c>
      <c r="R414" s="378"/>
    </row>
    <row r="415" spans="1:18" outlineLevel="1">
      <c r="A415" s="394"/>
      <c r="B415" s="637"/>
      <c r="C415" s="382" t="s">
        <v>1251</v>
      </c>
      <c r="D415" s="387">
        <v>0.5</v>
      </c>
      <c r="E415" s="399"/>
      <c r="F415" s="387">
        <v>0.5</v>
      </c>
      <c r="G415" s="387"/>
      <c r="H415" s="387"/>
      <c r="I415" s="387"/>
      <c r="J415" s="387"/>
      <c r="K415" s="378" t="s">
        <v>549</v>
      </c>
      <c r="L415" s="378"/>
      <c r="M415" s="379">
        <f t="shared" si="93"/>
        <v>0</v>
      </c>
      <c r="N415" s="378">
        <f t="shared" si="94"/>
        <v>1</v>
      </c>
      <c r="O415" s="379">
        <f t="shared" si="91"/>
        <v>1</v>
      </c>
      <c r="P415" s="378" t="s">
        <v>1147</v>
      </c>
      <c r="Q415" s="380" t="s">
        <v>1148</v>
      </c>
      <c r="R415" s="378"/>
    </row>
    <row r="416" spans="1:18" outlineLevel="1">
      <c r="A416" s="394"/>
      <c r="B416" s="638"/>
      <c r="C416" s="382" t="s">
        <v>1252</v>
      </c>
      <c r="D416" s="387">
        <v>0.5</v>
      </c>
      <c r="E416" s="399"/>
      <c r="F416" s="387">
        <v>0.5</v>
      </c>
      <c r="G416" s="387"/>
      <c r="H416" s="387"/>
      <c r="I416" s="387"/>
      <c r="J416" s="387"/>
      <c r="K416" s="378" t="s">
        <v>549</v>
      </c>
      <c r="L416" s="378"/>
      <c r="M416" s="379">
        <f t="shared" si="93"/>
        <v>0</v>
      </c>
      <c r="N416" s="378">
        <f t="shared" si="94"/>
        <v>1</v>
      </c>
      <c r="O416" s="379">
        <f t="shared" si="91"/>
        <v>1</v>
      </c>
      <c r="P416" s="378" t="s">
        <v>1147</v>
      </c>
      <c r="Q416" s="380" t="s">
        <v>1148</v>
      </c>
      <c r="R416" s="378"/>
    </row>
    <row r="417" spans="1:18" outlineLevel="1">
      <c r="A417" s="388" t="s">
        <v>1253</v>
      </c>
      <c r="B417" s="381"/>
      <c r="C417" s="382"/>
      <c r="D417" s="398"/>
      <c r="E417" s="389"/>
      <c r="F417" s="398"/>
      <c r="G417" s="387"/>
      <c r="H417" s="387"/>
      <c r="I417" s="387"/>
      <c r="J417" s="387"/>
      <c r="K417" s="378"/>
      <c r="L417" s="378"/>
      <c r="M417" s="379">
        <f>M418</f>
        <v>0</v>
      </c>
      <c r="N417" s="378">
        <f>N418</f>
        <v>2</v>
      </c>
      <c r="O417" s="379">
        <f t="shared" si="91"/>
        <v>2</v>
      </c>
      <c r="P417" s="378" t="s">
        <v>1147</v>
      </c>
      <c r="Q417" s="380" t="s">
        <v>1148</v>
      </c>
      <c r="R417" s="378"/>
    </row>
    <row r="418" spans="1:18" outlineLevel="1">
      <c r="A418" s="406"/>
      <c r="B418" s="388" t="s">
        <v>1254</v>
      </c>
      <c r="C418" s="382" t="s">
        <v>1222</v>
      </c>
      <c r="D418" s="387">
        <v>0.5</v>
      </c>
      <c r="E418" s="389"/>
      <c r="F418" s="398">
        <v>0.5</v>
      </c>
      <c r="G418" s="387"/>
      <c r="H418" s="387"/>
      <c r="I418" s="387"/>
      <c r="J418" s="387"/>
      <c r="K418" s="378">
        <v>1</v>
      </c>
      <c r="L418" s="378"/>
      <c r="M418" s="379">
        <f>IFERROR(MIN(MAX(0,IF(K418="N/A",0,IF((D418=E418),5,5-QUOTIENT(D418,E418)))), MAX(0,IF(K418="N/A",0,IF((F418=G418),5,5-QUOTIENT(F418,G418))))),0)</f>
        <v>0</v>
      </c>
      <c r="N418" s="378">
        <f>IF(K418="N/A", 1, 2)</f>
        <v>2</v>
      </c>
      <c r="O418" s="379">
        <f t="shared" si="91"/>
        <v>2</v>
      </c>
      <c r="P418" s="378" t="s">
        <v>1147</v>
      </c>
      <c r="Q418" s="380" t="s">
        <v>1148</v>
      </c>
      <c r="R418" s="378"/>
    </row>
    <row r="419" spans="1:18" outlineLevel="1">
      <c r="A419" s="388" t="s">
        <v>1255</v>
      </c>
      <c r="B419" s="381"/>
      <c r="C419" s="382"/>
      <c r="D419" s="398"/>
      <c r="E419" s="389"/>
      <c r="F419" s="398"/>
      <c r="G419" s="387"/>
      <c r="H419" s="387"/>
      <c r="I419" s="387"/>
      <c r="J419" s="387"/>
      <c r="K419" s="378"/>
      <c r="L419" s="378"/>
      <c r="M419" s="379">
        <f>M420</f>
        <v>0</v>
      </c>
      <c r="N419" s="378">
        <f>N420</f>
        <v>1</v>
      </c>
      <c r="O419" s="379">
        <f t="shared" si="91"/>
        <v>1</v>
      </c>
      <c r="P419" s="378" t="s">
        <v>1147</v>
      </c>
      <c r="Q419" s="380" t="s">
        <v>1148</v>
      </c>
      <c r="R419" s="378"/>
    </row>
    <row r="420" spans="1:18" outlineLevel="1">
      <c r="A420" s="406"/>
      <c r="B420" s="388" t="s">
        <v>1256</v>
      </c>
      <c r="C420" s="382" t="s">
        <v>1222</v>
      </c>
      <c r="D420" s="387">
        <v>0.5</v>
      </c>
      <c r="E420" s="389"/>
      <c r="F420" s="398">
        <v>0.5</v>
      </c>
      <c r="G420" s="387"/>
      <c r="H420" s="387"/>
      <c r="I420" s="387"/>
      <c r="J420" s="387"/>
      <c r="K420" s="378" t="s">
        <v>549</v>
      </c>
      <c r="L420" s="378"/>
      <c r="M420" s="379">
        <f>IFERROR(MIN(MAX(0,IF(K420="N/A",0,IF((D420=E420),5,5-QUOTIENT(D420,E420)))), MAX(0,IF(K420="N/A",0,IF((F420=G420),5,5-QUOTIENT(F420,G420))))),0)</f>
        <v>0</v>
      </c>
      <c r="N420" s="378">
        <f>IF(K420="N/A", 1, 2)</f>
        <v>1</v>
      </c>
      <c r="O420" s="379">
        <f t="shared" si="91"/>
        <v>1</v>
      </c>
      <c r="P420" s="378" t="s">
        <v>1147</v>
      </c>
      <c r="Q420" s="380" t="s">
        <v>1148</v>
      </c>
      <c r="R420" s="378"/>
    </row>
    <row r="421" spans="1:18" outlineLevel="1">
      <c r="A421" s="388" t="s">
        <v>1257</v>
      </c>
      <c r="B421" s="381"/>
      <c r="C421" s="399"/>
      <c r="D421" s="398"/>
      <c r="E421" s="389"/>
      <c r="F421" s="398"/>
      <c r="G421" s="387"/>
      <c r="H421" s="387"/>
      <c r="I421" s="387"/>
      <c r="J421" s="387"/>
      <c r="K421" s="378"/>
      <c r="L421" s="378"/>
      <c r="M421" s="379">
        <f>M422</f>
        <v>0</v>
      </c>
      <c r="N421" s="378">
        <f>N422</f>
        <v>2</v>
      </c>
      <c r="O421" s="379">
        <f>MAX(M421:N421)</f>
        <v>2</v>
      </c>
      <c r="P421" s="378" t="s">
        <v>1147</v>
      </c>
      <c r="Q421" s="380" t="s">
        <v>1148</v>
      </c>
      <c r="R421" s="378"/>
    </row>
    <row r="422" spans="1:18" outlineLevel="1">
      <c r="A422" s="406"/>
      <c r="B422" s="388" t="s">
        <v>673</v>
      </c>
      <c r="C422" s="382" t="s">
        <v>1222</v>
      </c>
      <c r="D422" s="387">
        <v>0.5</v>
      </c>
      <c r="E422" s="389"/>
      <c r="F422" s="398">
        <v>0.5</v>
      </c>
      <c r="G422" s="387"/>
      <c r="H422" s="387"/>
      <c r="I422" s="387"/>
      <c r="J422" s="387"/>
      <c r="K422" s="378">
        <v>1</v>
      </c>
      <c r="L422" s="378"/>
      <c r="M422" s="379">
        <f>IFERROR(MIN(MAX(0,IF(K422="N/A",0,IF((D422=E422),5,5-QUOTIENT(D422,E422)))), MAX(0,IF(K422="N/A",0,IF((F422=G422),5,5-QUOTIENT(F422,G422))))),0)</f>
        <v>0</v>
      </c>
      <c r="N422" s="378">
        <f>IF(K422="N/A", 1, 2)</f>
        <v>2</v>
      </c>
      <c r="O422" s="379">
        <f t="shared" ref="O422" si="95">MAX(M422:N422)</f>
        <v>2</v>
      </c>
      <c r="P422" s="378" t="s">
        <v>1147</v>
      </c>
      <c r="Q422" s="380" t="s">
        <v>1148</v>
      </c>
      <c r="R422" s="378"/>
    </row>
    <row r="423" spans="1:18" outlineLevel="1">
      <c r="A423" s="388" t="s">
        <v>1258</v>
      </c>
      <c r="B423" s="381"/>
      <c r="C423" s="399"/>
      <c r="D423" s="398"/>
      <c r="E423" s="389"/>
      <c r="F423" s="398"/>
      <c r="G423" s="387"/>
      <c r="H423" s="387"/>
      <c r="I423" s="387"/>
      <c r="J423" s="387"/>
      <c r="K423" s="378"/>
      <c r="L423" s="378"/>
      <c r="M423" s="379">
        <f>M424</f>
        <v>0</v>
      </c>
      <c r="N423" s="378">
        <f>N424</f>
        <v>2</v>
      </c>
      <c r="O423" s="379">
        <f>MAX(M423:N423)</f>
        <v>2</v>
      </c>
      <c r="P423" s="378" t="s">
        <v>1147</v>
      </c>
      <c r="Q423" s="380" t="s">
        <v>1148</v>
      </c>
      <c r="R423" s="378"/>
    </row>
    <row r="424" spans="1:18" outlineLevel="1">
      <c r="A424" s="406"/>
      <c r="B424" s="388" t="s">
        <v>1259</v>
      </c>
      <c r="C424" s="382" t="s">
        <v>1222</v>
      </c>
      <c r="D424" s="387">
        <v>0.5</v>
      </c>
      <c r="E424" s="389"/>
      <c r="F424" s="398">
        <v>0.5</v>
      </c>
      <c r="G424" s="387"/>
      <c r="H424" s="387"/>
      <c r="I424" s="387"/>
      <c r="J424" s="387"/>
      <c r="K424" s="378">
        <v>1</v>
      </c>
      <c r="L424" s="378"/>
      <c r="M424" s="379">
        <f>IFERROR(MIN(MAX(0,IF(K424="N/A",0,IF((D424=E424),5,5-QUOTIENT(D424,E424)))), MAX(0,IF(K424="N/A",0,IF((F424=G424),5,5-QUOTIENT(F424,G424))))),0)</f>
        <v>0</v>
      </c>
      <c r="N424" s="378">
        <f>IF(K424="N/A", 1, 2)</f>
        <v>2</v>
      </c>
      <c r="O424" s="379">
        <f t="shared" ref="O424" si="96">MAX(M424:N424)</f>
        <v>2</v>
      </c>
      <c r="P424" s="378" t="s">
        <v>1147</v>
      </c>
      <c r="Q424" s="380" t="s">
        <v>1148</v>
      </c>
      <c r="R424" s="378"/>
    </row>
    <row r="425" spans="1:18" outlineLevel="1">
      <c r="A425" s="388" t="s">
        <v>1260</v>
      </c>
      <c r="B425" s="381"/>
      <c r="C425" s="399"/>
      <c r="D425" s="398"/>
      <c r="E425" s="389"/>
      <c r="F425" s="398"/>
      <c r="G425" s="387"/>
      <c r="H425" s="387"/>
      <c r="I425" s="387"/>
      <c r="J425" s="387"/>
      <c r="K425" s="378"/>
      <c r="L425" s="378"/>
      <c r="M425" s="379">
        <f>M426</f>
        <v>2</v>
      </c>
      <c r="N425" s="378">
        <f>N426</f>
        <v>2</v>
      </c>
      <c r="O425" s="379">
        <f>MAX(M425:N425)</f>
        <v>2</v>
      </c>
      <c r="P425" s="410" t="s">
        <v>1261</v>
      </c>
      <c r="Q425" s="411" t="s">
        <v>1262</v>
      </c>
      <c r="R425" s="378"/>
    </row>
    <row r="426" spans="1:18" outlineLevel="1">
      <c r="A426" s="412"/>
      <c r="B426" s="388" t="s">
        <v>1263</v>
      </c>
      <c r="C426" s="413" t="s">
        <v>1264</v>
      </c>
      <c r="D426" s="414">
        <v>5</v>
      </c>
      <c r="E426" s="414">
        <v>2</v>
      </c>
      <c r="F426" s="414">
        <v>5</v>
      </c>
      <c r="G426" s="391">
        <v>2</v>
      </c>
      <c r="H426" s="391"/>
      <c r="I426" s="391"/>
      <c r="J426" s="391"/>
      <c r="K426" s="378">
        <v>2</v>
      </c>
      <c r="L426" s="378"/>
      <c r="M426" s="379">
        <f>IFERROR(MIN(MAX(0,IF(K426="N/A",0,IF((D426=E426),5,5-QUOTIENT(D426,E426)-1))), MAX(0,IF(K426="N/A",0,IF((F426=G426),5,5-QUOTIENT(F426,G426)-1)))),0)</f>
        <v>2</v>
      </c>
      <c r="N426" s="378">
        <f>IF(K426="N/A", 1, 2)</f>
        <v>2</v>
      </c>
      <c r="O426" s="379">
        <f t="shared" ref="O426:O427" si="97">MAX(M426:N426)</f>
        <v>2</v>
      </c>
      <c r="P426" s="410" t="s">
        <v>1261</v>
      </c>
      <c r="Q426" s="411" t="s">
        <v>1262</v>
      </c>
      <c r="R426" s="378"/>
    </row>
    <row r="427" spans="1:18" outlineLevel="1">
      <c r="A427" s="415" t="s">
        <v>1265</v>
      </c>
      <c r="B427" s="416" t="s">
        <v>767</v>
      </c>
      <c r="C427" s="413" t="s">
        <v>1264</v>
      </c>
      <c r="D427" s="414">
        <v>5</v>
      </c>
      <c r="E427" s="414">
        <v>2</v>
      </c>
      <c r="F427" s="414">
        <v>5</v>
      </c>
      <c r="G427" s="391">
        <v>2</v>
      </c>
      <c r="H427" s="391"/>
      <c r="I427" s="391"/>
      <c r="J427" s="391"/>
      <c r="K427" s="378">
        <v>2</v>
      </c>
      <c r="L427" s="378"/>
      <c r="M427" s="379">
        <f>IFERROR(MIN(MAX(0,IF(K427="N/A",0,IF((D427=E427),5,5-QUOTIENT(D427,E427)-1))), MAX(0,IF(K427="N/A",0,IF((F427=G427),5,5-QUOTIENT(F427,G427)-1)))),0)</f>
        <v>2</v>
      </c>
      <c r="N427" s="378">
        <f>IF(K427="N/A", 1, 2)</f>
        <v>2</v>
      </c>
      <c r="O427" s="379">
        <f t="shared" si="97"/>
        <v>2</v>
      </c>
      <c r="P427" s="410" t="s">
        <v>1261</v>
      </c>
      <c r="Q427" s="411" t="s">
        <v>1262</v>
      </c>
      <c r="R427" s="378"/>
    </row>
    <row r="428" spans="1:18">
      <c r="A428" s="362" t="s">
        <v>1272</v>
      </c>
      <c r="B428" s="646"/>
      <c r="D428" s="364"/>
      <c r="E428" s="364"/>
      <c r="F428" s="371"/>
      <c r="G428" s="364"/>
      <c r="H428" s="364"/>
      <c r="I428" s="364"/>
      <c r="J428" s="364"/>
      <c r="K428" s="364"/>
      <c r="L428" s="364"/>
      <c r="M428" s="371"/>
      <c r="N428" s="364"/>
      <c r="O428" s="371"/>
      <c r="P428" s="364"/>
      <c r="Q428" s="364"/>
    </row>
    <row r="429" spans="1:18">
      <c r="B429" s="646"/>
      <c r="D429" s="364"/>
      <c r="E429" s="417"/>
      <c r="F429" s="418"/>
      <c r="G429" s="364"/>
      <c r="H429" s="364"/>
      <c r="I429" s="364"/>
      <c r="J429" s="364"/>
      <c r="K429" s="364"/>
      <c r="L429" s="364"/>
      <c r="M429" s="371"/>
      <c r="N429" s="364"/>
      <c r="O429" s="371"/>
      <c r="P429" s="364"/>
      <c r="Q429" s="364"/>
      <c r="R429" s="364"/>
    </row>
    <row r="430" spans="1:18">
      <c r="B430" s="646"/>
      <c r="D430" s="364"/>
      <c r="E430" s="417"/>
      <c r="F430" s="418"/>
      <c r="G430" s="364"/>
      <c r="H430" s="364"/>
      <c r="I430" s="364"/>
      <c r="J430" s="364"/>
      <c r="K430" s="364"/>
      <c r="L430" s="364"/>
      <c r="M430" s="371"/>
      <c r="N430" s="364"/>
      <c r="O430" s="371"/>
      <c r="P430" s="364"/>
      <c r="Q430" s="364"/>
      <c r="R430" s="364"/>
    </row>
    <row r="431" spans="1:18" outlineLevel="1">
      <c r="A431" s="362"/>
      <c r="C431" s="363"/>
      <c r="D431" s="628" t="s">
        <v>1132</v>
      </c>
      <c r="E431" s="629"/>
      <c r="F431" s="628" t="s">
        <v>1133</v>
      </c>
      <c r="G431" s="629"/>
      <c r="H431" s="370"/>
      <c r="I431" s="370"/>
      <c r="J431" s="370"/>
      <c r="K431" s="364"/>
      <c r="L431" s="364"/>
      <c r="M431" s="371"/>
      <c r="N431" s="364"/>
      <c r="O431" s="371"/>
      <c r="P431" s="364"/>
      <c r="Q431" s="364"/>
    </row>
    <row r="432" spans="1:18" outlineLevel="1">
      <c r="A432" s="372" t="s">
        <v>1134</v>
      </c>
      <c r="B432" s="373" t="s">
        <v>1135</v>
      </c>
      <c r="C432" s="373" t="s">
        <v>1136</v>
      </c>
      <c r="D432" s="373" t="s">
        <v>1137</v>
      </c>
      <c r="E432" s="373" t="s">
        <v>1138</v>
      </c>
      <c r="F432" s="374" t="s">
        <v>1137</v>
      </c>
      <c r="G432" s="373" t="s">
        <v>1138</v>
      </c>
      <c r="H432" s="373" t="s">
        <v>1268</v>
      </c>
      <c r="I432" s="373" t="s">
        <v>1269</v>
      </c>
      <c r="J432" s="373" t="s">
        <v>1270</v>
      </c>
      <c r="K432" s="375" t="s">
        <v>1139</v>
      </c>
      <c r="L432" s="375" t="s">
        <v>1271</v>
      </c>
      <c r="M432" s="374" t="s">
        <v>1140</v>
      </c>
      <c r="N432" s="373" t="s">
        <v>1141</v>
      </c>
      <c r="O432" s="374" t="s">
        <v>1142</v>
      </c>
      <c r="P432" s="373" t="s">
        <v>1143</v>
      </c>
      <c r="Q432" s="373" t="s">
        <v>1144</v>
      </c>
      <c r="R432" s="373" t="s">
        <v>1145</v>
      </c>
    </row>
    <row r="433" spans="1:18" outlineLevel="1">
      <c r="A433" s="376" t="s">
        <v>1146</v>
      </c>
      <c r="B433" s="630"/>
      <c r="C433" s="631"/>
      <c r="D433" s="631"/>
      <c r="E433" s="631"/>
      <c r="F433" s="631"/>
      <c r="G433" s="632"/>
      <c r="H433" s="377"/>
      <c r="I433" s="377"/>
      <c r="J433" s="377"/>
      <c r="K433" s="378"/>
      <c r="L433" s="378"/>
      <c r="M433" s="379">
        <f>IFERROR(MIN(M434:M452),0)</f>
        <v>0</v>
      </c>
      <c r="N433" s="378">
        <f>N434</f>
        <v>2</v>
      </c>
      <c r="O433" s="379">
        <f>MAX(M433:N433)</f>
        <v>2</v>
      </c>
      <c r="P433" s="378" t="s">
        <v>1147</v>
      </c>
      <c r="Q433" s="380" t="s">
        <v>1148</v>
      </c>
      <c r="R433" s="378"/>
    </row>
    <row r="434" spans="1:18" outlineLevel="1">
      <c r="A434" s="376"/>
      <c r="B434" s="381" t="s">
        <v>1149</v>
      </c>
      <c r="C434" s="382" t="s">
        <v>1150</v>
      </c>
      <c r="D434" s="378">
        <v>99</v>
      </c>
      <c r="E434" s="383"/>
      <c r="F434" s="384">
        <v>90</v>
      </c>
      <c r="G434" s="378"/>
      <c r="H434" s="378"/>
      <c r="I434" s="378"/>
      <c r="J434" s="378"/>
      <c r="K434" s="378">
        <v>1</v>
      </c>
      <c r="L434" s="378"/>
      <c r="M434" s="379">
        <f t="shared" ref="M434:M452" si="98">IFERROR(MIN(MAX(0,IF(K434="N/A",0,IF((D434=E434),5,5-QUOTIENT(D434,E434)))), MAX(0,IF(K434="N/A",0,IF((F434=G434),5,5-QUOTIENT(F434,G434))))),0)</f>
        <v>0</v>
      </c>
      <c r="N434" s="378">
        <f>IF(K434="N/A", 1, 2)</f>
        <v>2</v>
      </c>
      <c r="O434" s="379">
        <f>MAX(M434:N434)</f>
        <v>2</v>
      </c>
      <c r="P434" s="378" t="s">
        <v>1147</v>
      </c>
      <c r="Q434" s="380" t="s">
        <v>1148</v>
      </c>
      <c r="R434" s="378"/>
    </row>
    <row r="435" spans="1:18" outlineLevel="1">
      <c r="A435" s="376"/>
      <c r="B435" s="633" t="s">
        <v>1151</v>
      </c>
      <c r="C435" s="382" t="s">
        <v>1152</v>
      </c>
      <c r="D435" s="378">
        <v>5</v>
      </c>
      <c r="E435" s="383"/>
      <c r="F435" s="384">
        <v>5</v>
      </c>
      <c r="G435" s="378"/>
      <c r="H435" s="378"/>
      <c r="I435" s="378"/>
      <c r="J435" s="378"/>
      <c r="K435" s="378">
        <v>1</v>
      </c>
      <c r="L435" s="378"/>
      <c r="M435" s="379">
        <f t="shared" si="98"/>
        <v>0</v>
      </c>
      <c r="N435" s="378">
        <f t="shared" ref="N435:N452" si="99">IF(K435="N/A", 1, 2)</f>
        <v>2</v>
      </c>
      <c r="O435" s="379">
        <f t="shared" ref="O435:O480" si="100">MAX(M435:N435)</f>
        <v>2</v>
      </c>
      <c r="P435" s="378" t="s">
        <v>1147</v>
      </c>
      <c r="Q435" s="380" t="s">
        <v>1148</v>
      </c>
      <c r="R435" s="378"/>
    </row>
    <row r="436" spans="1:18" outlineLevel="1">
      <c r="A436" s="376"/>
      <c r="B436" s="634"/>
      <c r="C436" s="382" t="s">
        <v>1153</v>
      </c>
      <c r="D436" s="378">
        <v>5</v>
      </c>
      <c r="E436" s="383"/>
      <c r="F436" s="384">
        <v>5</v>
      </c>
      <c r="G436" s="378"/>
      <c r="H436" s="378"/>
      <c r="I436" s="378"/>
      <c r="J436" s="378"/>
      <c r="K436" s="378">
        <v>1</v>
      </c>
      <c r="L436" s="378"/>
      <c r="M436" s="379">
        <f t="shared" si="98"/>
        <v>0</v>
      </c>
      <c r="N436" s="378">
        <f t="shared" si="99"/>
        <v>2</v>
      </c>
      <c r="O436" s="379">
        <f t="shared" si="100"/>
        <v>2</v>
      </c>
      <c r="P436" s="378" t="s">
        <v>1147</v>
      </c>
      <c r="Q436" s="380" t="s">
        <v>1148</v>
      </c>
      <c r="R436" s="378"/>
    </row>
    <row r="437" spans="1:18" outlineLevel="1">
      <c r="A437" s="376"/>
      <c r="B437" s="635"/>
      <c r="C437" s="382" t="s">
        <v>1154</v>
      </c>
      <c r="D437" s="378">
        <v>0.5</v>
      </c>
      <c r="E437" s="383"/>
      <c r="F437" s="384">
        <v>0.5</v>
      </c>
      <c r="G437" s="378"/>
      <c r="H437" s="378"/>
      <c r="I437" s="378"/>
      <c r="J437" s="378"/>
      <c r="K437" s="378">
        <v>1</v>
      </c>
      <c r="L437" s="378"/>
      <c r="M437" s="379">
        <f t="shared" si="98"/>
        <v>0</v>
      </c>
      <c r="N437" s="378">
        <f t="shared" si="99"/>
        <v>2</v>
      </c>
      <c r="O437" s="379">
        <f t="shared" si="100"/>
        <v>2</v>
      </c>
      <c r="P437" s="378" t="s">
        <v>1147</v>
      </c>
      <c r="Q437" s="380" t="s">
        <v>1148</v>
      </c>
      <c r="R437" s="378"/>
    </row>
    <row r="438" spans="1:18" outlineLevel="1">
      <c r="A438" s="376"/>
      <c r="B438" s="633" t="s">
        <v>1155</v>
      </c>
      <c r="C438" s="382" t="s">
        <v>1152</v>
      </c>
      <c r="D438" s="378">
        <v>10</v>
      </c>
      <c r="E438" s="383"/>
      <c r="F438" s="384">
        <v>15</v>
      </c>
      <c r="G438" s="378"/>
      <c r="H438" s="378"/>
      <c r="I438" s="378"/>
      <c r="J438" s="378"/>
      <c r="K438" s="378">
        <v>1</v>
      </c>
      <c r="L438" s="378"/>
      <c r="M438" s="379">
        <f t="shared" si="98"/>
        <v>0</v>
      </c>
      <c r="N438" s="378">
        <f t="shared" si="99"/>
        <v>2</v>
      </c>
      <c r="O438" s="379">
        <f t="shared" si="100"/>
        <v>2</v>
      </c>
      <c r="P438" s="378" t="s">
        <v>1147</v>
      </c>
      <c r="Q438" s="380" t="s">
        <v>1148</v>
      </c>
      <c r="R438" s="378"/>
    </row>
    <row r="439" spans="1:18" outlineLevel="1">
      <c r="A439" s="376"/>
      <c r="B439" s="634"/>
      <c r="C439" s="382" t="s">
        <v>1153</v>
      </c>
      <c r="D439" s="378">
        <v>10</v>
      </c>
      <c r="E439" s="383"/>
      <c r="F439" s="384">
        <v>15</v>
      </c>
      <c r="G439" s="378"/>
      <c r="H439" s="378"/>
      <c r="I439" s="378"/>
      <c r="J439" s="378"/>
      <c r="K439" s="378">
        <v>1</v>
      </c>
      <c r="L439" s="378"/>
      <c r="M439" s="379">
        <f t="shared" si="98"/>
        <v>0</v>
      </c>
      <c r="N439" s="378">
        <f t="shared" si="99"/>
        <v>2</v>
      </c>
      <c r="O439" s="379">
        <f t="shared" si="100"/>
        <v>2</v>
      </c>
      <c r="P439" s="378" t="s">
        <v>1147</v>
      </c>
      <c r="Q439" s="380" t="s">
        <v>1148</v>
      </c>
      <c r="R439" s="378"/>
    </row>
    <row r="440" spans="1:18" outlineLevel="1">
      <c r="A440" s="376"/>
      <c r="B440" s="635"/>
      <c r="C440" s="382" t="s">
        <v>1154</v>
      </c>
      <c r="D440" s="378">
        <v>0.5</v>
      </c>
      <c r="E440" s="383"/>
      <c r="F440" s="384">
        <v>0.5</v>
      </c>
      <c r="G440" s="378"/>
      <c r="H440" s="378"/>
      <c r="I440" s="378"/>
      <c r="J440" s="378"/>
      <c r="K440" s="378">
        <v>1</v>
      </c>
      <c r="L440" s="378"/>
      <c r="M440" s="379">
        <f t="shared" si="98"/>
        <v>0</v>
      </c>
      <c r="N440" s="378">
        <f t="shared" si="99"/>
        <v>2</v>
      </c>
      <c r="O440" s="379">
        <f t="shared" si="100"/>
        <v>2</v>
      </c>
      <c r="P440" s="378" t="s">
        <v>1147</v>
      </c>
      <c r="Q440" s="380" t="s">
        <v>1148</v>
      </c>
      <c r="R440" s="378"/>
    </row>
    <row r="441" spans="1:18" outlineLevel="1">
      <c r="A441" s="376"/>
      <c r="B441" s="633" t="s">
        <v>1156</v>
      </c>
      <c r="C441" s="382" t="s">
        <v>1152</v>
      </c>
      <c r="D441" s="378">
        <v>25</v>
      </c>
      <c r="E441" s="383"/>
      <c r="F441" s="384">
        <v>40</v>
      </c>
      <c r="G441" s="378"/>
      <c r="H441" s="378"/>
      <c r="I441" s="378"/>
      <c r="J441" s="378"/>
      <c r="K441" s="378">
        <v>1</v>
      </c>
      <c r="L441" s="378"/>
      <c r="M441" s="379">
        <f t="shared" si="98"/>
        <v>0</v>
      </c>
      <c r="N441" s="378">
        <f t="shared" si="99"/>
        <v>2</v>
      </c>
      <c r="O441" s="379">
        <f t="shared" si="100"/>
        <v>2</v>
      </c>
      <c r="P441" s="378" t="s">
        <v>1147</v>
      </c>
      <c r="Q441" s="380" t="s">
        <v>1148</v>
      </c>
      <c r="R441" s="378"/>
    </row>
    <row r="442" spans="1:18" outlineLevel="1">
      <c r="A442" s="376"/>
      <c r="B442" s="634"/>
      <c r="C442" s="382" t="s">
        <v>1153</v>
      </c>
      <c r="D442" s="378">
        <v>25</v>
      </c>
      <c r="E442" s="383"/>
      <c r="F442" s="384">
        <v>40</v>
      </c>
      <c r="G442" s="378"/>
      <c r="H442" s="378"/>
      <c r="I442" s="378"/>
      <c r="J442" s="378"/>
      <c r="K442" s="378">
        <v>1</v>
      </c>
      <c r="L442" s="378"/>
      <c r="M442" s="379">
        <f t="shared" si="98"/>
        <v>0</v>
      </c>
      <c r="N442" s="378">
        <f t="shared" si="99"/>
        <v>2</v>
      </c>
      <c r="O442" s="379">
        <f t="shared" si="100"/>
        <v>2</v>
      </c>
      <c r="P442" s="378" t="s">
        <v>1147</v>
      </c>
      <c r="Q442" s="380" t="s">
        <v>1148</v>
      </c>
      <c r="R442" s="378"/>
    </row>
    <row r="443" spans="1:18" outlineLevel="1">
      <c r="A443" s="376"/>
      <c r="B443" s="635"/>
      <c r="C443" s="382" t="s">
        <v>1154</v>
      </c>
      <c r="D443" s="378">
        <v>0.5</v>
      </c>
      <c r="E443" s="383"/>
      <c r="F443" s="384">
        <v>0.5</v>
      </c>
      <c r="G443" s="378"/>
      <c r="H443" s="378"/>
      <c r="I443" s="378"/>
      <c r="J443" s="378"/>
      <c r="K443" s="378">
        <v>1</v>
      </c>
      <c r="L443" s="378"/>
      <c r="M443" s="379">
        <f t="shared" si="98"/>
        <v>0</v>
      </c>
      <c r="N443" s="378">
        <f t="shared" si="99"/>
        <v>2</v>
      </c>
      <c r="O443" s="379">
        <f t="shared" si="100"/>
        <v>2</v>
      </c>
      <c r="P443" s="378" t="s">
        <v>1147</v>
      </c>
      <c r="Q443" s="380" t="s">
        <v>1148</v>
      </c>
      <c r="R443" s="378"/>
    </row>
    <row r="444" spans="1:18" outlineLevel="1">
      <c r="A444" s="376"/>
      <c r="B444" s="633" t="s">
        <v>1157</v>
      </c>
      <c r="C444" s="382" t="s">
        <v>1158</v>
      </c>
      <c r="D444" s="378">
        <v>5</v>
      </c>
      <c r="E444" s="383"/>
      <c r="F444" s="384">
        <v>10</v>
      </c>
      <c r="G444" s="378"/>
      <c r="H444" s="378"/>
      <c r="I444" s="378"/>
      <c r="J444" s="378"/>
      <c r="K444" s="378">
        <v>1</v>
      </c>
      <c r="L444" s="378"/>
      <c r="M444" s="379">
        <f t="shared" si="98"/>
        <v>0</v>
      </c>
      <c r="N444" s="378">
        <f t="shared" si="99"/>
        <v>2</v>
      </c>
      <c r="O444" s="379">
        <f t="shared" si="100"/>
        <v>2</v>
      </c>
      <c r="P444" s="378" t="s">
        <v>1147</v>
      </c>
      <c r="Q444" s="380" t="s">
        <v>1148</v>
      </c>
      <c r="R444" s="378"/>
    </row>
    <row r="445" spans="1:18" outlineLevel="1">
      <c r="A445" s="376"/>
      <c r="B445" s="634"/>
      <c r="C445" s="382" t="s">
        <v>1159</v>
      </c>
      <c r="D445" s="378">
        <v>5</v>
      </c>
      <c r="E445" s="383"/>
      <c r="F445" s="384">
        <v>10</v>
      </c>
      <c r="G445" s="378"/>
      <c r="H445" s="378"/>
      <c r="I445" s="378"/>
      <c r="J445" s="378"/>
      <c r="K445" s="378">
        <v>1</v>
      </c>
      <c r="L445" s="378"/>
      <c r="M445" s="379">
        <f t="shared" si="98"/>
        <v>0</v>
      </c>
      <c r="N445" s="378">
        <f t="shared" si="99"/>
        <v>2</v>
      </c>
      <c r="O445" s="379">
        <f t="shared" si="100"/>
        <v>2</v>
      </c>
      <c r="P445" s="378" t="s">
        <v>1147</v>
      </c>
      <c r="Q445" s="380" t="s">
        <v>1148</v>
      </c>
      <c r="R445" s="378"/>
    </row>
    <row r="446" spans="1:18" outlineLevel="1">
      <c r="A446" s="376"/>
      <c r="B446" s="635"/>
      <c r="C446" s="382" t="s">
        <v>1160</v>
      </c>
      <c r="D446" s="378">
        <v>0.5</v>
      </c>
      <c r="E446" s="383"/>
      <c r="F446" s="384">
        <v>0.5</v>
      </c>
      <c r="G446" s="378"/>
      <c r="H446" s="378"/>
      <c r="I446" s="378"/>
      <c r="J446" s="378"/>
      <c r="K446" s="378">
        <v>1</v>
      </c>
      <c r="L446" s="378"/>
      <c r="M446" s="379">
        <f t="shared" si="98"/>
        <v>0</v>
      </c>
      <c r="N446" s="378">
        <f t="shared" si="99"/>
        <v>2</v>
      </c>
      <c r="O446" s="379">
        <f t="shared" si="100"/>
        <v>2</v>
      </c>
      <c r="P446" s="378" t="s">
        <v>1147</v>
      </c>
      <c r="Q446" s="380" t="s">
        <v>1148</v>
      </c>
      <c r="R446" s="378"/>
    </row>
    <row r="447" spans="1:18" outlineLevel="1">
      <c r="A447" s="376"/>
      <c r="B447" s="633" t="s">
        <v>1161</v>
      </c>
      <c r="C447" s="382" t="s">
        <v>1158</v>
      </c>
      <c r="D447" s="378">
        <v>5</v>
      </c>
      <c r="E447" s="383"/>
      <c r="F447" s="384">
        <v>10</v>
      </c>
      <c r="G447" s="378"/>
      <c r="H447" s="378"/>
      <c r="I447" s="378"/>
      <c r="J447" s="378"/>
      <c r="K447" s="378">
        <v>1</v>
      </c>
      <c r="L447" s="378"/>
      <c r="M447" s="379">
        <f t="shared" si="98"/>
        <v>0</v>
      </c>
      <c r="N447" s="378">
        <f t="shared" si="99"/>
        <v>2</v>
      </c>
      <c r="O447" s="379">
        <f t="shared" si="100"/>
        <v>2</v>
      </c>
      <c r="P447" s="378" t="s">
        <v>1147</v>
      </c>
      <c r="Q447" s="380" t="s">
        <v>1148</v>
      </c>
      <c r="R447" s="378"/>
    </row>
    <row r="448" spans="1:18" outlineLevel="1">
      <c r="A448" s="376"/>
      <c r="B448" s="634"/>
      <c r="C448" s="382" t="s">
        <v>1159</v>
      </c>
      <c r="D448" s="378">
        <v>5</v>
      </c>
      <c r="E448" s="383"/>
      <c r="F448" s="384">
        <v>10</v>
      </c>
      <c r="G448" s="378"/>
      <c r="H448" s="378"/>
      <c r="I448" s="378"/>
      <c r="J448" s="378"/>
      <c r="K448" s="378">
        <v>1</v>
      </c>
      <c r="L448" s="378"/>
      <c r="M448" s="379">
        <f t="shared" si="98"/>
        <v>0</v>
      </c>
      <c r="N448" s="378">
        <f t="shared" si="99"/>
        <v>2</v>
      </c>
      <c r="O448" s="379">
        <f t="shared" si="100"/>
        <v>2</v>
      </c>
      <c r="P448" s="378" t="s">
        <v>1147</v>
      </c>
      <c r="Q448" s="380" t="s">
        <v>1148</v>
      </c>
      <c r="R448" s="378"/>
    </row>
    <row r="449" spans="1:18" outlineLevel="1">
      <c r="A449" s="376"/>
      <c r="B449" s="635"/>
      <c r="C449" s="382" t="s">
        <v>1160</v>
      </c>
      <c r="D449" s="378">
        <v>0.5</v>
      </c>
      <c r="E449" s="383"/>
      <c r="F449" s="384">
        <v>0.5</v>
      </c>
      <c r="G449" s="378"/>
      <c r="H449" s="378"/>
      <c r="I449" s="378"/>
      <c r="J449" s="378"/>
      <c r="K449" s="378">
        <v>1</v>
      </c>
      <c r="L449" s="378"/>
      <c r="M449" s="379">
        <f t="shared" si="98"/>
        <v>0</v>
      </c>
      <c r="N449" s="378">
        <f t="shared" si="99"/>
        <v>2</v>
      </c>
      <c r="O449" s="379">
        <f t="shared" si="100"/>
        <v>2</v>
      </c>
      <c r="P449" s="378" t="s">
        <v>1147</v>
      </c>
      <c r="Q449" s="380" t="s">
        <v>1148</v>
      </c>
      <c r="R449" s="378"/>
    </row>
    <row r="450" spans="1:18" outlineLevel="1">
      <c r="A450" s="376"/>
      <c r="B450" s="633" t="s">
        <v>1162</v>
      </c>
      <c r="C450" s="382" t="s">
        <v>1158</v>
      </c>
      <c r="D450" s="378">
        <v>3</v>
      </c>
      <c r="E450" s="383"/>
      <c r="F450" s="384">
        <v>7</v>
      </c>
      <c r="G450" s="378"/>
      <c r="H450" s="378"/>
      <c r="I450" s="378"/>
      <c r="J450" s="378"/>
      <c r="K450" s="378">
        <v>1</v>
      </c>
      <c r="L450" s="378"/>
      <c r="M450" s="379">
        <f t="shared" si="98"/>
        <v>0</v>
      </c>
      <c r="N450" s="378">
        <f t="shared" si="99"/>
        <v>2</v>
      </c>
      <c r="O450" s="379">
        <f t="shared" si="100"/>
        <v>2</v>
      </c>
      <c r="P450" s="378" t="s">
        <v>1147</v>
      </c>
      <c r="Q450" s="380" t="s">
        <v>1148</v>
      </c>
      <c r="R450" s="378"/>
    </row>
    <row r="451" spans="1:18" outlineLevel="1">
      <c r="A451" s="376"/>
      <c r="B451" s="634"/>
      <c r="C451" s="382" t="s">
        <v>1159</v>
      </c>
      <c r="D451" s="378">
        <v>3</v>
      </c>
      <c r="E451" s="383"/>
      <c r="F451" s="384">
        <v>7</v>
      </c>
      <c r="G451" s="378"/>
      <c r="H451" s="378"/>
      <c r="I451" s="378"/>
      <c r="J451" s="378"/>
      <c r="K451" s="378">
        <v>1</v>
      </c>
      <c r="L451" s="378"/>
      <c r="M451" s="379">
        <f t="shared" si="98"/>
        <v>0</v>
      </c>
      <c r="N451" s="378">
        <f t="shared" si="99"/>
        <v>2</v>
      </c>
      <c r="O451" s="379">
        <f t="shared" si="100"/>
        <v>2</v>
      </c>
      <c r="P451" s="378" t="s">
        <v>1147</v>
      </c>
      <c r="Q451" s="380" t="s">
        <v>1148</v>
      </c>
      <c r="R451" s="378"/>
    </row>
    <row r="452" spans="1:18" outlineLevel="1">
      <c r="A452" s="376"/>
      <c r="B452" s="635"/>
      <c r="C452" s="382" t="s">
        <v>1160</v>
      </c>
      <c r="D452" s="385">
        <v>0.5</v>
      </c>
      <c r="E452" s="386"/>
      <c r="F452" s="385">
        <v>0.5</v>
      </c>
      <c r="G452" s="387"/>
      <c r="H452" s="387"/>
      <c r="I452" s="387"/>
      <c r="J452" s="387"/>
      <c r="K452" s="378">
        <v>1</v>
      </c>
      <c r="L452" s="378"/>
      <c r="M452" s="379">
        <f t="shared" si="98"/>
        <v>0</v>
      </c>
      <c r="N452" s="378">
        <f t="shared" si="99"/>
        <v>2</v>
      </c>
      <c r="O452" s="379">
        <f t="shared" si="100"/>
        <v>2</v>
      </c>
      <c r="P452" s="378" t="s">
        <v>1147</v>
      </c>
      <c r="Q452" s="380" t="s">
        <v>1148</v>
      </c>
      <c r="R452" s="378"/>
    </row>
    <row r="453" spans="1:18" outlineLevel="1">
      <c r="A453" s="388" t="s">
        <v>1163</v>
      </c>
      <c r="B453" s="630"/>
      <c r="C453" s="631"/>
      <c r="D453" s="631"/>
      <c r="E453" s="631"/>
      <c r="F453" s="631"/>
      <c r="G453" s="632"/>
      <c r="H453" s="377"/>
      <c r="I453" s="377"/>
      <c r="J453" s="377"/>
      <c r="K453" s="378"/>
      <c r="L453" s="378"/>
      <c r="M453" s="379">
        <f>IFERROR(MIN(M454:M456),0)</f>
        <v>0</v>
      </c>
      <c r="N453" s="378">
        <f>N454</f>
        <v>2</v>
      </c>
      <c r="O453" s="379">
        <f t="shared" si="100"/>
        <v>2</v>
      </c>
      <c r="P453" s="378" t="s">
        <v>1147</v>
      </c>
      <c r="Q453" s="380" t="s">
        <v>1148</v>
      </c>
      <c r="R453" s="378"/>
    </row>
    <row r="454" spans="1:18" outlineLevel="1">
      <c r="A454" s="388"/>
      <c r="B454" s="642" t="s">
        <v>1164</v>
      </c>
      <c r="C454" s="382" t="s">
        <v>1149</v>
      </c>
      <c r="D454" s="387">
        <v>0.98</v>
      </c>
      <c r="E454" s="389"/>
      <c r="F454" s="387">
        <v>0.9</v>
      </c>
      <c r="G454" s="387"/>
      <c r="H454" s="387"/>
      <c r="I454" s="387"/>
      <c r="J454" s="387"/>
      <c r="K454" s="378">
        <v>1</v>
      </c>
      <c r="L454" s="378"/>
      <c r="M454" s="379">
        <f>IFERROR(MIN(MAX(0,IF(K454="N/A",0,IF((D454=E454),5,5-QUOTIENT(D454,E454)))), MAX(0,IF(K454="N/A",0,IF((F454=G454),5,5-QUOTIENT(F454,G454))))),0)</f>
        <v>0</v>
      </c>
      <c r="N454" s="378">
        <f>IF(K454="N/A", 1, 2)</f>
        <v>2</v>
      </c>
      <c r="O454" s="379">
        <f t="shared" si="100"/>
        <v>2</v>
      </c>
      <c r="P454" s="378" t="s">
        <v>1147</v>
      </c>
      <c r="Q454" s="380" t="s">
        <v>1148</v>
      </c>
      <c r="R454" s="378"/>
    </row>
    <row r="455" spans="1:18" outlineLevel="1">
      <c r="A455" s="388"/>
      <c r="B455" s="642"/>
      <c r="C455" s="382" t="s">
        <v>1165</v>
      </c>
      <c r="D455" s="378">
        <v>2</v>
      </c>
      <c r="E455" s="390"/>
      <c r="F455" s="378">
        <v>4</v>
      </c>
      <c r="G455" s="387"/>
      <c r="H455" s="387"/>
      <c r="I455" s="387"/>
      <c r="J455" s="387"/>
      <c r="K455" s="378">
        <v>1</v>
      </c>
      <c r="L455" s="378"/>
      <c r="M455" s="379">
        <f>IFERROR(MIN(MAX(0,IF(K455="N/A",0,IF((D455=E455),5,5-QUOTIENT(D455,E455)))), MAX(0,IF(K455="N/A",0,IF((F455=G455),5,5-QUOTIENT(F455,G455))))),0)</f>
        <v>0</v>
      </c>
      <c r="N455" s="378">
        <f t="shared" ref="N455:N456" si="101">IF(K455="N/A", 1, 2)</f>
        <v>2</v>
      </c>
      <c r="O455" s="379">
        <f t="shared" si="100"/>
        <v>2</v>
      </c>
      <c r="P455" s="378" t="s">
        <v>1147</v>
      </c>
      <c r="Q455" s="380" t="s">
        <v>1148</v>
      </c>
      <c r="R455" s="378"/>
    </row>
    <row r="456" spans="1:18" outlineLevel="1">
      <c r="A456" s="388"/>
      <c r="B456" s="642"/>
      <c r="C456" s="382" t="s">
        <v>1153</v>
      </c>
      <c r="D456" s="378">
        <v>2</v>
      </c>
      <c r="E456" s="390"/>
      <c r="F456" s="378">
        <v>4</v>
      </c>
      <c r="G456" s="391"/>
      <c r="H456" s="391"/>
      <c r="I456" s="391"/>
      <c r="J456" s="391"/>
      <c r="K456" s="378">
        <v>1</v>
      </c>
      <c r="L456" s="378"/>
      <c r="M456" s="379">
        <f>IFERROR(MIN(MAX(0,IF(K456="N/A",0,IF((D456=E456),5,5-QUOTIENT(D456,E456)))), MAX(0,IF(K456="N/A",0,IF((F456=G456),5,5-QUOTIENT(F456,G456))))),0)</f>
        <v>0</v>
      </c>
      <c r="N456" s="378">
        <f t="shared" si="101"/>
        <v>2</v>
      </c>
      <c r="O456" s="379">
        <f t="shared" si="100"/>
        <v>2</v>
      </c>
      <c r="P456" s="378" t="s">
        <v>1147</v>
      </c>
      <c r="Q456" s="380" t="s">
        <v>1148</v>
      </c>
      <c r="R456" s="378"/>
    </row>
    <row r="457" spans="1:18" outlineLevel="1">
      <c r="A457" s="392" t="s">
        <v>1166</v>
      </c>
      <c r="B457" s="393"/>
      <c r="C457" s="382"/>
      <c r="D457" s="378"/>
      <c r="E457" s="390"/>
      <c r="F457" s="378"/>
      <c r="G457" s="391"/>
      <c r="H457" s="391"/>
      <c r="I457" s="391"/>
      <c r="J457" s="391"/>
      <c r="K457" s="378"/>
      <c r="L457" s="378"/>
      <c r="M457" s="379">
        <f>IFERROR(MIN(M458:M461),0)</f>
        <v>0</v>
      </c>
      <c r="N457" s="378">
        <f>N458</f>
        <v>2</v>
      </c>
      <c r="O457" s="379">
        <f t="shared" si="100"/>
        <v>2</v>
      </c>
      <c r="P457" s="378" t="s">
        <v>1147</v>
      </c>
      <c r="Q457" s="380" t="s">
        <v>1148</v>
      </c>
      <c r="R457" s="378"/>
    </row>
    <row r="458" spans="1:18" outlineLevel="1">
      <c r="A458" s="394"/>
      <c r="B458" s="643" t="s">
        <v>1167</v>
      </c>
      <c r="C458" s="382" t="s">
        <v>1168</v>
      </c>
      <c r="D458" s="387">
        <v>0.45</v>
      </c>
      <c r="E458" s="389"/>
      <c r="F458" s="387">
        <v>0.45</v>
      </c>
      <c r="G458" s="387"/>
      <c r="H458" s="387"/>
      <c r="I458" s="387"/>
      <c r="J458" s="387"/>
      <c r="K458" s="378">
        <v>1</v>
      </c>
      <c r="L458" s="378"/>
      <c r="M458" s="379">
        <f>IFERROR(MIN(MAX(0,IF(K458="N/A",0,IF((D458=E458),5,5-QUOTIENT(D458,E458)))), MAX(0,IF(K458="N/A",0,IF((F458=G458),5,5-QUOTIENT(F458,G458))))),0)</f>
        <v>0</v>
      </c>
      <c r="N458" s="378">
        <f>IF(K458="N/A", 1, 2)</f>
        <v>2</v>
      </c>
      <c r="O458" s="379">
        <f t="shared" si="100"/>
        <v>2</v>
      </c>
      <c r="P458" s="378" t="s">
        <v>1147</v>
      </c>
      <c r="Q458" s="380" t="s">
        <v>1148</v>
      </c>
      <c r="R458" s="378"/>
    </row>
    <row r="459" spans="1:18" outlineLevel="1">
      <c r="A459" s="394"/>
      <c r="B459" s="637"/>
      <c r="C459" s="382" t="s">
        <v>1169</v>
      </c>
      <c r="D459" s="387">
        <v>0.05</v>
      </c>
      <c r="E459" s="389"/>
      <c r="F459" s="387">
        <v>0.05</v>
      </c>
      <c r="G459" s="387"/>
      <c r="H459" s="387"/>
      <c r="I459" s="387"/>
      <c r="J459" s="387"/>
      <c r="K459" s="378">
        <v>1</v>
      </c>
      <c r="L459" s="378"/>
      <c r="M459" s="379">
        <f>IFERROR(MIN(MAX(0,IF(K459="N/A",0,IF((D459=E459),5,5-QUOTIENT(D459,E459)))), MAX(0,IF(K459="N/A",0,IF((F459=G459),5,5-QUOTIENT(F459,G459))))),0)</f>
        <v>0</v>
      </c>
      <c r="N459" s="378">
        <f t="shared" ref="N459:N461" si="102">IF(K459="N/A", 1, 2)</f>
        <v>2</v>
      </c>
      <c r="O459" s="379">
        <f t="shared" si="100"/>
        <v>2</v>
      </c>
      <c r="P459" s="378" t="s">
        <v>1147</v>
      </c>
      <c r="Q459" s="380" t="s">
        <v>1148</v>
      </c>
      <c r="R459" s="378"/>
    </row>
    <row r="460" spans="1:18" outlineLevel="1">
      <c r="A460" s="394"/>
      <c r="B460" s="637"/>
      <c r="C460" s="382" t="s">
        <v>1170</v>
      </c>
      <c r="D460" s="391">
        <v>1</v>
      </c>
      <c r="E460" s="389"/>
      <c r="F460" s="391">
        <v>1</v>
      </c>
      <c r="G460" s="387"/>
      <c r="H460" s="387"/>
      <c r="I460" s="387"/>
      <c r="J460" s="387"/>
      <c r="K460" s="378">
        <v>1</v>
      </c>
      <c r="L460" s="378"/>
      <c r="M460" s="379">
        <f>IFERROR(MIN(MAX(0,IF(K460="N/A",0,IF((D460=E460),5,5-QUOTIENT(D460,E460)))), MAX(0,IF(K460="N/A",0,IF((F460=G460),5,5-QUOTIENT(F460,G460))))),0)</f>
        <v>0</v>
      </c>
      <c r="N460" s="378">
        <f t="shared" si="102"/>
        <v>2</v>
      </c>
      <c r="O460" s="379">
        <f t="shared" si="100"/>
        <v>2</v>
      </c>
      <c r="P460" s="378" t="s">
        <v>1147</v>
      </c>
      <c r="Q460" s="380" t="s">
        <v>1148</v>
      </c>
      <c r="R460" s="378"/>
    </row>
    <row r="461" spans="1:18" outlineLevel="1">
      <c r="A461" s="394"/>
      <c r="B461" s="638"/>
      <c r="C461" s="382" t="s">
        <v>1171</v>
      </c>
      <c r="D461" s="391">
        <v>10</v>
      </c>
      <c r="E461" s="389"/>
      <c r="F461" s="391">
        <v>10</v>
      </c>
      <c r="G461" s="387"/>
      <c r="H461" s="387"/>
      <c r="I461" s="387"/>
      <c r="J461" s="387"/>
      <c r="K461" s="378">
        <v>1</v>
      </c>
      <c r="L461" s="378"/>
      <c r="M461" s="379">
        <f>IFERROR(MIN(MAX(0,IF(K461="N/A",0,IF((D461=E461),5,5-QUOTIENT(D461,E461)))), MAX(0,IF(K461="N/A",0,IF((F461=G461),5,5-QUOTIENT(F461,G461))))),0)</f>
        <v>0</v>
      </c>
      <c r="N461" s="378">
        <f t="shared" si="102"/>
        <v>2</v>
      </c>
      <c r="O461" s="379">
        <f t="shared" si="100"/>
        <v>2</v>
      </c>
      <c r="P461" s="378" t="s">
        <v>1147</v>
      </c>
      <c r="Q461" s="380" t="s">
        <v>1148</v>
      </c>
      <c r="R461" s="378"/>
    </row>
    <row r="462" spans="1:18" outlineLevel="1">
      <c r="A462" s="394" t="s">
        <v>1172</v>
      </c>
      <c r="B462" s="395"/>
      <c r="C462" s="382"/>
      <c r="D462" s="391"/>
      <c r="E462" s="389"/>
      <c r="F462" s="391"/>
      <c r="G462" s="387"/>
      <c r="H462" s="387"/>
      <c r="I462" s="387"/>
      <c r="J462" s="387"/>
      <c r="K462" s="378"/>
      <c r="L462" s="378"/>
      <c r="M462" s="379">
        <f>IFERROR(MIN(M463:M465),0)</f>
        <v>0</v>
      </c>
      <c r="N462" s="378">
        <f>N463</f>
        <v>2</v>
      </c>
      <c r="O462" s="379">
        <f t="shared" si="100"/>
        <v>2</v>
      </c>
      <c r="P462" s="378" t="s">
        <v>1147</v>
      </c>
      <c r="Q462" s="380" t="s">
        <v>1148</v>
      </c>
      <c r="R462" s="378"/>
    </row>
    <row r="463" spans="1:18" outlineLevel="1">
      <c r="A463" s="394"/>
      <c r="B463" s="636" t="s">
        <v>568</v>
      </c>
      <c r="C463" s="382" t="s">
        <v>1168</v>
      </c>
      <c r="D463" s="387">
        <v>0.8</v>
      </c>
      <c r="E463" s="389"/>
      <c r="F463" s="387">
        <v>0.8</v>
      </c>
      <c r="G463" s="387"/>
      <c r="H463" s="387"/>
      <c r="I463" s="387"/>
      <c r="J463" s="387"/>
      <c r="K463" s="378">
        <v>1</v>
      </c>
      <c r="L463" s="378"/>
      <c r="M463" s="379">
        <f>IFERROR(MIN(MAX(0,IF(K463="N/A",0,IF((D463=E463),5,5-QUOTIENT(D463,E463)))), MAX(0,IF(K463="N/A",0,IF((F463=G463),5,5-QUOTIENT(F463,G463))))),0)</f>
        <v>0</v>
      </c>
      <c r="N463" s="378">
        <f>IF(K463="N/A", 1, 2)</f>
        <v>2</v>
      </c>
      <c r="O463" s="379">
        <f t="shared" si="100"/>
        <v>2</v>
      </c>
      <c r="P463" s="378" t="s">
        <v>1147</v>
      </c>
      <c r="Q463" s="380" t="s">
        <v>1148</v>
      </c>
      <c r="R463" s="378"/>
    </row>
    <row r="464" spans="1:18" outlineLevel="1">
      <c r="A464" s="394"/>
      <c r="B464" s="637"/>
      <c r="C464" s="382" t="s">
        <v>1170</v>
      </c>
      <c r="D464" s="390">
        <v>0.05</v>
      </c>
      <c r="E464" s="389"/>
      <c r="F464" s="390">
        <v>0.05</v>
      </c>
      <c r="G464" s="387"/>
      <c r="H464" s="387"/>
      <c r="I464" s="387"/>
      <c r="J464" s="387"/>
      <c r="K464" s="378">
        <v>1</v>
      </c>
      <c r="L464" s="378"/>
      <c r="M464" s="379">
        <f>IFERROR(MIN(MAX(0,IF(K464="N/A",0,IF((D464=E464),5,5-QUOTIENT(D464,E464)))), MAX(0,IF(K464="N/A",0,IF((F464=G464),5,5-QUOTIENT(F464,G464))))),0)</f>
        <v>0</v>
      </c>
      <c r="N464" s="378">
        <f t="shared" ref="N464:N465" si="103">IF(K464="N/A", 1, 2)</f>
        <v>2</v>
      </c>
      <c r="O464" s="379">
        <f t="shared" si="100"/>
        <v>2</v>
      </c>
      <c r="P464" s="378" t="s">
        <v>1147</v>
      </c>
      <c r="Q464" s="380" t="s">
        <v>1148</v>
      </c>
      <c r="R464" s="378"/>
    </row>
    <row r="465" spans="1:18" outlineLevel="1">
      <c r="A465" s="394"/>
      <c r="B465" s="638"/>
      <c r="C465" s="382" t="s">
        <v>1173</v>
      </c>
      <c r="D465" s="391">
        <v>10</v>
      </c>
      <c r="E465" s="389"/>
      <c r="F465" s="391">
        <v>10</v>
      </c>
      <c r="G465" s="387"/>
      <c r="H465" s="387"/>
      <c r="I465" s="387"/>
      <c r="J465" s="387"/>
      <c r="K465" s="378">
        <v>1</v>
      </c>
      <c r="L465" s="378"/>
      <c r="M465" s="379">
        <f>IFERROR(MIN(MAX(0,IF(K465="N/A",0,IF((D465=E465),5,5-QUOTIENT(D465,E465)))), MAX(0,IF(K465="N/A",0,IF((F465=G465),5,5-QUOTIENT(F465,G465))))),0)</f>
        <v>0</v>
      </c>
      <c r="N465" s="378">
        <f t="shared" si="103"/>
        <v>2</v>
      </c>
      <c r="O465" s="379">
        <f t="shared" si="100"/>
        <v>2</v>
      </c>
      <c r="P465" s="378" t="s">
        <v>1147</v>
      </c>
      <c r="Q465" s="380" t="s">
        <v>1148</v>
      </c>
      <c r="R465" s="378"/>
    </row>
    <row r="466" spans="1:18" outlineLevel="1">
      <c r="A466" s="394" t="s">
        <v>1174</v>
      </c>
      <c r="B466" s="395"/>
      <c r="C466" s="382"/>
      <c r="D466" s="391"/>
      <c r="E466" s="389"/>
      <c r="F466" s="391"/>
      <c r="G466" s="387"/>
      <c r="H466" s="387"/>
      <c r="I466" s="387"/>
      <c r="J466" s="387"/>
      <c r="K466" s="378"/>
      <c r="L466" s="378"/>
      <c r="M466" s="379">
        <f>IFERROR(MIN(M467:M469),0)</f>
        <v>0</v>
      </c>
      <c r="N466" s="378">
        <f>N467</f>
        <v>2</v>
      </c>
      <c r="O466" s="379">
        <f t="shared" si="100"/>
        <v>2</v>
      </c>
      <c r="P466" s="378" t="s">
        <v>1147</v>
      </c>
      <c r="Q466" s="380" t="s">
        <v>1148</v>
      </c>
      <c r="R466" s="378"/>
    </row>
    <row r="467" spans="1:18" outlineLevel="1">
      <c r="A467" s="394"/>
      <c r="B467" s="636" t="s">
        <v>571</v>
      </c>
      <c r="C467" s="382" t="s">
        <v>1168</v>
      </c>
      <c r="D467" s="387">
        <v>0.95</v>
      </c>
      <c r="E467" s="389"/>
      <c r="F467" s="387">
        <v>0.95</v>
      </c>
      <c r="G467" s="387"/>
      <c r="H467" s="387"/>
      <c r="I467" s="387"/>
      <c r="J467" s="387"/>
      <c r="K467" s="378">
        <v>1</v>
      </c>
      <c r="L467" s="378"/>
      <c r="M467" s="379">
        <f>IFERROR(MIN(MAX(0,IF(K467="N/A",0,IF((D467=E467),5,5-QUOTIENT(D467,E467)))), MAX(0,IF(K467="N/A",0,IF((F467=G467),5,5-QUOTIENT(F467,G467))))),0)</f>
        <v>0</v>
      </c>
      <c r="N467" s="378">
        <f t="shared" ref="N467:N469" si="104">IF(K467="N/A", 0, 2)</f>
        <v>2</v>
      </c>
      <c r="O467" s="379">
        <f t="shared" si="100"/>
        <v>2</v>
      </c>
      <c r="P467" s="378" t="s">
        <v>1147</v>
      </c>
      <c r="Q467" s="380" t="s">
        <v>1148</v>
      </c>
      <c r="R467" s="378"/>
    </row>
    <row r="468" spans="1:18" outlineLevel="1">
      <c r="A468" s="394"/>
      <c r="B468" s="637"/>
      <c r="C468" s="382" t="s">
        <v>1170</v>
      </c>
      <c r="D468" s="390">
        <v>0.01</v>
      </c>
      <c r="E468" s="389"/>
      <c r="F468" s="390">
        <v>0.01</v>
      </c>
      <c r="G468" s="387"/>
      <c r="H468" s="387"/>
      <c r="I468" s="387"/>
      <c r="J468" s="387"/>
      <c r="K468" s="378">
        <v>1</v>
      </c>
      <c r="L468" s="378"/>
      <c r="M468" s="379">
        <f>IFERROR(MIN(MAX(0,IF(K468="N/A",0,IF((D468=E468),5,5-QUOTIENT(D468,E468)))), MAX(0,IF(K468="N/A",0,IF((F468=G468),5,5-QUOTIENT(F468,G468))))),0)</f>
        <v>0</v>
      </c>
      <c r="N468" s="378">
        <f t="shared" si="104"/>
        <v>2</v>
      </c>
      <c r="O468" s="379">
        <f t="shared" si="100"/>
        <v>2</v>
      </c>
      <c r="P468" s="378" t="s">
        <v>1147</v>
      </c>
      <c r="Q468" s="380" t="s">
        <v>1148</v>
      </c>
      <c r="R468" s="378"/>
    </row>
    <row r="469" spans="1:18" outlineLevel="1">
      <c r="A469" s="394"/>
      <c r="B469" s="638"/>
      <c r="C469" s="382" t="s">
        <v>1173</v>
      </c>
      <c r="D469" s="391">
        <v>6</v>
      </c>
      <c r="E469" s="389"/>
      <c r="F469" s="391">
        <v>6</v>
      </c>
      <c r="G469" s="387"/>
      <c r="H469" s="387"/>
      <c r="I469" s="387"/>
      <c r="J469" s="387"/>
      <c r="K469" s="378">
        <v>1</v>
      </c>
      <c r="L469" s="378"/>
      <c r="M469" s="379">
        <f>IFERROR(MIN(MAX(0,IF(K469="N/A",0,IF((D469=E469),5,5-QUOTIENT(D469,E469)))), MAX(0,IF(K469="N/A",0,IF((F469=G469),5,5-QUOTIENT(F469,G469))))),0)</f>
        <v>0</v>
      </c>
      <c r="N469" s="378">
        <f t="shared" si="104"/>
        <v>2</v>
      </c>
      <c r="O469" s="379">
        <f t="shared" si="100"/>
        <v>2</v>
      </c>
      <c r="P469" s="378" t="s">
        <v>1147</v>
      </c>
      <c r="Q469" s="380" t="s">
        <v>1148</v>
      </c>
      <c r="R469" s="378"/>
    </row>
    <row r="470" spans="1:18" outlineLevel="1">
      <c r="A470" s="394" t="s">
        <v>1175</v>
      </c>
      <c r="B470" s="396"/>
      <c r="C470" s="382"/>
      <c r="D470" s="391"/>
      <c r="E470" s="389"/>
      <c r="F470" s="391"/>
      <c r="G470" s="387"/>
      <c r="H470" s="387"/>
      <c r="I470" s="387"/>
      <c r="J470" s="387"/>
      <c r="K470" s="378"/>
      <c r="L470" s="378"/>
      <c r="M470" s="379">
        <f>IFERROR(MIN(M471:M480),0)</f>
        <v>0</v>
      </c>
      <c r="N470" s="378">
        <f>N471</f>
        <v>2</v>
      </c>
      <c r="O470" s="379">
        <f t="shared" si="100"/>
        <v>2</v>
      </c>
      <c r="P470" s="378" t="s">
        <v>1147</v>
      </c>
      <c r="Q470" s="380" t="s">
        <v>1148</v>
      </c>
      <c r="R470" s="378"/>
    </row>
    <row r="471" spans="1:18" outlineLevel="1">
      <c r="A471" s="394"/>
      <c r="B471" s="397" t="s">
        <v>1149</v>
      </c>
      <c r="C471" s="382" t="s">
        <v>1150</v>
      </c>
      <c r="D471" s="387">
        <v>0.99</v>
      </c>
      <c r="E471" s="389"/>
      <c r="F471" s="398">
        <v>0.99</v>
      </c>
      <c r="G471" s="387"/>
      <c r="H471" s="387"/>
      <c r="I471" s="387"/>
      <c r="J471" s="387"/>
      <c r="K471" s="378">
        <v>1</v>
      </c>
      <c r="L471" s="378"/>
      <c r="M471" s="379">
        <f t="shared" ref="M471:M480" si="105">IFERROR(MIN(MAX(0,IF(K471="N/A",0,IF((D471=E471),5,5-QUOTIENT(D471,E471)))), MAX(0,IF(K471="N/A",0,IF((F471=G471),5,5-QUOTIENT(F471,G471))))),0)</f>
        <v>0</v>
      </c>
      <c r="N471" s="378">
        <f>IF(K471="N/A", 1, 2)</f>
        <v>2</v>
      </c>
      <c r="O471" s="379">
        <f t="shared" si="100"/>
        <v>2</v>
      </c>
      <c r="P471" s="378" t="s">
        <v>1147</v>
      </c>
      <c r="Q471" s="380" t="s">
        <v>1148</v>
      </c>
      <c r="R471" s="378"/>
    </row>
    <row r="472" spans="1:18" outlineLevel="1">
      <c r="A472" s="394"/>
      <c r="B472" s="636" t="s">
        <v>1176</v>
      </c>
      <c r="C472" s="382" t="s">
        <v>1177</v>
      </c>
      <c r="D472" s="387">
        <v>0.98</v>
      </c>
      <c r="E472" s="389"/>
      <c r="F472" s="398">
        <v>0.95</v>
      </c>
      <c r="G472" s="387"/>
      <c r="H472" s="387"/>
      <c r="I472" s="387"/>
      <c r="J472" s="387"/>
      <c r="K472" s="378">
        <v>1</v>
      </c>
      <c r="L472" s="378"/>
      <c r="M472" s="379">
        <f t="shared" si="105"/>
        <v>0</v>
      </c>
      <c r="N472" s="378">
        <f t="shared" ref="N472:N480" si="106">IF(K472="N/A", 1, 2)</f>
        <v>2</v>
      </c>
      <c r="O472" s="379">
        <f t="shared" si="100"/>
        <v>2</v>
      </c>
      <c r="P472" s="378" t="s">
        <v>1147</v>
      </c>
      <c r="Q472" s="380" t="s">
        <v>1148</v>
      </c>
      <c r="R472" s="378"/>
    </row>
    <row r="473" spans="1:18" outlineLevel="1">
      <c r="A473" s="394"/>
      <c r="B473" s="638"/>
      <c r="C473" s="382" t="s">
        <v>1178</v>
      </c>
      <c r="D473" s="387">
        <v>0.95</v>
      </c>
      <c r="E473" s="399"/>
      <c r="F473" s="398">
        <v>0.9</v>
      </c>
      <c r="G473" s="387"/>
      <c r="H473" s="387"/>
      <c r="I473" s="387"/>
      <c r="J473" s="387"/>
      <c r="K473" s="378">
        <v>1</v>
      </c>
      <c r="L473" s="378"/>
      <c r="M473" s="379">
        <f t="shared" si="105"/>
        <v>0</v>
      </c>
      <c r="N473" s="378">
        <f t="shared" si="106"/>
        <v>2</v>
      </c>
      <c r="O473" s="379">
        <f t="shared" si="100"/>
        <v>2</v>
      </c>
      <c r="P473" s="378" t="s">
        <v>1147</v>
      </c>
      <c r="Q473" s="380" t="s">
        <v>1148</v>
      </c>
      <c r="R473" s="378"/>
    </row>
    <row r="474" spans="1:18" outlineLevel="1">
      <c r="A474" s="394"/>
      <c r="B474" s="636" t="s">
        <v>1179</v>
      </c>
      <c r="C474" s="382" t="s">
        <v>1177</v>
      </c>
      <c r="D474" s="387">
        <v>0.95</v>
      </c>
      <c r="E474" s="399"/>
      <c r="F474" s="387">
        <v>0.95</v>
      </c>
      <c r="G474" s="387"/>
      <c r="H474" s="387"/>
      <c r="I474" s="387"/>
      <c r="J474" s="387"/>
      <c r="K474" s="378">
        <v>1</v>
      </c>
      <c r="L474" s="378"/>
      <c r="M474" s="379">
        <f t="shared" si="105"/>
        <v>0</v>
      </c>
      <c r="N474" s="378">
        <f t="shared" si="106"/>
        <v>2</v>
      </c>
      <c r="O474" s="379">
        <f t="shared" si="100"/>
        <v>2</v>
      </c>
      <c r="P474" s="378" t="s">
        <v>1147</v>
      </c>
      <c r="Q474" s="380" t="s">
        <v>1148</v>
      </c>
      <c r="R474" s="378"/>
    </row>
    <row r="475" spans="1:18" outlineLevel="1">
      <c r="A475" s="394"/>
      <c r="B475" s="637"/>
      <c r="C475" s="382" t="s">
        <v>1180</v>
      </c>
      <c r="D475" s="387">
        <v>0.85</v>
      </c>
      <c r="E475" s="399"/>
      <c r="F475" s="387">
        <v>0.85</v>
      </c>
      <c r="G475" s="387"/>
      <c r="H475" s="387"/>
      <c r="I475" s="387"/>
      <c r="J475" s="387"/>
      <c r="K475" s="378">
        <v>1</v>
      </c>
      <c r="L475" s="378"/>
      <c r="M475" s="379">
        <f t="shared" si="105"/>
        <v>0</v>
      </c>
      <c r="N475" s="378">
        <f t="shared" si="106"/>
        <v>2</v>
      </c>
      <c r="O475" s="379">
        <f t="shared" si="100"/>
        <v>2</v>
      </c>
      <c r="P475" s="378" t="s">
        <v>1147</v>
      </c>
      <c r="Q475" s="380" t="s">
        <v>1148</v>
      </c>
      <c r="R475" s="378"/>
    </row>
    <row r="476" spans="1:18" outlineLevel="1">
      <c r="A476" s="394"/>
      <c r="B476" s="637"/>
      <c r="C476" s="382" t="s">
        <v>1181</v>
      </c>
      <c r="D476" s="387">
        <v>0.9</v>
      </c>
      <c r="E476" s="399"/>
      <c r="F476" s="387">
        <v>0.9</v>
      </c>
      <c r="G476" s="387"/>
      <c r="H476" s="387"/>
      <c r="I476" s="387"/>
      <c r="J476" s="387"/>
      <c r="K476" s="378">
        <v>1</v>
      </c>
      <c r="L476" s="378"/>
      <c r="M476" s="379">
        <f t="shared" si="105"/>
        <v>0</v>
      </c>
      <c r="N476" s="378">
        <f t="shared" si="106"/>
        <v>2</v>
      </c>
      <c r="O476" s="379">
        <f t="shared" si="100"/>
        <v>2</v>
      </c>
      <c r="P476" s="378" t="s">
        <v>1147</v>
      </c>
      <c r="Q476" s="380" t="s">
        <v>1148</v>
      </c>
      <c r="R476" s="378"/>
    </row>
    <row r="477" spans="1:18" outlineLevel="1">
      <c r="A477" s="394"/>
      <c r="B477" s="637"/>
      <c r="C477" s="382" t="s">
        <v>1182</v>
      </c>
      <c r="D477" s="387">
        <v>0.9</v>
      </c>
      <c r="E477" s="399"/>
      <c r="F477" s="387">
        <v>0.9</v>
      </c>
      <c r="G477" s="387"/>
      <c r="H477" s="387"/>
      <c r="I477" s="387"/>
      <c r="J477" s="387"/>
      <c r="K477" s="378">
        <v>1</v>
      </c>
      <c r="L477" s="378"/>
      <c r="M477" s="379">
        <f t="shared" si="105"/>
        <v>0</v>
      </c>
      <c r="N477" s="378">
        <f t="shared" si="106"/>
        <v>2</v>
      </c>
      <c r="O477" s="379">
        <f t="shared" si="100"/>
        <v>2</v>
      </c>
      <c r="P477" s="378" t="s">
        <v>1147</v>
      </c>
      <c r="Q477" s="380" t="s">
        <v>1148</v>
      </c>
      <c r="R477" s="378"/>
    </row>
    <row r="478" spans="1:18" outlineLevel="1">
      <c r="A478" s="394"/>
      <c r="B478" s="637"/>
      <c r="C478" s="382" t="s">
        <v>1183</v>
      </c>
      <c r="D478" s="387">
        <v>0.9</v>
      </c>
      <c r="E478" s="399"/>
      <c r="F478" s="387">
        <v>0.9</v>
      </c>
      <c r="G478" s="387"/>
      <c r="H478" s="387"/>
      <c r="I478" s="387"/>
      <c r="J478" s="387"/>
      <c r="K478" s="378">
        <v>1</v>
      </c>
      <c r="L478" s="378"/>
      <c r="M478" s="379">
        <f t="shared" si="105"/>
        <v>0</v>
      </c>
      <c r="N478" s="378">
        <f t="shared" si="106"/>
        <v>2</v>
      </c>
      <c r="O478" s="379">
        <f t="shared" si="100"/>
        <v>2</v>
      </c>
      <c r="P478" s="378" t="s">
        <v>1147</v>
      </c>
      <c r="Q478" s="380" t="s">
        <v>1148</v>
      </c>
      <c r="R478" s="378"/>
    </row>
    <row r="479" spans="1:18" outlineLevel="1">
      <c r="A479" s="394"/>
      <c r="B479" s="637"/>
      <c r="C479" s="382" t="s">
        <v>1178</v>
      </c>
      <c r="D479" s="387">
        <v>0.9</v>
      </c>
      <c r="E479" s="399"/>
      <c r="F479" s="387">
        <v>0.9</v>
      </c>
      <c r="G479" s="387"/>
      <c r="H479" s="387"/>
      <c r="I479" s="387"/>
      <c r="J479" s="387"/>
      <c r="K479" s="378">
        <v>1</v>
      </c>
      <c r="L479" s="378"/>
      <c r="M479" s="379">
        <f t="shared" si="105"/>
        <v>0</v>
      </c>
      <c r="N479" s="378">
        <f t="shared" si="106"/>
        <v>2</v>
      </c>
      <c r="O479" s="379">
        <f t="shared" si="100"/>
        <v>2</v>
      </c>
      <c r="P479" s="378" t="s">
        <v>1147</v>
      </c>
      <c r="Q479" s="380" t="s">
        <v>1148</v>
      </c>
      <c r="R479" s="378"/>
    </row>
    <row r="480" spans="1:18" outlineLevel="1">
      <c r="A480" s="394"/>
      <c r="B480" s="638"/>
      <c r="C480" s="382" t="s">
        <v>1184</v>
      </c>
      <c r="D480" s="387">
        <v>0.85</v>
      </c>
      <c r="E480" s="399"/>
      <c r="F480" s="387">
        <v>0.85</v>
      </c>
      <c r="G480" s="387"/>
      <c r="H480" s="387"/>
      <c r="I480" s="387"/>
      <c r="J480" s="387"/>
      <c r="K480" s="378">
        <v>1</v>
      </c>
      <c r="L480" s="378"/>
      <c r="M480" s="379">
        <f t="shared" si="105"/>
        <v>0</v>
      </c>
      <c r="N480" s="378">
        <f t="shared" si="106"/>
        <v>2</v>
      </c>
      <c r="O480" s="379">
        <f t="shared" si="100"/>
        <v>2</v>
      </c>
      <c r="P480" s="378" t="s">
        <v>1147</v>
      </c>
      <c r="Q480" s="380" t="s">
        <v>1148</v>
      </c>
      <c r="R480" s="378"/>
    </row>
    <row r="481" spans="1:18" outlineLevel="1">
      <c r="A481" s="394" t="s">
        <v>1185</v>
      </c>
      <c r="B481" s="395"/>
      <c r="C481" s="382"/>
      <c r="D481" s="387"/>
      <c r="E481" s="399"/>
      <c r="F481" s="387"/>
      <c r="G481" s="387"/>
      <c r="H481" s="387"/>
      <c r="I481" s="387"/>
      <c r="J481" s="387"/>
      <c r="K481" s="378"/>
      <c r="L481" s="378"/>
      <c r="M481" s="379">
        <f>IFERROR(MIN(M482:M485),0)</f>
        <v>0</v>
      </c>
      <c r="N481" s="378">
        <f>N482</f>
        <v>2</v>
      </c>
      <c r="O481" s="379">
        <f>MAX(M481:N481)</f>
        <v>2</v>
      </c>
      <c r="P481" s="378" t="s">
        <v>1147</v>
      </c>
      <c r="Q481" s="380" t="s">
        <v>1148</v>
      </c>
      <c r="R481" s="378"/>
    </row>
    <row r="482" spans="1:18" outlineLevel="1">
      <c r="A482" s="394"/>
      <c r="B482" s="636" t="s">
        <v>1186</v>
      </c>
      <c r="C482" s="382" t="s">
        <v>1187</v>
      </c>
      <c r="D482" s="387">
        <v>0.95</v>
      </c>
      <c r="E482" s="389"/>
      <c r="F482" s="398">
        <v>0.45</v>
      </c>
      <c r="G482" s="387"/>
      <c r="H482" s="387"/>
      <c r="I482" s="387"/>
      <c r="J482" s="387"/>
      <c r="K482" s="378">
        <v>1</v>
      </c>
      <c r="L482" s="378"/>
      <c r="M482" s="379">
        <f>IFERROR(MIN(MAX(0,IF(K482="N/A",0,IF((D482=E482),5,5-QUOTIENT(D482,E482)))), MAX(0,IF(K482="N/A",0,IF((F482=G482),5,5-QUOTIENT(F482,G482))))),0)</f>
        <v>0</v>
      </c>
      <c r="N482" s="378">
        <f>IF(K482="N/A", 1, 2)</f>
        <v>2</v>
      </c>
      <c r="O482" s="379">
        <f t="shared" ref="O482:O508" si="107">MAX(M482:N482)</f>
        <v>2</v>
      </c>
      <c r="P482" s="378" t="s">
        <v>1147</v>
      </c>
      <c r="Q482" s="380" t="s">
        <v>1148</v>
      </c>
      <c r="R482" s="378"/>
    </row>
    <row r="483" spans="1:18" outlineLevel="1">
      <c r="A483" s="394"/>
      <c r="B483" s="637"/>
      <c r="C483" s="382" t="s">
        <v>1188</v>
      </c>
      <c r="D483" s="387">
        <v>0.9</v>
      </c>
      <c r="E483" s="389"/>
      <c r="F483" s="398">
        <v>0.4</v>
      </c>
      <c r="G483" s="387"/>
      <c r="H483" s="387"/>
      <c r="I483" s="387"/>
      <c r="J483" s="387"/>
      <c r="K483" s="378">
        <v>1</v>
      </c>
      <c r="L483" s="378"/>
      <c r="M483" s="379">
        <f>IFERROR(MIN(MAX(0,IF(K483="N/A",0,IF((D483=E483),5,5-QUOTIENT(D483,E483)))), MAX(0,IF(K483="N/A",0,IF((F483=G483),5,5-QUOTIENT(F483,G483))))),0)</f>
        <v>0</v>
      </c>
      <c r="N483" s="378">
        <f t="shared" ref="N483:N485" si="108">IF(K483="N/A", 1, 2)</f>
        <v>2</v>
      </c>
      <c r="O483" s="379">
        <f t="shared" si="107"/>
        <v>2</v>
      </c>
      <c r="P483" s="378" t="s">
        <v>1147</v>
      </c>
      <c r="Q483" s="380" t="s">
        <v>1148</v>
      </c>
      <c r="R483" s="378"/>
    </row>
    <row r="484" spans="1:18" outlineLevel="1">
      <c r="A484" s="394"/>
      <c r="B484" s="637"/>
      <c r="C484" s="382" t="s">
        <v>1170</v>
      </c>
      <c r="D484" s="390">
        <v>0.05</v>
      </c>
      <c r="E484" s="389"/>
      <c r="F484" s="390">
        <v>0.05</v>
      </c>
      <c r="G484" s="387"/>
      <c r="H484" s="387"/>
      <c r="I484" s="387"/>
      <c r="J484" s="387"/>
      <c r="K484" s="378">
        <v>1</v>
      </c>
      <c r="L484" s="378"/>
      <c r="M484" s="379">
        <f>IFERROR(MIN(MAX(0,IF(K484="N/A",0,IF((D484=E484),5,5-QUOTIENT(D484,E484)))), MAX(0,IF(K484="N/A",0,IF((F484=G484),5,5-QUOTIENT(F484,G484))))),0)</f>
        <v>0</v>
      </c>
      <c r="N484" s="378">
        <f t="shared" si="108"/>
        <v>2</v>
      </c>
      <c r="O484" s="379">
        <f t="shared" si="107"/>
        <v>2</v>
      </c>
      <c r="P484" s="378" t="s">
        <v>1147</v>
      </c>
      <c r="Q484" s="380" t="s">
        <v>1148</v>
      </c>
      <c r="R484" s="378"/>
    </row>
    <row r="485" spans="1:18" outlineLevel="1">
      <c r="A485" s="394"/>
      <c r="B485" s="638"/>
      <c r="C485" s="382" t="s">
        <v>1189</v>
      </c>
      <c r="D485" s="391">
        <v>100</v>
      </c>
      <c r="E485" s="389"/>
      <c r="F485" s="391">
        <v>100</v>
      </c>
      <c r="G485" s="387"/>
      <c r="H485" s="387"/>
      <c r="I485" s="387"/>
      <c r="J485" s="387"/>
      <c r="K485" s="378">
        <v>1</v>
      </c>
      <c r="L485" s="378"/>
      <c r="M485" s="379">
        <f>IFERROR(MIN(MAX(0,IF(K485="N/A",0,IF((D485=E485),5,5-QUOTIENT(D485,E485)))), MAX(0,IF(K485="N/A",0,IF((F485=G485),5,5-QUOTIENT(F485,G485))))),0)</f>
        <v>0</v>
      </c>
      <c r="N485" s="378">
        <f t="shared" si="108"/>
        <v>2</v>
      </c>
      <c r="O485" s="379">
        <f t="shared" si="107"/>
        <v>2</v>
      </c>
      <c r="P485" s="378" t="s">
        <v>1147</v>
      </c>
      <c r="Q485" s="380" t="s">
        <v>1148</v>
      </c>
      <c r="R485" s="378"/>
    </row>
    <row r="486" spans="1:18" outlineLevel="1">
      <c r="A486" s="394" t="s">
        <v>1190</v>
      </c>
      <c r="B486" s="396"/>
      <c r="C486" s="382"/>
      <c r="D486" s="391"/>
      <c r="E486" s="389"/>
      <c r="F486" s="391"/>
      <c r="G486" s="387"/>
      <c r="H486" s="387"/>
      <c r="I486" s="387"/>
      <c r="J486" s="387"/>
      <c r="K486" s="378"/>
      <c r="L486" s="378"/>
      <c r="M486" s="379">
        <f>IFERROR(MIN(M487:M490),0)</f>
        <v>0</v>
      </c>
      <c r="N486" s="378">
        <f>N487</f>
        <v>2</v>
      </c>
      <c r="O486" s="379">
        <f t="shared" si="107"/>
        <v>2</v>
      </c>
      <c r="P486" s="378" t="s">
        <v>1147</v>
      </c>
      <c r="Q486" s="380" t="s">
        <v>1148</v>
      </c>
      <c r="R486" s="378"/>
    </row>
    <row r="487" spans="1:18" outlineLevel="1">
      <c r="A487" s="394"/>
      <c r="B487" s="397" t="s">
        <v>752</v>
      </c>
      <c r="C487" s="382" t="s">
        <v>1191</v>
      </c>
      <c r="D487" s="387">
        <v>0.85</v>
      </c>
      <c r="E487" s="389"/>
      <c r="F487" s="398">
        <v>0.85</v>
      </c>
      <c r="G487" s="387"/>
      <c r="H487" s="387"/>
      <c r="I487" s="387"/>
      <c r="J487" s="387"/>
      <c r="K487" s="378">
        <v>1</v>
      </c>
      <c r="L487" s="378"/>
      <c r="M487" s="379">
        <f>IFERROR(MIN(MAX(0,IF(K487="N/A",0,IF((D487=E487),5,5-QUOTIENT(D487,E487)))), MAX(0,IF(K487="N/A",0,IF((F487=G487),5,5-QUOTIENT(F487,G487))))),0)</f>
        <v>0</v>
      </c>
      <c r="N487" s="378">
        <f>IF(K487="N/A", 1, 2)</f>
        <v>2</v>
      </c>
      <c r="O487" s="379">
        <f t="shared" si="107"/>
        <v>2</v>
      </c>
      <c r="P487" s="378" t="s">
        <v>1147</v>
      </c>
      <c r="Q487" s="380" t="s">
        <v>1148</v>
      </c>
      <c r="R487" s="378"/>
    </row>
    <row r="488" spans="1:18" outlineLevel="1">
      <c r="A488" s="394"/>
      <c r="B488" s="397" t="s">
        <v>752</v>
      </c>
      <c r="C488" s="400" t="s">
        <v>1170</v>
      </c>
      <c r="D488" s="401">
        <v>1</v>
      </c>
      <c r="E488" s="389"/>
      <c r="F488" s="401">
        <v>1</v>
      </c>
      <c r="G488" s="387"/>
      <c r="H488" s="387"/>
      <c r="I488" s="387"/>
      <c r="J488" s="387"/>
      <c r="K488" s="378">
        <v>1</v>
      </c>
      <c r="L488" s="378"/>
      <c r="M488" s="379">
        <f>IFERROR(MIN(MAX(0,IF(K488="N/A",0,IF((D488=E488),5,5-QUOTIENT(D488,E488)))), MAX(0,IF(K488="N/A",0,IF((F488=G488),5,5-QUOTIENT(F488,G488))))),0)</f>
        <v>0</v>
      </c>
      <c r="N488" s="378">
        <f t="shared" ref="N488:N490" si="109">IF(K488="N/A", 1, 2)</f>
        <v>2</v>
      </c>
      <c r="O488" s="379">
        <f t="shared" si="107"/>
        <v>2</v>
      </c>
      <c r="P488" s="378" t="s">
        <v>1147</v>
      </c>
      <c r="Q488" s="380" t="s">
        <v>1148</v>
      </c>
      <c r="R488" s="378"/>
    </row>
    <row r="489" spans="1:18" outlineLevel="1">
      <c r="A489" s="394"/>
      <c r="B489" s="402" t="s">
        <v>1192</v>
      </c>
      <c r="C489" s="400" t="s">
        <v>1193</v>
      </c>
      <c r="D489" s="403">
        <v>0.999</v>
      </c>
      <c r="E489" s="389"/>
      <c r="F489" s="403">
        <v>0.999</v>
      </c>
      <c r="G489" s="387"/>
      <c r="H489" s="387"/>
      <c r="I489" s="387"/>
      <c r="J489" s="387"/>
      <c r="K489" s="378">
        <v>1</v>
      </c>
      <c r="L489" s="378"/>
      <c r="M489" s="379">
        <f>IFERROR(MIN(MAX(0,IF(K489="N/A",0,IF((D489=E489),5,5-QUOTIENT(D489,E489)))), MAX(0,IF(K489="N/A",0,IF((F489=G489),5,5-QUOTIENT(F489,G489))))),0)</f>
        <v>0</v>
      </c>
      <c r="N489" s="378">
        <f t="shared" si="109"/>
        <v>2</v>
      </c>
      <c r="O489" s="379">
        <f t="shared" si="107"/>
        <v>2</v>
      </c>
      <c r="P489" s="378" t="s">
        <v>1147</v>
      </c>
      <c r="Q489" s="380" t="s">
        <v>1148</v>
      </c>
      <c r="R489" s="378"/>
    </row>
    <row r="490" spans="1:18" outlineLevel="1">
      <c r="A490" s="394"/>
      <c r="B490" s="402" t="s">
        <v>1192</v>
      </c>
      <c r="C490" s="400" t="s">
        <v>1194</v>
      </c>
      <c r="D490" s="403">
        <v>0.999</v>
      </c>
      <c r="E490" s="389"/>
      <c r="F490" s="403">
        <v>0.999</v>
      </c>
      <c r="G490" s="387"/>
      <c r="H490" s="387"/>
      <c r="I490" s="387"/>
      <c r="J490" s="387"/>
      <c r="K490" s="378">
        <v>1</v>
      </c>
      <c r="L490" s="378"/>
      <c r="M490" s="379">
        <f>IFERROR(MIN(MAX(0,IF(K490="N/A",0,IF((D490=E490),5,5-QUOTIENT(D490,E490)))), MAX(0,IF(K490="N/A",0,IF((F490=G490),5,5-QUOTIENT(F490,G490))))),0)</f>
        <v>0</v>
      </c>
      <c r="N490" s="378">
        <f t="shared" si="109"/>
        <v>2</v>
      </c>
      <c r="O490" s="379">
        <f t="shared" si="107"/>
        <v>2</v>
      </c>
      <c r="P490" s="378" t="s">
        <v>1147</v>
      </c>
      <c r="Q490" s="380" t="s">
        <v>1148</v>
      </c>
      <c r="R490" s="378"/>
    </row>
    <row r="491" spans="1:18" outlineLevel="1">
      <c r="A491" s="404" t="s">
        <v>1195</v>
      </c>
      <c r="B491" s="405"/>
      <c r="C491" s="400"/>
      <c r="D491" s="403"/>
      <c r="E491" s="389"/>
      <c r="F491" s="403"/>
      <c r="G491" s="387"/>
      <c r="H491" s="387"/>
      <c r="I491" s="387"/>
      <c r="J491" s="387"/>
      <c r="K491" s="378"/>
      <c r="L491" s="378"/>
      <c r="M491" s="379">
        <f>IFERROR(MIN(M492:M503),0)</f>
        <v>0</v>
      </c>
      <c r="N491" s="378">
        <f>N494</f>
        <v>2</v>
      </c>
      <c r="O491" s="379">
        <f t="shared" si="107"/>
        <v>2</v>
      </c>
      <c r="P491" s="378" t="s">
        <v>1147</v>
      </c>
      <c r="Q491" s="380" t="s">
        <v>1148</v>
      </c>
      <c r="R491" s="378"/>
    </row>
    <row r="492" spans="1:18" outlineLevel="1">
      <c r="A492" s="406"/>
      <c r="B492" s="639" t="s">
        <v>1196</v>
      </c>
      <c r="C492" s="382" t="s">
        <v>1197</v>
      </c>
      <c r="D492" s="387">
        <v>0.99</v>
      </c>
      <c r="E492" s="389"/>
      <c r="F492" s="398">
        <v>0.95</v>
      </c>
      <c r="G492" s="387"/>
      <c r="H492" s="387"/>
      <c r="I492" s="387"/>
      <c r="J492" s="387"/>
      <c r="K492" s="378">
        <v>1</v>
      </c>
      <c r="L492" s="378"/>
      <c r="M492" s="379">
        <f t="shared" ref="M492:M503" si="110">IFERROR(MIN(MAX(0,IF(K492="N/A",0,IF((D492=E492),5,5-QUOTIENT(D492,E492)))), MAX(0,IF(K492="N/A",0,IF((F492=G492),5,5-QUOTIENT(F492,G492))))),0)</f>
        <v>0</v>
      </c>
      <c r="N492" s="378">
        <f>IF(K492="N/A", 1, 2)</f>
        <v>2</v>
      </c>
      <c r="O492" s="379">
        <f t="shared" si="107"/>
        <v>2</v>
      </c>
      <c r="P492" s="378" t="s">
        <v>1147</v>
      </c>
      <c r="Q492" s="380" t="s">
        <v>1148</v>
      </c>
      <c r="R492" s="378"/>
    </row>
    <row r="493" spans="1:18" outlineLevel="1">
      <c r="A493" s="406"/>
      <c r="B493" s="640"/>
      <c r="C493" s="382" t="s">
        <v>1198</v>
      </c>
      <c r="D493" s="387">
        <v>0.85</v>
      </c>
      <c r="E493" s="389"/>
      <c r="F493" s="398">
        <v>0.8</v>
      </c>
      <c r="G493" s="387"/>
      <c r="H493" s="387"/>
      <c r="I493" s="387"/>
      <c r="J493" s="387"/>
      <c r="K493" s="378">
        <v>1</v>
      </c>
      <c r="L493" s="378"/>
      <c r="M493" s="379">
        <f t="shared" si="110"/>
        <v>0</v>
      </c>
      <c r="N493" s="378">
        <f t="shared" ref="N493:N494" si="111">IF(K493="N/A", 1, 2)</f>
        <v>2</v>
      </c>
      <c r="O493" s="379">
        <f t="shared" si="107"/>
        <v>2</v>
      </c>
      <c r="P493" s="378" t="s">
        <v>1147</v>
      </c>
      <c r="Q493" s="380" t="s">
        <v>1148</v>
      </c>
      <c r="R493" s="378"/>
    </row>
    <row r="494" spans="1:18" ht="15" customHeight="1" outlineLevel="1">
      <c r="A494" s="406"/>
      <c r="B494" s="641"/>
      <c r="C494" s="382" t="s">
        <v>1193</v>
      </c>
      <c r="D494" s="387">
        <v>0.99</v>
      </c>
      <c r="E494" s="389"/>
      <c r="F494" s="398">
        <v>0.95</v>
      </c>
      <c r="G494" s="387"/>
      <c r="H494" s="387"/>
      <c r="I494" s="387"/>
      <c r="J494" s="387"/>
      <c r="K494" s="378">
        <v>1</v>
      </c>
      <c r="L494" s="378"/>
      <c r="M494" s="379">
        <f t="shared" si="110"/>
        <v>0</v>
      </c>
      <c r="N494" s="378">
        <f t="shared" si="111"/>
        <v>2</v>
      </c>
      <c r="O494" s="379">
        <f t="shared" si="107"/>
        <v>2</v>
      </c>
      <c r="P494" s="378" t="s">
        <v>1147</v>
      </c>
      <c r="Q494" s="380" t="s">
        <v>1148</v>
      </c>
      <c r="R494" s="378"/>
    </row>
    <row r="495" spans="1:18" outlineLevel="1">
      <c r="A495" s="406"/>
      <c r="B495" s="639" t="s">
        <v>1199</v>
      </c>
      <c r="C495" s="382" t="s">
        <v>1197</v>
      </c>
      <c r="D495" s="387">
        <v>0.99</v>
      </c>
      <c r="E495" s="389"/>
      <c r="F495" s="398">
        <v>0.95</v>
      </c>
      <c r="G495" s="387"/>
      <c r="H495" s="387"/>
      <c r="I495" s="387"/>
      <c r="J495" s="387"/>
      <c r="K495" s="378" t="s">
        <v>549</v>
      </c>
      <c r="L495" s="378"/>
      <c r="M495" s="379">
        <f t="shared" si="110"/>
        <v>0</v>
      </c>
      <c r="N495" s="378">
        <f>IF(K495="N/A", 1, 2)</f>
        <v>1</v>
      </c>
      <c r="O495" s="379">
        <f t="shared" si="107"/>
        <v>1</v>
      </c>
      <c r="P495" s="378" t="s">
        <v>1147</v>
      </c>
      <c r="Q495" s="380" t="s">
        <v>1148</v>
      </c>
      <c r="R495" s="378"/>
    </row>
    <row r="496" spans="1:18" outlineLevel="1">
      <c r="A496" s="406"/>
      <c r="B496" s="640"/>
      <c r="C496" s="382" t="s">
        <v>1198</v>
      </c>
      <c r="D496" s="387">
        <v>0.85</v>
      </c>
      <c r="E496" s="389"/>
      <c r="F496" s="398">
        <v>0.8</v>
      </c>
      <c r="G496" s="387"/>
      <c r="H496" s="387"/>
      <c r="I496" s="387"/>
      <c r="J496" s="387"/>
      <c r="K496" s="378" t="s">
        <v>549</v>
      </c>
      <c r="L496" s="378"/>
      <c r="M496" s="379">
        <f t="shared" si="110"/>
        <v>0</v>
      </c>
      <c r="N496" s="378">
        <f t="shared" ref="N496:N503" si="112">IF(K496="N/A", 1, 2)</f>
        <v>1</v>
      </c>
      <c r="O496" s="379">
        <f t="shared" si="107"/>
        <v>1</v>
      </c>
      <c r="P496" s="378" t="s">
        <v>1147</v>
      </c>
      <c r="Q496" s="380" t="s">
        <v>1148</v>
      </c>
      <c r="R496" s="378"/>
    </row>
    <row r="497" spans="1:18" outlineLevel="1">
      <c r="A497" s="406"/>
      <c r="B497" s="641"/>
      <c r="C497" s="382" t="s">
        <v>1193</v>
      </c>
      <c r="D497" s="387">
        <v>0.99</v>
      </c>
      <c r="E497" s="389"/>
      <c r="F497" s="398">
        <v>0.95</v>
      </c>
      <c r="G497" s="387"/>
      <c r="H497" s="387"/>
      <c r="I497" s="387"/>
      <c r="J497" s="387"/>
      <c r="K497" s="378" t="s">
        <v>549</v>
      </c>
      <c r="L497" s="378"/>
      <c r="M497" s="379">
        <f t="shared" si="110"/>
        <v>0</v>
      </c>
      <c r="N497" s="378">
        <f t="shared" si="112"/>
        <v>1</v>
      </c>
      <c r="O497" s="379">
        <f t="shared" si="107"/>
        <v>1</v>
      </c>
      <c r="P497" s="378" t="s">
        <v>1147</v>
      </c>
      <c r="Q497" s="380" t="s">
        <v>1148</v>
      </c>
      <c r="R497" s="378"/>
    </row>
    <row r="498" spans="1:18" outlineLevel="1">
      <c r="A498" s="406"/>
      <c r="B498" s="639" t="s">
        <v>1200</v>
      </c>
      <c r="C498" s="382" t="s">
        <v>1197</v>
      </c>
      <c r="D498" s="387">
        <v>0.99</v>
      </c>
      <c r="E498" s="389"/>
      <c r="F498" s="398">
        <v>0.95</v>
      </c>
      <c r="G498" s="387"/>
      <c r="H498" s="387"/>
      <c r="I498" s="387"/>
      <c r="J498" s="387"/>
      <c r="K498" s="378" t="s">
        <v>549</v>
      </c>
      <c r="L498" s="378"/>
      <c r="M498" s="379">
        <f t="shared" si="110"/>
        <v>0</v>
      </c>
      <c r="N498" s="378">
        <f t="shared" si="112"/>
        <v>1</v>
      </c>
      <c r="O498" s="379">
        <f t="shared" si="107"/>
        <v>1</v>
      </c>
      <c r="P498" s="378" t="s">
        <v>1147</v>
      </c>
      <c r="Q498" s="380" t="s">
        <v>1148</v>
      </c>
      <c r="R498" s="378"/>
    </row>
    <row r="499" spans="1:18" outlineLevel="1">
      <c r="A499" s="406"/>
      <c r="B499" s="640"/>
      <c r="C499" s="382" t="s">
        <v>1198</v>
      </c>
      <c r="D499" s="387">
        <v>0.85</v>
      </c>
      <c r="E499" s="389"/>
      <c r="F499" s="398">
        <v>0.8</v>
      </c>
      <c r="G499" s="387"/>
      <c r="H499" s="387"/>
      <c r="I499" s="387"/>
      <c r="J499" s="387"/>
      <c r="K499" s="378" t="s">
        <v>549</v>
      </c>
      <c r="L499" s="378"/>
      <c r="M499" s="379">
        <f t="shared" si="110"/>
        <v>0</v>
      </c>
      <c r="N499" s="378">
        <f t="shared" si="112"/>
        <v>1</v>
      </c>
      <c r="O499" s="379">
        <f t="shared" si="107"/>
        <v>1</v>
      </c>
      <c r="P499" s="378" t="s">
        <v>1147</v>
      </c>
      <c r="Q499" s="380" t="s">
        <v>1148</v>
      </c>
      <c r="R499" s="378"/>
    </row>
    <row r="500" spans="1:18" outlineLevel="1">
      <c r="A500" s="406"/>
      <c r="B500" s="641"/>
      <c r="C500" s="382" t="s">
        <v>1193</v>
      </c>
      <c r="D500" s="387">
        <v>0.99</v>
      </c>
      <c r="E500" s="389"/>
      <c r="F500" s="398">
        <v>0.95</v>
      </c>
      <c r="G500" s="387"/>
      <c r="H500" s="387"/>
      <c r="I500" s="387"/>
      <c r="J500" s="387"/>
      <c r="K500" s="378" t="s">
        <v>549</v>
      </c>
      <c r="L500" s="378"/>
      <c r="M500" s="379">
        <f t="shared" si="110"/>
        <v>0</v>
      </c>
      <c r="N500" s="378">
        <f t="shared" si="112"/>
        <v>1</v>
      </c>
      <c r="O500" s="379">
        <f t="shared" si="107"/>
        <v>1</v>
      </c>
      <c r="P500" s="378" t="s">
        <v>1147</v>
      </c>
      <c r="Q500" s="380" t="s">
        <v>1148</v>
      </c>
      <c r="R500" s="378"/>
    </row>
    <row r="501" spans="1:18" outlineLevel="1">
      <c r="A501" s="406"/>
      <c r="B501" s="639" t="s">
        <v>1201</v>
      </c>
      <c r="C501" s="382" t="s">
        <v>1197</v>
      </c>
      <c r="D501" s="387">
        <v>0.99</v>
      </c>
      <c r="E501" s="389"/>
      <c r="F501" s="398">
        <v>0.95</v>
      </c>
      <c r="G501" s="387"/>
      <c r="H501" s="387"/>
      <c r="I501" s="387"/>
      <c r="J501" s="387"/>
      <c r="K501" s="378" t="s">
        <v>549</v>
      </c>
      <c r="L501" s="378"/>
      <c r="M501" s="379">
        <f t="shared" si="110"/>
        <v>0</v>
      </c>
      <c r="N501" s="378">
        <f t="shared" si="112"/>
        <v>1</v>
      </c>
      <c r="O501" s="379">
        <f t="shared" si="107"/>
        <v>1</v>
      </c>
      <c r="P501" s="378" t="s">
        <v>1147</v>
      </c>
      <c r="Q501" s="380" t="s">
        <v>1148</v>
      </c>
      <c r="R501" s="378"/>
    </row>
    <row r="502" spans="1:18" outlineLevel="1">
      <c r="A502" s="406"/>
      <c r="B502" s="640"/>
      <c r="C502" s="382" t="s">
        <v>1198</v>
      </c>
      <c r="D502" s="387">
        <v>0.85</v>
      </c>
      <c r="E502" s="389"/>
      <c r="F502" s="398">
        <v>0.8</v>
      </c>
      <c r="G502" s="387"/>
      <c r="H502" s="387"/>
      <c r="I502" s="387"/>
      <c r="J502" s="387"/>
      <c r="K502" s="378" t="s">
        <v>549</v>
      </c>
      <c r="L502" s="378"/>
      <c r="M502" s="379">
        <f t="shared" si="110"/>
        <v>0</v>
      </c>
      <c r="N502" s="378">
        <f t="shared" si="112"/>
        <v>1</v>
      </c>
      <c r="O502" s="379">
        <f t="shared" si="107"/>
        <v>1</v>
      </c>
      <c r="P502" s="378" t="s">
        <v>1147</v>
      </c>
      <c r="Q502" s="380" t="s">
        <v>1148</v>
      </c>
      <c r="R502" s="378"/>
    </row>
    <row r="503" spans="1:18" outlineLevel="1">
      <c r="A503" s="406"/>
      <c r="B503" s="641"/>
      <c r="C503" s="382" t="s">
        <v>1193</v>
      </c>
      <c r="D503" s="387">
        <v>0.99</v>
      </c>
      <c r="E503" s="389"/>
      <c r="F503" s="398">
        <v>0.95</v>
      </c>
      <c r="G503" s="387"/>
      <c r="H503" s="387"/>
      <c r="I503" s="387"/>
      <c r="J503" s="387"/>
      <c r="K503" s="378" t="s">
        <v>549</v>
      </c>
      <c r="L503" s="378"/>
      <c r="M503" s="379">
        <f t="shared" si="110"/>
        <v>0</v>
      </c>
      <c r="N503" s="378">
        <f t="shared" si="112"/>
        <v>1</v>
      </c>
      <c r="O503" s="379">
        <f t="shared" si="107"/>
        <v>1</v>
      </c>
      <c r="P503" s="378" t="s">
        <v>1147</v>
      </c>
      <c r="Q503" s="380" t="s">
        <v>1148</v>
      </c>
      <c r="R503" s="378"/>
    </row>
    <row r="504" spans="1:18" outlineLevel="1">
      <c r="A504" s="404" t="s">
        <v>1202</v>
      </c>
      <c r="B504" s="407"/>
      <c r="C504" s="382"/>
      <c r="D504" s="387"/>
      <c r="E504" s="389"/>
      <c r="F504" s="398"/>
      <c r="G504" s="387"/>
      <c r="H504" s="387"/>
      <c r="I504" s="387"/>
      <c r="J504" s="387"/>
      <c r="K504" s="378"/>
      <c r="L504" s="378"/>
      <c r="M504" s="379">
        <f>M505</f>
        <v>0</v>
      </c>
      <c r="N504" s="378">
        <f>N505</f>
        <v>1</v>
      </c>
      <c r="O504" s="379">
        <f t="shared" si="107"/>
        <v>1</v>
      </c>
      <c r="P504" s="378" t="s">
        <v>1147</v>
      </c>
      <c r="Q504" s="380" t="s">
        <v>1148</v>
      </c>
      <c r="R504" s="378"/>
    </row>
    <row r="505" spans="1:18" outlineLevel="1">
      <c r="A505" s="406"/>
      <c r="B505" s="388" t="s">
        <v>1192</v>
      </c>
      <c r="C505" s="382" t="s">
        <v>1203</v>
      </c>
      <c r="D505" s="387">
        <v>0.95</v>
      </c>
      <c r="E505" s="389"/>
      <c r="F505" s="398">
        <v>0.9</v>
      </c>
      <c r="G505" s="387"/>
      <c r="H505" s="387"/>
      <c r="I505" s="387"/>
      <c r="J505" s="387"/>
      <c r="K505" s="378" t="s">
        <v>549</v>
      </c>
      <c r="L505" s="378"/>
      <c r="M505" s="379">
        <f>IFERROR(MIN(MAX(0,IF(K505="N/A",0,IF((D505=E505),5,5-QUOTIENT(D505,E505)))), MAX(0,IF(K505="N/A",0,IF((F505=G505),5,5-QUOTIENT(F505,G505))))),0)</f>
        <v>0</v>
      </c>
      <c r="N505" s="378">
        <f>IF(K505="N/A", 1, 2)</f>
        <v>1</v>
      </c>
      <c r="O505" s="379">
        <f t="shared" si="107"/>
        <v>1</v>
      </c>
      <c r="P505" s="378" t="s">
        <v>1147</v>
      </c>
      <c r="Q505" s="380" t="s">
        <v>1148</v>
      </c>
      <c r="R505" s="378"/>
    </row>
    <row r="506" spans="1:18" outlineLevel="1">
      <c r="A506" s="404" t="s">
        <v>1204</v>
      </c>
      <c r="B506" s="408"/>
      <c r="C506" s="382"/>
      <c r="D506" s="387"/>
      <c r="E506" s="389"/>
      <c r="F506" s="398"/>
      <c r="G506" s="387"/>
      <c r="H506" s="387"/>
      <c r="I506" s="387"/>
      <c r="J506" s="387"/>
      <c r="K506" s="378"/>
      <c r="L506" s="378"/>
      <c r="M506" s="379">
        <f>IFERROR(MIN(M507:M508),0)</f>
        <v>0</v>
      </c>
      <c r="N506" s="378">
        <f>N507</f>
        <v>1</v>
      </c>
      <c r="O506" s="379">
        <f t="shared" si="107"/>
        <v>1</v>
      </c>
      <c r="P506" s="378" t="s">
        <v>1147</v>
      </c>
      <c r="Q506" s="380" t="s">
        <v>1148</v>
      </c>
      <c r="R506" s="378"/>
    </row>
    <row r="507" spans="1:18" outlineLevel="1">
      <c r="A507" s="404"/>
      <c r="B507" s="644" t="s">
        <v>1205</v>
      </c>
      <c r="C507" s="382" t="s">
        <v>1206</v>
      </c>
      <c r="D507" s="387">
        <v>0.9</v>
      </c>
      <c r="E507" s="389"/>
      <c r="F507" s="398" t="s">
        <v>549</v>
      </c>
      <c r="G507" s="387"/>
      <c r="H507" s="387"/>
      <c r="I507" s="387"/>
      <c r="J507" s="387"/>
      <c r="K507" s="378" t="s">
        <v>549</v>
      </c>
      <c r="L507" s="378"/>
      <c r="M507" s="379">
        <f>IFERROR(MIN(MAX(0,IF(K507="N/A",0,IF((D507=E507),5,5-QUOTIENT(D507,E507)))), MAX(0,IF(K507="N/A",0,IF((F507=G507),5,5-QUOTIENT(F507,G507))))),0)</f>
        <v>0</v>
      </c>
      <c r="N507" s="378">
        <f>IF(K507="N/A", 1, 2)</f>
        <v>1</v>
      </c>
      <c r="O507" s="379">
        <f t="shared" si="107"/>
        <v>1</v>
      </c>
      <c r="P507" s="378" t="s">
        <v>1147</v>
      </c>
      <c r="Q507" s="380" t="s">
        <v>1148</v>
      </c>
      <c r="R507" s="378"/>
    </row>
    <row r="508" spans="1:18" outlineLevel="1">
      <c r="A508" s="404"/>
      <c r="B508" s="645"/>
      <c r="C508" s="382" t="s">
        <v>1207</v>
      </c>
      <c r="D508" s="387">
        <v>0.9</v>
      </c>
      <c r="E508" s="389"/>
      <c r="F508" s="398" t="s">
        <v>549</v>
      </c>
      <c r="G508" s="387"/>
      <c r="H508" s="387"/>
      <c r="I508" s="387"/>
      <c r="J508" s="387"/>
      <c r="K508" s="378" t="s">
        <v>549</v>
      </c>
      <c r="L508" s="378"/>
      <c r="M508" s="379">
        <f>IFERROR(MIN(MAX(0,IF(K508="N/A",0,IF((D508=E508),5,5-QUOTIENT(D508,E508)))), MAX(0,IF(K508="N/A",0,IF((F508=G508),5,5-QUOTIENT(F508,G508))))),0)</f>
        <v>0</v>
      </c>
      <c r="N508" s="378">
        <f>IF(K508="N/A", 1, 2)</f>
        <v>1</v>
      </c>
      <c r="O508" s="379">
        <f t="shared" si="107"/>
        <v>1</v>
      </c>
      <c r="P508" s="378" t="s">
        <v>1147</v>
      </c>
      <c r="Q508" s="380" t="s">
        <v>1148</v>
      </c>
      <c r="R508" s="378"/>
    </row>
    <row r="509" spans="1:18" outlineLevel="1">
      <c r="A509" s="404" t="s">
        <v>1208</v>
      </c>
      <c r="B509" s="408"/>
      <c r="C509" s="382"/>
      <c r="D509" s="387"/>
      <c r="E509" s="389"/>
      <c r="F509" s="398"/>
      <c r="G509" s="387"/>
      <c r="H509" s="387"/>
      <c r="I509" s="387"/>
      <c r="J509" s="387"/>
      <c r="K509" s="378"/>
      <c r="L509" s="378"/>
      <c r="M509" s="379">
        <f>IFERROR(MIN(M510:M511),0)</f>
        <v>0</v>
      </c>
      <c r="N509" s="378">
        <f>N510</f>
        <v>2</v>
      </c>
      <c r="O509" s="379">
        <f>MAX(M509:N509)</f>
        <v>2</v>
      </c>
      <c r="P509" s="378" t="s">
        <v>1147</v>
      </c>
      <c r="Q509" s="380" t="s">
        <v>1148</v>
      </c>
      <c r="R509" s="378"/>
    </row>
    <row r="510" spans="1:18" outlineLevel="1">
      <c r="A510" s="404"/>
      <c r="B510" s="644" t="s">
        <v>1209</v>
      </c>
      <c r="C510" s="382" t="s">
        <v>1210</v>
      </c>
      <c r="D510" s="387">
        <v>0.9</v>
      </c>
      <c r="E510" s="389"/>
      <c r="F510" s="398" t="s">
        <v>549</v>
      </c>
      <c r="G510" s="387"/>
      <c r="H510" s="387"/>
      <c r="I510" s="387"/>
      <c r="J510" s="387"/>
      <c r="K510" s="378">
        <v>1</v>
      </c>
      <c r="L510" s="378"/>
      <c r="M510" s="379">
        <f>IFERROR(MIN(MAX(0,IF(K510="N/A",0,IF((D510=E510),5,5-QUOTIENT(D510,E510)))), MAX(0,IF(K510="N/A",0,IF((F510=G510),5,5-QUOTIENT(F510,G510))))),0)</f>
        <v>0</v>
      </c>
      <c r="N510" s="378">
        <f>IF(K510="N/A", 1, 2)</f>
        <v>2</v>
      </c>
      <c r="O510" s="379">
        <f t="shared" ref="O510:O514" si="113">MAX(M510:N510)</f>
        <v>2</v>
      </c>
      <c r="P510" s="378" t="s">
        <v>1147</v>
      </c>
      <c r="Q510" s="380" t="s">
        <v>1148</v>
      </c>
      <c r="R510" s="378"/>
    </row>
    <row r="511" spans="1:18" outlineLevel="1">
      <c r="A511" s="404"/>
      <c r="B511" s="645"/>
      <c r="C511" s="382" t="s">
        <v>1211</v>
      </c>
      <c r="D511" s="387">
        <v>0.9</v>
      </c>
      <c r="E511" s="389"/>
      <c r="F511" s="398" t="s">
        <v>549</v>
      </c>
      <c r="G511" s="387"/>
      <c r="H511" s="387"/>
      <c r="I511" s="387"/>
      <c r="J511" s="387"/>
      <c r="K511" s="378">
        <v>1</v>
      </c>
      <c r="L511" s="378"/>
      <c r="M511" s="379">
        <f>IFERROR(MIN(MAX(0,IF(K511="N/A",0,IF((D511=E511),5,5-QUOTIENT(D511,E511)))), MAX(0,IF(K511="N/A",0,IF((F511=G511),5,5-QUOTIENT(F511,G511))))),0)</f>
        <v>0</v>
      </c>
      <c r="N511" s="378">
        <f>IF(K511="N/A", 1, 2)</f>
        <v>2</v>
      </c>
      <c r="O511" s="379">
        <f t="shared" si="113"/>
        <v>2</v>
      </c>
      <c r="P511" s="378" t="s">
        <v>1147</v>
      </c>
      <c r="Q511" s="380" t="s">
        <v>1148</v>
      </c>
      <c r="R511" s="378"/>
    </row>
    <row r="512" spans="1:18" outlineLevel="1">
      <c r="A512" s="404" t="s">
        <v>1212</v>
      </c>
      <c r="B512" s="408"/>
      <c r="C512" s="382"/>
      <c r="D512" s="387"/>
      <c r="E512" s="389"/>
      <c r="F512" s="398"/>
      <c r="G512" s="387"/>
      <c r="H512" s="387"/>
      <c r="I512" s="387"/>
      <c r="J512" s="387"/>
      <c r="K512" s="378"/>
      <c r="L512" s="378"/>
      <c r="M512" s="379">
        <f>IFERROR(MIN(M513:M514),0)</f>
        <v>0</v>
      </c>
      <c r="N512" s="378">
        <f>N513</f>
        <v>2</v>
      </c>
      <c r="O512" s="379">
        <f t="shared" si="113"/>
        <v>2</v>
      </c>
      <c r="P512" s="378" t="s">
        <v>1147</v>
      </c>
      <c r="Q512" s="380" t="s">
        <v>1148</v>
      </c>
      <c r="R512" s="378"/>
    </row>
    <row r="513" spans="1:18" outlineLevel="1">
      <c r="A513" s="404"/>
      <c r="B513" s="644" t="s">
        <v>1213</v>
      </c>
      <c r="C513" s="382" t="s">
        <v>1214</v>
      </c>
      <c r="D513" s="387">
        <v>0.9</v>
      </c>
      <c r="E513" s="389"/>
      <c r="F513" s="398" t="s">
        <v>549</v>
      </c>
      <c r="G513" s="387"/>
      <c r="H513" s="387"/>
      <c r="I513" s="387"/>
      <c r="J513" s="387"/>
      <c r="K513" s="378">
        <v>1</v>
      </c>
      <c r="L513" s="378"/>
      <c r="M513" s="379">
        <f>IFERROR(MIN(MAX(0,IF(K513="N/A",0,IF((D513=E513),5,5-QUOTIENT(D513,E513)))), MAX(0,IF(K513="N/A",0,IF((F513=G513),5,5-QUOTIENT(F513,G513))))),0)</f>
        <v>0</v>
      </c>
      <c r="N513" s="378">
        <f>IF(K513="N/A", 1, 2)</f>
        <v>2</v>
      </c>
      <c r="O513" s="379">
        <f t="shared" si="113"/>
        <v>2</v>
      </c>
      <c r="P513" s="378" t="s">
        <v>1147</v>
      </c>
      <c r="Q513" s="380" t="s">
        <v>1148</v>
      </c>
      <c r="R513" s="378"/>
    </row>
    <row r="514" spans="1:18" outlineLevel="1">
      <c r="A514" s="404"/>
      <c r="B514" s="645"/>
      <c r="C514" s="382" t="s">
        <v>1215</v>
      </c>
      <c r="D514" s="387">
        <v>0.9</v>
      </c>
      <c r="E514" s="389"/>
      <c r="F514" s="398" t="s">
        <v>549</v>
      </c>
      <c r="G514" s="387"/>
      <c r="H514" s="387"/>
      <c r="I514" s="387"/>
      <c r="J514" s="387"/>
      <c r="K514" s="378">
        <v>1</v>
      </c>
      <c r="L514" s="378"/>
      <c r="M514" s="379">
        <f>IFERROR(MIN(MAX(0,IF(K514="N/A",0,IF((D514=E514),5,5-QUOTIENT(D514,E514)))), MAX(0,IF(K514="N/A",0,IF((F514=G514),5,5-QUOTIENT(F514,G514))))),0)</f>
        <v>0</v>
      </c>
      <c r="N514" s="378">
        <f>IF(K514="N/A", 1, 2)</f>
        <v>2</v>
      </c>
      <c r="O514" s="379">
        <f t="shared" si="113"/>
        <v>2</v>
      </c>
      <c r="P514" s="378" t="s">
        <v>1147</v>
      </c>
      <c r="Q514" s="380" t="s">
        <v>1148</v>
      </c>
      <c r="R514" s="378"/>
    </row>
    <row r="515" spans="1:18" outlineLevel="1">
      <c r="A515" s="388" t="s">
        <v>1216</v>
      </c>
      <c r="B515" s="409"/>
      <c r="C515" s="382"/>
      <c r="D515" s="387"/>
      <c r="E515" s="389"/>
      <c r="F515" s="398"/>
      <c r="G515" s="387"/>
      <c r="H515" s="387"/>
      <c r="I515" s="387"/>
      <c r="J515" s="387"/>
      <c r="K515" s="378"/>
      <c r="L515" s="378"/>
      <c r="M515" s="379"/>
      <c r="N515" s="378"/>
      <c r="O515" s="379"/>
      <c r="P515" s="378" t="s">
        <v>1147</v>
      </c>
      <c r="Q515" s="380" t="s">
        <v>1148</v>
      </c>
      <c r="R515" s="378"/>
    </row>
    <row r="516" spans="1:18" outlineLevel="1">
      <c r="A516" s="388"/>
      <c r="B516" s="633" t="s">
        <v>1217</v>
      </c>
      <c r="C516" s="382" t="s">
        <v>1168</v>
      </c>
      <c r="D516" s="398" t="s">
        <v>549</v>
      </c>
      <c r="E516" s="389"/>
      <c r="F516" s="398" t="s">
        <v>549</v>
      </c>
      <c r="G516" s="387"/>
      <c r="H516" s="387"/>
      <c r="I516" s="387"/>
      <c r="J516" s="387"/>
      <c r="K516" s="378" t="s">
        <v>549</v>
      </c>
      <c r="L516" s="378"/>
      <c r="M516" s="379">
        <f t="shared" ref="M516:M521" si="114">IFERROR(MIN(MAX(0,IF(K516="N/A",0,IF((D516=E516),5,5-QUOTIENT(D516,E516)))), MAX(0,IF(K516="N/A",0,IF((F516=G516),5,5-QUOTIENT(F516,G516))))),0)</f>
        <v>0</v>
      </c>
      <c r="N516" s="378">
        <f t="shared" ref="N516:N521" si="115">IF(K516="N/A", 0, 2)</f>
        <v>0</v>
      </c>
      <c r="O516" s="379">
        <f t="shared" ref="O516:O525" si="116">MAX(M516:N516)</f>
        <v>0</v>
      </c>
      <c r="P516" s="378" t="s">
        <v>1147</v>
      </c>
      <c r="Q516" s="380" t="s">
        <v>1148</v>
      </c>
      <c r="R516" s="378"/>
    </row>
    <row r="517" spans="1:18" outlineLevel="1">
      <c r="A517" s="388"/>
      <c r="B517" s="634"/>
      <c r="C517" s="382" t="s">
        <v>1169</v>
      </c>
      <c r="D517" s="398" t="s">
        <v>549</v>
      </c>
      <c r="E517" s="389"/>
      <c r="F517" s="398" t="s">
        <v>549</v>
      </c>
      <c r="G517" s="387"/>
      <c r="H517" s="387"/>
      <c r="I517" s="387"/>
      <c r="J517" s="387"/>
      <c r="K517" s="378" t="s">
        <v>549</v>
      </c>
      <c r="L517" s="378"/>
      <c r="M517" s="379">
        <f t="shared" si="114"/>
        <v>0</v>
      </c>
      <c r="N517" s="378">
        <f t="shared" si="115"/>
        <v>0</v>
      </c>
      <c r="O517" s="379">
        <f t="shared" si="116"/>
        <v>0</v>
      </c>
      <c r="P517" s="378" t="s">
        <v>1147</v>
      </c>
      <c r="Q517" s="380" t="s">
        <v>1148</v>
      </c>
      <c r="R517" s="378"/>
    </row>
    <row r="518" spans="1:18" outlineLevel="1">
      <c r="A518" s="388"/>
      <c r="B518" s="642" t="s">
        <v>1218</v>
      </c>
      <c r="C518" s="382" t="s">
        <v>1168</v>
      </c>
      <c r="D518" s="398" t="s">
        <v>549</v>
      </c>
      <c r="E518" s="389"/>
      <c r="F518" s="398" t="s">
        <v>549</v>
      </c>
      <c r="G518" s="387"/>
      <c r="H518" s="387"/>
      <c r="I518" s="387"/>
      <c r="J518" s="387"/>
      <c r="K518" s="378" t="s">
        <v>549</v>
      </c>
      <c r="L518" s="378"/>
      <c r="M518" s="379">
        <f t="shared" si="114"/>
        <v>0</v>
      </c>
      <c r="N518" s="378">
        <f t="shared" si="115"/>
        <v>0</v>
      </c>
      <c r="O518" s="379">
        <f t="shared" si="116"/>
        <v>0</v>
      </c>
      <c r="P518" s="378" t="s">
        <v>1147</v>
      </c>
      <c r="Q518" s="380" t="s">
        <v>1148</v>
      </c>
      <c r="R518" s="378"/>
    </row>
    <row r="519" spans="1:18" outlineLevel="1">
      <c r="A519" s="388"/>
      <c r="B519" s="642"/>
      <c r="C519" s="382" t="s">
        <v>1169</v>
      </c>
      <c r="D519" s="398" t="s">
        <v>549</v>
      </c>
      <c r="E519" s="389"/>
      <c r="F519" s="398" t="s">
        <v>549</v>
      </c>
      <c r="G519" s="387"/>
      <c r="H519" s="387"/>
      <c r="I519" s="387"/>
      <c r="J519" s="387"/>
      <c r="K519" s="378" t="s">
        <v>549</v>
      </c>
      <c r="L519" s="378"/>
      <c r="M519" s="379">
        <f t="shared" si="114"/>
        <v>0</v>
      </c>
      <c r="N519" s="378">
        <f t="shared" si="115"/>
        <v>0</v>
      </c>
      <c r="O519" s="379">
        <f t="shared" si="116"/>
        <v>0</v>
      </c>
      <c r="P519" s="378" t="s">
        <v>1147</v>
      </c>
      <c r="Q519" s="380" t="s">
        <v>1148</v>
      </c>
      <c r="R519" s="378"/>
    </row>
    <row r="520" spans="1:18" outlineLevel="1">
      <c r="A520" s="388"/>
      <c r="B520" s="642" t="s">
        <v>1219</v>
      </c>
      <c r="C520" s="382" t="s">
        <v>1168</v>
      </c>
      <c r="D520" s="398" t="s">
        <v>549</v>
      </c>
      <c r="E520" s="389"/>
      <c r="F520" s="398" t="s">
        <v>549</v>
      </c>
      <c r="G520" s="387"/>
      <c r="H520" s="387"/>
      <c r="I520" s="387"/>
      <c r="J520" s="387"/>
      <c r="K520" s="378" t="s">
        <v>549</v>
      </c>
      <c r="L520" s="378"/>
      <c r="M520" s="379">
        <f t="shared" si="114"/>
        <v>0</v>
      </c>
      <c r="N520" s="378">
        <f t="shared" si="115"/>
        <v>0</v>
      </c>
      <c r="O520" s="379">
        <f t="shared" si="116"/>
        <v>0</v>
      </c>
      <c r="P520" s="378" t="s">
        <v>1147</v>
      </c>
      <c r="Q520" s="380" t="s">
        <v>1148</v>
      </c>
      <c r="R520" s="378"/>
    </row>
    <row r="521" spans="1:18" outlineLevel="1">
      <c r="A521" s="388"/>
      <c r="B521" s="642"/>
      <c r="C521" s="382" t="s">
        <v>1169</v>
      </c>
      <c r="D521" s="398" t="s">
        <v>549</v>
      </c>
      <c r="E521" s="389"/>
      <c r="F521" s="398" t="s">
        <v>549</v>
      </c>
      <c r="G521" s="387"/>
      <c r="H521" s="387"/>
      <c r="I521" s="387"/>
      <c r="J521" s="387"/>
      <c r="K521" s="378" t="s">
        <v>549</v>
      </c>
      <c r="L521" s="378"/>
      <c r="M521" s="379">
        <f t="shared" si="114"/>
        <v>0</v>
      </c>
      <c r="N521" s="378">
        <f t="shared" si="115"/>
        <v>0</v>
      </c>
      <c r="O521" s="379">
        <f t="shared" si="116"/>
        <v>0</v>
      </c>
      <c r="P521" s="378" t="s">
        <v>1147</v>
      </c>
      <c r="Q521" s="380" t="s">
        <v>1148</v>
      </c>
      <c r="R521" s="378"/>
    </row>
    <row r="522" spans="1:18" outlineLevel="1">
      <c r="A522" s="388" t="s">
        <v>1220</v>
      </c>
      <c r="B522" s="381"/>
      <c r="C522" s="382"/>
      <c r="D522" s="398"/>
      <c r="E522" s="389"/>
      <c r="F522" s="398"/>
      <c r="G522" s="387"/>
      <c r="H522" s="387"/>
      <c r="I522" s="387"/>
      <c r="J522" s="387"/>
      <c r="K522" s="378"/>
      <c r="L522" s="378"/>
      <c r="M522" s="379">
        <f>M523</f>
        <v>0</v>
      </c>
      <c r="N522" s="378">
        <f>N523</f>
        <v>2</v>
      </c>
      <c r="O522" s="379">
        <f t="shared" si="116"/>
        <v>2</v>
      </c>
      <c r="P522" s="378" t="s">
        <v>1147</v>
      </c>
      <c r="Q522" s="380" t="s">
        <v>1148</v>
      </c>
      <c r="R522" s="378"/>
    </row>
    <row r="523" spans="1:18" outlineLevel="1">
      <c r="A523" s="406"/>
      <c r="B523" s="388" t="s">
        <v>1221</v>
      </c>
      <c r="C523" s="382" t="s">
        <v>1222</v>
      </c>
      <c r="D523" s="387">
        <v>0.95</v>
      </c>
      <c r="E523" s="389"/>
      <c r="F523" s="398">
        <v>0.9</v>
      </c>
      <c r="G523" s="387"/>
      <c r="H523" s="387"/>
      <c r="I523" s="387"/>
      <c r="J523" s="387"/>
      <c r="K523" s="378">
        <v>1</v>
      </c>
      <c r="L523" s="378"/>
      <c r="M523" s="379">
        <f>IFERROR(MIN(MAX(0,IF(K523="N/A",0,IF((D523=E523),5,5-QUOTIENT(D523,E523)))), MAX(0,IF(K523="N/A",0,IF((F523=G523),5,5-QUOTIENT(F523,G523))))),0)</f>
        <v>0</v>
      </c>
      <c r="N523" s="378">
        <f>IF(K523="N/A", 1, 2)</f>
        <v>2</v>
      </c>
      <c r="O523" s="379">
        <f t="shared" si="116"/>
        <v>2</v>
      </c>
      <c r="P523" s="378" t="s">
        <v>1147</v>
      </c>
      <c r="Q523" s="380" t="s">
        <v>1148</v>
      </c>
      <c r="R523" s="378"/>
    </row>
    <row r="524" spans="1:18" outlineLevel="1">
      <c r="A524" s="388" t="s">
        <v>1223</v>
      </c>
      <c r="B524" s="381"/>
      <c r="C524" s="382"/>
      <c r="D524" s="398"/>
      <c r="E524" s="389"/>
      <c r="F524" s="398"/>
      <c r="G524" s="387"/>
      <c r="H524" s="387"/>
      <c r="I524" s="387"/>
      <c r="J524" s="387"/>
      <c r="K524" s="378"/>
      <c r="L524" s="378"/>
      <c r="M524" s="379">
        <f>M525</f>
        <v>0</v>
      </c>
      <c r="N524" s="378">
        <f>N525</f>
        <v>2</v>
      </c>
      <c r="O524" s="379">
        <f t="shared" si="116"/>
        <v>2</v>
      </c>
      <c r="P524" s="378" t="s">
        <v>1147</v>
      </c>
      <c r="Q524" s="380" t="s">
        <v>1148</v>
      </c>
      <c r="R524" s="378"/>
    </row>
    <row r="525" spans="1:18" outlineLevel="1">
      <c r="A525" s="406"/>
      <c r="B525" s="388" t="s">
        <v>1224</v>
      </c>
      <c r="C525" s="382" t="s">
        <v>1222</v>
      </c>
      <c r="D525" s="387">
        <v>0.95</v>
      </c>
      <c r="E525" s="389"/>
      <c r="F525" s="398">
        <v>0.9</v>
      </c>
      <c r="G525" s="387"/>
      <c r="H525" s="387"/>
      <c r="I525" s="387"/>
      <c r="J525" s="387"/>
      <c r="K525" s="378">
        <v>1</v>
      </c>
      <c r="L525" s="378"/>
      <c r="M525" s="379">
        <f>IFERROR(MIN(MAX(0,IF(K525="N/A",0,IF((D525=E525),5,5-QUOTIENT(D525,E525)))), MAX(0,IF(K525="N/A",0,IF((F525=G525),5,5-QUOTIENT(F525,G525))))),0)</f>
        <v>0</v>
      </c>
      <c r="N525" s="378">
        <f>IF(K525="N/A", 1, 2)</f>
        <v>2</v>
      </c>
      <c r="O525" s="379">
        <f t="shared" si="116"/>
        <v>2</v>
      </c>
      <c r="P525" s="378" t="s">
        <v>1147</v>
      </c>
      <c r="Q525" s="380" t="s">
        <v>1148</v>
      </c>
      <c r="R525" s="378"/>
    </row>
    <row r="526" spans="1:18" outlineLevel="1">
      <c r="A526" s="388" t="s">
        <v>1225</v>
      </c>
      <c r="B526" s="381"/>
      <c r="C526" s="382"/>
      <c r="D526" s="398"/>
      <c r="E526" s="389"/>
      <c r="F526" s="398"/>
      <c r="G526" s="387"/>
      <c r="H526" s="387"/>
      <c r="I526" s="387"/>
      <c r="J526" s="387"/>
      <c r="K526" s="378"/>
      <c r="L526" s="378"/>
      <c r="M526" s="379">
        <f>M527</f>
        <v>0</v>
      </c>
      <c r="N526" s="378">
        <f>N527</f>
        <v>1</v>
      </c>
      <c r="O526" s="379">
        <f>MAX(M526:N526)</f>
        <v>1</v>
      </c>
      <c r="P526" s="378" t="s">
        <v>1147</v>
      </c>
      <c r="Q526" s="380" t="s">
        <v>1148</v>
      </c>
      <c r="R526" s="378"/>
    </row>
    <row r="527" spans="1:18" outlineLevel="1">
      <c r="A527" s="406"/>
      <c r="B527" s="388" t="s">
        <v>1226</v>
      </c>
      <c r="C527" s="382" t="s">
        <v>1222</v>
      </c>
      <c r="D527" s="387">
        <v>0.95</v>
      </c>
      <c r="E527" s="389"/>
      <c r="F527" s="398">
        <v>0.9</v>
      </c>
      <c r="G527" s="387"/>
      <c r="H527" s="387"/>
      <c r="I527" s="387"/>
      <c r="J527" s="387"/>
      <c r="K527" s="378" t="s">
        <v>549</v>
      </c>
      <c r="L527" s="378"/>
      <c r="M527" s="379">
        <f>IFERROR(MIN(MAX(0,IF(K527="N/A",0,IF((D527=E527),5,5-QUOTIENT(D527,E527)))), MAX(0,IF(K527="N/A",0,IF((F527=G527),5,5-QUOTIENT(F527,G527))))),0)</f>
        <v>0</v>
      </c>
      <c r="N527" s="378">
        <f>IF(K527="N/A", 1, 2)</f>
        <v>1</v>
      </c>
      <c r="O527" s="379">
        <f t="shared" ref="O527" si="117">MAX(M527:N527)</f>
        <v>1</v>
      </c>
      <c r="P527" s="378" t="s">
        <v>1147</v>
      </c>
      <c r="Q527" s="380" t="s">
        <v>1148</v>
      </c>
      <c r="R527" s="378"/>
    </row>
    <row r="528" spans="1:18" outlineLevel="1">
      <c r="A528" s="388" t="s">
        <v>1227</v>
      </c>
      <c r="B528" s="381"/>
      <c r="C528" s="382"/>
      <c r="D528" s="398"/>
      <c r="E528" s="389"/>
      <c r="F528" s="398"/>
      <c r="G528" s="387"/>
      <c r="H528" s="387"/>
      <c r="I528" s="387"/>
      <c r="J528" s="387"/>
      <c r="K528" s="378"/>
      <c r="L528" s="378"/>
      <c r="M528" s="379">
        <f>M529</f>
        <v>0</v>
      </c>
      <c r="N528" s="378">
        <f>N529</f>
        <v>1</v>
      </c>
      <c r="O528" s="379">
        <f>MAX(M528:N528)</f>
        <v>1</v>
      </c>
      <c r="P528" s="378" t="s">
        <v>1147</v>
      </c>
      <c r="Q528" s="380" t="s">
        <v>1148</v>
      </c>
      <c r="R528" s="378"/>
    </row>
    <row r="529" spans="1:18" outlineLevel="1">
      <c r="A529" s="406"/>
      <c r="B529" s="388" t="s">
        <v>1228</v>
      </c>
      <c r="C529" s="382" t="s">
        <v>1222</v>
      </c>
      <c r="D529" s="387">
        <v>0.95</v>
      </c>
      <c r="E529" s="389"/>
      <c r="F529" s="398">
        <v>0.9</v>
      </c>
      <c r="G529" s="387"/>
      <c r="H529" s="387"/>
      <c r="I529" s="387"/>
      <c r="J529" s="387"/>
      <c r="K529" s="378" t="s">
        <v>549</v>
      </c>
      <c r="L529" s="378"/>
      <c r="M529" s="379">
        <f>IFERROR(MIN(MAX(0,IF(K529="N/A",0,IF((D529=E529),5,5-QUOTIENT(D529,E529)))), MAX(0,IF(K529="N/A",0,IF((F529=G529),5,5-QUOTIENT(F529,G529))))),0)</f>
        <v>0</v>
      </c>
      <c r="N529" s="378">
        <f>IF(K529="N/A", 1, 2)</f>
        <v>1</v>
      </c>
      <c r="O529" s="379">
        <f t="shared" ref="O529" si="118">MAX(M529:N529)</f>
        <v>1</v>
      </c>
      <c r="P529" s="378" t="s">
        <v>1147</v>
      </c>
      <c r="Q529" s="380" t="s">
        <v>1148</v>
      </c>
      <c r="R529" s="378"/>
    </row>
    <row r="530" spans="1:18" outlineLevel="1">
      <c r="A530" s="388" t="s">
        <v>1229</v>
      </c>
      <c r="B530" s="381"/>
      <c r="C530" s="382"/>
      <c r="D530" s="398"/>
      <c r="E530" s="389"/>
      <c r="F530" s="398"/>
      <c r="G530" s="387"/>
      <c r="H530" s="387"/>
      <c r="I530" s="387"/>
      <c r="J530" s="387"/>
      <c r="K530" s="378"/>
      <c r="L530" s="378"/>
      <c r="M530" s="379">
        <f>M531</f>
        <v>0</v>
      </c>
      <c r="N530" s="378">
        <f>N531</f>
        <v>2</v>
      </c>
      <c r="O530" s="379">
        <f>MAX(M530:N530)</f>
        <v>2</v>
      </c>
      <c r="P530" s="378" t="s">
        <v>1147</v>
      </c>
      <c r="Q530" s="380" t="s">
        <v>1148</v>
      </c>
      <c r="R530" s="378"/>
    </row>
    <row r="531" spans="1:18" outlineLevel="1">
      <c r="A531" s="406"/>
      <c r="B531" s="388" t="s">
        <v>1230</v>
      </c>
      <c r="C531" s="382" t="s">
        <v>1222</v>
      </c>
      <c r="D531" s="387">
        <v>0.95</v>
      </c>
      <c r="E531" s="389"/>
      <c r="F531" s="398">
        <v>0.9</v>
      </c>
      <c r="G531" s="387"/>
      <c r="H531" s="387"/>
      <c r="I531" s="387"/>
      <c r="J531" s="387"/>
      <c r="K531" s="378">
        <v>1</v>
      </c>
      <c r="L531" s="378"/>
      <c r="M531" s="379">
        <f>IFERROR(MIN(MAX(0,IF(K531="N/A",0,IF((D531=E531),5,5-QUOTIENT(D531,E531)))), MAX(0,IF(K531="N/A",0,IF((F531=G531),5,5-QUOTIENT(F531,G531))))),0)</f>
        <v>0</v>
      </c>
      <c r="N531" s="378">
        <f>IF(K531="N/A", 1, 2)</f>
        <v>2</v>
      </c>
      <c r="O531" s="379">
        <f t="shared" ref="O531" si="119">MAX(M531:N531)</f>
        <v>2</v>
      </c>
      <c r="P531" s="378" t="s">
        <v>1147</v>
      </c>
      <c r="Q531" s="380" t="s">
        <v>1148</v>
      </c>
      <c r="R531" s="378"/>
    </row>
    <row r="532" spans="1:18" outlineLevel="1">
      <c r="A532" s="388" t="s">
        <v>1231</v>
      </c>
      <c r="B532" s="381"/>
      <c r="C532" s="382"/>
      <c r="D532" s="398"/>
      <c r="E532" s="389"/>
      <c r="F532" s="398"/>
      <c r="G532" s="387"/>
      <c r="H532" s="387"/>
      <c r="I532" s="387"/>
      <c r="J532" s="387"/>
      <c r="K532" s="378"/>
      <c r="L532" s="378"/>
      <c r="M532" s="379">
        <f>IFERROR(MIN(M533:M539),0)</f>
        <v>0</v>
      </c>
      <c r="N532" s="378">
        <f>N533</f>
        <v>1</v>
      </c>
      <c r="O532" s="379">
        <f>MAX(M532:N532)</f>
        <v>1</v>
      </c>
      <c r="P532" s="378" t="s">
        <v>1147</v>
      </c>
      <c r="Q532" s="380" t="s">
        <v>1148</v>
      </c>
      <c r="R532" s="378"/>
    </row>
    <row r="533" spans="1:18" outlineLevel="1">
      <c r="A533" s="394"/>
      <c r="B533" s="636" t="s">
        <v>1179</v>
      </c>
      <c r="C533" s="382" t="s">
        <v>1232</v>
      </c>
      <c r="D533" s="387">
        <v>0.5</v>
      </c>
      <c r="E533" s="399"/>
      <c r="F533" s="387">
        <v>0.5</v>
      </c>
      <c r="G533" s="387"/>
      <c r="H533" s="387"/>
      <c r="I533" s="387"/>
      <c r="J533" s="387"/>
      <c r="K533" s="378" t="s">
        <v>549</v>
      </c>
      <c r="L533" s="378"/>
      <c r="M533" s="379">
        <f t="shared" ref="M533:M539" si="120">IFERROR(MIN(MAX(0,IF(K533="N/A",0,IF((D533=E533),5,5-QUOTIENT(D533,E533)))), MAX(0,IF(K533="N/A",0,IF((F533=G533),5,5-QUOTIENT(F533,G533))))),0)</f>
        <v>0</v>
      </c>
      <c r="N533" s="378">
        <f>IF(K533="N/A", 1, 2)</f>
        <v>1</v>
      </c>
      <c r="O533" s="379">
        <f t="shared" ref="O533:O543" si="121">MAX(M533:N533)</f>
        <v>1</v>
      </c>
      <c r="P533" s="378" t="s">
        <v>1147</v>
      </c>
      <c r="Q533" s="380" t="s">
        <v>1148</v>
      </c>
      <c r="R533" s="378"/>
    </row>
    <row r="534" spans="1:18" outlineLevel="1">
      <c r="A534" s="394"/>
      <c r="B534" s="637"/>
      <c r="C534" s="382" t="s">
        <v>1233</v>
      </c>
      <c r="D534" s="387">
        <v>0.5</v>
      </c>
      <c r="E534" s="399"/>
      <c r="F534" s="387">
        <v>0.5</v>
      </c>
      <c r="G534" s="387"/>
      <c r="H534" s="387"/>
      <c r="I534" s="387"/>
      <c r="J534" s="387"/>
      <c r="K534" s="378" t="s">
        <v>549</v>
      </c>
      <c r="L534" s="378"/>
      <c r="M534" s="379">
        <f t="shared" si="120"/>
        <v>0</v>
      </c>
      <c r="N534" s="378">
        <f t="shared" ref="N534:N539" si="122">IF(K534="N/A", 1, 2)</f>
        <v>1</v>
      </c>
      <c r="O534" s="379">
        <f t="shared" si="121"/>
        <v>1</v>
      </c>
      <c r="P534" s="378" t="s">
        <v>1147</v>
      </c>
      <c r="Q534" s="380" t="s">
        <v>1148</v>
      </c>
      <c r="R534" s="378"/>
    </row>
    <row r="535" spans="1:18" outlineLevel="1">
      <c r="A535" s="394"/>
      <c r="B535" s="637"/>
      <c r="C535" s="382" t="s">
        <v>1234</v>
      </c>
      <c r="D535" s="387">
        <v>0.5</v>
      </c>
      <c r="E535" s="399"/>
      <c r="F535" s="387">
        <v>0.5</v>
      </c>
      <c r="G535" s="387"/>
      <c r="H535" s="387"/>
      <c r="I535" s="387"/>
      <c r="J535" s="387"/>
      <c r="K535" s="378" t="s">
        <v>549</v>
      </c>
      <c r="L535" s="378"/>
      <c r="M535" s="379">
        <f t="shared" si="120"/>
        <v>0</v>
      </c>
      <c r="N535" s="378">
        <f t="shared" si="122"/>
        <v>1</v>
      </c>
      <c r="O535" s="379">
        <f t="shared" si="121"/>
        <v>1</v>
      </c>
      <c r="P535" s="378" t="s">
        <v>1147</v>
      </c>
      <c r="Q535" s="380" t="s">
        <v>1148</v>
      </c>
      <c r="R535" s="378"/>
    </row>
    <row r="536" spans="1:18" outlineLevel="1">
      <c r="A536" s="394"/>
      <c r="B536" s="637"/>
      <c r="C536" s="382" t="s">
        <v>1235</v>
      </c>
      <c r="D536" s="387">
        <v>0.5</v>
      </c>
      <c r="E536" s="399"/>
      <c r="F536" s="387">
        <v>0.5</v>
      </c>
      <c r="G536" s="387"/>
      <c r="H536" s="387"/>
      <c r="I536" s="387"/>
      <c r="J536" s="387"/>
      <c r="K536" s="378" t="s">
        <v>549</v>
      </c>
      <c r="L536" s="378"/>
      <c r="M536" s="379">
        <f t="shared" si="120"/>
        <v>0</v>
      </c>
      <c r="N536" s="378">
        <f t="shared" si="122"/>
        <v>1</v>
      </c>
      <c r="O536" s="379">
        <f t="shared" si="121"/>
        <v>1</v>
      </c>
      <c r="P536" s="378" t="s">
        <v>1147</v>
      </c>
      <c r="Q536" s="380" t="s">
        <v>1148</v>
      </c>
      <c r="R536" s="378"/>
    </row>
    <row r="537" spans="1:18" outlineLevel="1">
      <c r="A537" s="394"/>
      <c r="B537" s="637"/>
      <c r="C537" s="382" t="s">
        <v>1236</v>
      </c>
      <c r="D537" s="387">
        <v>0.5</v>
      </c>
      <c r="E537" s="399"/>
      <c r="F537" s="387">
        <v>0.5</v>
      </c>
      <c r="G537" s="387"/>
      <c r="H537" s="387"/>
      <c r="I537" s="387"/>
      <c r="J537" s="387"/>
      <c r="K537" s="378" t="s">
        <v>549</v>
      </c>
      <c r="L537" s="378"/>
      <c r="M537" s="379">
        <f t="shared" si="120"/>
        <v>0</v>
      </c>
      <c r="N537" s="378">
        <f t="shared" si="122"/>
        <v>1</v>
      </c>
      <c r="O537" s="379">
        <f t="shared" si="121"/>
        <v>1</v>
      </c>
      <c r="P537" s="378" t="s">
        <v>1147</v>
      </c>
      <c r="Q537" s="380" t="s">
        <v>1148</v>
      </c>
      <c r="R537" s="378"/>
    </row>
    <row r="538" spans="1:18" outlineLevel="1">
      <c r="A538" s="394"/>
      <c r="B538" s="637"/>
      <c r="C538" s="382" t="s">
        <v>1237</v>
      </c>
      <c r="D538" s="387">
        <v>0.5</v>
      </c>
      <c r="E538" s="399"/>
      <c r="F538" s="387">
        <v>0.5</v>
      </c>
      <c r="G538" s="387"/>
      <c r="H538" s="387"/>
      <c r="I538" s="387"/>
      <c r="J538" s="387"/>
      <c r="K538" s="378" t="s">
        <v>549</v>
      </c>
      <c r="L538" s="378"/>
      <c r="M538" s="379">
        <f t="shared" si="120"/>
        <v>0</v>
      </c>
      <c r="N538" s="378">
        <f t="shared" si="122"/>
        <v>1</v>
      </c>
      <c r="O538" s="379">
        <f t="shared" si="121"/>
        <v>1</v>
      </c>
      <c r="P538" s="378" t="s">
        <v>1147</v>
      </c>
      <c r="Q538" s="380" t="s">
        <v>1148</v>
      </c>
      <c r="R538" s="378"/>
    </row>
    <row r="539" spans="1:18" outlineLevel="1">
      <c r="A539" s="394"/>
      <c r="B539" s="638"/>
      <c r="C539" s="382" t="s">
        <v>1238</v>
      </c>
      <c r="D539" s="387">
        <v>0.5</v>
      </c>
      <c r="E539" s="399"/>
      <c r="F539" s="387">
        <v>0.5</v>
      </c>
      <c r="G539" s="387"/>
      <c r="H539" s="387"/>
      <c r="I539" s="387"/>
      <c r="J539" s="387"/>
      <c r="K539" s="378" t="s">
        <v>549</v>
      </c>
      <c r="L539" s="378"/>
      <c r="M539" s="379">
        <f t="shared" si="120"/>
        <v>0</v>
      </c>
      <c r="N539" s="378">
        <f t="shared" si="122"/>
        <v>1</v>
      </c>
      <c r="O539" s="379">
        <f t="shared" si="121"/>
        <v>1</v>
      </c>
      <c r="P539" s="378" t="s">
        <v>1147</v>
      </c>
      <c r="Q539" s="380" t="s">
        <v>1148</v>
      </c>
      <c r="R539" s="378"/>
    </row>
    <row r="540" spans="1:18" outlineLevel="1">
      <c r="A540" s="388" t="s">
        <v>1239</v>
      </c>
      <c r="B540" s="381"/>
      <c r="C540" s="382"/>
      <c r="D540" s="398"/>
      <c r="E540" s="389"/>
      <c r="F540" s="398"/>
      <c r="G540" s="387"/>
      <c r="H540" s="387"/>
      <c r="I540" s="387"/>
      <c r="J540" s="387"/>
      <c r="K540" s="378"/>
      <c r="L540" s="378"/>
      <c r="M540" s="379">
        <f>M541</f>
        <v>0</v>
      </c>
      <c r="N540" s="378">
        <f>N541</f>
        <v>1</v>
      </c>
      <c r="O540" s="379">
        <f t="shared" si="121"/>
        <v>1</v>
      </c>
      <c r="P540" s="378" t="s">
        <v>1147</v>
      </c>
      <c r="Q540" s="380" t="s">
        <v>1148</v>
      </c>
      <c r="R540" s="378"/>
    </row>
    <row r="541" spans="1:18" outlineLevel="1">
      <c r="A541" s="406"/>
      <c r="B541" s="388" t="s">
        <v>1240</v>
      </c>
      <c r="C541" s="382" t="s">
        <v>1222</v>
      </c>
      <c r="D541" s="387">
        <v>0.95</v>
      </c>
      <c r="E541" s="389"/>
      <c r="F541" s="398">
        <v>0.9</v>
      </c>
      <c r="G541" s="387"/>
      <c r="H541" s="387"/>
      <c r="I541" s="387"/>
      <c r="J541" s="387"/>
      <c r="K541" s="378" t="s">
        <v>549</v>
      </c>
      <c r="L541" s="378"/>
      <c r="M541" s="379">
        <f>IFERROR(MIN(MAX(0,IF(K541="N/A",0,IF((D541=E541),5,5-QUOTIENT(D541,E541)))), MAX(0,IF(K541="N/A",0,IF((F541=G541),5,5-QUOTIENT(F541,G541))))),0)</f>
        <v>0</v>
      </c>
      <c r="N541" s="378">
        <f>IF(K541="N/A", 1, 2)</f>
        <v>1</v>
      </c>
      <c r="O541" s="379">
        <f t="shared" si="121"/>
        <v>1</v>
      </c>
      <c r="P541" s="378" t="s">
        <v>1147</v>
      </c>
      <c r="Q541" s="380" t="s">
        <v>1148</v>
      </c>
      <c r="R541" s="378"/>
    </row>
    <row r="542" spans="1:18" outlineLevel="1">
      <c r="A542" s="388" t="s">
        <v>1241</v>
      </c>
      <c r="B542" s="381"/>
      <c r="C542" s="382"/>
      <c r="D542" s="398"/>
      <c r="E542" s="389"/>
      <c r="F542" s="398"/>
      <c r="G542" s="387"/>
      <c r="H542" s="387"/>
      <c r="I542" s="387"/>
      <c r="J542" s="387"/>
      <c r="K542" s="378"/>
      <c r="L542" s="378"/>
      <c r="M542" s="379">
        <f>M543</f>
        <v>0</v>
      </c>
      <c r="N542" s="378">
        <f>N543</f>
        <v>1</v>
      </c>
      <c r="O542" s="379">
        <f t="shared" si="121"/>
        <v>1</v>
      </c>
      <c r="P542" s="378" t="s">
        <v>1147</v>
      </c>
      <c r="Q542" s="380" t="s">
        <v>1148</v>
      </c>
      <c r="R542" s="378"/>
    </row>
    <row r="543" spans="1:18" outlineLevel="1">
      <c r="A543" s="406"/>
      <c r="B543" s="388" t="s">
        <v>1242</v>
      </c>
      <c r="C543" s="382" t="s">
        <v>1222</v>
      </c>
      <c r="D543" s="387">
        <v>0.95</v>
      </c>
      <c r="E543" s="389"/>
      <c r="F543" s="398">
        <v>0.9</v>
      </c>
      <c r="G543" s="387"/>
      <c r="H543" s="387"/>
      <c r="I543" s="387"/>
      <c r="J543" s="387"/>
      <c r="K543" s="378" t="s">
        <v>549</v>
      </c>
      <c r="L543" s="378"/>
      <c r="M543" s="379">
        <f>IFERROR(MIN(MAX(0,IF(K543="N/A",0,IF((D543=E543),5,5-QUOTIENT(D543,E543)))), MAX(0,IF(K543="N/A",0,IF((F543=G543),5,5-QUOTIENT(F543,G543))))),0)</f>
        <v>0</v>
      </c>
      <c r="N543" s="378">
        <f>IF(K543="N/A", 1, 2)</f>
        <v>1</v>
      </c>
      <c r="O543" s="379">
        <f t="shared" si="121"/>
        <v>1</v>
      </c>
      <c r="P543" s="378" t="s">
        <v>1147</v>
      </c>
      <c r="Q543" s="380" t="s">
        <v>1148</v>
      </c>
      <c r="R543" s="378"/>
    </row>
    <row r="544" spans="1:18" outlineLevel="1">
      <c r="A544" s="388" t="s">
        <v>1243</v>
      </c>
      <c r="B544" s="381"/>
      <c r="C544" s="382"/>
      <c r="D544" s="398"/>
      <c r="E544" s="389"/>
      <c r="F544" s="398"/>
      <c r="G544" s="387"/>
      <c r="H544" s="387"/>
      <c r="I544" s="387"/>
      <c r="J544" s="387"/>
      <c r="K544" s="378"/>
      <c r="L544" s="378"/>
      <c r="M544" s="379">
        <f>IFERROR(MIN(M545:M551),0)</f>
        <v>0</v>
      </c>
      <c r="N544" s="378">
        <f>N545</f>
        <v>1</v>
      </c>
      <c r="O544" s="379">
        <f>MAX(M544:N544)</f>
        <v>1</v>
      </c>
      <c r="P544" s="378" t="s">
        <v>1147</v>
      </c>
      <c r="Q544" s="380" t="s">
        <v>1148</v>
      </c>
      <c r="R544" s="378"/>
    </row>
    <row r="545" spans="1:18" outlineLevel="1">
      <c r="A545" s="394"/>
      <c r="B545" s="636" t="s">
        <v>1179</v>
      </c>
      <c r="C545" s="382" t="s">
        <v>1232</v>
      </c>
      <c r="D545" s="387">
        <v>0.5</v>
      </c>
      <c r="E545" s="399"/>
      <c r="F545" s="387">
        <v>0.5</v>
      </c>
      <c r="G545" s="387"/>
      <c r="H545" s="387"/>
      <c r="I545" s="387"/>
      <c r="J545" s="387"/>
      <c r="K545" s="378" t="s">
        <v>549</v>
      </c>
      <c r="L545" s="378"/>
      <c r="M545" s="379">
        <f t="shared" ref="M545:M551" si="123">IFERROR(MIN(MAX(0,IF(K545="N/A",0,IF((D545=E545),5,5-QUOTIENT(D545,E545)))), MAX(0,IF(K545="N/A",0,IF((F545=G545),5,5-QUOTIENT(F545,G545))))),0)</f>
        <v>0</v>
      </c>
      <c r="N545" s="378">
        <f>IF(K545="N/A", 1, 2)</f>
        <v>1</v>
      </c>
      <c r="O545" s="379">
        <f t="shared" ref="O545:O563" si="124">MAX(M545:N545)</f>
        <v>1</v>
      </c>
      <c r="P545" s="378" t="s">
        <v>1147</v>
      </c>
      <c r="Q545" s="380" t="s">
        <v>1148</v>
      </c>
      <c r="R545" s="378"/>
    </row>
    <row r="546" spans="1:18" outlineLevel="1">
      <c r="A546" s="394"/>
      <c r="B546" s="637"/>
      <c r="C546" s="382" t="s">
        <v>1233</v>
      </c>
      <c r="D546" s="387">
        <v>0.5</v>
      </c>
      <c r="E546" s="399"/>
      <c r="F546" s="387">
        <v>0.5</v>
      </c>
      <c r="G546" s="387"/>
      <c r="H546" s="387"/>
      <c r="I546" s="387"/>
      <c r="J546" s="387"/>
      <c r="K546" s="378" t="s">
        <v>549</v>
      </c>
      <c r="L546" s="378"/>
      <c r="M546" s="379">
        <f t="shared" si="123"/>
        <v>0</v>
      </c>
      <c r="N546" s="378">
        <f t="shared" ref="N546:N551" si="125">IF(K546="N/A", 1, 2)</f>
        <v>1</v>
      </c>
      <c r="O546" s="379">
        <f t="shared" si="124"/>
        <v>1</v>
      </c>
      <c r="P546" s="378" t="s">
        <v>1147</v>
      </c>
      <c r="Q546" s="380" t="s">
        <v>1148</v>
      </c>
      <c r="R546" s="378"/>
    </row>
    <row r="547" spans="1:18" outlineLevel="1">
      <c r="A547" s="394"/>
      <c r="B547" s="637"/>
      <c r="C547" s="382" t="s">
        <v>1234</v>
      </c>
      <c r="D547" s="387">
        <v>0.5</v>
      </c>
      <c r="E547" s="399"/>
      <c r="F547" s="387">
        <v>0.5</v>
      </c>
      <c r="G547" s="387"/>
      <c r="H547" s="387"/>
      <c r="I547" s="387"/>
      <c r="J547" s="387"/>
      <c r="K547" s="378" t="s">
        <v>549</v>
      </c>
      <c r="L547" s="378"/>
      <c r="M547" s="379">
        <f t="shared" si="123"/>
        <v>0</v>
      </c>
      <c r="N547" s="378">
        <f t="shared" si="125"/>
        <v>1</v>
      </c>
      <c r="O547" s="379">
        <f t="shared" si="124"/>
        <v>1</v>
      </c>
      <c r="P547" s="378" t="s">
        <v>1147</v>
      </c>
      <c r="Q547" s="380" t="s">
        <v>1148</v>
      </c>
      <c r="R547" s="378"/>
    </row>
    <row r="548" spans="1:18" outlineLevel="1">
      <c r="A548" s="394"/>
      <c r="B548" s="637"/>
      <c r="C548" s="382" t="s">
        <v>1235</v>
      </c>
      <c r="D548" s="387">
        <v>0.5</v>
      </c>
      <c r="E548" s="399"/>
      <c r="F548" s="387">
        <v>0.5</v>
      </c>
      <c r="G548" s="387"/>
      <c r="H548" s="387"/>
      <c r="I548" s="387"/>
      <c r="J548" s="387"/>
      <c r="K548" s="378" t="s">
        <v>549</v>
      </c>
      <c r="L548" s="378"/>
      <c r="M548" s="379">
        <f t="shared" si="123"/>
        <v>0</v>
      </c>
      <c r="N548" s="378">
        <f t="shared" si="125"/>
        <v>1</v>
      </c>
      <c r="O548" s="379">
        <f t="shared" si="124"/>
        <v>1</v>
      </c>
      <c r="P548" s="378" t="s">
        <v>1147</v>
      </c>
      <c r="Q548" s="380" t="s">
        <v>1148</v>
      </c>
      <c r="R548" s="378"/>
    </row>
    <row r="549" spans="1:18" outlineLevel="1">
      <c r="A549" s="394"/>
      <c r="B549" s="637"/>
      <c r="C549" s="382" t="s">
        <v>1236</v>
      </c>
      <c r="D549" s="387">
        <v>0.5</v>
      </c>
      <c r="E549" s="399"/>
      <c r="F549" s="387">
        <v>0.5</v>
      </c>
      <c r="G549" s="387"/>
      <c r="H549" s="387"/>
      <c r="I549" s="387"/>
      <c r="J549" s="387"/>
      <c r="K549" s="378" t="s">
        <v>549</v>
      </c>
      <c r="L549" s="378"/>
      <c r="M549" s="379">
        <f t="shared" si="123"/>
        <v>0</v>
      </c>
      <c r="N549" s="378">
        <f t="shared" si="125"/>
        <v>1</v>
      </c>
      <c r="O549" s="379">
        <f t="shared" si="124"/>
        <v>1</v>
      </c>
      <c r="P549" s="378" t="s">
        <v>1147</v>
      </c>
      <c r="Q549" s="380" t="s">
        <v>1148</v>
      </c>
      <c r="R549" s="378"/>
    </row>
    <row r="550" spans="1:18" outlineLevel="1">
      <c r="A550" s="394"/>
      <c r="B550" s="637"/>
      <c r="C550" s="382" t="s">
        <v>1237</v>
      </c>
      <c r="D550" s="387">
        <v>0.5</v>
      </c>
      <c r="E550" s="399"/>
      <c r="F550" s="387">
        <v>0.5</v>
      </c>
      <c r="G550" s="387"/>
      <c r="H550" s="387"/>
      <c r="I550" s="387"/>
      <c r="J550" s="387"/>
      <c r="K550" s="378" t="s">
        <v>549</v>
      </c>
      <c r="L550" s="378"/>
      <c r="M550" s="379">
        <f t="shared" si="123"/>
        <v>0</v>
      </c>
      <c r="N550" s="378">
        <f t="shared" si="125"/>
        <v>1</v>
      </c>
      <c r="O550" s="379">
        <f t="shared" si="124"/>
        <v>1</v>
      </c>
      <c r="P550" s="378" t="s">
        <v>1147</v>
      </c>
      <c r="Q550" s="380" t="s">
        <v>1148</v>
      </c>
      <c r="R550" s="378"/>
    </row>
    <row r="551" spans="1:18" outlineLevel="1">
      <c r="A551" s="394"/>
      <c r="B551" s="638"/>
      <c r="C551" s="382" t="s">
        <v>1238</v>
      </c>
      <c r="D551" s="387">
        <v>0.5</v>
      </c>
      <c r="E551" s="399"/>
      <c r="F551" s="387">
        <v>0.5</v>
      </c>
      <c r="G551" s="387"/>
      <c r="H551" s="387"/>
      <c r="I551" s="387"/>
      <c r="J551" s="387"/>
      <c r="K551" s="378" t="s">
        <v>549</v>
      </c>
      <c r="L551" s="378"/>
      <c r="M551" s="379">
        <f t="shared" si="123"/>
        <v>0</v>
      </c>
      <c r="N551" s="378">
        <f t="shared" si="125"/>
        <v>1</v>
      </c>
      <c r="O551" s="379">
        <f t="shared" si="124"/>
        <v>1</v>
      </c>
      <c r="P551" s="378" t="s">
        <v>1147</v>
      </c>
      <c r="Q551" s="380" t="s">
        <v>1148</v>
      </c>
      <c r="R551" s="378"/>
    </row>
    <row r="552" spans="1:18" outlineLevel="1">
      <c r="A552" s="388" t="s">
        <v>1244</v>
      </c>
      <c r="B552" s="381"/>
      <c r="C552" s="382"/>
      <c r="D552" s="398"/>
      <c r="E552" s="389"/>
      <c r="F552" s="398"/>
      <c r="G552" s="387"/>
      <c r="H552" s="387"/>
      <c r="I552" s="387"/>
      <c r="J552" s="387"/>
      <c r="K552" s="378"/>
      <c r="L552" s="378"/>
      <c r="M552" s="379">
        <f>IFERROR(MIN(M553:M559),0)</f>
        <v>0</v>
      </c>
      <c r="N552" s="378">
        <f>N553</f>
        <v>1</v>
      </c>
      <c r="O552" s="379">
        <f t="shared" si="124"/>
        <v>1</v>
      </c>
      <c r="P552" s="378" t="s">
        <v>1147</v>
      </c>
      <c r="Q552" s="380" t="s">
        <v>1148</v>
      </c>
      <c r="R552" s="378"/>
    </row>
    <row r="553" spans="1:18" outlineLevel="1">
      <c r="A553" s="394"/>
      <c r="B553" s="636" t="s">
        <v>1245</v>
      </c>
      <c r="C553" s="382" t="s">
        <v>1246</v>
      </c>
      <c r="D553" s="387">
        <v>0.5</v>
      </c>
      <c r="E553" s="399"/>
      <c r="F553" s="387">
        <v>0.5</v>
      </c>
      <c r="G553" s="387"/>
      <c r="H553" s="387"/>
      <c r="I553" s="387"/>
      <c r="J553" s="387"/>
      <c r="K553" s="378" t="s">
        <v>549</v>
      </c>
      <c r="L553" s="378"/>
      <c r="M553" s="379">
        <f t="shared" ref="M553:M559" si="126">IFERROR(MIN(MAX(0,IF(K553="N/A",0,IF((D553=E553),5,5-QUOTIENT(D553,E553)))), MAX(0,IF(K553="N/A",0,IF((F553=G553),5,5-QUOTIENT(F553,G553))))),0)</f>
        <v>0</v>
      </c>
      <c r="N553" s="378">
        <f>IF(K553="N/A", 1, 2)</f>
        <v>1</v>
      </c>
      <c r="O553" s="379">
        <f t="shared" si="124"/>
        <v>1</v>
      </c>
      <c r="P553" s="378" t="s">
        <v>1147</v>
      </c>
      <c r="Q553" s="380" t="s">
        <v>1148</v>
      </c>
      <c r="R553" s="378"/>
    </row>
    <row r="554" spans="1:18" outlineLevel="1">
      <c r="A554" s="394"/>
      <c r="B554" s="637"/>
      <c r="C554" s="382" t="s">
        <v>1247</v>
      </c>
      <c r="D554" s="387">
        <v>0.5</v>
      </c>
      <c r="E554" s="399"/>
      <c r="F554" s="387">
        <v>0.5</v>
      </c>
      <c r="G554" s="387"/>
      <c r="H554" s="387"/>
      <c r="I554" s="387"/>
      <c r="J554" s="387"/>
      <c r="K554" s="378" t="s">
        <v>549</v>
      </c>
      <c r="L554" s="378"/>
      <c r="M554" s="379">
        <f t="shared" si="126"/>
        <v>0</v>
      </c>
      <c r="N554" s="378">
        <f t="shared" ref="N554:N559" si="127">IF(K554="N/A", 1, 2)</f>
        <v>1</v>
      </c>
      <c r="O554" s="379">
        <f t="shared" si="124"/>
        <v>1</v>
      </c>
      <c r="P554" s="378" t="s">
        <v>1147</v>
      </c>
      <c r="Q554" s="380" t="s">
        <v>1148</v>
      </c>
      <c r="R554" s="378"/>
    </row>
    <row r="555" spans="1:18" outlineLevel="1">
      <c r="A555" s="394"/>
      <c r="B555" s="637"/>
      <c r="C555" s="382" t="s">
        <v>1248</v>
      </c>
      <c r="D555" s="387">
        <v>0.5</v>
      </c>
      <c r="E555" s="399"/>
      <c r="F555" s="387">
        <v>0.5</v>
      </c>
      <c r="G555" s="387"/>
      <c r="H555" s="387"/>
      <c r="I555" s="387"/>
      <c r="J555" s="387"/>
      <c r="K555" s="378" t="s">
        <v>549</v>
      </c>
      <c r="L555" s="378"/>
      <c r="M555" s="379">
        <f t="shared" si="126"/>
        <v>0</v>
      </c>
      <c r="N555" s="378">
        <f t="shared" si="127"/>
        <v>1</v>
      </c>
      <c r="O555" s="379">
        <f t="shared" si="124"/>
        <v>1</v>
      </c>
      <c r="P555" s="378" t="s">
        <v>1147</v>
      </c>
      <c r="Q555" s="380" t="s">
        <v>1148</v>
      </c>
      <c r="R555" s="378"/>
    </row>
    <row r="556" spans="1:18" outlineLevel="1">
      <c r="A556" s="394"/>
      <c r="B556" s="637"/>
      <c r="C556" s="382" t="s">
        <v>1249</v>
      </c>
      <c r="D556" s="387">
        <v>0.5</v>
      </c>
      <c r="E556" s="399"/>
      <c r="F556" s="387">
        <v>0.5</v>
      </c>
      <c r="G556" s="387"/>
      <c r="H556" s="387"/>
      <c r="I556" s="387"/>
      <c r="J556" s="387"/>
      <c r="K556" s="378" t="s">
        <v>549</v>
      </c>
      <c r="L556" s="378"/>
      <c r="M556" s="379">
        <f t="shared" si="126"/>
        <v>0</v>
      </c>
      <c r="N556" s="378">
        <f t="shared" si="127"/>
        <v>1</v>
      </c>
      <c r="O556" s="379">
        <f t="shared" si="124"/>
        <v>1</v>
      </c>
      <c r="P556" s="378" t="s">
        <v>1147</v>
      </c>
      <c r="Q556" s="380" t="s">
        <v>1148</v>
      </c>
      <c r="R556" s="378"/>
    </row>
    <row r="557" spans="1:18" outlineLevel="1">
      <c r="A557" s="394"/>
      <c r="B557" s="637"/>
      <c r="C557" s="382" t="s">
        <v>1250</v>
      </c>
      <c r="D557" s="387">
        <v>0.5</v>
      </c>
      <c r="E557" s="399"/>
      <c r="F557" s="387">
        <v>0.5</v>
      </c>
      <c r="G557" s="387"/>
      <c r="H557" s="387"/>
      <c r="I557" s="387"/>
      <c r="J557" s="387"/>
      <c r="K557" s="378" t="s">
        <v>549</v>
      </c>
      <c r="L557" s="378"/>
      <c r="M557" s="379">
        <f t="shared" si="126"/>
        <v>0</v>
      </c>
      <c r="N557" s="378">
        <f t="shared" si="127"/>
        <v>1</v>
      </c>
      <c r="O557" s="379">
        <f t="shared" si="124"/>
        <v>1</v>
      </c>
      <c r="P557" s="378" t="s">
        <v>1147</v>
      </c>
      <c r="Q557" s="380" t="s">
        <v>1148</v>
      </c>
      <c r="R557" s="378"/>
    </row>
    <row r="558" spans="1:18" outlineLevel="1">
      <c r="A558" s="394"/>
      <c r="B558" s="637"/>
      <c r="C558" s="382" t="s">
        <v>1251</v>
      </c>
      <c r="D558" s="387">
        <v>0.5</v>
      </c>
      <c r="E558" s="399"/>
      <c r="F558" s="387">
        <v>0.5</v>
      </c>
      <c r="G558" s="387"/>
      <c r="H558" s="387"/>
      <c r="I558" s="387"/>
      <c r="J558" s="387"/>
      <c r="K558" s="378" t="s">
        <v>549</v>
      </c>
      <c r="L558" s="378"/>
      <c r="M558" s="379">
        <f t="shared" si="126"/>
        <v>0</v>
      </c>
      <c r="N558" s="378">
        <f t="shared" si="127"/>
        <v>1</v>
      </c>
      <c r="O558" s="379">
        <f t="shared" si="124"/>
        <v>1</v>
      </c>
      <c r="P558" s="378" t="s">
        <v>1147</v>
      </c>
      <c r="Q558" s="380" t="s">
        <v>1148</v>
      </c>
      <c r="R558" s="378"/>
    </row>
    <row r="559" spans="1:18" outlineLevel="1">
      <c r="A559" s="394"/>
      <c r="B559" s="638"/>
      <c r="C559" s="382" t="s">
        <v>1252</v>
      </c>
      <c r="D559" s="387">
        <v>0.5</v>
      </c>
      <c r="E559" s="399"/>
      <c r="F559" s="387">
        <v>0.5</v>
      </c>
      <c r="G559" s="387"/>
      <c r="H559" s="387"/>
      <c r="I559" s="387"/>
      <c r="J559" s="387"/>
      <c r="K559" s="378" t="s">
        <v>549</v>
      </c>
      <c r="L559" s="378"/>
      <c r="M559" s="379">
        <f t="shared" si="126"/>
        <v>0</v>
      </c>
      <c r="N559" s="378">
        <f t="shared" si="127"/>
        <v>1</v>
      </c>
      <c r="O559" s="379">
        <f t="shared" si="124"/>
        <v>1</v>
      </c>
      <c r="P559" s="378" t="s">
        <v>1147</v>
      </c>
      <c r="Q559" s="380" t="s">
        <v>1148</v>
      </c>
      <c r="R559" s="378"/>
    </row>
    <row r="560" spans="1:18" outlineLevel="1">
      <c r="A560" s="388" t="s">
        <v>1253</v>
      </c>
      <c r="B560" s="381"/>
      <c r="C560" s="382"/>
      <c r="D560" s="398"/>
      <c r="E560" s="389"/>
      <c r="F560" s="398"/>
      <c r="G560" s="387"/>
      <c r="H560" s="387"/>
      <c r="I560" s="387"/>
      <c r="J560" s="387"/>
      <c r="K560" s="378"/>
      <c r="L560" s="378"/>
      <c r="M560" s="379">
        <f>M561</f>
        <v>0</v>
      </c>
      <c r="N560" s="378">
        <f>N561</f>
        <v>2</v>
      </c>
      <c r="O560" s="379">
        <f t="shared" si="124"/>
        <v>2</v>
      </c>
      <c r="P560" s="378" t="s">
        <v>1147</v>
      </c>
      <c r="Q560" s="380" t="s">
        <v>1148</v>
      </c>
      <c r="R560" s="378"/>
    </row>
    <row r="561" spans="1:18" outlineLevel="1">
      <c r="A561" s="406"/>
      <c r="B561" s="388" t="s">
        <v>1254</v>
      </c>
      <c r="C561" s="382" t="s">
        <v>1222</v>
      </c>
      <c r="D561" s="387">
        <v>0.5</v>
      </c>
      <c r="E561" s="389"/>
      <c r="F561" s="398">
        <v>0.5</v>
      </c>
      <c r="G561" s="387"/>
      <c r="H561" s="387"/>
      <c r="I561" s="387"/>
      <c r="J561" s="387"/>
      <c r="K561" s="378">
        <v>1</v>
      </c>
      <c r="L561" s="378"/>
      <c r="M561" s="379">
        <f>IFERROR(MIN(MAX(0,IF(K561="N/A",0,IF((D561=E561),5,5-QUOTIENT(D561,E561)))), MAX(0,IF(K561="N/A",0,IF((F561=G561),5,5-QUOTIENT(F561,G561))))),0)</f>
        <v>0</v>
      </c>
      <c r="N561" s="378">
        <f>IF(K561="N/A", 1, 2)</f>
        <v>2</v>
      </c>
      <c r="O561" s="379">
        <f t="shared" si="124"/>
        <v>2</v>
      </c>
      <c r="P561" s="378" t="s">
        <v>1147</v>
      </c>
      <c r="Q561" s="380" t="s">
        <v>1148</v>
      </c>
      <c r="R561" s="378"/>
    </row>
    <row r="562" spans="1:18" outlineLevel="1">
      <c r="A562" s="388" t="s">
        <v>1255</v>
      </c>
      <c r="B562" s="381"/>
      <c r="C562" s="382"/>
      <c r="D562" s="398"/>
      <c r="E562" s="389"/>
      <c r="F562" s="398"/>
      <c r="G562" s="387"/>
      <c r="H562" s="387"/>
      <c r="I562" s="387"/>
      <c r="J562" s="387"/>
      <c r="K562" s="378"/>
      <c r="L562" s="378"/>
      <c r="M562" s="379">
        <f>M563</f>
        <v>0</v>
      </c>
      <c r="N562" s="378">
        <f>N563</f>
        <v>1</v>
      </c>
      <c r="O562" s="379">
        <f t="shared" si="124"/>
        <v>1</v>
      </c>
      <c r="P562" s="378" t="s">
        <v>1147</v>
      </c>
      <c r="Q562" s="380" t="s">
        <v>1148</v>
      </c>
      <c r="R562" s="378"/>
    </row>
    <row r="563" spans="1:18" outlineLevel="1">
      <c r="A563" s="406"/>
      <c r="B563" s="388" t="s">
        <v>1256</v>
      </c>
      <c r="C563" s="382" t="s">
        <v>1222</v>
      </c>
      <c r="D563" s="387">
        <v>0.5</v>
      </c>
      <c r="E563" s="389"/>
      <c r="F563" s="398">
        <v>0.5</v>
      </c>
      <c r="G563" s="387"/>
      <c r="H563" s="387"/>
      <c r="I563" s="387"/>
      <c r="J563" s="387"/>
      <c r="K563" s="378" t="s">
        <v>549</v>
      </c>
      <c r="L563" s="378"/>
      <c r="M563" s="379">
        <f>IFERROR(MIN(MAX(0,IF(K563="N/A",0,IF((D563=E563),5,5-QUOTIENT(D563,E563)))), MAX(0,IF(K563="N/A",0,IF((F563=G563),5,5-QUOTIENT(F563,G563))))),0)</f>
        <v>0</v>
      </c>
      <c r="N563" s="378">
        <f>IF(K563="N/A", 1, 2)</f>
        <v>1</v>
      </c>
      <c r="O563" s="379">
        <f t="shared" si="124"/>
        <v>1</v>
      </c>
      <c r="P563" s="378" t="s">
        <v>1147</v>
      </c>
      <c r="Q563" s="380" t="s">
        <v>1148</v>
      </c>
      <c r="R563" s="378"/>
    </row>
    <row r="564" spans="1:18" outlineLevel="1">
      <c r="A564" s="388" t="s">
        <v>1257</v>
      </c>
      <c r="B564" s="381"/>
      <c r="C564" s="399"/>
      <c r="D564" s="398"/>
      <c r="E564" s="389"/>
      <c r="F564" s="398"/>
      <c r="G564" s="387"/>
      <c r="H564" s="387"/>
      <c r="I564" s="387"/>
      <c r="J564" s="387"/>
      <c r="K564" s="378"/>
      <c r="L564" s="378"/>
      <c r="M564" s="379">
        <f>M565</f>
        <v>0</v>
      </c>
      <c r="N564" s="378">
        <f>N565</f>
        <v>2</v>
      </c>
      <c r="O564" s="379">
        <f>MAX(M564:N564)</f>
        <v>2</v>
      </c>
      <c r="P564" s="378" t="s">
        <v>1147</v>
      </c>
      <c r="Q564" s="380" t="s">
        <v>1148</v>
      </c>
      <c r="R564" s="378"/>
    </row>
    <row r="565" spans="1:18" outlineLevel="1">
      <c r="A565" s="406"/>
      <c r="B565" s="388" t="s">
        <v>673</v>
      </c>
      <c r="C565" s="382" t="s">
        <v>1222</v>
      </c>
      <c r="D565" s="387">
        <v>0.5</v>
      </c>
      <c r="E565" s="389"/>
      <c r="F565" s="398">
        <v>0.5</v>
      </c>
      <c r="G565" s="387"/>
      <c r="H565" s="387"/>
      <c r="I565" s="387"/>
      <c r="J565" s="387"/>
      <c r="K565" s="378">
        <v>1</v>
      </c>
      <c r="L565" s="378"/>
      <c r="M565" s="379">
        <f>IFERROR(MIN(MAX(0,IF(K565="N/A",0,IF((D565=E565),5,5-QUOTIENT(D565,E565)))), MAX(0,IF(K565="N/A",0,IF((F565=G565),5,5-QUOTIENT(F565,G565))))),0)</f>
        <v>0</v>
      </c>
      <c r="N565" s="378">
        <f>IF(K565="N/A", 1, 2)</f>
        <v>2</v>
      </c>
      <c r="O565" s="379">
        <f t="shared" ref="O565" si="128">MAX(M565:N565)</f>
        <v>2</v>
      </c>
      <c r="P565" s="378" t="s">
        <v>1147</v>
      </c>
      <c r="Q565" s="380" t="s">
        <v>1148</v>
      </c>
      <c r="R565" s="378"/>
    </row>
    <row r="566" spans="1:18" outlineLevel="1">
      <c r="A566" s="388" t="s">
        <v>1258</v>
      </c>
      <c r="B566" s="381"/>
      <c r="C566" s="399"/>
      <c r="D566" s="398"/>
      <c r="E566" s="389"/>
      <c r="F566" s="398"/>
      <c r="G566" s="387"/>
      <c r="H566" s="387"/>
      <c r="I566" s="387"/>
      <c r="J566" s="387"/>
      <c r="K566" s="378"/>
      <c r="L566" s="378"/>
      <c r="M566" s="379">
        <f>M567</f>
        <v>0</v>
      </c>
      <c r="N566" s="378">
        <f>N567</f>
        <v>2</v>
      </c>
      <c r="O566" s="379">
        <f>MAX(M566:N566)</f>
        <v>2</v>
      </c>
      <c r="P566" s="378" t="s">
        <v>1147</v>
      </c>
      <c r="Q566" s="380" t="s">
        <v>1148</v>
      </c>
      <c r="R566" s="378"/>
    </row>
    <row r="567" spans="1:18" outlineLevel="1">
      <c r="A567" s="406"/>
      <c r="B567" s="388" t="s">
        <v>1259</v>
      </c>
      <c r="C567" s="382" t="s">
        <v>1222</v>
      </c>
      <c r="D567" s="387">
        <v>0.5</v>
      </c>
      <c r="E567" s="389"/>
      <c r="F567" s="398">
        <v>0.5</v>
      </c>
      <c r="G567" s="387"/>
      <c r="H567" s="387"/>
      <c r="I567" s="387"/>
      <c r="J567" s="387"/>
      <c r="K567" s="378">
        <v>1</v>
      </c>
      <c r="L567" s="378"/>
      <c r="M567" s="379">
        <f>IFERROR(MIN(MAX(0,IF(K567="N/A",0,IF((D567=E567),5,5-QUOTIENT(D567,E567)))), MAX(0,IF(K567="N/A",0,IF((F567=G567),5,5-QUOTIENT(F567,G567))))),0)</f>
        <v>0</v>
      </c>
      <c r="N567" s="378">
        <f>IF(K567="N/A", 1, 2)</f>
        <v>2</v>
      </c>
      <c r="O567" s="379">
        <f t="shared" ref="O567" si="129">MAX(M567:N567)</f>
        <v>2</v>
      </c>
      <c r="P567" s="378" t="s">
        <v>1147</v>
      </c>
      <c r="Q567" s="380" t="s">
        <v>1148</v>
      </c>
      <c r="R567" s="378"/>
    </row>
    <row r="568" spans="1:18" outlineLevel="1">
      <c r="A568" s="388" t="s">
        <v>1260</v>
      </c>
      <c r="B568" s="381"/>
      <c r="C568" s="399"/>
      <c r="D568" s="398"/>
      <c r="E568" s="389"/>
      <c r="F568" s="398"/>
      <c r="G568" s="387"/>
      <c r="H568" s="387"/>
      <c r="I568" s="387"/>
      <c r="J568" s="387"/>
      <c r="K568" s="378"/>
      <c r="L568" s="378"/>
      <c r="M568" s="379">
        <f>M569</f>
        <v>2</v>
      </c>
      <c r="N568" s="378">
        <f>N569</f>
        <v>2</v>
      </c>
      <c r="O568" s="379">
        <f>MAX(M568:N568)</f>
        <v>2</v>
      </c>
      <c r="P568" s="410" t="s">
        <v>1261</v>
      </c>
      <c r="Q568" s="411" t="s">
        <v>1262</v>
      </c>
      <c r="R568" s="378"/>
    </row>
    <row r="569" spans="1:18" outlineLevel="1">
      <c r="A569" s="412"/>
      <c r="B569" s="388" t="s">
        <v>1263</v>
      </c>
      <c r="C569" s="413" t="s">
        <v>1264</v>
      </c>
      <c r="D569" s="414">
        <v>5</v>
      </c>
      <c r="E569" s="414">
        <v>2</v>
      </c>
      <c r="F569" s="414">
        <v>5</v>
      </c>
      <c r="G569" s="391">
        <v>2</v>
      </c>
      <c r="H569" s="391"/>
      <c r="I569" s="391"/>
      <c r="J569" s="391"/>
      <c r="K569" s="378">
        <v>2</v>
      </c>
      <c r="L569" s="378"/>
      <c r="M569" s="379">
        <f>IFERROR(MIN(MAX(0,IF(K569="N/A",0,IF((D569=E569),5,5-QUOTIENT(D569,E569)-1))), MAX(0,IF(K569="N/A",0,IF((F569=G569),5,5-QUOTIENT(F569,G569)-1)))),0)</f>
        <v>2</v>
      </c>
      <c r="N569" s="378">
        <f>IF(K569="N/A", 1, 2)</f>
        <v>2</v>
      </c>
      <c r="O569" s="379">
        <f t="shared" ref="O569:O570" si="130">MAX(M569:N569)</f>
        <v>2</v>
      </c>
      <c r="P569" s="410" t="s">
        <v>1261</v>
      </c>
      <c r="Q569" s="411" t="s">
        <v>1262</v>
      </c>
      <c r="R569" s="378"/>
    </row>
    <row r="570" spans="1:18" outlineLevel="1">
      <c r="A570" s="415" t="s">
        <v>1265</v>
      </c>
      <c r="B570" s="416" t="s">
        <v>767</v>
      </c>
      <c r="C570" s="413" t="s">
        <v>1264</v>
      </c>
      <c r="D570" s="414">
        <v>5</v>
      </c>
      <c r="E570" s="414">
        <v>2</v>
      </c>
      <c r="F570" s="414">
        <v>5</v>
      </c>
      <c r="G570" s="391">
        <v>2</v>
      </c>
      <c r="H570" s="391"/>
      <c r="I570" s="391"/>
      <c r="J570" s="391"/>
      <c r="K570" s="378">
        <v>2</v>
      </c>
      <c r="L570" s="378"/>
      <c r="M570" s="379">
        <f>IFERROR(MIN(MAX(0,IF(K570="N/A",0,IF((D570=E570),5,5-QUOTIENT(D570,E570)-1))), MAX(0,IF(K570="N/A",0,IF((F570=G570),5,5-QUOTIENT(F570,G570)-1)))),0)</f>
        <v>2</v>
      </c>
      <c r="N570" s="378">
        <f>IF(K570="N/A", 1, 2)</f>
        <v>2</v>
      </c>
      <c r="O570" s="379">
        <f t="shared" si="130"/>
        <v>2</v>
      </c>
      <c r="P570" s="410" t="s">
        <v>1261</v>
      </c>
      <c r="Q570" s="411" t="s">
        <v>1262</v>
      </c>
      <c r="R570" s="378"/>
    </row>
    <row r="571" spans="1:18">
      <c r="A571" s="362" t="s">
        <v>1273</v>
      </c>
      <c r="B571" s="646"/>
      <c r="D571" s="364"/>
      <c r="E571" s="364"/>
      <c r="F571" s="371"/>
      <c r="G571" s="364"/>
      <c r="H571" s="364"/>
      <c r="I571" s="364"/>
      <c r="J571" s="364"/>
      <c r="K571" s="364"/>
      <c r="L571" s="364"/>
      <c r="M571" s="371"/>
      <c r="N571" s="364"/>
      <c r="O571" s="371"/>
      <c r="P571" s="364"/>
      <c r="Q571" s="364"/>
    </row>
    <row r="572" spans="1:18">
      <c r="B572" s="646"/>
      <c r="D572" s="364"/>
      <c r="E572" s="417"/>
      <c r="F572" s="418"/>
      <c r="G572" s="364"/>
      <c r="H572" s="364"/>
      <c r="I572" s="364"/>
      <c r="J572" s="364"/>
      <c r="K572" s="364"/>
      <c r="L572" s="364"/>
      <c r="M572" s="371"/>
      <c r="N572" s="364"/>
      <c r="O572" s="371"/>
      <c r="P572" s="364"/>
      <c r="Q572" s="364"/>
      <c r="R572" s="364"/>
    </row>
    <row r="573" spans="1:18">
      <c r="B573" s="646"/>
      <c r="D573" s="364"/>
      <c r="E573" s="417"/>
      <c r="F573" s="418"/>
      <c r="G573" s="364"/>
      <c r="H573" s="364"/>
      <c r="I573" s="364"/>
      <c r="J573" s="364"/>
      <c r="K573" s="364"/>
      <c r="L573" s="364"/>
      <c r="M573" s="371"/>
      <c r="N573" s="364"/>
      <c r="O573" s="371"/>
      <c r="P573" s="364"/>
      <c r="Q573" s="364"/>
      <c r="R573" s="364"/>
    </row>
    <row r="574" spans="1:18" hidden="1" outlineLevel="1">
      <c r="A574" s="362"/>
      <c r="C574" s="363"/>
      <c r="D574" s="628" t="s">
        <v>1132</v>
      </c>
      <c r="E574" s="629"/>
      <c r="F574" s="628" t="s">
        <v>1133</v>
      </c>
      <c r="G574" s="629"/>
      <c r="H574" s="370"/>
      <c r="I574" s="370"/>
      <c r="J574" s="370"/>
      <c r="K574" s="364"/>
      <c r="L574" s="364"/>
      <c r="M574" s="371"/>
      <c r="N574" s="364"/>
      <c r="O574" s="371"/>
      <c r="P574" s="364"/>
      <c r="Q574" s="364"/>
    </row>
    <row r="575" spans="1:18" hidden="1" outlineLevel="1">
      <c r="A575" s="372" t="s">
        <v>1134</v>
      </c>
      <c r="B575" s="373" t="s">
        <v>1135</v>
      </c>
      <c r="C575" s="373" t="s">
        <v>1136</v>
      </c>
      <c r="D575" s="373" t="s">
        <v>1137</v>
      </c>
      <c r="E575" s="373" t="s">
        <v>1138</v>
      </c>
      <c r="F575" s="374" t="s">
        <v>1137</v>
      </c>
      <c r="G575" s="373" t="s">
        <v>1138</v>
      </c>
      <c r="H575" s="373" t="s">
        <v>1268</v>
      </c>
      <c r="I575" s="373" t="s">
        <v>1269</v>
      </c>
      <c r="J575" s="373" t="s">
        <v>1270</v>
      </c>
      <c r="K575" s="375" t="s">
        <v>1139</v>
      </c>
      <c r="L575" s="375" t="s">
        <v>1271</v>
      </c>
      <c r="M575" s="374" t="s">
        <v>1140</v>
      </c>
      <c r="N575" s="373" t="s">
        <v>1141</v>
      </c>
      <c r="O575" s="374" t="s">
        <v>1142</v>
      </c>
      <c r="P575" s="373" t="s">
        <v>1143</v>
      </c>
      <c r="Q575" s="373" t="s">
        <v>1144</v>
      </c>
      <c r="R575" s="373" t="s">
        <v>1145</v>
      </c>
    </row>
    <row r="576" spans="1:18" hidden="1" outlineLevel="1">
      <c r="A576" s="376" t="s">
        <v>1146</v>
      </c>
      <c r="B576" s="630"/>
      <c r="C576" s="631"/>
      <c r="D576" s="631"/>
      <c r="E576" s="631"/>
      <c r="F576" s="631"/>
      <c r="G576" s="632"/>
      <c r="H576" s="377"/>
      <c r="I576" s="377"/>
      <c r="J576" s="377"/>
      <c r="K576" s="378"/>
      <c r="L576" s="378"/>
      <c r="M576" s="379">
        <f>IFERROR(MIN(M577:M595),0)</f>
        <v>0</v>
      </c>
      <c r="N576" s="378">
        <f>N577</f>
        <v>2</v>
      </c>
      <c r="O576" s="379">
        <f>MAX(M576:N576)</f>
        <v>2</v>
      </c>
      <c r="P576" s="378" t="s">
        <v>1147</v>
      </c>
      <c r="Q576" s="380" t="s">
        <v>1148</v>
      </c>
      <c r="R576" s="378"/>
    </row>
    <row r="577" spans="1:18" hidden="1" outlineLevel="1">
      <c r="A577" s="376"/>
      <c r="B577" s="381" t="s">
        <v>1149</v>
      </c>
      <c r="C577" s="382" t="s">
        <v>1150</v>
      </c>
      <c r="D577" s="378">
        <v>99</v>
      </c>
      <c r="E577" s="383"/>
      <c r="F577" s="384">
        <v>90</v>
      </c>
      <c r="G577" s="378"/>
      <c r="H577" s="378"/>
      <c r="I577" s="378"/>
      <c r="J577" s="378"/>
      <c r="K577" s="378">
        <v>1</v>
      </c>
      <c r="L577" s="378"/>
      <c r="M577" s="379">
        <f t="shared" ref="M577:M595" si="131">IFERROR(MIN(MAX(0,IF(K577="N/A",0,IF((D577=E577),5,5-QUOTIENT(D577,E577)))), MAX(0,IF(K577="N/A",0,IF((F577=G577),5,5-QUOTIENT(F577,G577))))),0)</f>
        <v>0</v>
      </c>
      <c r="N577" s="378">
        <f>IF(K577="N/A", 1, 2)</f>
        <v>2</v>
      </c>
      <c r="O577" s="379">
        <f>MAX(M577:N577)</f>
        <v>2</v>
      </c>
      <c r="P577" s="378" t="s">
        <v>1147</v>
      </c>
      <c r="Q577" s="380" t="s">
        <v>1148</v>
      </c>
      <c r="R577" s="378"/>
    </row>
    <row r="578" spans="1:18" hidden="1" outlineLevel="1">
      <c r="A578" s="376"/>
      <c r="B578" s="633" t="s">
        <v>1151</v>
      </c>
      <c r="C578" s="382" t="s">
        <v>1152</v>
      </c>
      <c r="D578" s="378">
        <v>5</v>
      </c>
      <c r="E578" s="383"/>
      <c r="F578" s="384">
        <v>5</v>
      </c>
      <c r="G578" s="378"/>
      <c r="H578" s="378"/>
      <c r="I578" s="378"/>
      <c r="J578" s="378"/>
      <c r="K578" s="378">
        <v>1</v>
      </c>
      <c r="L578" s="378"/>
      <c r="M578" s="379">
        <f t="shared" si="131"/>
        <v>0</v>
      </c>
      <c r="N578" s="378">
        <f t="shared" ref="N578:N595" si="132">IF(K578="N/A", 1, 2)</f>
        <v>2</v>
      </c>
      <c r="O578" s="379">
        <f t="shared" ref="O578:O623" si="133">MAX(M578:N578)</f>
        <v>2</v>
      </c>
      <c r="P578" s="378" t="s">
        <v>1147</v>
      </c>
      <c r="Q578" s="380" t="s">
        <v>1148</v>
      </c>
      <c r="R578" s="378"/>
    </row>
    <row r="579" spans="1:18" hidden="1" outlineLevel="1">
      <c r="A579" s="376"/>
      <c r="B579" s="634"/>
      <c r="C579" s="382" t="s">
        <v>1153</v>
      </c>
      <c r="D579" s="378">
        <v>5</v>
      </c>
      <c r="E579" s="383"/>
      <c r="F579" s="384">
        <v>5</v>
      </c>
      <c r="G579" s="378"/>
      <c r="H579" s="378"/>
      <c r="I579" s="378"/>
      <c r="J579" s="378"/>
      <c r="K579" s="378">
        <v>1</v>
      </c>
      <c r="L579" s="378"/>
      <c r="M579" s="379">
        <f t="shared" si="131"/>
        <v>0</v>
      </c>
      <c r="N579" s="378">
        <f t="shared" si="132"/>
        <v>2</v>
      </c>
      <c r="O579" s="379">
        <f t="shared" si="133"/>
        <v>2</v>
      </c>
      <c r="P579" s="378" t="s">
        <v>1147</v>
      </c>
      <c r="Q579" s="380" t="s">
        <v>1148</v>
      </c>
      <c r="R579" s="378"/>
    </row>
    <row r="580" spans="1:18" hidden="1" outlineLevel="1">
      <c r="A580" s="376"/>
      <c r="B580" s="635"/>
      <c r="C580" s="382" t="s">
        <v>1154</v>
      </c>
      <c r="D580" s="378">
        <v>0.5</v>
      </c>
      <c r="E580" s="383"/>
      <c r="F580" s="384">
        <v>0.5</v>
      </c>
      <c r="G580" s="378"/>
      <c r="H580" s="378"/>
      <c r="I580" s="378"/>
      <c r="J580" s="378"/>
      <c r="K580" s="378">
        <v>1</v>
      </c>
      <c r="L580" s="378"/>
      <c r="M580" s="379">
        <f t="shared" si="131"/>
        <v>0</v>
      </c>
      <c r="N580" s="378">
        <f t="shared" si="132"/>
        <v>2</v>
      </c>
      <c r="O580" s="379">
        <f t="shared" si="133"/>
        <v>2</v>
      </c>
      <c r="P580" s="378" t="s">
        <v>1147</v>
      </c>
      <c r="Q580" s="380" t="s">
        <v>1148</v>
      </c>
      <c r="R580" s="378"/>
    </row>
    <row r="581" spans="1:18" hidden="1" outlineLevel="1">
      <c r="A581" s="376"/>
      <c r="B581" s="633" t="s">
        <v>1155</v>
      </c>
      <c r="C581" s="382" t="s">
        <v>1152</v>
      </c>
      <c r="D581" s="378">
        <v>10</v>
      </c>
      <c r="E581" s="383"/>
      <c r="F581" s="384">
        <v>15</v>
      </c>
      <c r="G581" s="378"/>
      <c r="H581" s="378"/>
      <c r="I581" s="378"/>
      <c r="J581" s="378"/>
      <c r="K581" s="378">
        <v>1</v>
      </c>
      <c r="L581" s="378"/>
      <c r="M581" s="379">
        <f t="shared" si="131"/>
        <v>0</v>
      </c>
      <c r="N581" s="378">
        <f t="shared" si="132"/>
        <v>2</v>
      </c>
      <c r="O581" s="379">
        <f t="shared" si="133"/>
        <v>2</v>
      </c>
      <c r="P581" s="378" t="s">
        <v>1147</v>
      </c>
      <c r="Q581" s="380" t="s">
        <v>1148</v>
      </c>
      <c r="R581" s="378"/>
    </row>
    <row r="582" spans="1:18" hidden="1" outlineLevel="1">
      <c r="A582" s="376"/>
      <c r="B582" s="634"/>
      <c r="C582" s="382" t="s">
        <v>1153</v>
      </c>
      <c r="D582" s="378">
        <v>10</v>
      </c>
      <c r="E582" s="383"/>
      <c r="F582" s="384">
        <v>15</v>
      </c>
      <c r="G582" s="378"/>
      <c r="H582" s="378"/>
      <c r="I582" s="378"/>
      <c r="J582" s="378"/>
      <c r="K582" s="378">
        <v>1</v>
      </c>
      <c r="L582" s="378"/>
      <c r="M582" s="379">
        <f t="shared" si="131"/>
        <v>0</v>
      </c>
      <c r="N582" s="378">
        <f t="shared" si="132"/>
        <v>2</v>
      </c>
      <c r="O582" s="379">
        <f t="shared" si="133"/>
        <v>2</v>
      </c>
      <c r="P582" s="378" t="s">
        <v>1147</v>
      </c>
      <c r="Q582" s="380" t="s">
        <v>1148</v>
      </c>
      <c r="R582" s="378"/>
    </row>
    <row r="583" spans="1:18" hidden="1" outlineLevel="1">
      <c r="A583" s="376"/>
      <c r="B583" s="635"/>
      <c r="C583" s="382" t="s">
        <v>1154</v>
      </c>
      <c r="D583" s="378">
        <v>0.5</v>
      </c>
      <c r="E583" s="383"/>
      <c r="F583" s="384">
        <v>0.5</v>
      </c>
      <c r="G583" s="378"/>
      <c r="H583" s="378"/>
      <c r="I583" s="378"/>
      <c r="J583" s="378"/>
      <c r="K583" s="378">
        <v>1</v>
      </c>
      <c r="L583" s="378"/>
      <c r="M583" s="379">
        <f t="shared" si="131"/>
        <v>0</v>
      </c>
      <c r="N583" s="378">
        <f t="shared" si="132"/>
        <v>2</v>
      </c>
      <c r="O583" s="379">
        <f t="shared" si="133"/>
        <v>2</v>
      </c>
      <c r="P583" s="378" t="s">
        <v>1147</v>
      </c>
      <c r="Q583" s="380" t="s">
        <v>1148</v>
      </c>
      <c r="R583" s="378"/>
    </row>
    <row r="584" spans="1:18" hidden="1" outlineLevel="1">
      <c r="A584" s="376"/>
      <c r="B584" s="633" t="s">
        <v>1156</v>
      </c>
      <c r="C584" s="382" t="s">
        <v>1152</v>
      </c>
      <c r="D584" s="378">
        <v>25</v>
      </c>
      <c r="E584" s="383"/>
      <c r="F584" s="384">
        <v>40</v>
      </c>
      <c r="G584" s="378"/>
      <c r="H584" s="378"/>
      <c r="I584" s="378"/>
      <c r="J584" s="378"/>
      <c r="K584" s="378">
        <v>1</v>
      </c>
      <c r="L584" s="378"/>
      <c r="M584" s="379">
        <f t="shared" si="131"/>
        <v>0</v>
      </c>
      <c r="N584" s="378">
        <f t="shared" si="132"/>
        <v>2</v>
      </c>
      <c r="O584" s="379">
        <f t="shared" si="133"/>
        <v>2</v>
      </c>
      <c r="P584" s="378" t="s">
        <v>1147</v>
      </c>
      <c r="Q584" s="380" t="s">
        <v>1148</v>
      </c>
      <c r="R584" s="378"/>
    </row>
    <row r="585" spans="1:18" hidden="1" outlineLevel="1">
      <c r="A585" s="376"/>
      <c r="B585" s="634"/>
      <c r="C585" s="382" t="s">
        <v>1153</v>
      </c>
      <c r="D585" s="378">
        <v>25</v>
      </c>
      <c r="E585" s="383"/>
      <c r="F585" s="384">
        <v>40</v>
      </c>
      <c r="G585" s="378"/>
      <c r="H585" s="378"/>
      <c r="I585" s="378"/>
      <c r="J585" s="378"/>
      <c r="K585" s="378">
        <v>1</v>
      </c>
      <c r="L585" s="378"/>
      <c r="M585" s="379">
        <f t="shared" si="131"/>
        <v>0</v>
      </c>
      <c r="N585" s="378">
        <f t="shared" si="132"/>
        <v>2</v>
      </c>
      <c r="O585" s="379">
        <f t="shared" si="133"/>
        <v>2</v>
      </c>
      <c r="P585" s="378" t="s">
        <v>1147</v>
      </c>
      <c r="Q585" s="380" t="s">
        <v>1148</v>
      </c>
      <c r="R585" s="378"/>
    </row>
    <row r="586" spans="1:18" hidden="1" outlineLevel="1">
      <c r="A586" s="376"/>
      <c r="B586" s="635"/>
      <c r="C586" s="382" t="s">
        <v>1154</v>
      </c>
      <c r="D586" s="378">
        <v>0.5</v>
      </c>
      <c r="E586" s="383"/>
      <c r="F586" s="384">
        <v>0.5</v>
      </c>
      <c r="G586" s="378"/>
      <c r="H586" s="378"/>
      <c r="I586" s="378"/>
      <c r="J586" s="378"/>
      <c r="K586" s="378">
        <v>1</v>
      </c>
      <c r="L586" s="378"/>
      <c r="M586" s="379">
        <f t="shared" si="131"/>
        <v>0</v>
      </c>
      <c r="N586" s="378">
        <f t="shared" si="132"/>
        <v>2</v>
      </c>
      <c r="O586" s="379">
        <f t="shared" si="133"/>
        <v>2</v>
      </c>
      <c r="P586" s="378" t="s">
        <v>1147</v>
      </c>
      <c r="Q586" s="380" t="s">
        <v>1148</v>
      </c>
      <c r="R586" s="378"/>
    </row>
    <row r="587" spans="1:18" hidden="1" outlineLevel="1">
      <c r="A587" s="376"/>
      <c r="B587" s="633" t="s">
        <v>1157</v>
      </c>
      <c r="C587" s="382" t="s">
        <v>1158</v>
      </c>
      <c r="D587" s="378">
        <v>5</v>
      </c>
      <c r="E587" s="383"/>
      <c r="F587" s="384">
        <v>10</v>
      </c>
      <c r="G587" s="378"/>
      <c r="H587" s="378"/>
      <c r="I587" s="378"/>
      <c r="J587" s="378"/>
      <c r="K587" s="378">
        <v>1</v>
      </c>
      <c r="L587" s="378"/>
      <c r="M587" s="379">
        <f t="shared" si="131"/>
        <v>0</v>
      </c>
      <c r="N587" s="378">
        <f t="shared" si="132"/>
        <v>2</v>
      </c>
      <c r="O587" s="379">
        <f t="shared" si="133"/>
        <v>2</v>
      </c>
      <c r="P587" s="378" t="s">
        <v>1147</v>
      </c>
      <c r="Q587" s="380" t="s">
        <v>1148</v>
      </c>
      <c r="R587" s="378"/>
    </row>
    <row r="588" spans="1:18" hidden="1" outlineLevel="1">
      <c r="A588" s="376"/>
      <c r="B588" s="634"/>
      <c r="C588" s="382" t="s">
        <v>1159</v>
      </c>
      <c r="D588" s="378">
        <v>5</v>
      </c>
      <c r="E588" s="383"/>
      <c r="F588" s="384">
        <v>10</v>
      </c>
      <c r="G588" s="378"/>
      <c r="H588" s="378"/>
      <c r="I588" s="378"/>
      <c r="J588" s="378"/>
      <c r="K588" s="378">
        <v>1</v>
      </c>
      <c r="L588" s="378"/>
      <c r="M588" s="379">
        <f t="shared" si="131"/>
        <v>0</v>
      </c>
      <c r="N588" s="378">
        <f t="shared" si="132"/>
        <v>2</v>
      </c>
      <c r="O588" s="379">
        <f t="shared" si="133"/>
        <v>2</v>
      </c>
      <c r="P588" s="378" t="s">
        <v>1147</v>
      </c>
      <c r="Q588" s="380" t="s">
        <v>1148</v>
      </c>
      <c r="R588" s="378"/>
    </row>
    <row r="589" spans="1:18" hidden="1" outlineLevel="1">
      <c r="A589" s="376"/>
      <c r="B589" s="635"/>
      <c r="C589" s="382" t="s">
        <v>1160</v>
      </c>
      <c r="D589" s="378">
        <v>0.5</v>
      </c>
      <c r="E589" s="383"/>
      <c r="F589" s="384">
        <v>0.5</v>
      </c>
      <c r="G589" s="378"/>
      <c r="H589" s="378"/>
      <c r="I589" s="378"/>
      <c r="J589" s="378"/>
      <c r="K589" s="378">
        <v>1</v>
      </c>
      <c r="L589" s="378"/>
      <c r="M589" s="379">
        <f t="shared" si="131"/>
        <v>0</v>
      </c>
      <c r="N589" s="378">
        <f t="shared" si="132"/>
        <v>2</v>
      </c>
      <c r="O589" s="379">
        <f t="shared" si="133"/>
        <v>2</v>
      </c>
      <c r="P589" s="378" t="s">
        <v>1147</v>
      </c>
      <c r="Q589" s="380" t="s">
        <v>1148</v>
      </c>
      <c r="R589" s="378"/>
    </row>
    <row r="590" spans="1:18" hidden="1" outlineLevel="1">
      <c r="A590" s="376"/>
      <c r="B590" s="633" t="s">
        <v>1161</v>
      </c>
      <c r="C590" s="382" t="s">
        <v>1158</v>
      </c>
      <c r="D590" s="378">
        <v>5</v>
      </c>
      <c r="E590" s="383"/>
      <c r="F590" s="384">
        <v>10</v>
      </c>
      <c r="G590" s="378"/>
      <c r="H590" s="378"/>
      <c r="I590" s="378"/>
      <c r="J590" s="378"/>
      <c r="K590" s="378">
        <v>1</v>
      </c>
      <c r="L590" s="378"/>
      <c r="M590" s="379">
        <f t="shared" si="131"/>
        <v>0</v>
      </c>
      <c r="N590" s="378">
        <f t="shared" si="132"/>
        <v>2</v>
      </c>
      <c r="O590" s="379">
        <f t="shared" si="133"/>
        <v>2</v>
      </c>
      <c r="P590" s="378" t="s">
        <v>1147</v>
      </c>
      <c r="Q590" s="380" t="s">
        <v>1148</v>
      </c>
      <c r="R590" s="378"/>
    </row>
    <row r="591" spans="1:18" hidden="1" outlineLevel="1">
      <c r="A591" s="376"/>
      <c r="B591" s="634"/>
      <c r="C591" s="382" t="s">
        <v>1159</v>
      </c>
      <c r="D591" s="378">
        <v>5</v>
      </c>
      <c r="E591" s="383"/>
      <c r="F591" s="384">
        <v>10</v>
      </c>
      <c r="G591" s="378"/>
      <c r="H591" s="378"/>
      <c r="I591" s="378"/>
      <c r="J591" s="378"/>
      <c r="K591" s="378">
        <v>1</v>
      </c>
      <c r="L591" s="378"/>
      <c r="M591" s="379">
        <f t="shared" si="131"/>
        <v>0</v>
      </c>
      <c r="N591" s="378">
        <f t="shared" si="132"/>
        <v>2</v>
      </c>
      <c r="O591" s="379">
        <f t="shared" si="133"/>
        <v>2</v>
      </c>
      <c r="P591" s="378" t="s">
        <v>1147</v>
      </c>
      <c r="Q591" s="380" t="s">
        <v>1148</v>
      </c>
      <c r="R591" s="378"/>
    </row>
    <row r="592" spans="1:18" hidden="1" outlineLevel="1">
      <c r="A592" s="376"/>
      <c r="B592" s="635"/>
      <c r="C592" s="382" t="s">
        <v>1160</v>
      </c>
      <c r="D592" s="378">
        <v>0.5</v>
      </c>
      <c r="E592" s="383"/>
      <c r="F592" s="384">
        <v>0.5</v>
      </c>
      <c r="G592" s="378"/>
      <c r="H592" s="378"/>
      <c r="I592" s="378"/>
      <c r="J592" s="378"/>
      <c r="K592" s="378">
        <v>1</v>
      </c>
      <c r="L592" s="378"/>
      <c r="M592" s="379">
        <f t="shared" si="131"/>
        <v>0</v>
      </c>
      <c r="N592" s="378">
        <f t="shared" si="132"/>
        <v>2</v>
      </c>
      <c r="O592" s="379">
        <f t="shared" si="133"/>
        <v>2</v>
      </c>
      <c r="P592" s="378" t="s">
        <v>1147</v>
      </c>
      <c r="Q592" s="380" t="s">
        <v>1148</v>
      </c>
      <c r="R592" s="378"/>
    </row>
    <row r="593" spans="1:18" hidden="1" outlineLevel="1">
      <c r="A593" s="376"/>
      <c r="B593" s="633" t="s">
        <v>1162</v>
      </c>
      <c r="C593" s="382" t="s">
        <v>1158</v>
      </c>
      <c r="D593" s="378">
        <v>3</v>
      </c>
      <c r="E593" s="383"/>
      <c r="F593" s="384">
        <v>7</v>
      </c>
      <c r="G593" s="378"/>
      <c r="H593" s="378"/>
      <c r="I593" s="378"/>
      <c r="J593" s="378"/>
      <c r="K593" s="378">
        <v>1</v>
      </c>
      <c r="L593" s="378"/>
      <c r="M593" s="379">
        <f t="shared" si="131"/>
        <v>0</v>
      </c>
      <c r="N593" s="378">
        <f t="shared" si="132"/>
        <v>2</v>
      </c>
      <c r="O593" s="379">
        <f t="shared" si="133"/>
        <v>2</v>
      </c>
      <c r="P593" s="378" t="s">
        <v>1147</v>
      </c>
      <c r="Q593" s="380" t="s">
        <v>1148</v>
      </c>
      <c r="R593" s="378"/>
    </row>
    <row r="594" spans="1:18" hidden="1" outlineLevel="1">
      <c r="A594" s="376"/>
      <c r="B594" s="634"/>
      <c r="C594" s="382" t="s">
        <v>1159</v>
      </c>
      <c r="D594" s="378">
        <v>3</v>
      </c>
      <c r="E594" s="383"/>
      <c r="F594" s="384">
        <v>7</v>
      </c>
      <c r="G594" s="378"/>
      <c r="H594" s="378"/>
      <c r="I594" s="378"/>
      <c r="J594" s="378"/>
      <c r="K594" s="378">
        <v>1</v>
      </c>
      <c r="L594" s="378"/>
      <c r="M594" s="379">
        <f t="shared" si="131"/>
        <v>0</v>
      </c>
      <c r="N594" s="378">
        <f t="shared" si="132"/>
        <v>2</v>
      </c>
      <c r="O594" s="379">
        <f t="shared" si="133"/>
        <v>2</v>
      </c>
      <c r="P594" s="378" t="s">
        <v>1147</v>
      </c>
      <c r="Q594" s="380" t="s">
        <v>1148</v>
      </c>
      <c r="R594" s="378"/>
    </row>
    <row r="595" spans="1:18" hidden="1" outlineLevel="1">
      <c r="A595" s="376"/>
      <c r="B595" s="635"/>
      <c r="C595" s="382" t="s">
        <v>1160</v>
      </c>
      <c r="D595" s="385">
        <v>0.5</v>
      </c>
      <c r="E595" s="386"/>
      <c r="F595" s="385">
        <v>0.5</v>
      </c>
      <c r="G595" s="387"/>
      <c r="H595" s="387"/>
      <c r="I595" s="387"/>
      <c r="J595" s="387"/>
      <c r="K595" s="378">
        <v>1</v>
      </c>
      <c r="L595" s="378"/>
      <c r="M595" s="379">
        <f t="shared" si="131"/>
        <v>0</v>
      </c>
      <c r="N595" s="378">
        <f t="shared" si="132"/>
        <v>2</v>
      </c>
      <c r="O595" s="379">
        <f t="shared" si="133"/>
        <v>2</v>
      </c>
      <c r="P595" s="378" t="s">
        <v>1147</v>
      </c>
      <c r="Q595" s="380" t="s">
        <v>1148</v>
      </c>
      <c r="R595" s="378"/>
    </row>
    <row r="596" spans="1:18" hidden="1" outlineLevel="1">
      <c r="A596" s="388" t="s">
        <v>1163</v>
      </c>
      <c r="B596" s="630"/>
      <c r="C596" s="631"/>
      <c r="D596" s="631"/>
      <c r="E596" s="631"/>
      <c r="F596" s="631"/>
      <c r="G596" s="632"/>
      <c r="H596" s="377"/>
      <c r="I596" s="377"/>
      <c r="J596" s="377"/>
      <c r="K596" s="378"/>
      <c r="L596" s="378"/>
      <c r="M596" s="379">
        <f>IFERROR(MIN(M597:M599),0)</f>
        <v>0</v>
      </c>
      <c r="N596" s="378">
        <f>N597</f>
        <v>2</v>
      </c>
      <c r="O596" s="379">
        <f t="shared" si="133"/>
        <v>2</v>
      </c>
      <c r="P596" s="378" t="s">
        <v>1147</v>
      </c>
      <c r="Q596" s="380" t="s">
        <v>1148</v>
      </c>
      <c r="R596" s="378"/>
    </row>
    <row r="597" spans="1:18" hidden="1" outlineLevel="1">
      <c r="A597" s="388"/>
      <c r="B597" s="642" t="s">
        <v>1164</v>
      </c>
      <c r="C597" s="382" t="s">
        <v>1149</v>
      </c>
      <c r="D597" s="387">
        <v>0.98</v>
      </c>
      <c r="E597" s="389"/>
      <c r="F597" s="387">
        <v>0.9</v>
      </c>
      <c r="G597" s="387"/>
      <c r="H597" s="387"/>
      <c r="I597" s="387"/>
      <c r="J597" s="387"/>
      <c r="K597" s="378">
        <v>1</v>
      </c>
      <c r="L597" s="378"/>
      <c r="M597" s="379">
        <f>IFERROR(MIN(MAX(0,IF(K597="N/A",0,IF((D597=E597),5,5-QUOTIENT(D597,E597)))), MAX(0,IF(K597="N/A",0,IF((F597=G597),5,5-QUOTIENT(F597,G597))))),0)</f>
        <v>0</v>
      </c>
      <c r="N597" s="378">
        <f>IF(K597="N/A", 1, 2)</f>
        <v>2</v>
      </c>
      <c r="O597" s="379">
        <f t="shared" si="133"/>
        <v>2</v>
      </c>
      <c r="P597" s="378" t="s">
        <v>1147</v>
      </c>
      <c r="Q597" s="380" t="s">
        <v>1148</v>
      </c>
      <c r="R597" s="378"/>
    </row>
    <row r="598" spans="1:18" hidden="1" outlineLevel="1">
      <c r="A598" s="388"/>
      <c r="B598" s="642"/>
      <c r="C598" s="382" t="s">
        <v>1165</v>
      </c>
      <c r="D598" s="378">
        <v>2</v>
      </c>
      <c r="E598" s="390"/>
      <c r="F598" s="378">
        <v>4</v>
      </c>
      <c r="G598" s="387"/>
      <c r="H598" s="387"/>
      <c r="I598" s="387"/>
      <c r="J598" s="387"/>
      <c r="K598" s="378">
        <v>1</v>
      </c>
      <c r="L598" s="378"/>
      <c r="M598" s="379">
        <f>IFERROR(MIN(MAX(0,IF(K598="N/A",0,IF((D598=E598),5,5-QUOTIENT(D598,E598)))), MAX(0,IF(K598="N/A",0,IF((F598=G598),5,5-QUOTIENT(F598,G598))))),0)</f>
        <v>0</v>
      </c>
      <c r="N598" s="378">
        <f t="shared" ref="N598:N599" si="134">IF(K598="N/A", 1, 2)</f>
        <v>2</v>
      </c>
      <c r="O598" s="379">
        <f t="shared" si="133"/>
        <v>2</v>
      </c>
      <c r="P598" s="378" t="s">
        <v>1147</v>
      </c>
      <c r="Q598" s="380" t="s">
        <v>1148</v>
      </c>
      <c r="R598" s="378"/>
    </row>
    <row r="599" spans="1:18" hidden="1" outlineLevel="1">
      <c r="A599" s="388"/>
      <c r="B599" s="642"/>
      <c r="C599" s="382" t="s">
        <v>1153</v>
      </c>
      <c r="D599" s="378">
        <v>2</v>
      </c>
      <c r="E599" s="390"/>
      <c r="F599" s="378">
        <v>4</v>
      </c>
      <c r="G599" s="391"/>
      <c r="H599" s="391"/>
      <c r="I599" s="391"/>
      <c r="J599" s="391"/>
      <c r="K599" s="378">
        <v>1</v>
      </c>
      <c r="L599" s="378"/>
      <c r="M599" s="379">
        <f>IFERROR(MIN(MAX(0,IF(K599="N/A",0,IF((D599=E599),5,5-QUOTIENT(D599,E599)))), MAX(0,IF(K599="N/A",0,IF((F599=G599),5,5-QUOTIENT(F599,G599))))),0)</f>
        <v>0</v>
      </c>
      <c r="N599" s="378">
        <f t="shared" si="134"/>
        <v>2</v>
      </c>
      <c r="O599" s="379">
        <f t="shared" si="133"/>
        <v>2</v>
      </c>
      <c r="P599" s="378" t="s">
        <v>1147</v>
      </c>
      <c r="Q599" s="380" t="s">
        <v>1148</v>
      </c>
      <c r="R599" s="378"/>
    </row>
    <row r="600" spans="1:18" hidden="1" outlineLevel="1">
      <c r="A600" s="392" t="s">
        <v>1166</v>
      </c>
      <c r="B600" s="393"/>
      <c r="C600" s="382"/>
      <c r="D600" s="378"/>
      <c r="E600" s="390"/>
      <c r="F600" s="378"/>
      <c r="G600" s="391"/>
      <c r="H600" s="391"/>
      <c r="I600" s="391"/>
      <c r="J600" s="391"/>
      <c r="K600" s="378"/>
      <c r="L600" s="378"/>
      <c r="M600" s="379">
        <f>IFERROR(MIN(M601:M604),0)</f>
        <v>0</v>
      </c>
      <c r="N600" s="378">
        <f>N601</f>
        <v>2</v>
      </c>
      <c r="O600" s="379">
        <f t="shared" si="133"/>
        <v>2</v>
      </c>
      <c r="P600" s="378" t="s">
        <v>1147</v>
      </c>
      <c r="Q600" s="380" t="s">
        <v>1148</v>
      </c>
      <c r="R600" s="378"/>
    </row>
    <row r="601" spans="1:18" hidden="1" outlineLevel="1">
      <c r="A601" s="394"/>
      <c r="B601" s="643" t="s">
        <v>1167</v>
      </c>
      <c r="C601" s="382" t="s">
        <v>1168</v>
      </c>
      <c r="D601" s="387">
        <v>0.45</v>
      </c>
      <c r="E601" s="389"/>
      <c r="F601" s="387">
        <v>0.45</v>
      </c>
      <c r="G601" s="387"/>
      <c r="H601" s="387"/>
      <c r="I601" s="387"/>
      <c r="J601" s="387"/>
      <c r="K601" s="378">
        <v>1</v>
      </c>
      <c r="L601" s="378"/>
      <c r="M601" s="379">
        <f>IFERROR(MIN(MAX(0,IF(K601="N/A",0,IF((D601=E601),5,5-QUOTIENT(D601,E601)))), MAX(0,IF(K601="N/A",0,IF((F601=G601),5,5-QUOTIENT(F601,G601))))),0)</f>
        <v>0</v>
      </c>
      <c r="N601" s="378">
        <f>IF(K601="N/A", 1, 2)</f>
        <v>2</v>
      </c>
      <c r="O601" s="379">
        <f t="shared" si="133"/>
        <v>2</v>
      </c>
      <c r="P601" s="378" t="s">
        <v>1147</v>
      </c>
      <c r="Q601" s="380" t="s">
        <v>1148</v>
      </c>
      <c r="R601" s="378"/>
    </row>
    <row r="602" spans="1:18" hidden="1" outlineLevel="1">
      <c r="A602" s="394"/>
      <c r="B602" s="637"/>
      <c r="C602" s="382" t="s">
        <v>1169</v>
      </c>
      <c r="D602" s="387">
        <v>0.05</v>
      </c>
      <c r="E602" s="389"/>
      <c r="F602" s="387">
        <v>0.05</v>
      </c>
      <c r="G602" s="387"/>
      <c r="H602" s="387"/>
      <c r="I602" s="387"/>
      <c r="J602" s="387"/>
      <c r="K602" s="378">
        <v>1</v>
      </c>
      <c r="L602" s="378"/>
      <c r="M602" s="379">
        <f>IFERROR(MIN(MAX(0,IF(K602="N/A",0,IF((D602=E602),5,5-QUOTIENT(D602,E602)))), MAX(0,IF(K602="N/A",0,IF((F602=G602),5,5-QUOTIENT(F602,G602))))),0)</f>
        <v>0</v>
      </c>
      <c r="N602" s="378">
        <f t="shared" ref="N602:N604" si="135">IF(K602="N/A", 1, 2)</f>
        <v>2</v>
      </c>
      <c r="O602" s="379">
        <f t="shared" si="133"/>
        <v>2</v>
      </c>
      <c r="P602" s="378" t="s">
        <v>1147</v>
      </c>
      <c r="Q602" s="380" t="s">
        <v>1148</v>
      </c>
      <c r="R602" s="378"/>
    </row>
    <row r="603" spans="1:18" hidden="1" outlineLevel="1">
      <c r="A603" s="394"/>
      <c r="B603" s="637"/>
      <c r="C603" s="382" t="s">
        <v>1170</v>
      </c>
      <c r="D603" s="391">
        <v>1</v>
      </c>
      <c r="E603" s="389"/>
      <c r="F603" s="391">
        <v>1</v>
      </c>
      <c r="G603" s="387"/>
      <c r="H603" s="387"/>
      <c r="I603" s="387"/>
      <c r="J603" s="387"/>
      <c r="K603" s="378">
        <v>1</v>
      </c>
      <c r="L603" s="378"/>
      <c r="M603" s="379">
        <f>IFERROR(MIN(MAX(0,IF(K603="N/A",0,IF((D603=E603),5,5-QUOTIENT(D603,E603)))), MAX(0,IF(K603="N/A",0,IF((F603=G603),5,5-QUOTIENT(F603,G603))))),0)</f>
        <v>0</v>
      </c>
      <c r="N603" s="378">
        <f t="shared" si="135"/>
        <v>2</v>
      </c>
      <c r="O603" s="379">
        <f t="shared" si="133"/>
        <v>2</v>
      </c>
      <c r="P603" s="378" t="s">
        <v>1147</v>
      </c>
      <c r="Q603" s="380" t="s">
        <v>1148</v>
      </c>
      <c r="R603" s="378"/>
    </row>
    <row r="604" spans="1:18" hidden="1" outlineLevel="1">
      <c r="A604" s="394"/>
      <c r="B604" s="638"/>
      <c r="C604" s="382" t="s">
        <v>1171</v>
      </c>
      <c r="D604" s="391">
        <v>10</v>
      </c>
      <c r="E604" s="389"/>
      <c r="F604" s="391">
        <v>10</v>
      </c>
      <c r="G604" s="387"/>
      <c r="H604" s="387"/>
      <c r="I604" s="387"/>
      <c r="J604" s="387"/>
      <c r="K604" s="378">
        <v>1</v>
      </c>
      <c r="L604" s="378"/>
      <c r="M604" s="379">
        <f>IFERROR(MIN(MAX(0,IF(K604="N/A",0,IF((D604=E604),5,5-QUOTIENT(D604,E604)))), MAX(0,IF(K604="N/A",0,IF((F604=G604),5,5-QUOTIENT(F604,G604))))),0)</f>
        <v>0</v>
      </c>
      <c r="N604" s="378">
        <f t="shared" si="135"/>
        <v>2</v>
      </c>
      <c r="O604" s="379">
        <f t="shared" si="133"/>
        <v>2</v>
      </c>
      <c r="P604" s="378" t="s">
        <v>1147</v>
      </c>
      <c r="Q604" s="380" t="s">
        <v>1148</v>
      </c>
      <c r="R604" s="378"/>
    </row>
    <row r="605" spans="1:18" hidden="1" outlineLevel="1">
      <c r="A605" s="394" t="s">
        <v>1172</v>
      </c>
      <c r="B605" s="395"/>
      <c r="C605" s="382"/>
      <c r="D605" s="391"/>
      <c r="E605" s="389"/>
      <c r="F605" s="391"/>
      <c r="G605" s="387"/>
      <c r="H605" s="387"/>
      <c r="I605" s="387"/>
      <c r="J605" s="387"/>
      <c r="K605" s="378"/>
      <c r="L605" s="378"/>
      <c r="M605" s="379">
        <f>IFERROR(MIN(M606:M608),0)</f>
        <v>0</v>
      </c>
      <c r="N605" s="378">
        <f>N606</f>
        <v>2</v>
      </c>
      <c r="O605" s="379">
        <f t="shared" si="133"/>
        <v>2</v>
      </c>
      <c r="P605" s="378" t="s">
        <v>1147</v>
      </c>
      <c r="Q605" s="380" t="s">
        <v>1148</v>
      </c>
      <c r="R605" s="378"/>
    </row>
    <row r="606" spans="1:18" hidden="1" outlineLevel="1">
      <c r="A606" s="394"/>
      <c r="B606" s="636" t="s">
        <v>568</v>
      </c>
      <c r="C606" s="382" t="s">
        <v>1168</v>
      </c>
      <c r="D606" s="387">
        <v>0.8</v>
      </c>
      <c r="E606" s="389"/>
      <c r="F606" s="387">
        <v>0.8</v>
      </c>
      <c r="G606" s="387"/>
      <c r="H606" s="387"/>
      <c r="I606" s="387"/>
      <c r="J606" s="387"/>
      <c r="K606" s="378">
        <v>1</v>
      </c>
      <c r="L606" s="378"/>
      <c r="M606" s="379">
        <f>IFERROR(MIN(MAX(0,IF(K606="N/A",0,IF((D606=E606),5,5-QUOTIENT(D606,E606)))), MAX(0,IF(K606="N/A",0,IF((F606=G606),5,5-QUOTIENT(F606,G606))))),0)</f>
        <v>0</v>
      </c>
      <c r="N606" s="378">
        <f>IF(K606="N/A", 1, 2)</f>
        <v>2</v>
      </c>
      <c r="O606" s="379">
        <f t="shared" si="133"/>
        <v>2</v>
      </c>
      <c r="P606" s="378" t="s">
        <v>1147</v>
      </c>
      <c r="Q606" s="380" t="s">
        <v>1148</v>
      </c>
      <c r="R606" s="378"/>
    </row>
    <row r="607" spans="1:18" hidden="1" outlineLevel="1">
      <c r="A607" s="394"/>
      <c r="B607" s="637"/>
      <c r="C607" s="382" t="s">
        <v>1170</v>
      </c>
      <c r="D607" s="390">
        <v>0.05</v>
      </c>
      <c r="E607" s="389"/>
      <c r="F607" s="390">
        <v>0.05</v>
      </c>
      <c r="G607" s="387"/>
      <c r="H607" s="387"/>
      <c r="I607" s="387"/>
      <c r="J607" s="387"/>
      <c r="K607" s="378">
        <v>1</v>
      </c>
      <c r="L607" s="378"/>
      <c r="M607" s="379">
        <f>IFERROR(MIN(MAX(0,IF(K607="N/A",0,IF((D607=E607),5,5-QUOTIENT(D607,E607)))), MAX(0,IF(K607="N/A",0,IF((F607=G607),5,5-QUOTIENT(F607,G607))))),0)</f>
        <v>0</v>
      </c>
      <c r="N607" s="378">
        <f t="shared" ref="N607:N608" si="136">IF(K607="N/A", 1, 2)</f>
        <v>2</v>
      </c>
      <c r="O607" s="379">
        <f t="shared" si="133"/>
        <v>2</v>
      </c>
      <c r="P607" s="378" t="s">
        <v>1147</v>
      </c>
      <c r="Q607" s="380" t="s">
        <v>1148</v>
      </c>
      <c r="R607" s="378"/>
    </row>
    <row r="608" spans="1:18" hidden="1" outlineLevel="1">
      <c r="A608" s="394"/>
      <c r="B608" s="638"/>
      <c r="C608" s="382" t="s">
        <v>1173</v>
      </c>
      <c r="D608" s="391">
        <v>10</v>
      </c>
      <c r="E608" s="389"/>
      <c r="F608" s="391">
        <v>10</v>
      </c>
      <c r="G608" s="387"/>
      <c r="H608" s="387"/>
      <c r="I608" s="387"/>
      <c r="J608" s="387"/>
      <c r="K608" s="378">
        <v>1</v>
      </c>
      <c r="L608" s="378"/>
      <c r="M608" s="379">
        <f>IFERROR(MIN(MAX(0,IF(K608="N/A",0,IF((D608=E608),5,5-QUOTIENT(D608,E608)))), MAX(0,IF(K608="N/A",0,IF((F608=G608),5,5-QUOTIENT(F608,G608))))),0)</f>
        <v>0</v>
      </c>
      <c r="N608" s="378">
        <f t="shared" si="136"/>
        <v>2</v>
      </c>
      <c r="O608" s="379">
        <f t="shared" si="133"/>
        <v>2</v>
      </c>
      <c r="P608" s="378" t="s">
        <v>1147</v>
      </c>
      <c r="Q608" s="380" t="s">
        <v>1148</v>
      </c>
      <c r="R608" s="378"/>
    </row>
    <row r="609" spans="1:18" hidden="1" outlineLevel="1">
      <c r="A609" s="394" t="s">
        <v>1174</v>
      </c>
      <c r="B609" s="395"/>
      <c r="C609" s="382"/>
      <c r="D609" s="391"/>
      <c r="E609" s="389"/>
      <c r="F609" s="391"/>
      <c r="G609" s="387"/>
      <c r="H609" s="387"/>
      <c r="I609" s="387"/>
      <c r="J609" s="387"/>
      <c r="K609" s="378"/>
      <c r="L609" s="378"/>
      <c r="M609" s="379">
        <f>IFERROR(MIN(M610:M612),0)</f>
        <v>0</v>
      </c>
      <c r="N609" s="378">
        <f>N610</f>
        <v>2</v>
      </c>
      <c r="O609" s="379">
        <f t="shared" si="133"/>
        <v>2</v>
      </c>
      <c r="P609" s="378" t="s">
        <v>1147</v>
      </c>
      <c r="Q609" s="380" t="s">
        <v>1148</v>
      </c>
      <c r="R609" s="378"/>
    </row>
    <row r="610" spans="1:18" hidden="1" outlineLevel="1">
      <c r="A610" s="394"/>
      <c r="B610" s="636" t="s">
        <v>571</v>
      </c>
      <c r="C610" s="382" t="s">
        <v>1168</v>
      </c>
      <c r="D610" s="387">
        <v>0.95</v>
      </c>
      <c r="E610" s="389"/>
      <c r="F610" s="387">
        <v>0.95</v>
      </c>
      <c r="G610" s="387"/>
      <c r="H610" s="387"/>
      <c r="I610" s="387"/>
      <c r="J610" s="387"/>
      <c r="K610" s="378">
        <v>1</v>
      </c>
      <c r="L610" s="378"/>
      <c r="M610" s="379">
        <f>IFERROR(MIN(MAX(0,IF(K610="N/A",0,IF((D610=E610),5,5-QUOTIENT(D610,E610)))), MAX(0,IF(K610="N/A",0,IF((F610=G610),5,5-QUOTIENT(F610,G610))))),0)</f>
        <v>0</v>
      </c>
      <c r="N610" s="378">
        <f t="shared" ref="N610:N612" si="137">IF(K610="N/A", 0, 2)</f>
        <v>2</v>
      </c>
      <c r="O610" s="379">
        <f t="shared" si="133"/>
        <v>2</v>
      </c>
      <c r="P610" s="378" t="s">
        <v>1147</v>
      </c>
      <c r="Q610" s="380" t="s">
        <v>1148</v>
      </c>
      <c r="R610" s="378"/>
    </row>
    <row r="611" spans="1:18" hidden="1" outlineLevel="1">
      <c r="A611" s="394"/>
      <c r="B611" s="637"/>
      <c r="C611" s="382" t="s">
        <v>1170</v>
      </c>
      <c r="D611" s="390">
        <v>0.01</v>
      </c>
      <c r="E611" s="389"/>
      <c r="F611" s="390">
        <v>0.01</v>
      </c>
      <c r="G611" s="387"/>
      <c r="H611" s="387"/>
      <c r="I611" s="387"/>
      <c r="J611" s="387"/>
      <c r="K611" s="378">
        <v>1</v>
      </c>
      <c r="L611" s="378"/>
      <c r="M611" s="379">
        <f>IFERROR(MIN(MAX(0,IF(K611="N/A",0,IF((D611=E611),5,5-QUOTIENT(D611,E611)))), MAX(0,IF(K611="N/A",0,IF((F611=G611),5,5-QUOTIENT(F611,G611))))),0)</f>
        <v>0</v>
      </c>
      <c r="N611" s="378">
        <f t="shared" si="137"/>
        <v>2</v>
      </c>
      <c r="O611" s="379">
        <f t="shared" si="133"/>
        <v>2</v>
      </c>
      <c r="P611" s="378" t="s">
        <v>1147</v>
      </c>
      <c r="Q611" s="380" t="s">
        <v>1148</v>
      </c>
      <c r="R611" s="378"/>
    </row>
    <row r="612" spans="1:18" hidden="1" outlineLevel="1">
      <c r="A612" s="394"/>
      <c r="B612" s="638"/>
      <c r="C612" s="382" t="s">
        <v>1173</v>
      </c>
      <c r="D612" s="391">
        <v>6</v>
      </c>
      <c r="E612" s="389"/>
      <c r="F612" s="391">
        <v>6</v>
      </c>
      <c r="G612" s="387"/>
      <c r="H612" s="387"/>
      <c r="I612" s="387"/>
      <c r="J612" s="387"/>
      <c r="K612" s="378">
        <v>1</v>
      </c>
      <c r="L612" s="378"/>
      <c r="M612" s="379">
        <f>IFERROR(MIN(MAX(0,IF(K612="N/A",0,IF((D612=E612),5,5-QUOTIENT(D612,E612)))), MAX(0,IF(K612="N/A",0,IF((F612=G612),5,5-QUOTIENT(F612,G612))))),0)</f>
        <v>0</v>
      </c>
      <c r="N612" s="378">
        <f t="shared" si="137"/>
        <v>2</v>
      </c>
      <c r="O612" s="379">
        <f t="shared" si="133"/>
        <v>2</v>
      </c>
      <c r="P612" s="378" t="s">
        <v>1147</v>
      </c>
      <c r="Q612" s="380" t="s">
        <v>1148</v>
      </c>
      <c r="R612" s="378"/>
    </row>
    <row r="613" spans="1:18" hidden="1" outlineLevel="1">
      <c r="A613" s="394" t="s">
        <v>1175</v>
      </c>
      <c r="B613" s="396"/>
      <c r="C613" s="382"/>
      <c r="D613" s="391"/>
      <c r="E613" s="389"/>
      <c r="F613" s="391"/>
      <c r="G613" s="387"/>
      <c r="H613" s="387"/>
      <c r="I613" s="387"/>
      <c r="J613" s="387"/>
      <c r="K613" s="378"/>
      <c r="L613" s="378"/>
      <c r="M613" s="379">
        <f>IFERROR(MIN(M614:M623),0)</f>
        <v>0</v>
      </c>
      <c r="N613" s="378">
        <f>N614</f>
        <v>2</v>
      </c>
      <c r="O613" s="379">
        <f t="shared" si="133"/>
        <v>2</v>
      </c>
      <c r="P613" s="378" t="s">
        <v>1147</v>
      </c>
      <c r="Q613" s="380" t="s">
        <v>1148</v>
      </c>
      <c r="R613" s="378"/>
    </row>
    <row r="614" spans="1:18" hidden="1" outlineLevel="1">
      <c r="A614" s="394"/>
      <c r="B614" s="397" t="s">
        <v>1149</v>
      </c>
      <c r="C614" s="382" t="s">
        <v>1150</v>
      </c>
      <c r="D614" s="387">
        <v>0.99</v>
      </c>
      <c r="E614" s="389"/>
      <c r="F614" s="398">
        <v>0.99</v>
      </c>
      <c r="G614" s="387"/>
      <c r="H614" s="387"/>
      <c r="I614" s="387"/>
      <c r="J614" s="387"/>
      <c r="K614" s="378">
        <v>1</v>
      </c>
      <c r="L614" s="378"/>
      <c r="M614" s="379">
        <f t="shared" ref="M614:M623" si="138">IFERROR(MIN(MAX(0,IF(K614="N/A",0,IF((D614=E614),5,5-QUOTIENT(D614,E614)))), MAX(0,IF(K614="N/A",0,IF((F614=G614),5,5-QUOTIENT(F614,G614))))),0)</f>
        <v>0</v>
      </c>
      <c r="N614" s="378">
        <f>IF(K614="N/A", 1, 2)</f>
        <v>2</v>
      </c>
      <c r="O614" s="379">
        <f t="shared" si="133"/>
        <v>2</v>
      </c>
      <c r="P614" s="378" t="s">
        <v>1147</v>
      </c>
      <c r="Q614" s="380" t="s">
        <v>1148</v>
      </c>
      <c r="R614" s="378"/>
    </row>
    <row r="615" spans="1:18" hidden="1" outlineLevel="1">
      <c r="A615" s="394"/>
      <c r="B615" s="636" t="s">
        <v>1176</v>
      </c>
      <c r="C615" s="382" t="s">
        <v>1177</v>
      </c>
      <c r="D615" s="387">
        <v>0.98</v>
      </c>
      <c r="E615" s="389"/>
      <c r="F615" s="398">
        <v>0.95</v>
      </c>
      <c r="G615" s="387"/>
      <c r="H615" s="387"/>
      <c r="I615" s="387"/>
      <c r="J615" s="387"/>
      <c r="K615" s="378">
        <v>1</v>
      </c>
      <c r="L615" s="378"/>
      <c r="M615" s="379">
        <f t="shared" si="138"/>
        <v>0</v>
      </c>
      <c r="N615" s="378">
        <f t="shared" ref="N615:N623" si="139">IF(K615="N/A", 1, 2)</f>
        <v>2</v>
      </c>
      <c r="O615" s="379">
        <f t="shared" si="133"/>
        <v>2</v>
      </c>
      <c r="P615" s="378" t="s">
        <v>1147</v>
      </c>
      <c r="Q615" s="380" t="s">
        <v>1148</v>
      </c>
      <c r="R615" s="378"/>
    </row>
    <row r="616" spans="1:18" hidden="1" outlineLevel="1">
      <c r="A616" s="394"/>
      <c r="B616" s="638"/>
      <c r="C616" s="382" t="s">
        <v>1178</v>
      </c>
      <c r="D616" s="387">
        <v>0.95</v>
      </c>
      <c r="E616" s="399"/>
      <c r="F616" s="398">
        <v>0.9</v>
      </c>
      <c r="G616" s="387"/>
      <c r="H616" s="387"/>
      <c r="I616" s="387"/>
      <c r="J616" s="387"/>
      <c r="K616" s="378">
        <v>1</v>
      </c>
      <c r="L616" s="378"/>
      <c r="M616" s="379">
        <f t="shared" si="138"/>
        <v>0</v>
      </c>
      <c r="N616" s="378">
        <f t="shared" si="139"/>
        <v>2</v>
      </c>
      <c r="O616" s="379">
        <f t="shared" si="133"/>
        <v>2</v>
      </c>
      <c r="P616" s="378" t="s">
        <v>1147</v>
      </c>
      <c r="Q616" s="380" t="s">
        <v>1148</v>
      </c>
      <c r="R616" s="378"/>
    </row>
    <row r="617" spans="1:18" hidden="1" outlineLevel="1">
      <c r="A617" s="394"/>
      <c r="B617" s="636" t="s">
        <v>1179</v>
      </c>
      <c r="C617" s="382" t="s">
        <v>1177</v>
      </c>
      <c r="D617" s="387">
        <v>0.95</v>
      </c>
      <c r="E617" s="399"/>
      <c r="F617" s="387">
        <v>0.95</v>
      </c>
      <c r="G617" s="387"/>
      <c r="H617" s="387"/>
      <c r="I617" s="387"/>
      <c r="J617" s="387"/>
      <c r="K617" s="378">
        <v>1</v>
      </c>
      <c r="L617" s="378"/>
      <c r="M617" s="379">
        <f t="shared" si="138"/>
        <v>0</v>
      </c>
      <c r="N617" s="378">
        <f t="shared" si="139"/>
        <v>2</v>
      </c>
      <c r="O617" s="379">
        <f t="shared" si="133"/>
        <v>2</v>
      </c>
      <c r="P617" s="378" t="s">
        <v>1147</v>
      </c>
      <c r="Q617" s="380" t="s">
        <v>1148</v>
      </c>
      <c r="R617" s="378"/>
    </row>
    <row r="618" spans="1:18" hidden="1" outlineLevel="1">
      <c r="A618" s="394"/>
      <c r="B618" s="637"/>
      <c r="C618" s="382" t="s">
        <v>1180</v>
      </c>
      <c r="D618" s="387">
        <v>0.85</v>
      </c>
      <c r="E618" s="399"/>
      <c r="F618" s="387">
        <v>0.85</v>
      </c>
      <c r="G618" s="387"/>
      <c r="H618" s="387"/>
      <c r="I618" s="387"/>
      <c r="J618" s="387"/>
      <c r="K618" s="378">
        <v>1</v>
      </c>
      <c r="L618" s="378"/>
      <c r="M618" s="379">
        <f t="shared" si="138"/>
        <v>0</v>
      </c>
      <c r="N618" s="378">
        <f t="shared" si="139"/>
        <v>2</v>
      </c>
      <c r="O618" s="379">
        <f t="shared" si="133"/>
        <v>2</v>
      </c>
      <c r="P618" s="378" t="s">
        <v>1147</v>
      </c>
      <c r="Q618" s="380" t="s">
        <v>1148</v>
      </c>
      <c r="R618" s="378"/>
    </row>
    <row r="619" spans="1:18" hidden="1" outlineLevel="1">
      <c r="A619" s="394"/>
      <c r="B619" s="637"/>
      <c r="C619" s="382" t="s">
        <v>1181</v>
      </c>
      <c r="D619" s="387">
        <v>0.9</v>
      </c>
      <c r="E619" s="399"/>
      <c r="F619" s="387">
        <v>0.9</v>
      </c>
      <c r="G619" s="387"/>
      <c r="H619" s="387"/>
      <c r="I619" s="387"/>
      <c r="J619" s="387"/>
      <c r="K619" s="378">
        <v>1</v>
      </c>
      <c r="L619" s="378"/>
      <c r="M619" s="379">
        <f t="shared" si="138"/>
        <v>0</v>
      </c>
      <c r="N619" s="378">
        <f t="shared" si="139"/>
        <v>2</v>
      </c>
      <c r="O619" s="379">
        <f t="shared" si="133"/>
        <v>2</v>
      </c>
      <c r="P619" s="378" t="s">
        <v>1147</v>
      </c>
      <c r="Q619" s="380" t="s">
        <v>1148</v>
      </c>
      <c r="R619" s="378"/>
    </row>
    <row r="620" spans="1:18" hidden="1" outlineLevel="1">
      <c r="A620" s="394"/>
      <c r="B620" s="637"/>
      <c r="C620" s="382" t="s">
        <v>1182</v>
      </c>
      <c r="D620" s="387">
        <v>0.9</v>
      </c>
      <c r="E620" s="399"/>
      <c r="F620" s="387">
        <v>0.9</v>
      </c>
      <c r="G620" s="387"/>
      <c r="H620" s="387"/>
      <c r="I620" s="387"/>
      <c r="J620" s="387"/>
      <c r="K620" s="378">
        <v>1</v>
      </c>
      <c r="L620" s="378"/>
      <c r="M620" s="379">
        <f t="shared" si="138"/>
        <v>0</v>
      </c>
      <c r="N620" s="378">
        <f t="shared" si="139"/>
        <v>2</v>
      </c>
      <c r="O620" s="379">
        <f t="shared" si="133"/>
        <v>2</v>
      </c>
      <c r="P620" s="378" t="s">
        <v>1147</v>
      </c>
      <c r="Q620" s="380" t="s">
        <v>1148</v>
      </c>
      <c r="R620" s="378"/>
    </row>
    <row r="621" spans="1:18" hidden="1" outlineLevel="1">
      <c r="A621" s="394"/>
      <c r="B621" s="637"/>
      <c r="C621" s="382" t="s">
        <v>1183</v>
      </c>
      <c r="D621" s="387">
        <v>0.9</v>
      </c>
      <c r="E621" s="399"/>
      <c r="F621" s="387">
        <v>0.9</v>
      </c>
      <c r="G621" s="387"/>
      <c r="H621" s="387"/>
      <c r="I621" s="387"/>
      <c r="J621" s="387"/>
      <c r="K621" s="378">
        <v>1</v>
      </c>
      <c r="L621" s="378"/>
      <c r="M621" s="379">
        <f t="shared" si="138"/>
        <v>0</v>
      </c>
      <c r="N621" s="378">
        <f t="shared" si="139"/>
        <v>2</v>
      </c>
      <c r="O621" s="379">
        <f t="shared" si="133"/>
        <v>2</v>
      </c>
      <c r="P621" s="378" t="s">
        <v>1147</v>
      </c>
      <c r="Q621" s="380" t="s">
        <v>1148</v>
      </c>
      <c r="R621" s="378"/>
    </row>
    <row r="622" spans="1:18" hidden="1" outlineLevel="1">
      <c r="A622" s="394"/>
      <c r="B622" s="637"/>
      <c r="C622" s="382" t="s">
        <v>1178</v>
      </c>
      <c r="D622" s="387">
        <v>0.9</v>
      </c>
      <c r="E622" s="399"/>
      <c r="F622" s="387">
        <v>0.9</v>
      </c>
      <c r="G622" s="387"/>
      <c r="H622" s="387"/>
      <c r="I622" s="387"/>
      <c r="J622" s="387"/>
      <c r="K622" s="378">
        <v>1</v>
      </c>
      <c r="L622" s="378"/>
      <c r="M622" s="379">
        <f t="shared" si="138"/>
        <v>0</v>
      </c>
      <c r="N622" s="378">
        <f t="shared" si="139"/>
        <v>2</v>
      </c>
      <c r="O622" s="379">
        <f t="shared" si="133"/>
        <v>2</v>
      </c>
      <c r="P622" s="378" t="s">
        <v>1147</v>
      </c>
      <c r="Q622" s="380" t="s">
        <v>1148</v>
      </c>
      <c r="R622" s="378"/>
    </row>
    <row r="623" spans="1:18" hidden="1" outlineLevel="1">
      <c r="A623" s="394"/>
      <c r="B623" s="638"/>
      <c r="C623" s="382" t="s">
        <v>1184</v>
      </c>
      <c r="D623" s="387">
        <v>0.85</v>
      </c>
      <c r="E623" s="399"/>
      <c r="F623" s="387">
        <v>0.85</v>
      </c>
      <c r="G623" s="387"/>
      <c r="H623" s="387"/>
      <c r="I623" s="387"/>
      <c r="J623" s="387"/>
      <c r="K623" s="378">
        <v>1</v>
      </c>
      <c r="L623" s="378"/>
      <c r="M623" s="379">
        <f t="shared" si="138"/>
        <v>0</v>
      </c>
      <c r="N623" s="378">
        <f t="shared" si="139"/>
        <v>2</v>
      </c>
      <c r="O623" s="379">
        <f t="shared" si="133"/>
        <v>2</v>
      </c>
      <c r="P623" s="378" t="s">
        <v>1147</v>
      </c>
      <c r="Q623" s="380" t="s">
        <v>1148</v>
      </c>
      <c r="R623" s="378"/>
    </row>
    <row r="624" spans="1:18" hidden="1" outlineLevel="1">
      <c r="A624" s="394" t="s">
        <v>1185</v>
      </c>
      <c r="B624" s="395"/>
      <c r="C624" s="382"/>
      <c r="D624" s="387"/>
      <c r="E624" s="399"/>
      <c r="F624" s="387"/>
      <c r="G624" s="387"/>
      <c r="H624" s="387"/>
      <c r="I624" s="387"/>
      <c r="J624" s="387"/>
      <c r="K624" s="378"/>
      <c r="L624" s="378"/>
      <c r="M624" s="379">
        <f>IFERROR(MIN(M625:M628),0)</f>
        <v>0</v>
      </c>
      <c r="N624" s="378">
        <f>N625</f>
        <v>2</v>
      </c>
      <c r="O624" s="379">
        <f>MAX(M624:N624)</f>
        <v>2</v>
      </c>
      <c r="P624" s="378" t="s">
        <v>1147</v>
      </c>
      <c r="Q624" s="380" t="s">
        <v>1148</v>
      </c>
      <c r="R624" s="378"/>
    </row>
    <row r="625" spans="1:18" hidden="1" outlineLevel="1">
      <c r="A625" s="394"/>
      <c r="B625" s="636" t="s">
        <v>1186</v>
      </c>
      <c r="C625" s="382" t="s">
        <v>1187</v>
      </c>
      <c r="D625" s="387">
        <v>0.95</v>
      </c>
      <c r="E625" s="389"/>
      <c r="F625" s="398">
        <v>0.45</v>
      </c>
      <c r="G625" s="387"/>
      <c r="H625" s="387"/>
      <c r="I625" s="387"/>
      <c r="J625" s="387"/>
      <c r="K625" s="378">
        <v>1</v>
      </c>
      <c r="L625" s="378"/>
      <c r="M625" s="379">
        <f>IFERROR(MIN(MAX(0,IF(K625="N/A",0,IF((D625=E625),5,5-QUOTIENT(D625,E625)))), MAX(0,IF(K625="N/A",0,IF((F625=G625),5,5-QUOTIENT(F625,G625))))),0)</f>
        <v>0</v>
      </c>
      <c r="N625" s="378">
        <f>IF(K625="N/A", 1, 2)</f>
        <v>2</v>
      </c>
      <c r="O625" s="379">
        <f t="shared" ref="O625:O651" si="140">MAX(M625:N625)</f>
        <v>2</v>
      </c>
      <c r="P625" s="378" t="s">
        <v>1147</v>
      </c>
      <c r="Q625" s="380" t="s">
        <v>1148</v>
      </c>
      <c r="R625" s="378"/>
    </row>
    <row r="626" spans="1:18" hidden="1" outlineLevel="1">
      <c r="A626" s="394"/>
      <c r="B626" s="637"/>
      <c r="C626" s="382" t="s">
        <v>1188</v>
      </c>
      <c r="D626" s="387">
        <v>0.9</v>
      </c>
      <c r="E626" s="389"/>
      <c r="F626" s="398">
        <v>0.4</v>
      </c>
      <c r="G626" s="387"/>
      <c r="H626" s="387"/>
      <c r="I626" s="387"/>
      <c r="J626" s="387"/>
      <c r="K626" s="378">
        <v>1</v>
      </c>
      <c r="L626" s="378"/>
      <c r="M626" s="379">
        <f>IFERROR(MIN(MAX(0,IF(K626="N/A",0,IF((D626=E626),5,5-QUOTIENT(D626,E626)))), MAX(0,IF(K626="N/A",0,IF((F626=G626),5,5-QUOTIENT(F626,G626))))),0)</f>
        <v>0</v>
      </c>
      <c r="N626" s="378">
        <f t="shared" ref="N626:N628" si="141">IF(K626="N/A", 1, 2)</f>
        <v>2</v>
      </c>
      <c r="O626" s="379">
        <f t="shared" si="140"/>
        <v>2</v>
      </c>
      <c r="P626" s="378" t="s">
        <v>1147</v>
      </c>
      <c r="Q626" s="380" t="s">
        <v>1148</v>
      </c>
      <c r="R626" s="378"/>
    </row>
    <row r="627" spans="1:18" hidden="1" outlineLevel="1">
      <c r="A627" s="394"/>
      <c r="B627" s="637"/>
      <c r="C627" s="382" t="s">
        <v>1170</v>
      </c>
      <c r="D627" s="390">
        <v>0.05</v>
      </c>
      <c r="E627" s="389"/>
      <c r="F627" s="390">
        <v>0.05</v>
      </c>
      <c r="G627" s="387"/>
      <c r="H627" s="387"/>
      <c r="I627" s="387"/>
      <c r="J627" s="387"/>
      <c r="K627" s="378">
        <v>1</v>
      </c>
      <c r="L627" s="378"/>
      <c r="M627" s="379">
        <f>IFERROR(MIN(MAX(0,IF(K627="N/A",0,IF((D627=E627),5,5-QUOTIENT(D627,E627)))), MAX(0,IF(K627="N/A",0,IF((F627=G627),5,5-QUOTIENT(F627,G627))))),0)</f>
        <v>0</v>
      </c>
      <c r="N627" s="378">
        <f t="shared" si="141"/>
        <v>2</v>
      </c>
      <c r="O627" s="379">
        <f t="shared" si="140"/>
        <v>2</v>
      </c>
      <c r="P627" s="378" t="s">
        <v>1147</v>
      </c>
      <c r="Q627" s="380" t="s">
        <v>1148</v>
      </c>
      <c r="R627" s="378"/>
    </row>
    <row r="628" spans="1:18" hidden="1" outlineLevel="1">
      <c r="A628" s="394"/>
      <c r="B628" s="638"/>
      <c r="C628" s="382" t="s">
        <v>1189</v>
      </c>
      <c r="D628" s="391">
        <v>100</v>
      </c>
      <c r="E628" s="389"/>
      <c r="F628" s="391">
        <v>100</v>
      </c>
      <c r="G628" s="387"/>
      <c r="H628" s="387"/>
      <c r="I628" s="387"/>
      <c r="J628" s="387"/>
      <c r="K628" s="378">
        <v>1</v>
      </c>
      <c r="L628" s="378"/>
      <c r="M628" s="379">
        <f>IFERROR(MIN(MAX(0,IF(K628="N/A",0,IF((D628=E628),5,5-QUOTIENT(D628,E628)))), MAX(0,IF(K628="N/A",0,IF((F628=G628),5,5-QUOTIENT(F628,G628))))),0)</f>
        <v>0</v>
      </c>
      <c r="N628" s="378">
        <f t="shared" si="141"/>
        <v>2</v>
      </c>
      <c r="O628" s="379">
        <f t="shared" si="140"/>
        <v>2</v>
      </c>
      <c r="P628" s="378" t="s">
        <v>1147</v>
      </c>
      <c r="Q628" s="380" t="s">
        <v>1148</v>
      </c>
      <c r="R628" s="378"/>
    </row>
    <row r="629" spans="1:18" hidden="1" outlineLevel="1">
      <c r="A629" s="394" t="s">
        <v>1190</v>
      </c>
      <c r="B629" s="396"/>
      <c r="C629" s="382"/>
      <c r="D629" s="391"/>
      <c r="E629" s="389"/>
      <c r="F629" s="391"/>
      <c r="G629" s="387"/>
      <c r="H629" s="387"/>
      <c r="I629" s="387"/>
      <c r="J629" s="387"/>
      <c r="K629" s="378"/>
      <c r="L629" s="378"/>
      <c r="M629" s="379">
        <f>IFERROR(MIN(M630:M633),0)</f>
        <v>0</v>
      </c>
      <c r="N629" s="378">
        <f>N630</f>
        <v>2</v>
      </c>
      <c r="O629" s="379">
        <f t="shared" si="140"/>
        <v>2</v>
      </c>
      <c r="P629" s="378" t="s">
        <v>1147</v>
      </c>
      <c r="Q629" s="380" t="s">
        <v>1148</v>
      </c>
      <c r="R629" s="378"/>
    </row>
    <row r="630" spans="1:18" hidden="1" outlineLevel="1">
      <c r="A630" s="394"/>
      <c r="B630" s="397" t="s">
        <v>752</v>
      </c>
      <c r="C630" s="382" t="s">
        <v>1191</v>
      </c>
      <c r="D630" s="387">
        <v>0.85</v>
      </c>
      <c r="E630" s="389"/>
      <c r="F630" s="398">
        <v>0.85</v>
      </c>
      <c r="G630" s="387"/>
      <c r="H630" s="387"/>
      <c r="I630" s="387"/>
      <c r="J630" s="387"/>
      <c r="K630" s="378">
        <v>1</v>
      </c>
      <c r="L630" s="378"/>
      <c r="M630" s="379">
        <f>IFERROR(MIN(MAX(0,IF(K630="N/A",0,IF((D630=E630),5,5-QUOTIENT(D630,E630)))), MAX(0,IF(K630="N/A",0,IF((F630=G630),5,5-QUOTIENT(F630,G630))))),0)</f>
        <v>0</v>
      </c>
      <c r="N630" s="378">
        <f>IF(K630="N/A", 1, 2)</f>
        <v>2</v>
      </c>
      <c r="O630" s="379">
        <f t="shared" si="140"/>
        <v>2</v>
      </c>
      <c r="P630" s="378" t="s">
        <v>1147</v>
      </c>
      <c r="Q630" s="380" t="s">
        <v>1148</v>
      </c>
      <c r="R630" s="378"/>
    </row>
    <row r="631" spans="1:18" hidden="1" outlineLevel="1">
      <c r="A631" s="394"/>
      <c r="B631" s="397" t="s">
        <v>752</v>
      </c>
      <c r="C631" s="400" t="s">
        <v>1170</v>
      </c>
      <c r="D631" s="401">
        <v>1</v>
      </c>
      <c r="E631" s="389"/>
      <c r="F631" s="401">
        <v>1</v>
      </c>
      <c r="G631" s="387"/>
      <c r="H631" s="387"/>
      <c r="I631" s="387"/>
      <c r="J631" s="387"/>
      <c r="K631" s="378">
        <v>1</v>
      </c>
      <c r="L631" s="378"/>
      <c r="M631" s="379">
        <f>IFERROR(MIN(MAX(0,IF(K631="N/A",0,IF((D631=E631),5,5-QUOTIENT(D631,E631)))), MAX(0,IF(K631="N/A",0,IF((F631=G631),5,5-QUOTIENT(F631,G631))))),0)</f>
        <v>0</v>
      </c>
      <c r="N631" s="378">
        <f t="shared" ref="N631:N633" si="142">IF(K631="N/A", 1, 2)</f>
        <v>2</v>
      </c>
      <c r="O631" s="379">
        <f t="shared" si="140"/>
        <v>2</v>
      </c>
      <c r="P631" s="378" t="s">
        <v>1147</v>
      </c>
      <c r="Q631" s="380" t="s">
        <v>1148</v>
      </c>
      <c r="R631" s="378"/>
    </row>
    <row r="632" spans="1:18" hidden="1" outlineLevel="1">
      <c r="A632" s="394"/>
      <c r="B632" s="402" t="s">
        <v>1192</v>
      </c>
      <c r="C632" s="400" t="s">
        <v>1193</v>
      </c>
      <c r="D632" s="403">
        <v>0.999</v>
      </c>
      <c r="E632" s="389"/>
      <c r="F632" s="403">
        <v>0.999</v>
      </c>
      <c r="G632" s="387"/>
      <c r="H632" s="387"/>
      <c r="I632" s="387"/>
      <c r="J632" s="387"/>
      <c r="K632" s="378">
        <v>1</v>
      </c>
      <c r="L632" s="378"/>
      <c r="M632" s="379">
        <f>IFERROR(MIN(MAX(0,IF(K632="N/A",0,IF((D632=E632),5,5-QUOTIENT(D632,E632)))), MAX(0,IF(K632="N/A",0,IF((F632=G632),5,5-QUOTIENT(F632,G632))))),0)</f>
        <v>0</v>
      </c>
      <c r="N632" s="378">
        <f t="shared" si="142"/>
        <v>2</v>
      </c>
      <c r="O632" s="379">
        <f t="shared" si="140"/>
        <v>2</v>
      </c>
      <c r="P632" s="378" t="s">
        <v>1147</v>
      </c>
      <c r="Q632" s="380" t="s">
        <v>1148</v>
      </c>
      <c r="R632" s="378"/>
    </row>
    <row r="633" spans="1:18" hidden="1" outlineLevel="1">
      <c r="A633" s="394"/>
      <c r="B633" s="402" t="s">
        <v>1192</v>
      </c>
      <c r="C633" s="400" t="s">
        <v>1194</v>
      </c>
      <c r="D633" s="403">
        <v>0.999</v>
      </c>
      <c r="E633" s="389"/>
      <c r="F633" s="403">
        <v>0.999</v>
      </c>
      <c r="G633" s="387"/>
      <c r="H633" s="387"/>
      <c r="I633" s="387"/>
      <c r="J633" s="387"/>
      <c r="K633" s="378">
        <v>1</v>
      </c>
      <c r="L633" s="378"/>
      <c r="M633" s="379">
        <f>IFERROR(MIN(MAX(0,IF(K633="N/A",0,IF((D633=E633),5,5-QUOTIENT(D633,E633)))), MAX(0,IF(K633="N/A",0,IF((F633=G633),5,5-QUOTIENT(F633,G633))))),0)</f>
        <v>0</v>
      </c>
      <c r="N633" s="378">
        <f t="shared" si="142"/>
        <v>2</v>
      </c>
      <c r="O633" s="379">
        <f t="shared" si="140"/>
        <v>2</v>
      </c>
      <c r="P633" s="378" t="s">
        <v>1147</v>
      </c>
      <c r="Q633" s="380" t="s">
        <v>1148</v>
      </c>
      <c r="R633" s="378"/>
    </row>
    <row r="634" spans="1:18" hidden="1" outlineLevel="1">
      <c r="A634" s="404" t="s">
        <v>1195</v>
      </c>
      <c r="B634" s="405"/>
      <c r="C634" s="400"/>
      <c r="D634" s="403"/>
      <c r="E634" s="389"/>
      <c r="F634" s="403"/>
      <c r="G634" s="387"/>
      <c r="H634" s="387"/>
      <c r="I634" s="387"/>
      <c r="J634" s="387"/>
      <c r="K634" s="378"/>
      <c r="L634" s="378"/>
      <c r="M634" s="379">
        <f>IFERROR(MIN(M635:M646),0)</f>
        <v>0</v>
      </c>
      <c r="N634" s="378">
        <f>N637</f>
        <v>2</v>
      </c>
      <c r="O634" s="379">
        <f t="shared" si="140"/>
        <v>2</v>
      </c>
      <c r="P634" s="378" t="s">
        <v>1147</v>
      </c>
      <c r="Q634" s="380" t="s">
        <v>1148</v>
      </c>
      <c r="R634" s="378"/>
    </row>
    <row r="635" spans="1:18" hidden="1" outlineLevel="1">
      <c r="A635" s="406"/>
      <c r="B635" s="639" t="s">
        <v>1196</v>
      </c>
      <c r="C635" s="382" t="s">
        <v>1197</v>
      </c>
      <c r="D635" s="387">
        <v>0.99</v>
      </c>
      <c r="E635" s="389"/>
      <c r="F635" s="398">
        <v>0.95</v>
      </c>
      <c r="G635" s="387"/>
      <c r="H635" s="387"/>
      <c r="I635" s="387"/>
      <c r="J635" s="387"/>
      <c r="K635" s="378">
        <v>1</v>
      </c>
      <c r="L635" s="378"/>
      <c r="M635" s="379">
        <f t="shared" ref="M635:M646" si="143">IFERROR(MIN(MAX(0,IF(K635="N/A",0,IF((D635=E635),5,5-QUOTIENT(D635,E635)))), MAX(0,IF(K635="N/A",0,IF((F635=G635),5,5-QUOTIENT(F635,G635))))),0)</f>
        <v>0</v>
      </c>
      <c r="N635" s="378">
        <f>IF(K635="N/A", 1, 2)</f>
        <v>2</v>
      </c>
      <c r="O635" s="379">
        <f t="shared" si="140"/>
        <v>2</v>
      </c>
      <c r="P635" s="378" t="s">
        <v>1147</v>
      </c>
      <c r="Q635" s="380" t="s">
        <v>1148</v>
      </c>
      <c r="R635" s="378"/>
    </row>
    <row r="636" spans="1:18" hidden="1" outlineLevel="1">
      <c r="A636" s="406"/>
      <c r="B636" s="640"/>
      <c r="C636" s="382" t="s">
        <v>1198</v>
      </c>
      <c r="D636" s="387">
        <v>0.85</v>
      </c>
      <c r="E636" s="389"/>
      <c r="F636" s="398">
        <v>0.8</v>
      </c>
      <c r="G636" s="387"/>
      <c r="H636" s="387"/>
      <c r="I636" s="387"/>
      <c r="J636" s="387"/>
      <c r="K636" s="378">
        <v>1</v>
      </c>
      <c r="L636" s="378"/>
      <c r="M636" s="379">
        <f t="shared" si="143"/>
        <v>0</v>
      </c>
      <c r="N636" s="378">
        <f t="shared" ref="N636:N637" si="144">IF(K636="N/A", 1, 2)</f>
        <v>2</v>
      </c>
      <c r="O636" s="379">
        <f t="shared" si="140"/>
        <v>2</v>
      </c>
      <c r="P636" s="378" t="s">
        <v>1147</v>
      </c>
      <c r="Q636" s="380" t="s">
        <v>1148</v>
      </c>
      <c r="R636" s="378"/>
    </row>
    <row r="637" spans="1:18" ht="15" hidden="1" customHeight="1" outlineLevel="1">
      <c r="A637" s="406"/>
      <c r="B637" s="641"/>
      <c r="C637" s="382" t="s">
        <v>1193</v>
      </c>
      <c r="D637" s="387">
        <v>0.99</v>
      </c>
      <c r="E637" s="389"/>
      <c r="F637" s="398">
        <v>0.95</v>
      </c>
      <c r="G637" s="387"/>
      <c r="H637" s="387"/>
      <c r="I637" s="387"/>
      <c r="J637" s="387"/>
      <c r="K637" s="378">
        <v>1</v>
      </c>
      <c r="L637" s="378"/>
      <c r="M637" s="379">
        <f t="shared" si="143"/>
        <v>0</v>
      </c>
      <c r="N637" s="378">
        <f t="shared" si="144"/>
        <v>2</v>
      </c>
      <c r="O637" s="379">
        <f t="shared" si="140"/>
        <v>2</v>
      </c>
      <c r="P637" s="378" t="s">
        <v>1147</v>
      </c>
      <c r="Q637" s="380" t="s">
        <v>1148</v>
      </c>
      <c r="R637" s="378"/>
    </row>
    <row r="638" spans="1:18" hidden="1" outlineLevel="1">
      <c r="A638" s="406"/>
      <c r="B638" s="639" t="s">
        <v>1199</v>
      </c>
      <c r="C638" s="382" t="s">
        <v>1197</v>
      </c>
      <c r="D638" s="387">
        <v>0.99</v>
      </c>
      <c r="E638" s="389"/>
      <c r="F638" s="398">
        <v>0.95</v>
      </c>
      <c r="G638" s="387"/>
      <c r="H638" s="387"/>
      <c r="I638" s="387"/>
      <c r="J638" s="387"/>
      <c r="K638" s="378" t="s">
        <v>549</v>
      </c>
      <c r="L638" s="378"/>
      <c r="M638" s="379">
        <f t="shared" si="143"/>
        <v>0</v>
      </c>
      <c r="N638" s="378">
        <f>IF(K638="N/A", 1, 2)</f>
        <v>1</v>
      </c>
      <c r="O638" s="379">
        <f t="shared" si="140"/>
        <v>1</v>
      </c>
      <c r="P638" s="378" t="s">
        <v>1147</v>
      </c>
      <c r="Q638" s="380" t="s">
        <v>1148</v>
      </c>
      <c r="R638" s="378"/>
    </row>
    <row r="639" spans="1:18" hidden="1" outlineLevel="1">
      <c r="A639" s="406"/>
      <c r="B639" s="640"/>
      <c r="C639" s="382" t="s">
        <v>1198</v>
      </c>
      <c r="D639" s="387">
        <v>0.85</v>
      </c>
      <c r="E639" s="389"/>
      <c r="F639" s="398">
        <v>0.8</v>
      </c>
      <c r="G639" s="387"/>
      <c r="H639" s="387"/>
      <c r="I639" s="387"/>
      <c r="J639" s="387"/>
      <c r="K639" s="378" t="s">
        <v>549</v>
      </c>
      <c r="L639" s="378"/>
      <c r="M639" s="379">
        <f t="shared" si="143"/>
        <v>0</v>
      </c>
      <c r="N639" s="378">
        <f t="shared" ref="N639:N646" si="145">IF(K639="N/A", 1, 2)</f>
        <v>1</v>
      </c>
      <c r="O639" s="379">
        <f t="shared" si="140"/>
        <v>1</v>
      </c>
      <c r="P639" s="378" t="s">
        <v>1147</v>
      </c>
      <c r="Q639" s="380" t="s">
        <v>1148</v>
      </c>
      <c r="R639" s="378"/>
    </row>
    <row r="640" spans="1:18" hidden="1" outlineLevel="1">
      <c r="A640" s="406"/>
      <c r="B640" s="641"/>
      <c r="C640" s="382" t="s">
        <v>1193</v>
      </c>
      <c r="D640" s="387">
        <v>0.99</v>
      </c>
      <c r="E640" s="389"/>
      <c r="F640" s="398">
        <v>0.95</v>
      </c>
      <c r="G640" s="387"/>
      <c r="H640" s="387"/>
      <c r="I640" s="387"/>
      <c r="J640" s="387"/>
      <c r="K640" s="378" t="s">
        <v>549</v>
      </c>
      <c r="L640" s="378"/>
      <c r="M640" s="379">
        <f t="shared" si="143"/>
        <v>0</v>
      </c>
      <c r="N640" s="378">
        <f t="shared" si="145"/>
        <v>1</v>
      </c>
      <c r="O640" s="379">
        <f t="shared" si="140"/>
        <v>1</v>
      </c>
      <c r="P640" s="378" t="s">
        <v>1147</v>
      </c>
      <c r="Q640" s="380" t="s">
        <v>1148</v>
      </c>
      <c r="R640" s="378"/>
    </row>
    <row r="641" spans="1:18" hidden="1" outlineLevel="1">
      <c r="A641" s="406"/>
      <c r="B641" s="639" t="s">
        <v>1200</v>
      </c>
      <c r="C641" s="382" t="s">
        <v>1197</v>
      </c>
      <c r="D641" s="387">
        <v>0.99</v>
      </c>
      <c r="E641" s="389"/>
      <c r="F641" s="398">
        <v>0.95</v>
      </c>
      <c r="G641" s="387"/>
      <c r="H641" s="387"/>
      <c r="I641" s="387"/>
      <c r="J641" s="387"/>
      <c r="K641" s="378" t="s">
        <v>549</v>
      </c>
      <c r="L641" s="378"/>
      <c r="M641" s="379">
        <f t="shared" si="143"/>
        <v>0</v>
      </c>
      <c r="N641" s="378">
        <f t="shared" si="145"/>
        <v>1</v>
      </c>
      <c r="O641" s="379">
        <f t="shared" si="140"/>
        <v>1</v>
      </c>
      <c r="P641" s="378" t="s">
        <v>1147</v>
      </c>
      <c r="Q641" s="380" t="s">
        <v>1148</v>
      </c>
      <c r="R641" s="378"/>
    </row>
    <row r="642" spans="1:18" hidden="1" outlineLevel="1">
      <c r="A642" s="406"/>
      <c r="B642" s="640"/>
      <c r="C642" s="382" t="s">
        <v>1198</v>
      </c>
      <c r="D642" s="387">
        <v>0.85</v>
      </c>
      <c r="E642" s="389"/>
      <c r="F642" s="398">
        <v>0.8</v>
      </c>
      <c r="G642" s="387"/>
      <c r="H642" s="387"/>
      <c r="I642" s="387"/>
      <c r="J642" s="387"/>
      <c r="K642" s="378" t="s">
        <v>549</v>
      </c>
      <c r="L642" s="378"/>
      <c r="M642" s="379">
        <f t="shared" si="143"/>
        <v>0</v>
      </c>
      <c r="N642" s="378">
        <f t="shared" si="145"/>
        <v>1</v>
      </c>
      <c r="O642" s="379">
        <f t="shared" si="140"/>
        <v>1</v>
      </c>
      <c r="P642" s="378" t="s">
        <v>1147</v>
      </c>
      <c r="Q642" s="380" t="s">
        <v>1148</v>
      </c>
      <c r="R642" s="378"/>
    </row>
    <row r="643" spans="1:18" hidden="1" outlineLevel="1">
      <c r="A643" s="406"/>
      <c r="B643" s="641"/>
      <c r="C643" s="382" t="s">
        <v>1193</v>
      </c>
      <c r="D643" s="387">
        <v>0.99</v>
      </c>
      <c r="E643" s="389"/>
      <c r="F643" s="398">
        <v>0.95</v>
      </c>
      <c r="G643" s="387"/>
      <c r="H643" s="387"/>
      <c r="I643" s="387"/>
      <c r="J643" s="387"/>
      <c r="K643" s="378" t="s">
        <v>549</v>
      </c>
      <c r="L643" s="378"/>
      <c r="M643" s="379">
        <f t="shared" si="143"/>
        <v>0</v>
      </c>
      <c r="N643" s="378">
        <f t="shared" si="145"/>
        <v>1</v>
      </c>
      <c r="O643" s="379">
        <f t="shared" si="140"/>
        <v>1</v>
      </c>
      <c r="P643" s="378" t="s">
        <v>1147</v>
      </c>
      <c r="Q643" s="380" t="s">
        <v>1148</v>
      </c>
      <c r="R643" s="378"/>
    </row>
    <row r="644" spans="1:18" hidden="1" outlineLevel="1">
      <c r="A644" s="406"/>
      <c r="B644" s="639" t="s">
        <v>1201</v>
      </c>
      <c r="C644" s="382" t="s">
        <v>1197</v>
      </c>
      <c r="D644" s="387">
        <v>0.99</v>
      </c>
      <c r="E644" s="389"/>
      <c r="F644" s="398">
        <v>0.95</v>
      </c>
      <c r="G644" s="387"/>
      <c r="H644" s="387"/>
      <c r="I644" s="387"/>
      <c r="J644" s="387"/>
      <c r="K644" s="378" t="s">
        <v>549</v>
      </c>
      <c r="L644" s="378"/>
      <c r="M644" s="379">
        <f t="shared" si="143"/>
        <v>0</v>
      </c>
      <c r="N644" s="378">
        <f t="shared" si="145"/>
        <v>1</v>
      </c>
      <c r="O644" s="379">
        <f t="shared" si="140"/>
        <v>1</v>
      </c>
      <c r="P644" s="378" t="s">
        <v>1147</v>
      </c>
      <c r="Q644" s="380" t="s">
        <v>1148</v>
      </c>
      <c r="R644" s="378"/>
    </row>
    <row r="645" spans="1:18" hidden="1" outlineLevel="1">
      <c r="A645" s="406"/>
      <c r="B645" s="640"/>
      <c r="C645" s="382" t="s">
        <v>1198</v>
      </c>
      <c r="D645" s="387">
        <v>0.85</v>
      </c>
      <c r="E645" s="389"/>
      <c r="F645" s="398">
        <v>0.8</v>
      </c>
      <c r="G645" s="387"/>
      <c r="H645" s="387"/>
      <c r="I645" s="387"/>
      <c r="J645" s="387"/>
      <c r="K645" s="378" t="s">
        <v>549</v>
      </c>
      <c r="L645" s="378"/>
      <c r="M645" s="379">
        <f t="shared" si="143"/>
        <v>0</v>
      </c>
      <c r="N645" s="378">
        <f t="shared" si="145"/>
        <v>1</v>
      </c>
      <c r="O645" s="379">
        <f t="shared" si="140"/>
        <v>1</v>
      </c>
      <c r="P645" s="378" t="s">
        <v>1147</v>
      </c>
      <c r="Q645" s="380" t="s">
        <v>1148</v>
      </c>
      <c r="R645" s="378"/>
    </row>
    <row r="646" spans="1:18" hidden="1" outlineLevel="1">
      <c r="A646" s="406"/>
      <c r="B646" s="641"/>
      <c r="C646" s="382" t="s">
        <v>1193</v>
      </c>
      <c r="D646" s="387">
        <v>0.99</v>
      </c>
      <c r="E646" s="389"/>
      <c r="F646" s="398">
        <v>0.95</v>
      </c>
      <c r="G646" s="387"/>
      <c r="H646" s="387"/>
      <c r="I646" s="387"/>
      <c r="J646" s="387"/>
      <c r="K646" s="378" t="s">
        <v>549</v>
      </c>
      <c r="L646" s="378"/>
      <c r="M646" s="379">
        <f t="shared" si="143"/>
        <v>0</v>
      </c>
      <c r="N646" s="378">
        <f t="shared" si="145"/>
        <v>1</v>
      </c>
      <c r="O646" s="379">
        <f t="shared" si="140"/>
        <v>1</v>
      </c>
      <c r="P646" s="378" t="s">
        <v>1147</v>
      </c>
      <c r="Q646" s="380" t="s">
        <v>1148</v>
      </c>
      <c r="R646" s="378"/>
    </row>
    <row r="647" spans="1:18" hidden="1" outlineLevel="1">
      <c r="A647" s="404" t="s">
        <v>1202</v>
      </c>
      <c r="B647" s="407"/>
      <c r="C647" s="382"/>
      <c r="D647" s="387"/>
      <c r="E647" s="389"/>
      <c r="F647" s="398"/>
      <c r="G647" s="387"/>
      <c r="H647" s="387"/>
      <c r="I647" s="387"/>
      <c r="J647" s="387"/>
      <c r="K647" s="378"/>
      <c r="L647" s="378"/>
      <c r="M647" s="379">
        <f>M648</f>
        <v>0</v>
      </c>
      <c r="N647" s="378">
        <f>N648</f>
        <v>1</v>
      </c>
      <c r="O647" s="379">
        <f t="shared" si="140"/>
        <v>1</v>
      </c>
      <c r="P647" s="378" t="s">
        <v>1147</v>
      </c>
      <c r="Q647" s="380" t="s">
        <v>1148</v>
      </c>
      <c r="R647" s="378"/>
    </row>
    <row r="648" spans="1:18" hidden="1" outlineLevel="1">
      <c r="A648" s="406"/>
      <c r="B648" s="388" t="s">
        <v>1192</v>
      </c>
      <c r="C648" s="382" t="s">
        <v>1203</v>
      </c>
      <c r="D648" s="387">
        <v>0.95</v>
      </c>
      <c r="E648" s="389"/>
      <c r="F648" s="398">
        <v>0.9</v>
      </c>
      <c r="G648" s="387"/>
      <c r="H648" s="387"/>
      <c r="I648" s="387"/>
      <c r="J648" s="387"/>
      <c r="K648" s="378" t="s">
        <v>549</v>
      </c>
      <c r="L648" s="378"/>
      <c r="M648" s="379">
        <f>IFERROR(MIN(MAX(0,IF(K648="N/A",0,IF((D648=E648),5,5-QUOTIENT(D648,E648)))), MAX(0,IF(K648="N/A",0,IF((F648=G648),5,5-QUOTIENT(F648,G648))))),0)</f>
        <v>0</v>
      </c>
      <c r="N648" s="378">
        <f>IF(K648="N/A", 1, 2)</f>
        <v>1</v>
      </c>
      <c r="O648" s="379">
        <f t="shared" si="140"/>
        <v>1</v>
      </c>
      <c r="P648" s="378" t="s">
        <v>1147</v>
      </c>
      <c r="Q648" s="380" t="s">
        <v>1148</v>
      </c>
      <c r="R648" s="378"/>
    </row>
    <row r="649" spans="1:18" hidden="1" outlineLevel="1">
      <c r="A649" s="404" t="s">
        <v>1204</v>
      </c>
      <c r="B649" s="408"/>
      <c r="C649" s="382"/>
      <c r="D649" s="387"/>
      <c r="E649" s="389"/>
      <c r="F649" s="398"/>
      <c r="G649" s="387"/>
      <c r="H649" s="387"/>
      <c r="I649" s="387"/>
      <c r="J649" s="387"/>
      <c r="K649" s="378"/>
      <c r="L649" s="378"/>
      <c r="M649" s="379">
        <f>IFERROR(MIN(M650:M651),0)</f>
        <v>0</v>
      </c>
      <c r="N649" s="378">
        <f>N650</f>
        <v>1</v>
      </c>
      <c r="O649" s="379">
        <f t="shared" si="140"/>
        <v>1</v>
      </c>
      <c r="P649" s="378" t="s">
        <v>1147</v>
      </c>
      <c r="Q649" s="380" t="s">
        <v>1148</v>
      </c>
      <c r="R649" s="378"/>
    </row>
    <row r="650" spans="1:18" hidden="1" outlineLevel="1">
      <c r="A650" s="404"/>
      <c r="B650" s="644" t="s">
        <v>1205</v>
      </c>
      <c r="C650" s="382" t="s">
        <v>1206</v>
      </c>
      <c r="D650" s="387">
        <v>0.9</v>
      </c>
      <c r="E650" s="389"/>
      <c r="F650" s="398" t="s">
        <v>549</v>
      </c>
      <c r="G650" s="387"/>
      <c r="H650" s="387"/>
      <c r="I650" s="387"/>
      <c r="J650" s="387"/>
      <c r="K650" s="378" t="s">
        <v>549</v>
      </c>
      <c r="L650" s="378"/>
      <c r="M650" s="379">
        <f>IFERROR(MIN(MAX(0,IF(K650="N/A",0,IF((D650=E650),5,5-QUOTIENT(D650,E650)))), MAX(0,IF(K650="N/A",0,IF((F650=G650),5,5-QUOTIENT(F650,G650))))),0)</f>
        <v>0</v>
      </c>
      <c r="N650" s="378">
        <f>IF(K650="N/A", 1, 2)</f>
        <v>1</v>
      </c>
      <c r="O650" s="379">
        <f t="shared" si="140"/>
        <v>1</v>
      </c>
      <c r="P650" s="378" t="s">
        <v>1147</v>
      </c>
      <c r="Q650" s="380" t="s">
        <v>1148</v>
      </c>
      <c r="R650" s="378"/>
    </row>
    <row r="651" spans="1:18" hidden="1" outlineLevel="1">
      <c r="A651" s="404"/>
      <c r="B651" s="645"/>
      <c r="C651" s="382" t="s">
        <v>1207</v>
      </c>
      <c r="D651" s="387">
        <v>0.9</v>
      </c>
      <c r="E651" s="389"/>
      <c r="F651" s="398" t="s">
        <v>549</v>
      </c>
      <c r="G651" s="387"/>
      <c r="H651" s="387"/>
      <c r="I651" s="387"/>
      <c r="J651" s="387"/>
      <c r="K651" s="378" t="s">
        <v>549</v>
      </c>
      <c r="L651" s="378"/>
      <c r="M651" s="379">
        <f>IFERROR(MIN(MAX(0,IF(K651="N/A",0,IF((D651=E651),5,5-QUOTIENT(D651,E651)))), MAX(0,IF(K651="N/A",0,IF((F651=G651),5,5-QUOTIENT(F651,G651))))),0)</f>
        <v>0</v>
      </c>
      <c r="N651" s="378">
        <f>IF(K651="N/A", 1, 2)</f>
        <v>1</v>
      </c>
      <c r="O651" s="379">
        <f t="shared" si="140"/>
        <v>1</v>
      </c>
      <c r="P651" s="378" t="s">
        <v>1147</v>
      </c>
      <c r="Q651" s="380" t="s">
        <v>1148</v>
      </c>
      <c r="R651" s="378"/>
    </row>
    <row r="652" spans="1:18" hidden="1" outlineLevel="1">
      <c r="A652" s="404" t="s">
        <v>1208</v>
      </c>
      <c r="B652" s="408"/>
      <c r="C652" s="382"/>
      <c r="D652" s="387"/>
      <c r="E652" s="389"/>
      <c r="F652" s="398"/>
      <c r="G652" s="387"/>
      <c r="H652" s="387"/>
      <c r="I652" s="387"/>
      <c r="J652" s="387"/>
      <c r="K652" s="378"/>
      <c r="L652" s="378"/>
      <c r="M652" s="379">
        <f>IFERROR(MIN(M653:M654),0)</f>
        <v>0</v>
      </c>
      <c r="N652" s="378">
        <f>N653</f>
        <v>2</v>
      </c>
      <c r="O652" s="379">
        <f>MAX(M652:N652)</f>
        <v>2</v>
      </c>
      <c r="P652" s="378" t="s">
        <v>1147</v>
      </c>
      <c r="Q652" s="380" t="s">
        <v>1148</v>
      </c>
      <c r="R652" s="378"/>
    </row>
    <row r="653" spans="1:18" hidden="1" outlineLevel="1">
      <c r="A653" s="404"/>
      <c r="B653" s="644" t="s">
        <v>1209</v>
      </c>
      <c r="C653" s="382" t="s">
        <v>1210</v>
      </c>
      <c r="D653" s="387">
        <v>0.9</v>
      </c>
      <c r="E653" s="389"/>
      <c r="F653" s="398" t="s">
        <v>549</v>
      </c>
      <c r="G653" s="387"/>
      <c r="H653" s="387"/>
      <c r="I653" s="387"/>
      <c r="J653" s="387"/>
      <c r="K653" s="378">
        <v>1</v>
      </c>
      <c r="L653" s="378"/>
      <c r="M653" s="379">
        <f>IFERROR(MIN(MAX(0,IF(K653="N/A",0,IF((D653=E653),5,5-QUOTIENT(D653,E653)))), MAX(0,IF(K653="N/A",0,IF((F653=G653),5,5-QUOTIENT(F653,G653))))),0)</f>
        <v>0</v>
      </c>
      <c r="N653" s="378">
        <f>IF(K653="N/A", 1, 2)</f>
        <v>2</v>
      </c>
      <c r="O653" s="379">
        <f t="shared" ref="O653:O657" si="146">MAX(M653:N653)</f>
        <v>2</v>
      </c>
      <c r="P653" s="378" t="s">
        <v>1147</v>
      </c>
      <c r="Q653" s="380" t="s">
        <v>1148</v>
      </c>
      <c r="R653" s="378"/>
    </row>
    <row r="654" spans="1:18" hidden="1" outlineLevel="1">
      <c r="A654" s="404"/>
      <c r="B654" s="645"/>
      <c r="C654" s="382" t="s">
        <v>1211</v>
      </c>
      <c r="D654" s="387">
        <v>0.9</v>
      </c>
      <c r="E654" s="389"/>
      <c r="F654" s="398" t="s">
        <v>549</v>
      </c>
      <c r="G654" s="387"/>
      <c r="H654" s="387"/>
      <c r="I654" s="387"/>
      <c r="J654" s="387"/>
      <c r="K654" s="378">
        <v>1</v>
      </c>
      <c r="L654" s="378"/>
      <c r="M654" s="379">
        <f>IFERROR(MIN(MAX(0,IF(K654="N/A",0,IF((D654=E654),5,5-QUOTIENT(D654,E654)))), MAX(0,IF(K654="N/A",0,IF((F654=G654),5,5-QUOTIENT(F654,G654))))),0)</f>
        <v>0</v>
      </c>
      <c r="N654" s="378">
        <f>IF(K654="N/A", 1, 2)</f>
        <v>2</v>
      </c>
      <c r="O654" s="379">
        <f t="shared" si="146"/>
        <v>2</v>
      </c>
      <c r="P654" s="378" t="s">
        <v>1147</v>
      </c>
      <c r="Q654" s="380" t="s">
        <v>1148</v>
      </c>
      <c r="R654" s="378"/>
    </row>
    <row r="655" spans="1:18" hidden="1" outlineLevel="1">
      <c r="A655" s="404" t="s">
        <v>1212</v>
      </c>
      <c r="B655" s="408"/>
      <c r="C655" s="382"/>
      <c r="D655" s="387"/>
      <c r="E655" s="389"/>
      <c r="F655" s="398"/>
      <c r="G655" s="387"/>
      <c r="H655" s="387"/>
      <c r="I655" s="387"/>
      <c r="J655" s="387"/>
      <c r="K655" s="378"/>
      <c r="L655" s="378"/>
      <c r="M655" s="379">
        <f>IFERROR(MIN(M656:M657),0)</f>
        <v>0</v>
      </c>
      <c r="N655" s="378">
        <f>N656</f>
        <v>2</v>
      </c>
      <c r="O655" s="379">
        <f t="shared" si="146"/>
        <v>2</v>
      </c>
      <c r="P655" s="378" t="s">
        <v>1147</v>
      </c>
      <c r="Q655" s="380" t="s">
        <v>1148</v>
      </c>
      <c r="R655" s="378"/>
    </row>
    <row r="656" spans="1:18" hidden="1" outlineLevel="1">
      <c r="A656" s="404"/>
      <c r="B656" s="644" t="s">
        <v>1213</v>
      </c>
      <c r="C656" s="382" t="s">
        <v>1214</v>
      </c>
      <c r="D656" s="387">
        <v>0.9</v>
      </c>
      <c r="E656" s="389"/>
      <c r="F656" s="398" t="s">
        <v>549</v>
      </c>
      <c r="G656" s="387"/>
      <c r="H656" s="387"/>
      <c r="I656" s="387"/>
      <c r="J656" s="387"/>
      <c r="K656" s="378">
        <v>1</v>
      </c>
      <c r="L656" s="378"/>
      <c r="M656" s="379">
        <f>IFERROR(MIN(MAX(0,IF(K656="N/A",0,IF((D656=E656),5,5-QUOTIENT(D656,E656)))), MAX(0,IF(K656="N/A",0,IF((F656=G656),5,5-QUOTIENT(F656,G656))))),0)</f>
        <v>0</v>
      </c>
      <c r="N656" s="378">
        <f>IF(K656="N/A", 1, 2)</f>
        <v>2</v>
      </c>
      <c r="O656" s="379">
        <f t="shared" si="146"/>
        <v>2</v>
      </c>
      <c r="P656" s="378" t="s">
        <v>1147</v>
      </c>
      <c r="Q656" s="380" t="s">
        <v>1148</v>
      </c>
      <c r="R656" s="378"/>
    </row>
    <row r="657" spans="1:18" hidden="1" outlineLevel="1">
      <c r="A657" s="404"/>
      <c r="B657" s="645"/>
      <c r="C657" s="382" t="s">
        <v>1215</v>
      </c>
      <c r="D657" s="387">
        <v>0.9</v>
      </c>
      <c r="E657" s="389"/>
      <c r="F657" s="398" t="s">
        <v>549</v>
      </c>
      <c r="G657" s="387"/>
      <c r="H657" s="387"/>
      <c r="I657" s="387"/>
      <c r="J657" s="387"/>
      <c r="K657" s="378">
        <v>1</v>
      </c>
      <c r="L657" s="378"/>
      <c r="M657" s="379">
        <f>IFERROR(MIN(MAX(0,IF(K657="N/A",0,IF((D657=E657),5,5-QUOTIENT(D657,E657)))), MAX(0,IF(K657="N/A",0,IF((F657=G657),5,5-QUOTIENT(F657,G657))))),0)</f>
        <v>0</v>
      </c>
      <c r="N657" s="378">
        <f>IF(K657="N/A", 1, 2)</f>
        <v>2</v>
      </c>
      <c r="O657" s="379">
        <f t="shared" si="146"/>
        <v>2</v>
      </c>
      <c r="P657" s="378" t="s">
        <v>1147</v>
      </c>
      <c r="Q657" s="380" t="s">
        <v>1148</v>
      </c>
      <c r="R657" s="378"/>
    </row>
    <row r="658" spans="1:18" hidden="1" outlineLevel="1">
      <c r="A658" s="388" t="s">
        <v>1216</v>
      </c>
      <c r="B658" s="409"/>
      <c r="C658" s="382"/>
      <c r="D658" s="387"/>
      <c r="E658" s="389"/>
      <c r="F658" s="398"/>
      <c r="G658" s="387"/>
      <c r="H658" s="387"/>
      <c r="I658" s="387"/>
      <c r="J658" s="387"/>
      <c r="K658" s="378"/>
      <c r="L658" s="378"/>
      <c r="M658" s="379"/>
      <c r="N658" s="378"/>
      <c r="O658" s="379"/>
      <c r="P658" s="378" t="s">
        <v>1147</v>
      </c>
      <c r="Q658" s="380" t="s">
        <v>1148</v>
      </c>
      <c r="R658" s="378"/>
    </row>
    <row r="659" spans="1:18" hidden="1" outlineLevel="1">
      <c r="A659" s="388"/>
      <c r="B659" s="633" t="s">
        <v>1217</v>
      </c>
      <c r="C659" s="382" t="s">
        <v>1168</v>
      </c>
      <c r="D659" s="398" t="s">
        <v>549</v>
      </c>
      <c r="E659" s="389"/>
      <c r="F659" s="398" t="s">
        <v>549</v>
      </c>
      <c r="G659" s="387"/>
      <c r="H659" s="387"/>
      <c r="I659" s="387"/>
      <c r="J659" s="387"/>
      <c r="K659" s="378" t="s">
        <v>549</v>
      </c>
      <c r="L659" s="378"/>
      <c r="M659" s="379">
        <f t="shared" ref="M659:M664" si="147">IFERROR(MIN(MAX(0,IF(K659="N/A",0,IF((D659=E659),5,5-QUOTIENT(D659,E659)))), MAX(0,IF(K659="N/A",0,IF((F659=G659),5,5-QUOTIENT(F659,G659))))),0)</f>
        <v>0</v>
      </c>
      <c r="N659" s="378">
        <f t="shared" ref="N659:N664" si="148">IF(K659="N/A", 0, 2)</f>
        <v>0</v>
      </c>
      <c r="O659" s="379">
        <f t="shared" ref="O659:O668" si="149">MAX(M659:N659)</f>
        <v>0</v>
      </c>
      <c r="P659" s="378" t="s">
        <v>1147</v>
      </c>
      <c r="Q659" s="380" t="s">
        <v>1148</v>
      </c>
      <c r="R659" s="378"/>
    </row>
    <row r="660" spans="1:18" hidden="1" outlineLevel="1">
      <c r="A660" s="388"/>
      <c r="B660" s="634"/>
      <c r="C660" s="382" t="s">
        <v>1169</v>
      </c>
      <c r="D660" s="398" t="s">
        <v>549</v>
      </c>
      <c r="E660" s="389"/>
      <c r="F660" s="398" t="s">
        <v>549</v>
      </c>
      <c r="G660" s="387"/>
      <c r="H660" s="387"/>
      <c r="I660" s="387"/>
      <c r="J660" s="387"/>
      <c r="K660" s="378" t="s">
        <v>549</v>
      </c>
      <c r="L660" s="378"/>
      <c r="M660" s="379">
        <f t="shared" si="147"/>
        <v>0</v>
      </c>
      <c r="N660" s="378">
        <f t="shared" si="148"/>
        <v>0</v>
      </c>
      <c r="O660" s="379">
        <f t="shared" si="149"/>
        <v>0</v>
      </c>
      <c r="P660" s="378" t="s">
        <v>1147</v>
      </c>
      <c r="Q660" s="380" t="s">
        <v>1148</v>
      </c>
      <c r="R660" s="378"/>
    </row>
    <row r="661" spans="1:18" hidden="1" outlineLevel="1">
      <c r="A661" s="388"/>
      <c r="B661" s="642" t="s">
        <v>1218</v>
      </c>
      <c r="C661" s="382" t="s">
        <v>1168</v>
      </c>
      <c r="D661" s="398" t="s">
        <v>549</v>
      </c>
      <c r="E661" s="389"/>
      <c r="F661" s="398" t="s">
        <v>549</v>
      </c>
      <c r="G661" s="387"/>
      <c r="H661" s="387"/>
      <c r="I661" s="387"/>
      <c r="J661" s="387"/>
      <c r="K661" s="378" t="s">
        <v>549</v>
      </c>
      <c r="L661" s="378"/>
      <c r="M661" s="379">
        <f t="shared" si="147"/>
        <v>0</v>
      </c>
      <c r="N661" s="378">
        <f t="shared" si="148"/>
        <v>0</v>
      </c>
      <c r="O661" s="379">
        <f t="shared" si="149"/>
        <v>0</v>
      </c>
      <c r="P661" s="378" t="s">
        <v>1147</v>
      </c>
      <c r="Q661" s="380" t="s">
        <v>1148</v>
      </c>
      <c r="R661" s="378"/>
    </row>
    <row r="662" spans="1:18" hidden="1" outlineLevel="1">
      <c r="A662" s="388"/>
      <c r="B662" s="642"/>
      <c r="C662" s="382" t="s">
        <v>1169</v>
      </c>
      <c r="D662" s="398" t="s">
        <v>549</v>
      </c>
      <c r="E662" s="389"/>
      <c r="F662" s="398" t="s">
        <v>549</v>
      </c>
      <c r="G662" s="387"/>
      <c r="H662" s="387"/>
      <c r="I662" s="387"/>
      <c r="J662" s="387"/>
      <c r="K662" s="378" t="s">
        <v>549</v>
      </c>
      <c r="L662" s="378"/>
      <c r="M662" s="379">
        <f t="shared" si="147"/>
        <v>0</v>
      </c>
      <c r="N662" s="378">
        <f t="shared" si="148"/>
        <v>0</v>
      </c>
      <c r="O662" s="379">
        <f t="shared" si="149"/>
        <v>0</v>
      </c>
      <c r="P662" s="378" t="s">
        <v>1147</v>
      </c>
      <c r="Q662" s="380" t="s">
        <v>1148</v>
      </c>
      <c r="R662" s="378"/>
    </row>
    <row r="663" spans="1:18" hidden="1" outlineLevel="1">
      <c r="A663" s="388"/>
      <c r="B663" s="642" t="s">
        <v>1219</v>
      </c>
      <c r="C663" s="382" t="s">
        <v>1168</v>
      </c>
      <c r="D663" s="398" t="s">
        <v>549</v>
      </c>
      <c r="E663" s="389"/>
      <c r="F663" s="398" t="s">
        <v>549</v>
      </c>
      <c r="G663" s="387"/>
      <c r="H663" s="387"/>
      <c r="I663" s="387"/>
      <c r="J663" s="387"/>
      <c r="K663" s="378" t="s">
        <v>549</v>
      </c>
      <c r="L663" s="378"/>
      <c r="M663" s="379">
        <f t="shared" si="147"/>
        <v>0</v>
      </c>
      <c r="N663" s="378">
        <f t="shared" si="148"/>
        <v>0</v>
      </c>
      <c r="O663" s="379">
        <f t="shared" si="149"/>
        <v>0</v>
      </c>
      <c r="P663" s="378" t="s">
        <v>1147</v>
      </c>
      <c r="Q663" s="380" t="s">
        <v>1148</v>
      </c>
      <c r="R663" s="378"/>
    </row>
    <row r="664" spans="1:18" hidden="1" outlineLevel="1">
      <c r="A664" s="388"/>
      <c r="B664" s="642"/>
      <c r="C664" s="382" t="s">
        <v>1169</v>
      </c>
      <c r="D664" s="398" t="s">
        <v>549</v>
      </c>
      <c r="E664" s="389"/>
      <c r="F664" s="398" t="s">
        <v>549</v>
      </c>
      <c r="G664" s="387"/>
      <c r="H664" s="387"/>
      <c r="I664" s="387"/>
      <c r="J664" s="387"/>
      <c r="K664" s="378" t="s">
        <v>549</v>
      </c>
      <c r="L664" s="378"/>
      <c r="M664" s="379">
        <f t="shared" si="147"/>
        <v>0</v>
      </c>
      <c r="N664" s="378">
        <f t="shared" si="148"/>
        <v>0</v>
      </c>
      <c r="O664" s="379">
        <f t="shared" si="149"/>
        <v>0</v>
      </c>
      <c r="P664" s="378" t="s">
        <v>1147</v>
      </c>
      <c r="Q664" s="380" t="s">
        <v>1148</v>
      </c>
      <c r="R664" s="378"/>
    </row>
    <row r="665" spans="1:18" hidden="1" outlineLevel="1">
      <c r="A665" s="388" t="s">
        <v>1220</v>
      </c>
      <c r="B665" s="381"/>
      <c r="C665" s="382"/>
      <c r="D665" s="398"/>
      <c r="E665" s="389"/>
      <c r="F665" s="398"/>
      <c r="G665" s="387"/>
      <c r="H665" s="387"/>
      <c r="I665" s="387"/>
      <c r="J665" s="387"/>
      <c r="K665" s="378"/>
      <c r="L665" s="378"/>
      <c r="M665" s="379">
        <f>M666</f>
        <v>0</v>
      </c>
      <c r="N665" s="378">
        <f>N666</f>
        <v>2</v>
      </c>
      <c r="O665" s="379">
        <f t="shared" si="149"/>
        <v>2</v>
      </c>
      <c r="P665" s="378" t="s">
        <v>1147</v>
      </c>
      <c r="Q665" s="380" t="s">
        <v>1148</v>
      </c>
      <c r="R665" s="378"/>
    </row>
    <row r="666" spans="1:18" hidden="1" outlineLevel="1">
      <c r="A666" s="406"/>
      <c r="B666" s="388" t="s">
        <v>1221</v>
      </c>
      <c r="C666" s="382" t="s">
        <v>1222</v>
      </c>
      <c r="D666" s="387">
        <v>0.95</v>
      </c>
      <c r="E666" s="389"/>
      <c r="F666" s="398">
        <v>0.9</v>
      </c>
      <c r="G666" s="387"/>
      <c r="H666" s="387"/>
      <c r="I666" s="387"/>
      <c r="J666" s="387"/>
      <c r="K666" s="378">
        <v>1</v>
      </c>
      <c r="L666" s="378"/>
      <c r="M666" s="379">
        <f>IFERROR(MIN(MAX(0,IF(K666="N/A",0,IF((D666=E666),5,5-QUOTIENT(D666,E666)))), MAX(0,IF(K666="N/A",0,IF((F666=G666),5,5-QUOTIENT(F666,G666))))),0)</f>
        <v>0</v>
      </c>
      <c r="N666" s="378">
        <f>IF(K666="N/A", 1, 2)</f>
        <v>2</v>
      </c>
      <c r="O666" s="379">
        <f t="shared" si="149"/>
        <v>2</v>
      </c>
      <c r="P666" s="378" t="s">
        <v>1147</v>
      </c>
      <c r="Q666" s="380" t="s">
        <v>1148</v>
      </c>
      <c r="R666" s="378"/>
    </row>
    <row r="667" spans="1:18" hidden="1" outlineLevel="1">
      <c r="A667" s="388" t="s">
        <v>1223</v>
      </c>
      <c r="B667" s="381"/>
      <c r="C667" s="382"/>
      <c r="D667" s="398"/>
      <c r="E667" s="389"/>
      <c r="F667" s="398"/>
      <c r="G667" s="387"/>
      <c r="H667" s="387"/>
      <c r="I667" s="387"/>
      <c r="J667" s="387"/>
      <c r="K667" s="378"/>
      <c r="L667" s="378"/>
      <c r="M667" s="379">
        <f>M668</f>
        <v>0</v>
      </c>
      <c r="N667" s="378">
        <f>N668</f>
        <v>2</v>
      </c>
      <c r="O667" s="379">
        <f t="shared" si="149"/>
        <v>2</v>
      </c>
      <c r="P667" s="378" t="s">
        <v>1147</v>
      </c>
      <c r="Q667" s="380" t="s">
        <v>1148</v>
      </c>
      <c r="R667" s="378"/>
    </row>
    <row r="668" spans="1:18" hidden="1" outlineLevel="1">
      <c r="A668" s="406"/>
      <c r="B668" s="388" t="s">
        <v>1224</v>
      </c>
      <c r="C668" s="382" t="s">
        <v>1222</v>
      </c>
      <c r="D668" s="387">
        <v>0.95</v>
      </c>
      <c r="E668" s="389"/>
      <c r="F668" s="398">
        <v>0.9</v>
      </c>
      <c r="G668" s="387"/>
      <c r="H668" s="387"/>
      <c r="I668" s="387"/>
      <c r="J668" s="387"/>
      <c r="K668" s="378">
        <v>1</v>
      </c>
      <c r="L668" s="378"/>
      <c r="M668" s="379">
        <f>IFERROR(MIN(MAX(0,IF(K668="N/A",0,IF((D668=E668),5,5-QUOTIENT(D668,E668)))), MAX(0,IF(K668="N/A",0,IF((F668=G668),5,5-QUOTIENT(F668,G668))))),0)</f>
        <v>0</v>
      </c>
      <c r="N668" s="378">
        <f>IF(K668="N/A", 1, 2)</f>
        <v>2</v>
      </c>
      <c r="O668" s="379">
        <f t="shared" si="149"/>
        <v>2</v>
      </c>
      <c r="P668" s="378" t="s">
        <v>1147</v>
      </c>
      <c r="Q668" s="380" t="s">
        <v>1148</v>
      </c>
      <c r="R668" s="378"/>
    </row>
    <row r="669" spans="1:18" hidden="1" outlineLevel="1">
      <c r="A669" s="388" t="s">
        <v>1225</v>
      </c>
      <c r="B669" s="381"/>
      <c r="C669" s="382"/>
      <c r="D669" s="398"/>
      <c r="E669" s="389"/>
      <c r="F669" s="398"/>
      <c r="G669" s="387"/>
      <c r="H669" s="387"/>
      <c r="I669" s="387"/>
      <c r="J669" s="387"/>
      <c r="K669" s="378"/>
      <c r="L669" s="378"/>
      <c r="M669" s="379">
        <f>M670</f>
        <v>0</v>
      </c>
      <c r="N669" s="378">
        <f>N670</f>
        <v>1</v>
      </c>
      <c r="O669" s="379">
        <f>MAX(M669:N669)</f>
        <v>1</v>
      </c>
      <c r="P669" s="378" t="s">
        <v>1147</v>
      </c>
      <c r="Q669" s="380" t="s">
        <v>1148</v>
      </c>
      <c r="R669" s="378"/>
    </row>
    <row r="670" spans="1:18" hidden="1" outlineLevel="1">
      <c r="A670" s="406"/>
      <c r="B670" s="388" t="s">
        <v>1226</v>
      </c>
      <c r="C670" s="382" t="s">
        <v>1222</v>
      </c>
      <c r="D670" s="387">
        <v>0.95</v>
      </c>
      <c r="E670" s="389"/>
      <c r="F670" s="398">
        <v>0.9</v>
      </c>
      <c r="G670" s="387"/>
      <c r="H670" s="387"/>
      <c r="I670" s="387"/>
      <c r="J670" s="387"/>
      <c r="K670" s="378" t="s">
        <v>549</v>
      </c>
      <c r="L670" s="378"/>
      <c r="M670" s="379">
        <f>IFERROR(MIN(MAX(0,IF(K670="N/A",0,IF((D670=E670),5,5-QUOTIENT(D670,E670)))), MAX(0,IF(K670="N/A",0,IF((F670=G670),5,5-QUOTIENT(F670,G670))))),0)</f>
        <v>0</v>
      </c>
      <c r="N670" s="378">
        <f>IF(K670="N/A", 1, 2)</f>
        <v>1</v>
      </c>
      <c r="O670" s="379">
        <f t="shared" ref="O670" si="150">MAX(M670:N670)</f>
        <v>1</v>
      </c>
      <c r="P670" s="378" t="s">
        <v>1147</v>
      </c>
      <c r="Q670" s="380" t="s">
        <v>1148</v>
      </c>
      <c r="R670" s="378"/>
    </row>
    <row r="671" spans="1:18" hidden="1" outlineLevel="1">
      <c r="A671" s="388" t="s">
        <v>1227</v>
      </c>
      <c r="B671" s="381"/>
      <c r="C671" s="382"/>
      <c r="D671" s="398"/>
      <c r="E671" s="389"/>
      <c r="F671" s="398"/>
      <c r="G671" s="387"/>
      <c r="H671" s="387"/>
      <c r="I671" s="387"/>
      <c r="J671" s="387"/>
      <c r="K671" s="378"/>
      <c r="L671" s="378"/>
      <c r="M671" s="379">
        <f>M672</f>
        <v>0</v>
      </c>
      <c r="N671" s="378">
        <f>N672</f>
        <v>1</v>
      </c>
      <c r="O671" s="379">
        <f>MAX(M671:N671)</f>
        <v>1</v>
      </c>
      <c r="P671" s="378" t="s">
        <v>1147</v>
      </c>
      <c r="Q671" s="380" t="s">
        <v>1148</v>
      </c>
      <c r="R671" s="378"/>
    </row>
    <row r="672" spans="1:18" hidden="1" outlineLevel="1">
      <c r="A672" s="406"/>
      <c r="B672" s="388" t="s">
        <v>1228</v>
      </c>
      <c r="C672" s="382" t="s">
        <v>1222</v>
      </c>
      <c r="D672" s="387">
        <v>0.95</v>
      </c>
      <c r="E672" s="389"/>
      <c r="F672" s="398">
        <v>0.9</v>
      </c>
      <c r="G672" s="387"/>
      <c r="H672" s="387"/>
      <c r="I672" s="387"/>
      <c r="J672" s="387"/>
      <c r="K672" s="378" t="s">
        <v>549</v>
      </c>
      <c r="L672" s="378"/>
      <c r="M672" s="379">
        <f>IFERROR(MIN(MAX(0,IF(K672="N/A",0,IF((D672=E672),5,5-QUOTIENT(D672,E672)))), MAX(0,IF(K672="N/A",0,IF((F672=G672),5,5-QUOTIENT(F672,G672))))),0)</f>
        <v>0</v>
      </c>
      <c r="N672" s="378">
        <f>IF(K672="N/A", 1, 2)</f>
        <v>1</v>
      </c>
      <c r="O672" s="379">
        <f t="shared" ref="O672" si="151">MAX(M672:N672)</f>
        <v>1</v>
      </c>
      <c r="P672" s="378" t="s">
        <v>1147</v>
      </c>
      <c r="Q672" s="380" t="s">
        <v>1148</v>
      </c>
      <c r="R672" s="378"/>
    </row>
    <row r="673" spans="1:18" hidden="1" outlineLevel="1">
      <c r="A673" s="388" t="s">
        <v>1229</v>
      </c>
      <c r="B673" s="381"/>
      <c r="C673" s="382"/>
      <c r="D673" s="398"/>
      <c r="E673" s="389"/>
      <c r="F673" s="398"/>
      <c r="G673" s="387"/>
      <c r="H673" s="387"/>
      <c r="I673" s="387"/>
      <c r="J673" s="387"/>
      <c r="K673" s="378"/>
      <c r="L673" s="378"/>
      <c r="M673" s="379">
        <f>M674</f>
        <v>0</v>
      </c>
      <c r="N673" s="378">
        <f>N674</f>
        <v>2</v>
      </c>
      <c r="O673" s="379">
        <f>MAX(M673:N673)</f>
        <v>2</v>
      </c>
      <c r="P673" s="378" t="s">
        <v>1147</v>
      </c>
      <c r="Q673" s="380" t="s">
        <v>1148</v>
      </c>
      <c r="R673" s="378"/>
    </row>
    <row r="674" spans="1:18" hidden="1" outlineLevel="1">
      <c r="A674" s="406"/>
      <c r="B674" s="388" t="s">
        <v>1230</v>
      </c>
      <c r="C674" s="382" t="s">
        <v>1222</v>
      </c>
      <c r="D674" s="387">
        <v>0.95</v>
      </c>
      <c r="E674" s="389"/>
      <c r="F674" s="398">
        <v>0.9</v>
      </c>
      <c r="G674" s="387"/>
      <c r="H674" s="387"/>
      <c r="I674" s="387"/>
      <c r="J674" s="387"/>
      <c r="K674" s="378">
        <v>1</v>
      </c>
      <c r="L674" s="378"/>
      <c r="M674" s="379">
        <f>IFERROR(MIN(MAX(0,IF(K674="N/A",0,IF((D674=E674),5,5-QUOTIENT(D674,E674)))), MAX(0,IF(K674="N/A",0,IF((F674=G674),5,5-QUOTIENT(F674,G674))))),0)</f>
        <v>0</v>
      </c>
      <c r="N674" s="378">
        <f>IF(K674="N/A", 1, 2)</f>
        <v>2</v>
      </c>
      <c r="O674" s="379">
        <f t="shared" ref="O674" si="152">MAX(M674:N674)</f>
        <v>2</v>
      </c>
      <c r="P674" s="378" t="s">
        <v>1147</v>
      </c>
      <c r="Q674" s="380" t="s">
        <v>1148</v>
      </c>
      <c r="R674" s="378"/>
    </row>
    <row r="675" spans="1:18" hidden="1" outlineLevel="1">
      <c r="A675" s="388" t="s">
        <v>1231</v>
      </c>
      <c r="B675" s="381"/>
      <c r="C675" s="382"/>
      <c r="D675" s="398"/>
      <c r="E675" s="389"/>
      <c r="F675" s="398"/>
      <c r="G675" s="387"/>
      <c r="H675" s="387"/>
      <c r="I675" s="387"/>
      <c r="J675" s="387"/>
      <c r="K675" s="378"/>
      <c r="L675" s="378"/>
      <c r="M675" s="379">
        <f>IFERROR(MIN(M676:M682),0)</f>
        <v>0</v>
      </c>
      <c r="N675" s="378">
        <f>N676</f>
        <v>1</v>
      </c>
      <c r="O675" s="379">
        <f>MAX(M675:N675)</f>
        <v>1</v>
      </c>
      <c r="P675" s="378" t="s">
        <v>1147</v>
      </c>
      <c r="Q675" s="380" t="s">
        <v>1148</v>
      </c>
      <c r="R675" s="378"/>
    </row>
    <row r="676" spans="1:18" hidden="1" outlineLevel="1">
      <c r="A676" s="394"/>
      <c r="B676" s="636" t="s">
        <v>1179</v>
      </c>
      <c r="C676" s="382" t="s">
        <v>1232</v>
      </c>
      <c r="D676" s="387">
        <v>0.5</v>
      </c>
      <c r="E676" s="399"/>
      <c r="F676" s="387">
        <v>0.5</v>
      </c>
      <c r="G676" s="387"/>
      <c r="H676" s="387"/>
      <c r="I676" s="387"/>
      <c r="J676" s="387"/>
      <c r="K676" s="378" t="s">
        <v>549</v>
      </c>
      <c r="L676" s="378"/>
      <c r="M676" s="379">
        <f t="shared" ref="M676:M682" si="153">IFERROR(MIN(MAX(0,IF(K676="N/A",0,IF((D676=E676),5,5-QUOTIENT(D676,E676)))), MAX(0,IF(K676="N/A",0,IF((F676=G676),5,5-QUOTIENT(F676,G676))))),0)</f>
        <v>0</v>
      </c>
      <c r="N676" s="378">
        <f>IF(K676="N/A", 1, 2)</f>
        <v>1</v>
      </c>
      <c r="O676" s="379">
        <f t="shared" ref="O676:O686" si="154">MAX(M676:N676)</f>
        <v>1</v>
      </c>
      <c r="P676" s="378" t="s">
        <v>1147</v>
      </c>
      <c r="Q676" s="380" t="s">
        <v>1148</v>
      </c>
      <c r="R676" s="378"/>
    </row>
    <row r="677" spans="1:18" hidden="1" outlineLevel="1">
      <c r="A677" s="394"/>
      <c r="B677" s="637"/>
      <c r="C677" s="382" t="s">
        <v>1233</v>
      </c>
      <c r="D677" s="387">
        <v>0.5</v>
      </c>
      <c r="E677" s="399"/>
      <c r="F677" s="387">
        <v>0.5</v>
      </c>
      <c r="G677" s="387"/>
      <c r="H677" s="387"/>
      <c r="I677" s="387"/>
      <c r="J677" s="387"/>
      <c r="K677" s="378" t="s">
        <v>549</v>
      </c>
      <c r="L677" s="378"/>
      <c r="M677" s="379">
        <f t="shared" si="153"/>
        <v>0</v>
      </c>
      <c r="N677" s="378">
        <f t="shared" ref="N677:N682" si="155">IF(K677="N/A", 1, 2)</f>
        <v>1</v>
      </c>
      <c r="O677" s="379">
        <f t="shared" si="154"/>
        <v>1</v>
      </c>
      <c r="P677" s="378" t="s">
        <v>1147</v>
      </c>
      <c r="Q677" s="380" t="s">
        <v>1148</v>
      </c>
      <c r="R677" s="378"/>
    </row>
    <row r="678" spans="1:18" hidden="1" outlineLevel="1">
      <c r="A678" s="394"/>
      <c r="B678" s="637"/>
      <c r="C678" s="382" t="s">
        <v>1234</v>
      </c>
      <c r="D678" s="387">
        <v>0.5</v>
      </c>
      <c r="E678" s="399"/>
      <c r="F678" s="387">
        <v>0.5</v>
      </c>
      <c r="G678" s="387"/>
      <c r="H678" s="387"/>
      <c r="I678" s="387"/>
      <c r="J678" s="387"/>
      <c r="K678" s="378" t="s">
        <v>549</v>
      </c>
      <c r="L678" s="378"/>
      <c r="M678" s="379">
        <f t="shared" si="153"/>
        <v>0</v>
      </c>
      <c r="N678" s="378">
        <f t="shared" si="155"/>
        <v>1</v>
      </c>
      <c r="O678" s="379">
        <f t="shared" si="154"/>
        <v>1</v>
      </c>
      <c r="P678" s="378" t="s">
        <v>1147</v>
      </c>
      <c r="Q678" s="380" t="s">
        <v>1148</v>
      </c>
      <c r="R678" s="378"/>
    </row>
    <row r="679" spans="1:18" hidden="1" outlineLevel="1">
      <c r="A679" s="394"/>
      <c r="B679" s="637"/>
      <c r="C679" s="382" t="s">
        <v>1235</v>
      </c>
      <c r="D679" s="387">
        <v>0.5</v>
      </c>
      <c r="E679" s="399"/>
      <c r="F679" s="387">
        <v>0.5</v>
      </c>
      <c r="G679" s="387"/>
      <c r="H679" s="387"/>
      <c r="I679" s="387"/>
      <c r="J679" s="387"/>
      <c r="K679" s="378" t="s">
        <v>549</v>
      </c>
      <c r="L679" s="378"/>
      <c r="M679" s="379">
        <f t="shared" si="153"/>
        <v>0</v>
      </c>
      <c r="N679" s="378">
        <f t="shared" si="155"/>
        <v>1</v>
      </c>
      <c r="O679" s="379">
        <f t="shared" si="154"/>
        <v>1</v>
      </c>
      <c r="P679" s="378" t="s">
        <v>1147</v>
      </c>
      <c r="Q679" s="380" t="s">
        <v>1148</v>
      </c>
      <c r="R679" s="378"/>
    </row>
    <row r="680" spans="1:18" hidden="1" outlineLevel="1">
      <c r="A680" s="394"/>
      <c r="B680" s="637"/>
      <c r="C680" s="382" t="s">
        <v>1236</v>
      </c>
      <c r="D680" s="387">
        <v>0.5</v>
      </c>
      <c r="E680" s="399"/>
      <c r="F680" s="387">
        <v>0.5</v>
      </c>
      <c r="G680" s="387"/>
      <c r="H680" s="387"/>
      <c r="I680" s="387"/>
      <c r="J680" s="387"/>
      <c r="K680" s="378" t="s">
        <v>549</v>
      </c>
      <c r="L680" s="378"/>
      <c r="M680" s="379">
        <f t="shared" si="153"/>
        <v>0</v>
      </c>
      <c r="N680" s="378">
        <f t="shared" si="155"/>
        <v>1</v>
      </c>
      <c r="O680" s="379">
        <f t="shared" si="154"/>
        <v>1</v>
      </c>
      <c r="P680" s="378" t="s">
        <v>1147</v>
      </c>
      <c r="Q680" s="380" t="s">
        <v>1148</v>
      </c>
      <c r="R680" s="378"/>
    </row>
    <row r="681" spans="1:18" hidden="1" outlineLevel="1">
      <c r="A681" s="394"/>
      <c r="B681" s="637"/>
      <c r="C681" s="382" t="s">
        <v>1237</v>
      </c>
      <c r="D681" s="387">
        <v>0.5</v>
      </c>
      <c r="E681" s="399"/>
      <c r="F681" s="387">
        <v>0.5</v>
      </c>
      <c r="G681" s="387"/>
      <c r="H681" s="387"/>
      <c r="I681" s="387"/>
      <c r="J681" s="387"/>
      <c r="K681" s="378" t="s">
        <v>549</v>
      </c>
      <c r="L681" s="378"/>
      <c r="M681" s="379">
        <f t="shared" si="153"/>
        <v>0</v>
      </c>
      <c r="N681" s="378">
        <f t="shared" si="155"/>
        <v>1</v>
      </c>
      <c r="O681" s="379">
        <f t="shared" si="154"/>
        <v>1</v>
      </c>
      <c r="P681" s="378" t="s">
        <v>1147</v>
      </c>
      <c r="Q681" s="380" t="s">
        <v>1148</v>
      </c>
      <c r="R681" s="378"/>
    </row>
    <row r="682" spans="1:18" hidden="1" outlineLevel="1">
      <c r="A682" s="394"/>
      <c r="B682" s="638"/>
      <c r="C682" s="382" t="s">
        <v>1238</v>
      </c>
      <c r="D682" s="387">
        <v>0.5</v>
      </c>
      <c r="E682" s="399"/>
      <c r="F682" s="387">
        <v>0.5</v>
      </c>
      <c r="G682" s="387"/>
      <c r="H682" s="387"/>
      <c r="I682" s="387"/>
      <c r="J682" s="387"/>
      <c r="K682" s="378" t="s">
        <v>549</v>
      </c>
      <c r="L682" s="378"/>
      <c r="M682" s="379">
        <f t="shared" si="153"/>
        <v>0</v>
      </c>
      <c r="N682" s="378">
        <f t="shared" si="155"/>
        <v>1</v>
      </c>
      <c r="O682" s="379">
        <f t="shared" si="154"/>
        <v>1</v>
      </c>
      <c r="P682" s="378" t="s">
        <v>1147</v>
      </c>
      <c r="Q682" s="380" t="s">
        <v>1148</v>
      </c>
      <c r="R682" s="378"/>
    </row>
    <row r="683" spans="1:18" hidden="1" outlineLevel="1">
      <c r="A683" s="388" t="s">
        <v>1239</v>
      </c>
      <c r="B683" s="381"/>
      <c r="C683" s="382"/>
      <c r="D683" s="398"/>
      <c r="E683" s="389"/>
      <c r="F683" s="398"/>
      <c r="G683" s="387"/>
      <c r="H683" s="387"/>
      <c r="I683" s="387"/>
      <c r="J683" s="387"/>
      <c r="K683" s="378"/>
      <c r="L683" s="378"/>
      <c r="M683" s="379">
        <f>M684</f>
        <v>0</v>
      </c>
      <c r="N683" s="378">
        <f>N684</f>
        <v>1</v>
      </c>
      <c r="O683" s="379">
        <f t="shared" si="154"/>
        <v>1</v>
      </c>
      <c r="P683" s="378" t="s">
        <v>1147</v>
      </c>
      <c r="Q683" s="380" t="s">
        <v>1148</v>
      </c>
      <c r="R683" s="378"/>
    </row>
    <row r="684" spans="1:18" hidden="1" outlineLevel="1">
      <c r="A684" s="406"/>
      <c r="B684" s="388" t="s">
        <v>1240</v>
      </c>
      <c r="C684" s="382" t="s">
        <v>1222</v>
      </c>
      <c r="D684" s="387">
        <v>0.95</v>
      </c>
      <c r="E684" s="389"/>
      <c r="F684" s="398">
        <v>0.9</v>
      </c>
      <c r="G684" s="387"/>
      <c r="H684" s="387"/>
      <c r="I684" s="387"/>
      <c r="J684" s="387"/>
      <c r="K684" s="378" t="s">
        <v>549</v>
      </c>
      <c r="L684" s="378"/>
      <c r="M684" s="379">
        <f>IFERROR(MIN(MAX(0,IF(K684="N/A",0,IF((D684=E684),5,5-QUOTIENT(D684,E684)))), MAX(0,IF(K684="N/A",0,IF((F684=G684),5,5-QUOTIENT(F684,G684))))),0)</f>
        <v>0</v>
      </c>
      <c r="N684" s="378">
        <f>IF(K684="N/A", 1, 2)</f>
        <v>1</v>
      </c>
      <c r="O684" s="379">
        <f t="shared" si="154"/>
        <v>1</v>
      </c>
      <c r="P684" s="378" t="s">
        <v>1147</v>
      </c>
      <c r="Q684" s="380" t="s">
        <v>1148</v>
      </c>
      <c r="R684" s="378"/>
    </row>
    <row r="685" spans="1:18" hidden="1" outlineLevel="1">
      <c r="A685" s="388" t="s">
        <v>1241</v>
      </c>
      <c r="B685" s="381"/>
      <c r="C685" s="382"/>
      <c r="D685" s="398"/>
      <c r="E685" s="389"/>
      <c r="F685" s="398"/>
      <c r="G685" s="387"/>
      <c r="H685" s="387"/>
      <c r="I685" s="387"/>
      <c r="J685" s="387"/>
      <c r="K685" s="378"/>
      <c r="L685" s="378"/>
      <c r="M685" s="379">
        <f>M686</f>
        <v>0</v>
      </c>
      <c r="N685" s="378">
        <f>N686</f>
        <v>2</v>
      </c>
      <c r="O685" s="379">
        <f t="shared" si="154"/>
        <v>2</v>
      </c>
      <c r="P685" s="378" t="s">
        <v>1147</v>
      </c>
      <c r="Q685" s="380" t="s">
        <v>1148</v>
      </c>
      <c r="R685" s="378"/>
    </row>
    <row r="686" spans="1:18" hidden="1" outlineLevel="1">
      <c r="A686" s="406"/>
      <c r="B686" s="388" t="s">
        <v>1242</v>
      </c>
      <c r="C686" s="382" t="s">
        <v>1222</v>
      </c>
      <c r="D686" s="387">
        <v>0.95</v>
      </c>
      <c r="E686" s="389"/>
      <c r="F686" s="398">
        <v>0.9</v>
      </c>
      <c r="G686" s="387"/>
      <c r="H686" s="387"/>
      <c r="I686" s="387"/>
      <c r="J686" s="387"/>
      <c r="K686" s="378">
        <v>1</v>
      </c>
      <c r="L686" s="378"/>
      <c r="M686" s="379">
        <f>IFERROR(MIN(MAX(0,IF(K686="N/A",0,IF((D686=E686),5,5-QUOTIENT(D686,E686)))), MAX(0,IF(K686="N/A",0,IF((F686=G686),5,5-QUOTIENT(F686,G686))))),0)</f>
        <v>0</v>
      </c>
      <c r="N686" s="378">
        <f>IF(K686="N/A", 1, 2)</f>
        <v>2</v>
      </c>
      <c r="O686" s="379">
        <f t="shared" si="154"/>
        <v>2</v>
      </c>
      <c r="P686" s="378" t="s">
        <v>1147</v>
      </c>
      <c r="Q686" s="380" t="s">
        <v>1148</v>
      </c>
      <c r="R686" s="378"/>
    </row>
    <row r="687" spans="1:18" hidden="1" outlineLevel="1">
      <c r="A687" s="388" t="s">
        <v>1243</v>
      </c>
      <c r="B687" s="381"/>
      <c r="C687" s="382"/>
      <c r="D687" s="398"/>
      <c r="E687" s="389"/>
      <c r="F687" s="398"/>
      <c r="G687" s="387"/>
      <c r="H687" s="387"/>
      <c r="I687" s="387"/>
      <c r="J687" s="387"/>
      <c r="K687" s="378"/>
      <c r="L687" s="378"/>
      <c r="M687" s="379">
        <f>IFERROR(MIN(M688:M694),0)</f>
        <v>0</v>
      </c>
      <c r="N687" s="378">
        <f>N688</f>
        <v>1</v>
      </c>
      <c r="O687" s="379">
        <f>MAX(M687:N687)</f>
        <v>1</v>
      </c>
      <c r="P687" s="378" t="s">
        <v>1147</v>
      </c>
      <c r="Q687" s="380" t="s">
        <v>1148</v>
      </c>
      <c r="R687" s="378"/>
    </row>
    <row r="688" spans="1:18" hidden="1" outlineLevel="1">
      <c r="A688" s="394"/>
      <c r="B688" s="636" t="s">
        <v>1179</v>
      </c>
      <c r="C688" s="382" t="s">
        <v>1232</v>
      </c>
      <c r="D688" s="387">
        <v>0.5</v>
      </c>
      <c r="E688" s="399"/>
      <c r="F688" s="387">
        <v>0.5</v>
      </c>
      <c r="G688" s="387"/>
      <c r="H688" s="387"/>
      <c r="I688" s="387"/>
      <c r="J688" s="387"/>
      <c r="K688" s="378" t="s">
        <v>549</v>
      </c>
      <c r="L688" s="378"/>
      <c r="M688" s="379">
        <f t="shared" ref="M688:M694" si="156">IFERROR(MIN(MAX(0,IF(K688="N/A",0,IF((D688=E688),5,5-QUOTIENT(D688,E688)))), MAX(0,IF(K688="N/A",0,IF((F688=G688),5,5-QUOTIENT(F688,G688))))),0)</f>
        <v>0</v>
      </c>
      <c r="N688" s="378">
        <f>IF(K688="N/A", 1, 2)</f>
        <v>1</v>
      </c>
      <c r="O688" s="379">
        <f t="shared" ref="O688:O706" si="157">MAX(M688:N688)</f>
        <v>1</v>
      </c>
      <c r="P688" s="378" t="s">
        <v>1147</v>
      </c>
      <c r="Q688" s="380" t="s">
        <v>1148</v>
      </c>
      <c r="R688" s="378"/>
    </row>
    <row r="689" spans="1:18" hidden="1" outlineLevel="1">
      <c r="A689" s="394"/>
      <c r="B689" s="637"/>
      <c r="C689" s="382" t="s">
        <v>1233</v>
      </c>
      <c r="D689" s="387">
        <v>0.5</v>
      </c>
      <c r="E689" s="399"/>
      <c r="F689" s="387">
        <v>0.5</v>
      </c>
      <c r="G689" s="387"/>
      <c r="H689" s="387"/>
      <c r="I689" s="387"/>
      <c r="J689" s="387"/>
      <c r="K689" s="378" t="s">
        <v>549</v>
      </c>
      <c r="L689" s="378"/>
      <c r="M689" s="379">
        <f t="shared" si="156"/>
        <v>0</v>
      </c>
      <c r="N689" s="378">
        <f t="shared" ref="N689:N694" si="158">IF(K689="N/A", 1, 2)</f>
        <v>1</v>
      </c>
      <c r="O689" s="379">
        <f t="shared" si="157"/>
        <v>1</v>
      </c>
      <c r="P689" s="378" t="s">
        <v>1147</v>
      </c>
      <c r="Q689" s="380" t="s">
        <v>1148</v>
      </c>
      <c r="R689" s="378"/>
    </row>
    <row r="690" spans="1:18" hidden="1" outlineLevel="1">
      <c r="A690" s="394"/>
      <c r="B690" s="637"/>
      <c r="C690" s="382" t="s">
        <v>1234</v>
      </c>
      <c r="D690" s="387">
        <v>0.5</v>
      </c>
      <c r="E690" s="399"/>
      <c r="F690" s="387">
        <v>0.5</v>
      </c>
      <c r="G690" s="387"/>
      <c r="H690" s="387"/>
      <c r="I690" s="387"/>
      <c r="J690" s="387"/>
      <c r="K690" s="378" t="s">
        <v>549</v>
      </c>
      <c r="L690" s="378"/>
      <c r="M690" s="379">
        <f t="shared" si="156"/>
        <v>0</v>
      </c>
      <c r="N690" s="378">
        <f t="shared" si="158"/>
        <v>1</v>
      </c>
      <c r="O690" s="379">
        <f t="shared" si="157"/>
        <v>1</v>
      </c>
      <c r="P690" s="378" t="s">
        <v>1147</v>
      </c>
      <c r="Q690" s="380" t="s">
        <v>1148</v>
      </c>
      <c r="R690" s="378"/>
    </row>
    <row r="691" spans="1:18" hidden="1" outlineLevel="1">
      <c r="A691" s="394"/>
      <c r="B691" s="637"/>
      <c r="C691" s="382" t="s">
        <v>1235</v>
      </c>
      <c r="D691" s="387">
        <v>0.5</v>
      </c>
      <c r="E691" s="399"/>
      <c r="F691" s="387">
        <v>0.5</v>
      </c>
      <c r="G691" s="387"/>
      <c r="H691" s="387"/>
      <c r="I691" s="387"/>
      <c r="J691" s="387"/>
      <c r="K691" s="378" t="s">
        <v>549</v>
      </c>
      <c r="L691" s="378"/>
      <c r="M691" s="379">
        <f t="shared" si="156"/>
        <v>0</v>
      </c>
      <c r="N691" s="378">
        <f t="shared" si="158"/>
        <v>1</v>
      </c>
      <c r="O691" s="379">
        <f t="shared" si="157"/>
        <v>1</v>
      </c>
      <c r="P691" s="378" t="s">
        <v>1147</v>
      </c>
      <c r="Q691" s="380" t="s">
        <v>1148</v>
      </c>
      <c r="R691" s="378"/>
    </row>
    <row r="692" spans="1:18" hidden="1" outlineLevel="1">
      <c r="A692" s="394"/>
      <c r="B692" s="637"/>
      <c r="C692" s="382" t="s">
        <v>1236</v>
      </c>
      <c r="D692" s="387">
        <v>0.5</v>
      </c>
      <c r="E692" s="399"/>
      <c r="F692" s="387">
        <v>0.5</v>
      </c>
      <c r="G692" s="387"/>
      <c r="H692" s="387"/>
      <c r="I692" s="387"/>
      <c r="J692" s="387"/>
      <c r="K692" s="378" t="s">
        <v>549</v>
      </c>
      <c r="L692" s="378"/>
      <c r="M692" s="379">
        <f t="shared" si="156"/>
        <v>0</v>
      </c>
      <c r="N692" s="378">
        <f t="shared" si="158"/>
        <v>1</v>
      </c>
      <c r="O692" s="379">
        <f t="shared" si="157"/>
        <v>1</v>
      </c>
      <c r="P692" s="378" t="s">
        <v>1147</v>
      </c>
      <c r="Q692" s="380" t="s">
        <v>1148</v>
      </c>
      <c r="R692" s="378"/>
    </row>
    <row r="693" spans="1:18" hidden="1" outlineLevel="1">
      <c r="A693" s="394"/>
      <c r="B693" s="637"/>
      <c r="C693" s="382" t="s">
        <v>1237</v>
      </c>
      <c r="D693" s="387">
        <v>0.5</v>
      </c>
      <c r="E693" s="399"/>
      <c r="F693" s="387">
        <v>0.5</v>
      </c>
      <c r="G693" s="387"/>
      <c r="H693" s="387"/>
      <c r="I693" s="387"/>
      <c r="J693" s="387"/>
      <c r="K693" s="378" t="s">
        <v>549</v>
      </c>
      <c r="L693" s="378"/>
      <c r="M693" s="379">
        <f t="shared" si="156"/>
        <v>0</v>
      </c>
      <c r="N693" s="378">
        <f t="shared" si="158"/>
        <v>1</v>
      </c>
      <c r="O693" s="379">
        <f t="shared" si="157"/>
        <v>1</v>
      </c>
      <c r="P693" s="378" t="s">
        <v>1147</v>
      </c>
      <c r="Q693" s="380" t="s">
        <v>1148</v>
      </c>
      <c r="R693" s="378"/>
    </row>
    <row r="694" spans="1:18" hidden="1" outlineLevel="1">
      <c r="A694" s="394"/>
      <c r="B694" s="638"/>
      <c r="C694" s="382" t="s">
        <v>1238</v>
      </c>
      <c r="D694" s="387">
        <v>0.5</v>
      </c>
      <c r="E694" s="399"/>
      <c r="F694" s="387">
        <v>0.5</v>
      </c>
      <c r="G694" s="387"/>
      <c r="H694" s="387"/>
      <c r="I694" s="387"/>
      <c r="J694" s="387"/>
      <c r="K694" s="378" t="s">
        <v>549</v>
      </c>
      <c r="L694" s="378"/>
      <c r="M694" s="379">
        <f t="shared" si="156"/>
        <v>0</v>
      </c>
      <c r="N694" s="378">
        <f t="shared" si="158"/>
        <v>1</v>
      </c>
      <c r="O694" s="379">
        <f t="shared" si="157"/>
        <v>1</v>
      </c>
      <c r="P694" s="378" t="s">
        <v>1147</v>
      </c>
      <c r="Q694" s="380" t="s">
        <v>1148</v>
      </c>
      <c r="R694" s="378"/>
    </row>
    <row r="695" spans="1:18" hidden="1" outlineLevel="1">
      <c r="A695" s="388" t="s">
        <v>1244</v>
      </c>
      <c r="B695" s="381"/>
      <c r="C695" s="382"/>
      <c r="D695" s="398"/>
      <c r="E695" s="389"/>
      <c r="F695" s="398"/>
      <c r="G695" s="387"/>
      <c r="H695" s="387"/>
      <c r="I695" s="387"/>
      <c r="J695" s="387"/>
      <c r="K695" s="378"/>
      <c r="L695" s="378"/>
      <c r="M695" s="379">
        <f>IFERROR(MIN(M696:M702),0)</f>
        <v>0</v>
      </c>
      <c r="N695" s="378">
        <f>N696</f>
        <v>1</v>
      </c>
      <c r="O695" s="379">
        <f t="shared" si="157"/>
        <v>1</v>
      </c>
      <c r="P695" s="378" t="s">
        <v>1147</v>
      </c>
      <c r="Q695" s="380" t="s">
        <v>1148</v>
      </c>
      <c r="R695" s="378"/>
    </row>
    <row r="696" spans="1:18" hidden="1" outlineLevel="1">
      <c r="A696" s="394"/>
      <c r="B696" s="636" t="s">
        <v>1245</v>
      </c>
      <c r="C696" s="382" t="s">
        <v>1246</v>
      </c>
      <c r="D696" s="387">
        <v>0.5</v>
      </c>
      <c r="E696" s="399"/>
      <c r="F696" s="387">
        <v>0.5</v>
      </c>
      <c r="G696" s="387"/>
      <c r="H696" s="387"/>
      <c r="I696" s="387"/>
      <c r="J696" s="387"/>
      <c r="K696" s="378" t="s">
        <v>549</v>
      </c>
      <c r="L696" s="378"/>
      <c r="M696" s="379">
        <f t="shared" ref="M696:M702" si="159">IFERROR(MIN(MAX(0,IF(K696="N/A",0,IF((D696=E696),5,5-QUOTIENT(D696,E696)))), MAX(0,IF(K696="N/A",0,IF((F696=G696),5,5-QUOTIENT(F696,G696))))),0)</f>
        <v>0</v>
      </c>
      <c r="N696" s="378">
        <f>IF(K696="N/A", 1, 2)</f>
        <v>1</v>
      </c>
      <c r="O696" s="379">
        <f t="shared" si="157"/>
        <v>1</v>
      </c>
      <c r="P696" s="378" t="s">
        <v>1147</v>
      </c>
      <c r="Q696" s="380" t="s">
        <v>1148</v>
      </c>
      <c r="R696" s="378"/>
    </row>
    <row r="697" spans="1:18" hidden="1" outlineLevel="1">
      <c r="A697" s="394"/>
      <c r="B697" s="637"/>
      <c r="C697" s="382" t="s">
        <v>1247</v>
      </c>
      <c r="D697" s="387">
        <v>0.5</v>
      </c>
      <c r="E697" s="399"/>
      <c r="F697" s="387">
        <v>0.5</v>
      </c>
      <c r="G697" s="387"/>
      <c r="H697" s="387"/>
      <c r="I697" s="387"/>
      <c r="J697" s="387"/>
      <c r="K697" s="378" t="s">
        <v>549</v>
      </c>
      <c r="L697" s="378"/>
      <c r="M697" s="379">
        <f t="shared" si="159"/>
        <v>0</v>
      </c>
      <c r="N697" s="378">
        <f t="shared" ref="N697:N702" si="160">IF(K697="N/A", 1, 2)</f>
        <v>1</v>
      </c>
      <c r="O697" s="379">
        <f t="shared" si="157"/>
        <v>1</v>
      </c>
      <c r="P697" s="378" t="s">
        <v>1147</v>
      </c>
      <c r="Q697" s="380" t="s">
        <v>1148</v>
      </c>
      <c r="R697" s="378"/>
    </row>
    <row r="698" spans="1:18" hidden="1" outlineLevel="1">
      <c r="A698" s="394"/>
      <c r="B698" s="637"/>
      <c r="C698" s="382" t="s">
        <v>1248</v>
      </c>
      <c r="D698" s="387">
        <v>0.5</v>
      </c>
      <c r="E698" s="399"/>
      <c r="F698" s="387">
        <v>0.5</v>
      </c>
      <c r="G698" s="387"/>
      <c r="H698" s="387"/>
      <c r="I698" s="387"/>
      <c r="J698" s="387"/>
      <c r="K698" s="378" t="s">
        <v>549</v>
      </c>
      <c r="L698" s="378"/>
      <c r="M698" s="379">
        <f t="shared" si="159"/>
        <v>0</v>
      </c>
      <c r="N698" s="378">
        <f t="shared" si="160"/>
        <v>1</v>
      </c>
      <c r="O698" s="379">
        <f t="shared" si="157"/>
        <v>1</v>
      </c>
      <c r="P698" s="378" t="s">
        <v>1147</v>
      </c>
      <c r="Q698" s="380" t="s">
        <v>1148</v>
      </c>
      <c r="R698" s="378"/>
    </row>
    <row r="699" spans="1:18" hidden="1" outlineLevel="1">
      <c r="A699" s="394"/>
      <c r="B699" s="637"/>
      <c r="C699" s="382" t="s">
        <v>1249</v>
      </c>
      <c r="D699" s="387">
        <v>0.5</v>
      </c>
      <c r="E699" s="399"/>
      <c r="F699" s="387">
        <v>0.5</v>
      </c>
      <c r="G699" s="387"/>
      <c r="H699" s="387"/>
      <c r="I699" s="387"/>
      <c r="J699" s="387"/>
      <c r="K699" s="378" t="s">
        <v>549</v>
      </c>
      <c r="L699" s="378"/>
      <c r="M699" s="379">
        <f t="shared" si="159"/>
        <v>0</v>
      </c>
      <c r="N699" s="378">
        <f t="shared" si="160"/>
        <v>1</v>
      </c>
      <c r="O699" s="379">
        <f t="shared" si="157"/>
        <v>1</v>
      </c>
      <c r="P699" s="378" t="s">
        <v>1147</v>
      </c>
      <c r="Q699" s="380" t="s">
        <v>1148</v>
      </c>
      <c r="R699" s="378"/>
    </row>
    <row r="700" spans="1:18" hidden="1" outlineLevel="1">
      <c r="A700" s="394"/>
      <c r="B700" s="637"/>
      <c r="C700" s="382" t="s">
        <v>1250</v>
      </c>
      <c r="D700" s="387">
        <v>0.5</v>
      </c>
      <c r="E700" s="399"/>
      <c r="F700" s="387">
        <v>0.5</v>
      </c>
      <c r="G700" s="387"/>
      <c r="H700" s="387"/>
      <c r="I700" s="387"/>
      <c r="J700" s="387"/>
      <c r="K700" s="378" t="s">
        <v>549</v>
      </c>
      <c r="L700" s="378"/>
      <c r="M700" s="379">
        <f t="shared" si="159"/>
        <v>0</v>
      </c>
      <c r="N700" s="378">
        <f t="shared" si="160"/>
        <v>1</v>
      </c>
      <c r="O700" s="379">
        <f t="shared" si="157"/>
        <v>1</v>
      </c>
      <c r="P700" s="378" t="s">
        <v>1147</v>
      </c>
      <c r="Q700" s="380" t="s">
        <v>1148</v>
      </c>
      <c r="R700" s="378"/>
    </row>
    <row r="701" spans="1:18" hidden="1" outlineLevel="1">
      <c r="A701" s="394"/>
      <c r="B701" s="637"/>
      <c r="C701" s="382" t="s">
        <v>1251</v>
      </c>
      <c r="D701" s="387">
        <v>0.5</v>
      </c>
      <c r="E701" s="399"/>
      <c r="F701" s="387">
        <v>0.5</v>
      </c>
      <c r="G701" s="387"/>
      <c r="H701" s="387"/>
      <c r="I701" s="387"/>
      <c r="J701" s="387"/>
      <c r="K701" s="378" t="s">
        <v>549</v>
      </c>
      <c r="L701" s="378"/>
      <c r="M701" s="379">
        <f t="shared" si="159"/>
        <v>0</v>
      </c>
      <c r="N701" s="378">
        <f t="shared" si="160"/>
        <v>1</v>
      </c>
      <c r="O701" s="379">
        <f t="shared" si="157"/>
        <v>1</v>
      </c>
      <c r="P701" s="378" t="s">
        <v>1147</v>
      </c>
      <c r="Q701" s="380" t="s">
        <v>1148</v>
      </c>
      <c r="R701" s="378"/>
    </row>
    <row r="702" spans="1:18" hidden="1" outlineLevel="1">
      <c r="A702" s="394"/>
      <c r="B702" s="638"/>
      <c r="C702" s="382" t="s">
        <v>1252</v>
      </c>
      <c r="D702" s="387">
        <v>0.5</v>
      </c>
      <c r="E702" s="399"/>
      <c r="F702" s="387">
        <v>0.5</v>
      </c>
      <c r="G702" s="387"/>
      <c r="H702" s="387"/>
      <c r="I702" s="387"/>
      <c r="J702" s="387"/>
      <c r="K702" s="378" t="s">
        <v>549</v>
      </c>
      <c r="L702" s="378"/>
      <c r="M702" s="379">
        <f t="shared" si="159"/>
        <v>0</v>
      </c>
      <c r="N702" s="378">
        <f t="shared" si="160"/>
        <v>1</v>
      </c>
      <c r="O702" s="379">
        <f t="shared" si="157"/>
        <v>1</v>
      </c>
      <c r="P702" s="378" t="s">
        <v>1147</v>
      </c>
      <c r="Q702" s="380" t="s">
        <v>1148</v>
      </c>
      <c r="R702" s="378"/>
    </row>
    <row r="703" spans="1:18" hidden="1" outlineLevel="1">
      <c r="A703" s="388" t="s">
        <v>1253</v>
      </c>
      <c r="B703" s="381"/>
      <c r="C703" s="382"/>
      <c r="D703" s="398"/>
      <c r="E703" s="389"/>
      <c r="F703" s="398"/>
      <c r="G703" s="387"/>
      <c r="H703" s="387"/>
      <c r="I703" s="387"/>
      <c r="J703" s="387"/>
      <c r="K703" s="378"/>
      <c r="L703" s="378"/>
      <c r="M703" s="379">
        <f>M704</f>
        <v>0</v>
      </c>
      <c r="N703" s="378">
        <f>N704</f>
        <v>2</v>
      </c>
      <c r="O703" s="379">
        <f t="shared" si="157"/>
        <v>2</v>
      </c>
      <c r="P703" s="378" t="s">
        <v>1147</v>
      </c>
      <c r="Q703" s="380" t="s">
        <v>1148</v>
      </c>
      <c r="R703" s="378"/>
    </row>
    <row r="704" spans="1:18" hidden="1" outlineLevel="1">
      <c r="A704" s="406"/>
      <c r="B704" s="388" t="s">
        <v>1254</v>
      </c>
      <c r="C704" s="382" t="s">
        <v>1222</v>
      </c>
      <c r="D704" s="387">
        <v>0.5</v>
      </c>
      <c r="E704" s="389"/>
      <c r="F704" s="398">
        <v>0.5</v>
      </c>
      <c r="G704" s="387"/>
      <c r="H704" s="387"/>
      <c r="I704" s="387"/>
      <c r="J704" s="387"/>
      <c r="K704" s="378">
        <v>1</v>
      </c>
      <c r="L704" s="378"/>
      <c r="M704" s="379">
        <f>IFERROR(MIN(MAX(0,IF(K704="N/A",0,IF((D704=E704),5,5-QUOTIENT(D704,E704)))), MAX(0,IF(K704="N/A",0,IF((F704=G704),5,5-QUOTIENT(F704,G704))))),0)</f>
        <v>0</v>
      </c>
      <c r="N704" s="378">
        <f>IF(K704="N/A", 1, 2)</f>
        <v>2</v>
      </c>
      <c r="O704" s="379">
        <f t="shared" si="157"/>
        <v>2</v>
      </c>
      <c r="P704" s="378" t="s">
        <v>1147</v>
      </c>
      <c r="Q704" s="380" t="s">
        <v>1148</v>
      </c>
      <c r="R704" s="378"/>
    </row>
    <row r="705" spans="1:18" hidden="1" outlineLevel="1">
      <c r="A705" s="388" t="s">
        <v>1255</v>
      </c>
      <c r="B705" s="381"/>
      <c r="C705" s="382"/>
      <c r="D705" s="398"/>
      <c r="E705" s="389"/>
      <c r="F705" s="398"/>
      <c r="G705" s="387"/>
      <c r="H705" s="387"/>
      <c r="I705" s="387"/>
      <c r="J705" s="387"/>
      <c r="K705" s="378"/>
      <c r="L705" s="378"/>
      <c r="M705" s="379">
        <f>M706</f>
        <v>0</v>
      </c>
      <c r="N705" s="378">
        <f>N706</f>
        <v>1</v>
      </c>
      <c r="O705" s="379">
        <f t="shared" si="157"/>
        <v>1</v>
      </c>
      <c r="P705" s="378" t="s">
        <v>1147</v>
      </c>
      <c r="Q705" s="380" t="s">
        <v>1148</v>
      </c>
      <c r="R705" s="378"/>
    </row>
    <row r="706" spans="1:18" hidden="1" outlineLevel="1">
      <c r="A706" s="406"/>
      <c r="B706" s="388" t="s">
        <v>1256</v>
      </c>
      <c r="C706" s="382" t="s">
        <v>1222</v>
      </c>
      <c r="D706" s="387">
        <v>0.5</v>
      </c>
      <c r="E706" s="389"/>
      <c r="F706" s="398">
        <v>0.5</v>
      </c>
      <c r="G706" s="387"/>
      <c r="H706" s="387"/>
      <c r="I706" s="387"/>
      <c r="J706" s="387"/>
      <c r="K706" s="378" t="s">
        <v>549</v>
      </c>
      <c r="L706" s="378"/>
      <c r="M706" s="379">
        <f>IFERROR(MIN(MAX(0,IF(K706="N/A",0,IF((D706=E706),5,5-QUOTIENT(D706,E706)))), MAX(0,IF(K706="N/A",0,IF((F706=G706),5,5-QUOTIENT(F706,G706))))),0)</f>
        <v>0</v>
      </c>
      <c r="N706" s="378">
        <f>IF(K706="N/A", 1, 2)</f>
        <v>1</v>
      </c>
      <c r="O706" s="379">
        <f t="shared" si="157"/>
        <v>1</v>
      </c>
      <c r="P706" s="378" t="s">
        <v>1147</v>
      </c>
      <c r="Q706" s="380" t="s">
        <v>1148</v>
      </c>
      <c r="R706" s="378"/>
    </row>
    <row r="707" spans="1:18" hidden="1" outlineLevel="1">
      <c r="A707" s="388" t="s">
        <v>1257</v>
      </c>
      <c r="B707" s="381"/>
      <c r="C707" s="399"/>
      <c r="D707" s="398"/>
      <c r="E707" s="389"/>
      <c r="F707" s="398"/>
      <c r="G707" s="387"/>
      <c r="H707" s="387"/>
      <c r="I707" s="387"/>
      <c r="J707" s="387"/>
      <c r="K707" s="378"/>
      <c r="L707" s="378"/>
      <c r="M707" s="379">
        <f>M708</f>
        <v>0</v>
      </c>
      <c r="N707" s="378">
        <f>N708</f>
        <v>2</v>
      </c>
      <c r="O707" s="379">
        <f>MAX(M707:N707)</f>
        <v>2</v>
      </c>
      <c r="P707" s="378" t="s">
        <v>1147</v>
      </c>
      <c r="Q707" s="380" t="s">
        <v>1148</v>
      </c>
      <c r="R707" s="378"/>
    </row>
    <row r="708" spans="1:18" hidden="1" outlineLevel="1">
      <c r="A708" s="406"/>
      <c r="B708" s="388" t="s">
        <v>673</v>
      </c>
      <c r="C708" s="382" t="s">
        <v>1222</v>
      </c>
      <c r="D708" s="387">
        <v>0.5</v>
      </c>
      <c r="E708" s="389"/>
      <c r="F708" s="398">
        <v>0.5</v>
      </c>
      <c r="G708" s="387"/>
      <c r="H708" s="387"/>
      <c r="I708" s="387"/>
      <c r="J708" s="387"/>
      <c r="K708" s="378">
        <v>1</v>
      </c>
      <c r="L708" s="378"/>
      <c r="M708" s="379">
        <f>IFERROR(MIN(MAX(0,IF(K708="N/A",0,IF((D708=E708),5,5-QUOTIENT(D708,E708)))), MAX(0,IF(K708="N/A",0,IF((F708=G708),5,5-QUOTIENT(F708,G708))))),0)</f>
        <v>0</v>
      </c>
      <c r="N708" s="378">
        <f>IF(K708="N/A", 1, 2)</f>
        <v>2</v>
      </c>
      <c r="O708" s="379">
        <f t="shared" ref="O708" si="161">MAX(M708:N708)</f>
        <v>2</v>
      </c>
      <c r="P708" s="378" t="s">
        <v>1147</v>
      </c>
      <c r="Q708" s="380" t="s">
        <v>1148</v>
      </c>
      <c r="R708" s="378"/>
    </row>
    <row r="709" spans="1:18" hidden="1" outlineLevel="1">
      <c r="A709" s="388" t="s">
        <v>1258</v>
      </c>
      <c r="B709" s="381"/>
      <c r="C709" s="399"/>
      <c r="D709" s="398"/>
      <c r="E709" s="389"/>
      <c r="F709" s="398"/>
      <c r="G709" s="387"/>
      <c r="H709" s="387"/>
      <c r="I709" s="387"/>
      <c r="J709" s="387"/>
      <c r="K709" s="378"/>
      <c r="L709" s="378"/>
      <c r="M709" s="379">
        <f>M710</f>
        <v>0</v>
      </c>
      <c r="N709" s="378">
        <f>N710</f>
        <v>1</v>
      </c>
      <c r="O709" s="379">
        <f>MAX(M709:N709)</f>
        <v>1</v>
      </c>
      <c r="P709" s="378" t="s">
        <v>1147</v>
      </c>
      <c r="Q709" s="380" t="s">
        <v>1148</v>
      </c>
      <c r="R709" s="378"/>
    </row>
    <row r="710" spans="1:18" hidden="1" outlineLevel="1">
      <c r="A710" s="406"/>
      <c r="B710" s="388" t="s">
        <v>1259</v>
      </c>
      <c r="C710" s="382" t="s">
        <v>1222</v>
      </c>
      <c r="D710" s="387">
        <v>0.5</v>
      </c>
      <c r="E710" s="389"/>
      <c r="F710" s="398">
        <v>0.5</v>
      </c>
      <c r="G710" s="387"/>
      <c r="H710" s="387"/>
      <c r="I710" s="387"/>
      <c r="J710" s="387"/>
      <c r="K710" s="378" t="s">
        <v>549</v>
      </c>
      <c r="L710" s="378"/>
      <c r="M710" s="379">
        <f>IFERROR(MIN(MAX(0,IF(K710="N/A",0,IF((D710=E710),5,5-QUOTIENT(D710,E710)))), MAX(0,IF(K710="N/A",0,IF((F710=G710),5,5-QUOTIENT(F710,G710))))),0)</f>
        <v>0</v>
      </c>
      <c r="N710" s="378">
        <f>IF(K710="N/A", 1, 2)</f>
        <v>1</v>
      </c>
      <c r="O710" s="379">
        <f t="shared" ref="O710" si="162">MAX(M710:N710)</f>
        <v>1</v>
      </c>
      <c r="P710" s="378" t="s">
        <v>1147</v>
      </c>
      <c r="Q710" s="380" t="s">
        <v>1148</v>
      </c>
      <c r="R710" s="378"/>
    </row>
    <row r="711" spans="1:18" hidden="1" outlineLevel="1">
      <c r="A711" s="388" t="s">
        <v>1260</v>
      </c>
      <c r="B711" s="381"/>
      <c r="C711" s="399"/>
      <c r="D711" s="398"/>
      <c r="E711" s="389"/>
      <c r="F711" s="398"/>
      <c r="G711" s="387"/>
      <c r="H711" s="387"/>
      <c r="I711" s="387"/>
      <c r="J711" s="387"/>
      <c r="K711" s="378"/>
      <c r="L711" s="378"/>
      <c r="M711" s="379">
        <f>M712</f>
        <v>2</v>
      </c>
      <c r="N711" s="378">
        <f>N712</f>
        <v>2</v>
      </c>
      <c r="O711" s="379">
        <f>MAX(M711:N711)</f>
        <v>2</v>
      </c>
      <c r="P711" s="410" t="s">
        <v>1261</v>
      </c>
      <c r="Q711" s="411" t="s">
        <v>1262</v>
      </c>
      <c r="R711" s="378"/>
    </row>
    <row r="712" spans="1:18" hidden="1" outlineLevel="1">
      <c r="A712" s="412"/>
      <c r="B712" s="388" t="s">
        <v>1263</v>
      </c>
      <c r="C712" s="413" t="s">
        <v>1264</v>
      </c>
      <c r="D712" s="414">
        <v>5</v>
      </c>
      <c r="E712" s="414">
        <v>2</v>
      </c>
      <c r="F712" s="414">
        <v>5</v>
      </c>
      <c r="G712" s="391">
        <v>2</v>
      </c>
      <c r="H712" s="391"/>
      <c r="I712" s="391"/>
      <c r="J712" s="391"/>
      <c r="K712" s="378">
        <v>2</v>
      </c>
      <c r="L712" s="378"/>
      <c r="M712" s="379">
        <f>IFERROR(MIN(MAX(0,IF(K712="N/A",0,IF((D712=E712),5,5-QUOTIENT(D712,E712)-1))), MAX(0,IF(K712="N/A",0,IF((F712=G712),5,5-QUOTIENT(F712,G712)-1)))),0)</f>
        <v>2</v>
      </c>
      <c r="N712" s="378">
        <f>IF(K712="N/A", 1, 2)</f>
        <v>2</v>
      </c>
      <c r="O712" s="379">
        <f t="shared" ref="O712:O713" si="163">MAX(M712:N712)</f>
        <v>2</v>
      </c>
      <c r="P712" s="410" t="s">
        <v>1261</v>
      </c>
      <c r="Q712" s="411" t="s">
        <v>1262</v>
      </c>
      <c r="R712" s="378"/>
    </row>
    <row r="713" spans="1:18" hidden="1" outlineLevel="1">
      <c r="A713" s="415" t="s">
        <v>1265</v>
      </c>
      <c r="B713" s="416" t="s">
        <v>767</v>
      </c>
      <c r="C713" s="413" t="s">
        <v>1264</v>
      </c>
      <c r="D713" s="414">
        <v>5</v>
      </c>
      <c r="E713" s="414">
        <v>2</v>
      </c>
      <c r="F713" s="414">
        <v>5</v>
      </c>
      <c r="G713" s="391">
        <v>2</v>
      </c>
      <c r="H713" s="391"/>
      <c r="I713" s="391"/>
      <c r="J713" s="391"/>
      <c r="K713" s="378">
        <v>2</v>
      </c>
      <c r="L713" s="378"/>
      <c r="M713" s="379">
        <f>IFERROR(MIN(MAX(0,IF(K713="N/A",0,IF((D713=E713),5,5-QUOTIENT(D713,E713)-1))), MAX(0,IF(K713="N/A",0,IF((F713=G713),5,5-QUOTIENT(F713,G713)-1)))),0)</f>
        <v>2</v>
      </c>
      <c r="N713" s="378">
        <f>IF(K713="N/A", 1, 2)</f>
        <v>2</v>
      </c>
      <c r="O713" s="379">
        <f t="shared" si="163"/>
        <v>2</v>
      </c>
      <c r="P713" s="410" t="s">
        <v>1261</v>
      </c>
      <c r="Q713" s="411" t="s">
        <v>1262</v>
      </c>
      <c r="R713" s="378"/>
    </row>
    <row r="714" spans="1:18" collapsed="1">
      <c r="A714" s="362" t="s">
        <v>1274</v>
      </c>
      <c r="B714" s="646"/>
      <c r="D714" s="364"/>
      <c r="E714" s="364"/>
      <c r="F714" s="371"/>
      <c r="G714" s="364"/>
      <c r="H714" s="364"/>
      <c r="I714" s="364"/>
      <c r="J714" s="364"/>
      <c r="K714" s="364"/>
      <c r="L714" s="364"/>
      <c r="M714" s="371"/>
      <c r="N714" s="364"/>
      <c r="O714" s="371"/>
      <c r="P714" s="364"/>
      <c r="Q714" s="364"/>
    </row>
    <row r="715" spans="1:18">
      <c r="B715" s="646"/>
      <c r="D715" s="364"/>
      <c r="E715" s="417"/>
      <c r="F715" s="418"/>
      <c r="G715" s="364"/>
      <c r="H715" s="364"/>
      <c r="I715" s="364"/>
      <c r="J715" s="364"/>
      <c r="K715" s="364"/>
      <c r="L715" s="364"/>
      <c r="M715" s="371"/>
      <c r="N715" s="364"/>
      <c r="O715" s="371"/>
      <c r="P715" s="364"/>
      <c r="Q715" s="364"/>
      <c r="R715" s="364"/>
    </row>
    <row r="716" spans="1:18">
      <c r="B716" s="646"/>
      <c r="D716" s="364"/>
      <c r="E716" s="417"/>
      <c r="F716" s="418"/>
      <c r="G716" s="364"/>
      <c r="H716" s="364"/>
      <c r="I716" s="364"/>
      <c r="J716" s="364"/>
      <c r="K716" s="364"/>
      <c r="L716" s="364"/>
      <c r="M716" s="371"/>
      <c r="N716" s="364"/>
      <c r="O716" s="371"/>
      <c r="P716" s="364"/>
      <c r="Q716" s="364"/>
      <c r="R716" s="364"/>
    </row>
    <row r="717" spans="1:18" outlineLevel="1">
      <c r="A717" s="362"/>
      <c r="C717" s="363"/>
      <c r="D717" s="628" t="s">
        <v>1132</v>
      </c>
      <c r="E717" s="629"/>
      <c r="F717" s="628" t="s">
        <v>1133</v>
      </c>
      <c r="G717" s="629"/>
      <c r="H717" s="370"/>
      <c r="I717" s="370"/>
      <c r="J717" s="370"/>
      <c r="K717" s="364"/>
      <c r="L717" s="364"/>
      <c r="M717" s="371"/>
      <c r="N717" s="364"/>
      <c r="O717" s="371"/>
      <c r="P717" s="364"/>
      <c r="Q717" s="364"/>
    </row>
    <row r="718" spans="1:18" outlineLevel="1">
      <c r="A718" s="372" t="s">
        <v>1134</v>
      </c>
      <c r="B718" s="373" t="s">
        <v>1135</v>
      </c>
      <c r="C718" s="373" t="s">
        <v>1136</v>
      </c>
      <c r="D718" s="373" t="s">
        <v>1137</v>
      </c>
      <c r="E718" s="373" t="s">
        <v>1138</v>
      </c>
      <c r="F718" s="374" t="s">
        <v>1137</v>
      </c>
      <c r="G718" s="373" t="s">
        <v>1138</v>
      </c>
      <c r="H718" s="373" t="s">
        <v>1268</v>
      </c>
      <c r="I718" s="373" t="s">
        <v>1269</v>
      </c>
      <c r="J718" s="373" t="s">
        <v>1270</v>
      </c>
      <c r="K718" s="375" t="s">
        <v>1139</v>
      </c>
      <c r="L718" s="375" t="s">
        <v>1271</v>
      </c>
      <c r="M718" s="374" t="s">
        <v>1140</v>
      </c>
      <c r="N718" s="373" t="s">
        <v>1141</v>
      </c>
      <c r="O718" s="374" t="s">
        <v>1142</v>
      </c>
      <c r="P718" s="373" t="s">
        <v>1143</v>
      </c>
      <c r="Q718" s="373" t="s">
        <v>1144</v>
      </c>
      <c r="R718" s="373" t="s">
        <v>1145</v>
      </c>
    </row>
    <row r="719" spans="1:18" outlineLevel="1">
      <c r="A719" s="376" t="s">
        <v>1146</v>
      </c>
      <c r="B719" s="630"/>
      <c r="C719" s="631"/>
      <c r="D719" s="631"/>
      <c r="E719" s="631"/>
      <c r="F719" s="631"/>
      <c r="G719" s="632"/>
      <c r="H719" s="377"/>
      <c r="I719" s="377"/>
      <c r="J719" s="377"/>
      <c r="K719" s="378"/>
      <c r="L719" s="378"/>
      <c r="M719" s="379">
        <f>IFERROR(MIN(M720:M738),0)</f>
        <v>0</v>
      </c>
      <c r="N719" s="378">
        <f>N720</f>
        <v>2</v>
      </c>
      <c r="O719" s="379">
        <f>MAX(M719:N719)</f>
        <v>2</v>
      </c>
      <c r="P719" s="378" t="s">
        <v>1147</v>
      </c>
      <c r="Q719" s="380" t="s">
        <v>1148</v>
      </c>
      <c r="R719" s="378"/>
    </row>
    <row r="720" spans="1:18" outlineLevel="1">
      <c r="A720" s="376"/>
      <c r="B720" s="381" t="s">
        <v>1149</v>
      </c>
      <c r="C720" s="382" t="s">
        <v>1150</v>
      </c>
      <c r="D720" s="378">
        <v>99</v>
      </c>
      <c r="E720" s="383"/>
      <c r="F720" s="384">
        <v>90</v>
      </c>
      <c r="G720" s="378"/>
      <c r="H720" s="378"/>
      <c r="I720" s="378"/>
      <c r="J720" s="378"/>
      <c r="K720" s="378">
        <v>1</v>
      </c>
      <c r="L720" s="378"/>
      <c r="M720" s="379">
        <f t="shared" ref="M720:M738" si="164">IFERROR(MIN(MAX(0,IF(K720="N/A",0,IF((D720=E720),5,5-QUOTIENT(D720,E720)))), MAX(0,IF(K720="N/A",0,IF((F720=G720),5,5-QUOTIENT(F720,G720))))),0)</f>
        <v>0</v>
      </c>
      <c r="N720" s="378">
        <f>IF(K720="N/A", 1, 2)</f>
        <v>2</v>
      </c>
      <c r="O720" s="379">
        <f>MAX(M720:N720)</f>
        <v>2</v>
      </c>
      <c r="P720" s="378" t="s">
        <v>1147</v>
      </c>
      <c r="Q720" s="380" t="s">
        <v>1148</v>
      </c>
      <c r="R720" s="378"/>
    </row>
    <row r="721" spans="1:18" outlineLevel="1">
      <c r="A721" s="376"/>
      <c r="B721" s="633" t="s">
        <v>1151</v>
      </c>
      <c r="C721" s="382" t="s">
        <v>1152</v>
      </c>
      <c r="D721" s="378">
        <v>5</v>
      </c>
      <c r="E721" s="383"/>
      <c r="F721" s="384">
        <v>5</v>
      </c>
      <c r="G721" s="378"/>
      <c r="H721" s="378"/>
      <c r="I721" s="378"/>
      <c r="J721" s="378"/>
      <c r="K721" s="378">
        <v>1</v>
      </c>
      <c r="L721" s="378"/>
      <c r="M721" s="379">
        <f t="shared" si="164"/>
        <v>0</v>
      </c>
      <c r="N721" s="378">
        <f t="shared" ref="N721:N738" si="165">IF(K721="N/A", 1, 2)</f>
        <v>2</v>
      </c>
      <c r="O721" s="379">
        <f t="shared" ref="O721:O766" si="166">MAX(M721:N721)</f>
        <v>2</v>
      </c>
      <c r="P721" s="378" t="s">
        <v>1147</v>
      </c>
      <c r="Q721" s="380" t="s">
        <v>1148</v>
      </c>
      <c r="R721" s="378"/>
    </row>
    <row r="722" spans="1:18" outlineLevel="1">
      <c r="A722" s="376"/>
      <c r="B722" s="634"/>
      <c r="C722" s="382" t="s">
        <v>1153</v>
      </c>
      <c r="D722" s="378">
        <v>5</v>
      </c>
      <c r="E722" s="383"/>
      <c r="F722" s="384">
        <v>5</v>
      </c>
      <c r="G722" s="378"/>
      <c r="H722" s="378"/>
      <c r="I722" s="378"/>
      <c r="J722" s="378"/>
      <c r="K722" s="378">
        <v>1</v>
      </c>
      <c r="L722" s="378"/>
      <c r="M722" s="379">
        <f t="shared" si="164"/>
        <v>0</v>
      </c>
      <c r="N722" s="378">
        <f t="shared" si="165"/>
        <v>2</v>
      </c>
      <c r="O722" s="379">
        <f t="shared" si="166"/>
        <v>2</v>
      </c>
      <c r="P722" s="378" t="s">
        <v>1147</v>
      </c>
      <c r="Q722" s="380" t="s">
        <v>1148</v>
      </c>
      <c r="R722" s="378"/>
    </row>
    <row r="723" spans="1:18" outlineLevel="1">
      <c r="A723" s="376"/>
      <c r="B723" s="635"/>
      <c r="C723" s="382" t="s">
        <v>1154</v>
      </c>
      <c r="D723" s="378">
        <v>0.5</v>
      </c>
      <c r="E723" s="383"/>
      <c r="F723" s="384">
        <v>0.5</v>
      </c>
      <c r="G723" s="378"/>
      <c r="H723" s="378"/>
      <c r="I723" s="378"/>
      <c r="J723" s="378"/>
      <c r="K723" s="378">
        <v>1</v>
      </c>
      <c r="L723" s="378"/>
      <c r="M723" s="379">
        <f t="shared" si="164"/>
        <v>0</v>
      </c>
      <c r="N723" s="378">
        <f t="shared" si="165"/>
        <v>2</v>
      </c>
      <c r="O723" s="379">
        <f t="shared" si="166"/>
        <v>2</v>
      </c>
      <c r="P723" s="378" t="s">
        <v>1147</v>
      </c>
      <c r="Q723" s="380" t="s">
        <v>1148</v>
      </c>
      <c r="R723" s="378"/>
    </row>
    <row r="724" spans="1:18" outlineLevel="1">
      <c r="A724" s="376"/>
      <c r="B724" s="633" t="s">
        <v>1155</v>
      </c>
      <c r="C724" s="382" t="s">
        <v>1152</v>
      </c>
      <c r="D724" s="378">
        <v>10</v>
      </c>
      <c r="E724" s="383"/>
      <c r="F724" s="384">
        <v>15</v>
      </c>
      <c r="G724" s="378"/>
      <c r="H724" s="378"/>
      <c r="I724" s="378"/>
      <c r="J724" s="378"/>
      <c r="K724" s="378">
        <v>1</v>
      </c>
      <c r="L724" s="378"/>
      <c r="M724" s="379">
        <f t="shared" si="164"/>
        <v>0</v>
      </c>
      <c r="N724" s="378">
        <f t="shared" si="165"/>
        <v>2</v>
      </c>
      <c r="O724" s="379">
        <f t="shared" si="166"/>
        <v>2</v>
      </c>
      <c r="P724" s="378" t="s">
        <v>1147</v>
      </c>
      <c r="Q724" s="380" t="s">
        <v>1148</v>
      </c>
      <c r="R724" s="378"/>
    </row>
    <row r="725" spans="1:18" outlineLevel="1">
      <c r="A725" s="376"/>
      <c r="B725" s="634"/>
      <c r="C725" s="382" t="s">
        <v>1153</v>
      </c>
      <c r="D725" s="378">
        <v>10</v>
      </c>
      <c r="E725" s="383"/>
      <c r="F725" s="384">
        <v>15</v>
      </c>
      <c r="G725" s="378"/>
      <c r="H725" s="378"/>
      <c r="I725" s="378"/>
      <c r="J725" s="378"/>
      <c r="K725" s="378">
        <v>1</v>
      </c>
      <c r="L725" s="378"/>
      <c r="M725" s="379">
        <f t="shared" si="164"/>
        <v>0</v>
      </c>
      <c r="N725" s="378">
        <f t="shared" si="165"/>
        <v>2</v>
      </c>
      <c r="O725" s="379">
        <f t="shared" si="166"/>
        <v>2</v>
      </c>
      <c r="P725" s="378" t="s">
        <v>1147</v>
      </c>
      <c r="Q725" s="380" t="s">
        <v>1148</v>
      </c>
      <c r="R725" s="378"/>
    </row>
    <row r="726" spans="1:18" outlineLevel="1">
      <c r="A726" s="376"/>
      <c r="B726" s="635"/>
      <c r="C726" s="382" t="s">
        <v>1154</v>
      </c>
      <c r="D726" s="378">
        <v>0.5</v>
      </c>
      <c r="E726" s="383"/>
      <c r="F726" s="384">
        <v>0.5</v>
      </c>
      <c r="G726" s="378"/>
      <c r="H726" s="378"/>
      <c r="I726" s="378"/>
      <c r="J726" s="378"/>
      <c r="K726" s="378">
        <v>1</v>
      </c>
      <c r="L726" s="378"/>
      <c r="M726" s="379">
        <f t="shared" si="164"/>
        <v>0</v>
      </c>
      <c r="N726" s="378">
        <f t="shared" si="165"/>
        <v>2</v>
      </c>
      <c r="O726" s="379">
        <f t="shared" si="166"/>
        <v>2</v>
      </c>
      <c r="P726" s="378" t="s">
        <v>1147</v>
      </c>
      <c r="Q726" s="380" t="s">
        <v>1148</v>
      </c>
      <c r="R726" s="378"/>
    </row>
    <row r="727" spans="1:18" outlineLevel="1">
      <c r="A727" s="376"/>
      <c r="B727" s="633" t="s">
        <v>1156</v>
      </c>
      <c r="C727" s="382" t="s">
        <v>1152</v>
      </c>
      <c r="D727" s="378">
        <v>25</v>
      </c>
      <c r="E727" s="383"/>
      <c r="F727" s="384">
        <v>40</v>
      </c>
      <c r="G727" s="378"/>
      <c r="H727" s="378"/>
      <c r="I727" s="378"/>
      <c r="J727" s="378"/>
      <c r="K727" s="378">
        <v>1</v>
      </c>
      <c r="L727" s="378"/>
      <c r="M727" s="379">
        <f t="shared" si="164"/>
        <v>0</v>
      </c>
      <c r="N727" s="378">
        <f t="shared" si="165"/>
        <v>2</v>
      </c>
      <c r="O727" s="379">
        <f t="shared" si="166"/>
        <v>2</v>
      </c>
      <c r="P727" s="378" t="s">
        <v>1147</v>
      </c>
      <c r="Q727" s="380" t="s">
        <v>1148</v>
      </c>
      <c r="R727" s="378"/>
    </row>
    <row r="728" spans="1:18" outlineLevel="1">
      <c r="A728" s="376"/>
      <c r="B728" s="634"/>
      <c r="C728" s="382" t="s">
        <v>1153</v>
      </c>
      <c r="D728" s="378">
        <v>25</v>
      </c>
      <c r="E728" s="383"/>
      <c r="F728" s="384">
        <v>40</v>
      </c>
      <c r="G728" s="378"/>
      <c r="H728" s="378"/>
      <c r="I728" s="378"/>
      <c r="J728" s="378"/>
      <c r="K728" s="378">
        <v>1</v>
      </c>
      <c r="L728" s="378"/>
      <c r="M728" s="379">
        <f t="shared" si="164"/>
        <v>0</v>
      </c>
      <c r="N728" s="378">
        <f t="shared" si="165"/>
        <v>2</v>
      </c>
      <c r="O728" s="379">
        <f t="shared" si="166"/>
        <v>2</v>
      </c>
      <c r="P728" s="378" t="s">
        <v>1147</v>
      </c>
      <c r="Q728" s="380" t="s">
        <v>1148</v>
      </c>
      <c r="R728" s="378"/>
    </row>
    <row r="729" spans="1:18" outlineLevel="1">
      <c r="A729" s="376"/>
      <c r="B729" s="635"/>
      <c r="C729" s="382" t="s">
        <v>1154</v>
      </c>
      <c r="D729" s="378">
        <v>0.5</v>
      </c>
      <c r="E729" s="383"/>
      <c r="F729" s="384">
        <v>0.5</v>
      </c>
      <c r="G729" s="378"/>
      <c r="H729" s="378"/>
      <c r="I729" s="378"/>
      <c r="J729" s="378"/>
      <c r="K729" s="378">
        <v>1</v>
      </c>
      <c r="L729" s="378"/>
      <c r="M729" s="379">
        <f t="shared" si="164"/>
        <v>0</v>
      </c>
      <c r="N729" s="378">
        <f t="shared" si="165"/>
        <v>2</v>
      </c>
      <c r="O729" s="379">
        <f t="shared" si="166"/>
        <v>2</v>
      </c>
      <c r="P729" s="378" t="s">
        <v>1147</v>
      </c>
      <c r="Q729" s="380" t="s">
        <v>1148</v>
      </c>
      <c r="R729" s="378"/>
    </row>
    <row r="730" spans="1:18" outlineLevel="1">
      <c r="A730" s="376"/>
      <c r="B730" s="633" t="s">
        <v>1157</v>
      </c>
      <c r="C730" s="382" t="s">
        <v>1158</v>
      </c>
      <c r="D730" s="378">
        <v>5</v>
      </c>
      <c r="E730" s="383"/>
      <c r="F730" s="384">
        <v>10</v>
      </c>
      <c r="G730" s="378"/>
      <c r="H730" s="378"/>
      <c r="I730" s="378"/>
      <c r="J730" s="378"/>
      <c r="K730" s="378">
        <v>1</v>
      </c>
      <c r="L730" s="378"/>
      <c r="M730" s="379">
        <f t="shared" si="164"/>
        <v>0</v>
      </c>
      <c r="N730" s="378">
        <f t="shared" si="165"/>
        <v>2</v>
      </c>
      <c r="O730" s="379">
        <f t="shared" si="166"/>
        <v>2</v>
      </c>
      <c r="P730" s="378" t="s">
        <v>1147</v>
      </c>
      <c r="Q730" s="380" t="s">
        <v>1148</v>
      </c>
      <c r="R730" s="378"/>
    </row>
    <row r="731" spans="1:18" outlineLevel="1">
      <c r="A731" s="376"/>
      <c r="B731" s="634"/>
      <c r="C731" s="382" t="s">
        <v>1159</v>
      </c>
      <c r="D731" s="378">
        <v>5</v>
      </c>
      <c r="E731" s="383"/>
      <c r="F731" s="384">
        <v>10</v>
      </c>
      <c r="G731" s="378"/>
      <c r="H731" s="378"/>
      <c r="I731" s="378"/>
      <c r="J731" s="378"/>
      <c r="K731" s="378">
        <v>1</v>
      </c>
      <c r="L731" s="378"/>
      <c r="M731" s="379">
        <f t="shared" si="164"/>
        <v>0</v>
      </c>
      <c r="N731" s="378">
        <f t="shared" si="165"/>
        <v>2</v>
      </c>
      <c r="O731" s="379">
        <f t="shared" si="166"/>
        <v>2</v>
      </c>
      <c r="P731" s="378" t="s">
        <v>1147</v>
      </c>
      <c r="Q731" s="380" t="s">
        <v>1148</v>
      </c>
      <c r="R731" s="378"/>
    </row>
    <row r="732" spans="1:18" outlineLevel="1">
      <c r="A732" s="376"/>
      <c r="B732" s="635"/>
      <c r="C732" s="382" t="s">
        <v>1160</v>
      </c>
      <c r="D732" s="378">
        <v>0.5</v>
      </c>
      <c r="E732" s="383"/>
      <c r="F732" s="384">
        <v>0.5</v>
      </c>
      <c r="G732" s="378"/>
      <c r="H732" s="378"/>
      <c r="I732" s="378"/>
      <c r="J732" s="378"/>
      <c r="K732" s="378">
        <v>1</v>
      </c>
      <c r="L732" s="378"/>
      <c r="M732" s="379">
        <f t="shared" si="164"/>
        <v>0</v>
      </c>
      <c r="N732" s="378">
        <f t="shared" si="165"/>
        <v>2</v>
      </c>
      <c r="O732" s="379">
        <f t="shared" si="166"/>
        <v>2</v>
      </c>
      <c r="P732" s="378" t="s">
        <v>1147</v>
      </c>
      <c r="Q732" s="380" t="s">
        <v>1148</v>
      </c>
      <c r="R732" s="378"/>
    </row>
    <row r="733" spans="1:18" outlineLevel="1">
      <c r="A733" s="376"/>
      <c r="B733" s="633" t="s">
        <v>1161</v>
      </c>
      <c r="C733" s="382" t="s">
        <v>1158</v>
      </c>
      <c r="D733" s="378">
        <v>5</v>
      </c>
      <c r="E733" s="383"/>
      <c r="F733" s="384">
        <v>10</v>
      </c>
      <c r="G733" s="378"/>
      <c r="H733" s="378"/>
      <c r="I733" s="378"/>
      <c r="J733" s="378"/>
      <c r="K733" s="378">
        <v>1</v>
      </c>
      <c r="L733" s="378"/>
      <c r="M733" s="379">
        <f t="shared" si="164"/>
        <v>0</v>
      </c>
      <c r="N733" s="378">
        <f t="shared" si="165"/>
        <v>2</v>
      </c>
      <c r="O733" s="379">
        <f t="shared" si="166"/>
        <v>2</v>
      </c>
      <c r="P733" s="378" t="s">
        <v>1147</v>
      </c>
      <c r="Q733" s="380" t="s">
        <v>1148</v>
      </c>
      <c r="R733" s="378"/>
    </row>
    <row r="734" spans="1:18" outlineLevel="1">
      <c r="A734" s="376"/>
      <c r="B734" s="634"/>
      <c r="C734" s="382" t="s">
        <v>1159</v>
      </c>
      <c r="D734" s="378">
        <v>5</v>
      </c>
      <c r="E734" s="383"/>
      <c r="F734" s="384">
        <v>10</v>
      </c>
      <c r="G734" s="378"/>
      <c r="H734" s="378"/>
      <c r="I734" s="378"/>
      <c r="J734" s="378"/>
      <c r="K734" s="378">
        <v>1</v>
      </c>
      <c r="L734" s="378"/>
      <c r="M734" s="379">
        <f t="shared" si="164"/>
        <v>0</v>
      </c>
      <c r="N734" s="378">
        <f t="shared" si="165"/>
        <v>2</v>
      </c>
      <c r="O734" s="379">
        <f t="shared" si="166"/>
        <v>2</v>
      </c>
      <c r="P734" s="378" t="s">
        <v>1147</v>
      </c>
      <c r="Q734" s="380" t="s">
        <v>1148</v>
      </c>
      <c r="R734" s="378"/>
    </row>
    <row r="735" spans="1:18" outlineLevel="1">
      <c r="A735" s="376"/>
      <c r="B735" s="635"/>
      <c r="C735" s="382" t="s">
        <v>1160</v>
      </c>
      <c r="D735" s="378">
        <v>0.5</v>
      </c>
      <c r="E735" s="383"/>
      <c r="F735" s="384">
        <v>0.5</v>
      </c>
      <c r="G735" s="378"/>
      <c r="H735" s="378"/>
      <c r="I735" s="378"/>
      <c r="J735" s="378"/>
      <c r="K735" s="378">
        <v>1</v>
      </c>
      <c r="L735" s="378"/>
      <c r="M735" s="379">
        <f t="shared" si="164"/>
        <v>0</v>
      </c>
      <c r="N735" s="378">
        <f t="shared" si="165"/>
        <v>2</v>
      </c>
      <c r="O735" s="379">
        <f t="shared" si="166"/>
        <v>2</v>
      </c>
      <c r="P735" s="378" t="s">
        <v>1147</v>
      </c>
      <c r="Q735" s="380" t="s">
        <v>1148</v>
      </c>
      <c r="R735" s="378"/>
    </row>
    <row r="736" spans="1:18" outlineLevel="1">
      <c r="A736" s="376"/>
      <c r="B736" s="633" t="s">
        <v>1162</v>
      </c>
      <c r="C736" s="382" t="s">
        <v>1158</v>
      </c>
      <c r="D736" s="378">
        <v>3</v>
      </c>
      <c r="E736" s="383"/>
      <c r="F736" s="384">
        <v>7</v>
      </c>
      <c r="G736" s="378"/>
      <c r="H736" s="378"/>
      <c r="I736" s="378"/>
      <c r="J736" s="378"/>
      <c r="K736" s="378">
        <v>1</v>
      </c>
      <c r="L736" s="378"/>
      <c r="M736" s="379">
        <f t="shared" si="164"/>
        <v>0</v>
      </c>
      <c r="N736" s="378">
        <f t="shared" si="165"/>
        <v>2</v>
      </c>
      <c r="O736" s="379">
        <f t="shared" si="166"/>
        <v>2</v>
      </c>
      <c r="P736" s="378" t="s">
        <v>1147</v>
      </c>
      <c r="Q736" s="380" t="s">
        <v>1148</v>
      </c>
      <c r="R736" s="378"/>
    </row>
    <row r="737" spans="1:18" outlineLevel="1">
      <c r="A737" s="376"/>
      <c r="B737" s="634"/>
      <c r="C737" s="382" t="s">
        <v>1159</v>
      </c>
      <c r="D737" s="378">
        <v>3</v>
      </c>
      <c r="E737" s="383"/>
      <c r="F737" s="384">
        <v>7</v>
      </c>
      <c r="G737" s="378"/>
      <c r="H737" s="378"/>
      <c r="I737" s="378"/>
      <c r="J737" s="378"/>
      <c r="K737" s="378">
        <v>1</v>
      </c>
      <c r="L737" s="378"/>
      <c r="M737" s="379">
        <f t="shared" si="164"/>
        <v>0</v>
      </c>
      <c r="N737" s="378">
        <f t="shared" si="165"/>
        <v>2</v>
      </c>
      <c r="O737" s="379">
        <f t="shared" si="166"/>
        <v>2</v>
      </c>
      <c r="P737" s="378" t="s">
        <v>1147</v>
      </c>
      <c r="Q737" s="380" t="s">
        <v>1148</v>
      </c>
      <c r="R737" s="378"/>
    </row>
    <row r="738" spans="1:18" outlineLevel="1">
      <c r="A738" s="376"/>
      <c r="B738" s="635"/>
      <c r="C738" s="382" t="s">
        <v>1160</v>
      </c>
      <c r="D738" s="385">
        <v>0.5</v>
      </c>
      <c r="E738" s="386"/>
      <c r="F738" s="385">
        <v>0.5</v>
      </c>
      <c r="G738" s="387"/>
      <c r="H738" s="387"/>
      <c r="I738" s="387"/>
      <c r="J738" s="387"/>
      <c r="K738" s="378">
        <v>1</v>
      </c>
      <c r="L738" s="378"/>
      <c r="M738" s="379">
        <f t="shared" si="164"/>
        <v>0</v>
      </c>
      <c r="N738" s="378">
        <f t="shared" si="165"/>
        <v>2</v>
      </c>
      <c r="O738" s="379">
        <f t="shared" si="166"/>
        <v>2</v>
      </c>
      <c r="P738" s="378" t="s">
        <v>1147</v>
      </c>
      <c r="Q738" s="380" t="s">
        <v>1148</v>
      </c>
      <c r="R738" s="378"/>
    </row>
    <row r="739" spans="1:18" outlineLevel="1">
      <c r="A739" s="388" t="s">
        <v>1163</v>
      </c>
      <c r="B739" s="630"/>
      <c r="C739" s="631"/>
      <c r="D739" s="631"/>
      <c r="E739" s="631"/>
      <c r="F739" s="631"/>
      <c r="G739" s="632"/>
      <c r="H739" s="377"/>
      <c r="I739" s="377"/>
      <c r="J739" s="377"/>
      <c r="K739" s="378"/>
      <c r="L739" s="378"/>
      <c r="M739" s="379">
        <f>IFERROR(MIN(M740:M742),0)</f>
        <v>0</v>
      </c>
      <c r="N739" s="378">
        <f>N740</f>
        <v>2</v>
      </c>
      <c r="O739" s="379">
        <f t="shared" si="166"/>
        <v>2</v>
      </c>
      <c r="P739" s="378" t="s">
        <v>1147</v>
      </c>
      <c r="Q739" s="380" t="s">
        <v>1148</v>
      </c>
      <c r="R739" s="378"/>
    </row>
    <row r="740" spans="1:18" outlineLevel="1">
      <c r="A740" s="388"/>
      <c r="B740" s="642" t="s">
        <v>1164</v>
      </c>
      <c r="C740" s="382" t="s">
        <v>1149</v>
      </c>
      <c r="D740" s="387">
        <v>0.98</v>
      </c>
      <c r="E740" s="389"/>
      <c r="F740" s="387">
        <v>0.9</v>
      </c>
      <c r="G740" s="387"/>
      <c r="H740" s="387"/>
      <c r="I740" s="387"/>
      <c r="J740" s="387"/>
      <c r="K740" s="378">
        <v>1</v>
      </c>
      <c r="L740" s="378"/>
      <c r="M740" s="379">
        <f>IFERROR(MIN(MAX(0,IF(K740="N/A",0,IF((D740=E740),5,5-QUOTIENT(D740,E740)))), MAX(0,IF(K740="N/A",0,IF((F740=G740),5,5-QUOTIENT(F740,G740))))),0)</f>
        <v>0</v>
      </c>
      <c r="N740" s="378">
        <f>IF(K740="N/A", 1, 2)</f>
        <v>2</v>
      </c>
      <c r="O740" s="379">
        <f t="shared" si="166"/>
        <v>2</v>
      </c>
      <c r="P740" s="378" t="s">
        <v>1147</v>
      </c>
      <c r="Q740" s="380" t="s">
        <v>1148</v>
      </c>
      <c r="R740" s="378"/>
    </row>
    <row r="741" spans="1:18" outlineLevel="1">
      <c r="A741" s="388"/>
      <c r="B741" s="642"/>
      <c r="C741" s="382" t="s">
        <v>1165</v>
      </c>
      <c r="D741" s="378">
        <v>2</v>
      </c>
      <c r="E741" s="390"/>
      <c r="F741" s="378">
        <v>4</v>
      </c>
      <c r="G741" s="387"/>
      <c r="H741" s="387"/>
      <c r="I741" s="387"/>
      <c r="J741" s="387"/>
      <c r="K741" s="378">
        <v>1</v>
      </c>
      <c r="L741" s="378"/>
      <c r="M741" s="379">
        <f>IFERROR(MIN(MAX(0,IF(K741="N/A",0,IF((D741=E741),5,5-QUOTIENT(D741,E741)))), MAX(0,IF(K741="N/A",0,IF((F741=G741),5,5-QUOTIENT(F741,G741))))),0)</f>
        <v>0</v>
      </c>
      <c r="N741" s="378">
        <f t="shared" ref="N741:N742" si="167">IF(K741="N/A", 1, 2)</f>
        <v>2</v>
      </c>
      <c r="O741" s="379">
        <f t="shared" si="166"/>
        <v>2</v>
      </c>
      <c r="P741" s="378" t="s">
        <v>1147</v>
      </c>
      <c r="Q741" s="380" t="s">
        <v>1148</v>
      </c>
      <c r="R741" s="378"/>
    </row>
    <row r="742" spans="1:18" outlineLevel="1">
      <c r="A742" s="388"/>
      <c r="B742" s="642"/>
      <c r="C742" s="382" t="s">
        <v>1153</v>
      </c>
      <c r="D742" s="378">
        <v>2</v>
      </c>
      <c r="E742" s="390"/>
      <c r="F742" s="378">
        <v>4</v>
      </c>
      <c r="G742" s="391"/>
      <c r="H742" s="391"/>
      <c r="I742" s="391"/>
      <c r="J742" s="391"/>
      <c r="K742" s="378">
        <v>1</v>
      </c>
      <c r="L742" s="378"/>
      <c r="M742" s="379">
        <f>IFERROR(MIN(MAX(0,IF(K742="N/A",0,IF((D742=E742),5,5-QUOTIENT(D742,E742)))), MAX(0,IF(K742="N/A",0,IF((F742=G742),5,5-QUOTIENT(F742,G742))))),0)</f>
        <v>0</v>
      </c>
      <c r="N742" s="378">
        <f t="shared" si="167"/>
        <v>2</v>
      </c>
      <c r="O742" s="379">
        <f t="shared" si="166"/>
        <v>2</v>
      </c>
      <c r="P742" s="378" t="s">
        <v>1147</v>
      </c>
      <c r="Q742" s="380" t="s">
        <v>1148</v>
      </c>
      <c r="R742" s="378"/>
    </row>
    <row r="743" spans="1:18" outlineLevel="1">
      <c r="A743" s="392" t="s">
        <v>1166</v>
      </c>
      <c r="B743" s="393"/>
      <c r="C743" s="382"/>
      <c r="D743" s="378"/>
      <c r="E743" s="390"/>
      <c r="F743" s="378"/>
      <c r="G743" s="391"/>
      <c r="H743" s="391"/>
      <c r="I743" s="391"/>
      <c r="J743" s="391"/>
      <c r="K743" s="378"/>
      <c r="L743" s="378"/>
      <c r="M743" s="379">
        <f>IFERROR(MIN(M744:M747),0)</f>
        <v>0</v>
      </c>
      <c r="N743" s="378">
        <f>N744</f>
        <v>2</v>
      </c>
      <c r="O743" s="379">
        <f t="shared" si="166"/>
        <v>2</v>
      </c>
      <c r="P743" s="378" t="s">
        <v>1147</v>
      </c>
      <c r="Q743" s="380" t="s">
        <v>1148</v>
      </c>
      <c r="R743" s="378"/>
    </row>
    <row r="744" spans="1:18" outlineLevel="1">
      <c r="A744" s="394"/>
      <c r="B744" s="643" t="s">
        <v>1167</v>
      </c>
      <c r="C744" s="382" t="s">
        <v>1168</v>
      </c>
      <c r="D744" s="387">
        <v>0.45</v>
      </c>
      <c r="E744" s="389"/>
      <c r="F744" s="387">
        <v>0.45</v>
      </c>
      <c r="G744" s="387"/>
      <c r="H744" s="387"/>
      <c r="I744" s="387"/>
      <c r="J744" s="387"/>
      <c r="K744" s="378">
        <v>1</v>
      </c>
      <c r="L744" s="378"/>
      <c r="M744" s="379">
        <f>IFERROR(MIN(MAX(0,IF(K744="N/A",0,IF((D744=E744),5,5-QUOTIENT(D744,E744)))), MAX(0,IF(K744="N/A",0,IF((F744=G744),5,5-QUOTIENT(F744,G744))))),0)</f>
        <v>0</v>
      </c>
      <c r="N744" s="378">
        <f>IF(K744="N/A", 1, 2)</f>
        <v>2</v>
      </c>
      <c r="O744" s="379">
        <f t="shared" si="166"/>
        <v>2</v>
      </c>
      <c r="P744" s="378" t="s">
        <v>1147</v>
      </c>
      <c r="Q744" s="380" t="s">
        <v>1148</v>
      </c>
      <c r="R744" s="378"/>
    </row>
    <row r="745" spans="1:18" outlineLevel="1">
      <c r="A745" s="394"/>
      <c r="B745" s="637"/>
      <c r="C745" s="382" t="s">
        <v>1169</v>
      </c>
      <c r="D745" s="387">
        <v>0.05</v>
      </c>
      <c r="E745" s="389"/>
      <c r="F745" s="387">
        <v>0.05</v>
      </c>
      <c r="G745" s="387"/>
      <c r="H745" s="387"/>
      <c r="I745" s="387"/>
      <c r="J745" s="387"/>
      <c r="K745" s="378">
        <v>1</v>
      </c>
      <c r="L745" s="378"/>
      <c r="M745" s="379">
        <f>IFERROR(MIN(MAX(0,IF(K745="N/A",0,IF((D745=E745),5,5-QUOTIENT(D745,E745)))), MAX(0,IF(K745="N/A",0,IF((F745=G745),5,5-QUOTIENT(F745,G745))))),0)</f>
        <v>0</v>
      </c>
      <c r="N745" s="378">
        <f t="shared" ref="N745:N747" si="168">IF(K745="N/A", 1, 2)</f>
        <v>2</v>
      </c>
      <c r="O745" s="379">
        <f t="shared" si="166"/>
        <v>2</v>
      </c>
      <c r="P745" s="378" t="s">
        <v>1147</v>
      </c>
      <c r="Q745" s="380" t="s">
        <v>1148</v>
      </c>
      <c r="R745" s="378"/>
    </row>
    <row r="746" spans="1:18" outlineLevel="1">
      <c r="A746" s="394"/>
      <c r="B746" s="637"/>
      <c r="C746" s="382" t="s">
        <v>1170</v>
      </c>
      <c r="D746" s="391">
        <v>1</v>
      </c>
      <c r="E746" s="389"/>
      <c r="F746" s="391">
        <v>1</v>
      </c>
      <c r="G746" s="387"/>
      <c r="H746" s="387"/>
      <c r="I746" s="387"/>
      <c r="J746" s="387"/>
      <c r="K746" s="378">
        <v>1</v>
      </c>
      <c r="L746" s="378"/>
      <c r="M746" s="379">
        <f>IFERROR(MIN(MAX(0,IF(K746="N/A",0,IF((D746=E746),5,5-QUOTIENT(D746,E746)))), MAX(0,IF(K746="N/A",0,IF((F746=G746),5,5-QUOTIENT(F746,G746))))),0)</f>
        <v>0</v>
      </c>
      <c r="N746" s="378">
        <f t="shared" si="168"/>
        <v>2</v>
      </c>
      <c r="O746" s="379">
        <f t="shared" si="166"/>
        <v>2</v>
      </c>
      <c r="P746" s="378" t="s">
        <v>1147</v>
      </c>
      <c r="Q746" s="380" t="s">
        <v>1148</v>
      </c>
      <c r="R746" s="378"/>
    </row>
    <row r="747" spans="1:18" outlineLevel="1">
      <c r="A747" s="394"/>
      <c r="B747" s="638"/>
      <c r="C747" s="382" t="s">
        <v>1171</v>
      </c>
      <c r="D747" s="391">
        <v>10</v>
      </c>
      <c r="E747" s="389"/>
      <c r="F747" s="391">
        <v>10</v>
      </c>
      <c r="G747" s="387"/>
      <c r="H747" s="387"/>
      <c r="I747" s="387"/>
      <c r="J747" s="387"/>
      <c r="K747" s="378">
        <v>1</v>
      </c>
      <c r="L747" s="378"/>
      <c r="M747" s="379">
        <f>IFERROR(MIN(MAX(0,IF(K747="N/A",0,IF((D747=E747),5,5-QUOTIENT(D747,E747)))), MAX(0,IF(K747="N/A",0,IF((F747=G747),5,5-QUOTIENT(F747,G747))))),0)</f>
        <v>0</v>
      </c>
      <c r="N747" s="378">
        <f t="shared" si="168"/>
        <v>2</v>
      </c>
      <c r="O747" s="379">
        <f t="shared" si="166"/>
        <v>2</v>
      </c>
      <c r="P747" s="378" t="s">
        <v>1147</v>
      </c>
      <c r="Q747" s="380" t="s">
        <v>1148</v>
      </c>
      <c r="R747" s="378"/>
    </row>
    <row r="748" spans="1:18" outlineLevel="1">
      <c r="A748" s="394" t="s">
        <v>1172</v>
      </c>
      <c r="B748" s="395"/>
      <c r="C748" s="382"/>
      <c r="D748" s="391"/>
      <c r="E748" s="389"/>
      <c r="F748" s="391"/>
      <c r="G748" s="387"/>
      <c r="H748" s="387"/>
      <c r="I748" s="387"/>
      <c r="J748" s="387"/>
      <c r="K748" s="378"/>
      <c r="L748" s="378"/>
      <c r="M748" s="379">
        <f>IFERROR(MIN(M749:M751),0)</f>
        <v>0</v>
      </c>
      <c r="N748" s="378">
        <f>N749</f>
        <v>2</v>
      </c>
      <c r="O748" s="379">
        <f t="shared" si="166"/>
        <v>2</v>
      </c>
      <c r="P748" s="378" t="s">
        <v>1147</v>
      </c>
      <c r="Q748" s="380" t="s">
        <v>1148</v>
      </c>
      <c r="R748" s="378"/>
    </row>
    <row r="749" spans="1:18" outlineLevel="1">
      <c r="A749" s="394"/>
      <c r="B749" s="636" t="s">
        <v>568</v>
      </c>
      <c r="C749" s="382" t="s">
        <v>1168</v>
      </c>
      <c r="D749" s="387">
        <v>0.8</v>
      </c>
      <c r="E749" s="389"/>
      <c r="F749" s="387">
        <v>0.8</v>
      </c>
      <c r="G749" s="387"/>
      <c r="H749" s="387"/>
      <c r="I749" s="387"/>
      <c r="J749" s="387"/>
      <c r="K749" s="378">
        <v>1</v>
      </c>
      <c r="L749" s="378"/>
      <c r="M749" s="379">
        <f>IFERROR(MIN(MAX(0,IF(K749="N/A",0,IF((D749=E749),5,5-QUOTIENT(D749,E749)))), MAX(0,IF(K749="N/A",0,IF((F749=G749),5,5-QUOTIENT(F749,G749))))),0)</f>
        <v>0</v>
      </c>
      <c r="N749" s="378">
        <f>IF(K749="N/A", 1, 2)</f>
        <v>2</v>
      </c>
      <c r="O749" s="379">
        <f t="shared" si="166"/>
        <v>2</v>
      </c>
      <c r="P749" s="378" t="s">
        <v>1147</v>
      </c>
      <c r="Q749" s="380" t="s">
        <v>1148</v>
      </c>
      <c r="R749" s="378"/>
    </row>
    <row r="750" spans="1:18" outlineLevel="1">
      <c r="A750" s="394"/>
      <c r="B750" s="637"/>
      <c r="C750" s="382" t="s">
        <v>1170</v>
      </c>
      <c r="D750" s="390">
        <v>0.05</v>
      </c>
      <c r="E750" s="389"/>
      <c r="F750" s="390">
        <v>0.05</v>
      </c>
      <c r="G750" s="387"/>
      <c r="H750" s="387"/>
      <c r="I750" s="387"/>
      <c r="J750" s="387"/>
      <c r="K750" s="378">
        <v>1</v>
      </c>
      <c r="L750" s="378"/>
      <c r="M750" s="379">
        <f>IFERROR(MIN(MAX(0,IF(K750="N/A",0,IF((D750=E750),5,5-QUOTIENT(D750,E750)))), MAX(0,IF(K750="N/A",0,IF((F750=G750),5,5-QUOTIENT(F750,G750))))),0)</f>
        <v>0</v>
      </c>
      <c r="N750" s="378">
        <f t="shared" ref="N750:N751" si="169">IF(K750="N/A", 1, 2)</f>
        <v>2</v>
      </c>
      <c r="O750" s="379">
        <f t="shared" si="166"/>
        <v>2</v>
      </c>
      <c r="P750" s="378" t="s">
        <v>1147</v>
      </c>
      <c r="Q750" s="380" t="s">
        <v>1148</v>
      </c>
      <c r="R750" s="378"/>
    </row>
    <row r="751" spans="1:18" outlineLevel="1">
      <c r="A751" s="394"/>
      <c r="B751" s="638"/>
      <c r="C751" s="382" t="s">
        <v>1173</v>
      </c>
      <c r="D751" s="391">
        <v>10</v>
      </c>
      <c r="E751" s="389"/>
      <c r="F751" s="391">
        <v>10</v>
      </c>
      <c r="G751" s="387"/>
      <c r="H751" s="387"/>
      <c r="I751" s="387"/>
      <c r="J751" s="387"/>
      <c r="K751" s="378">
        <v>1</v>
      </c>
      <c r="L751" s="378"/>
      <c r="M751" s="379">
        <f>IFERROR(MIN(MAX(0,IF(K751="N/A",0,IF((D751=E751),5,5-QUOTIENT(D751,E751)))), MAX(0,IF(K751="N/A",0,IF((F751=G751),5,5-QUOTIENT(F751,G751))))),0)</f>
        <v>0</v>
      </c>
      <c r="N751" s="378">
        <f t="shared" si="169"/>
        <v>2</v>
      </c>
      <c r="O751" s="379">
        <f t="shared" si="166"/>
        <v>2</v>
      </c>
      <c r="P751" s="378" t="s">
        <v>1147</v>
      </c>
      <c r="Q751" s="380" t="s">
        <v>1148</v>
      </c>
      <c r="R751" s="378"/>
    </row>
    <row r="752" spans="1:18" outlineLevel="1">
      <c r="A752" s="394" t="s">
        <v>1174</v>
      </c>
      <c r="B752" s="395"/>
      <c r="C752" s="382"/>
      <c r="D752" s="391"/>
      <c r="E752" s="389"/>
      <c r="F752" s="391"/>
      <c r="G752" s="387"/>
      <c r="H752" s="387"/>
      <c r="I752" s="387"/>
      <c r="J752" s="387"/>
      <c r="K752" s="378"/>
      <c r="L752" s="378"/>
      <c r="M752" s="379">
        <f>IFERROR(MIN(M753:M755),0)</f>
        <v>0</v>
      </c>
      <c r="N752" s="378">
        <f>N753</f>
        <v>2</v>
      </c>
      <c r="O752" s="379">
        <f t="shared" si="166"/>
        <v>2</v>
      </c>
      <c r="P752" s="378" t="s">
        <v>1147</v>
      </c>
      <c r="Q752" s="380" t="s">
        <v>1148</v>
      </c>
      <c r="R752" s="378"/>
    </row>
    <row r="753" spans="1:18" outlineLevel="1">
      <c r="A753" s="394"/>
      <c r="B753" s="636" t="s">
        <v>571</v>
      </c>
      <c r="C753" s="382" t="s">
        <v>1168</v>
      </c>
      <c r="D753" s="387">
        <v>0.95</v>
      </c>
      <c r="E753" s="389"/>
      <c r="F753" s="387">
        <v>0.95</v>
      </c>
      <c r="G753" s="387"/>
      <c r="H753" s="387"/>
      <c r="I753" s="387"/>
      <c r="J753" s="387"/>
      <c r="K753" s="378">
        <v>1</v>
      </c>
      <c r="L753" s="378"/>
      <c r="M753" s="379">
        <f>IFERROR(MIN(MAX(0,IF(K753="N/A",0,IF((D753=E753),5,5-QUOTIENT(D753,E753)))), MAX(0,IF(K753="N/A",0,IF((F753=G753),5,5-QUOTIENT(F753,G753))))),0)</f>
        <v>0</v>
      </c>
      <c r="N753" s="378">
        <f t="shared" ref="N753:N755" si="170">IF(K753="N/A", 0, 2)</f>
        <v>2</v>
      </c>
      <c r="O753" s="379">
        <f t="shared" si="166"/>
        <v>2</v>
      </c>
      <c r="P753" s="378" t="s">
        <v>1147</v>
      </c>
      <c r="Q753" s="380" t="s">
        <v>1148</v>
      </c>
      <c r="R753" s="378"/>
    </row>
    <row r="754" spans="1:18" outlineLevel="1">
      <c r="A754" s="394"/>
      <c r="B754" s="637"/>
      <c r="C754" s="382" t="s">
        <v>1170</v>
      </c>
      <c r="D754" s="390">
        <v>0.01</v>
      </c>
      <c r="E754" s="389"/>
      <c r="F754" s="390">
        <v>0.01</v>
      </c>
      <c r="G754" s="387"/>
      <c r="H754" s="387"/>
      <c r="I754" s="387"/>
      <c r="J754" s="387"/>
      <c r="K754" s="378">
        <v>1</v>
      </c>
      <c r="L754" s="378"/>
      <c r="M754" s="379">
        <f>IFERROR(MIN(MAX(0,IF(K754="N/A",0,IF((D754=E754),5,5-QUOTIENT(D754,E754)))), MAX(0,IF(K754="N/A",0,IF((F754=G754),5,5-QUOTIENT(F754,G754))))),0)</f>
        <v>0</v>
      </c>
      <c r="N754" s="378">
        <f t="shared" si="170"/>
        <v>2</v>
      </c>
      <c r="O754" s="379">
        <f t="shared" si="166"/>
        <v>2</v>
      </c>
      <c r="P754" s="378" t="s">
        <v>1147</v>
      </c>
      <c r="Q754" s="380" t="s">
        <v>1148</v>
      </c>
      <c r="R754" s="378"/>
    </row>
    <row r="755" spans="1:18" outlineLevel="1">
      <c r="A755" s="394"/>
      <c r="B755" s="638"/>
      <c r="C755" s="382" t="s">
        <v>1173</v>
      </c>
      <c r="D755" s="391">
        <v>6</v>
      </c>
      <c r="E755" s="389"/>
      <c r="F755" s="391">
        <v>6</v>
      </c>
      <c r="G755" s="387"/>
      <c r="H755" s="387"/>
      <c r="I755" s="387"/>
      <c r="J755" s="387"/>
      <c r="K755" s="378">
        <v>1</v>
      </c>
      <c r="L755" s="378"/>
      <c r="M755" s="379">
        <f>IFERROR(MIN(MAX(0,IF(K755="N/A",0,IF((D755=E755),5,5-QUOTIENT(D755,E755)))), MAX(0,IF(K755="N/A",0,IF((F755=G755),5,5-QUOTIENT(F755,G755))))),0)</f>
        <v>0</v>
      </c>
      <c r="N755" s="378">
        <f t="shared" si="170"/>
        <v>2</v>
      </c>
      <c r="O755" s="379">
        <f t="shared" si="166"/>
        <v>2</v>
      </c>
      <c r="P755" s="378" t="s">
        <v>1147</v>
      </c>
      <c r="Q755" s="380" t="s">
        <v>1148</v>
      </c>
      <c r="R755" s="378"/>
    </row>
    <row r="756" spans="1:18" outlineLevel="1">
      <c r="A756" s="394" t="s">
        <v>1175</v>
      </c>
      <c r="B756" s="396"/>
      <c r="C756" s="382"/>
      <c r="D756" s="391"/>
      <c r="E756" s="389"/>
      <c r="F756" s="391"/>
      <c r="G756" s="387"/>
      <c r="H756" s="387"/>
      <c r="I756" s="387"/>
      <c r="J756" s="387"/>
      <c r="K756" s="378"/>
      <c r="L756" s="378"/>
      <c r="M756" s="379">
        <f>IFERROR(MIN(M757:M766),0)</f>
        <v>0</v>
      </c>
      <c r="N756" s="378">
        <f>N757</f>
        <v>2</v>
      </c>
      <c r="O756" s="379">
        <f t="shared" si="166"/>
        <v>2</v>
      </c>
      <c r="P756" s="378" t="s">
        <v>1147</v>
      </c>
      <c r="Q756" s="380" t="s">
        <v>1148</v>
      </c>
      <c r="R756" s="378"/>
    </row>
    <row r="757" spans="1:18" outlineLevel="1">
      <c r="A757" s="394"/>
      <c r="B757" s="397" t="s">
        <v>1149</v>
      </c>
      <c r="C757" s="382" t="s">
        <v>1150</v>
      </c>
      <c r="D757" s="387">
        <v>0.99</v>
      </c>
      <c r="E757" s="389"/>
      <c r="F757" s="398">
        <v>0.99</v>
      </c>
      <c r="G757" s="387"/>
      <c r="H757" s="387"/>
      <c r="I757" s="387"/>
      <c r="J757" s="387"/>
      <c r="K757" s="378">
        <v>1</v>
      </c>
      <c r="L757" s="378"/>
      <c r="M757" s="379">
        <f t="shared" ref="M757:M766" si="171">IFERROR(MIN(MAX(0,IF(K757="N/A",0,IF((D757=E757),5,5-QUOTIENT(D757,E757)))), MAX(0,IF(K757="N/A",0,IF((F757=G757),5,5-QUOTIENT(F757,G757))))),0)</f>
        <v>0</v>
      </c>
      <c r="N757" s="378">
        <f>IF(K757="N/A", 1, 2)</f>
        <v>2</v>
      </c>
      <c r="O757" s="379">
        <f t="shared" si="166"/>
        <v>2</v>
      </c>
      <c r="P757" s="378" t="s">
        <v>1147</v>
      </c>
      <c r="Q757" s="380" t="s">
        <v>1148</v>
      </c>
      <c r="R757" s="378"/>
    </row>
    <row r="758" spans="1:18" outlineLevel="1">
      <c r="A758" s="394"/>
      <c r="B758" s="636" t="s">
        <v>1176</v>
      </c>
      <c r="C758" s="382" t="s">
        <v>1177</v>
      </c>
      <c r="D758" s="387">
        <v>0.98</v>
      </c>
      <c r="E758" s="389"/>
      <c r="F758" s="398">
        <v>0.95</v>
      </c>
      <c r="G758" s="387"/>
      <c r="H758" s="387"/>
      <c r="I758" s="387"/>
      <c r="J758" s="387"/>
      <c r="K758" s="378">
        <v>1</v>
      </c>
      <c r="L758" s="378"/>
      <c r="M758" s="379">
        <f t="shared" si="171"/>
        <v>0</v>
      </c>
      <c r="N758" s="378">
        <f t="shared" ref="N758:N766" si="172">IF(K758="N/A", 1, 2)</f>
        <v>2</v>
      </c>
      <c r="O758" s="379">
        <f t="shared" si="166"/>
        <v>2</v>
      </c>
      <c r="P758" s="378" t="s">
        <v>1147</v>
      </c>
      <c r="Q758" s="380" t="s">
        <v>1148</v>
      </c>
      <c r="R758" s="378"/>
    </row>
    <row r="759" spans="1:18" outlineLevel="1">
      <c r="A759" s="394"/>
      <c r="B759" s="638"/>
      <c r="C759" s="382" t="s">
        <v>1178</v>
      </c>
      <c r="D759" s="387">
        <v>0.95</v>
      </c>
      <c r="E759" s="399"/>
      <c r="F759" s="398">
        <v>0.9</v>
      </c>
      <c r="G759" s="387"/>
      <c r="H759" s="387"/>
      <c r="I759" s="387"/>
      <c r="J759" s="387"/>
      <c r="K759" s="378">
        <v>1</v>
      </c>
      <c r="L759" s="378"/>
      <c r="M759" s="379">
        <f t="shared" si="171"/>
        <v>0</v>
      </c>
      <c r="N759" s="378">
        <f t="shared" si="172"/>
        <v>2</v>
      </c>
      <c r="O759" s="379">
        <f t="shared" si="166"/>
        <v>2</v>
      </c>
      <c r="P759" s="378" t="s">
        <v>1147</v>
      </c>
      <c r="Q759" s="380" t="s">
        <v>1148</v>
      </c>
      <c r="R759" s="378"/>
    </row>
    <row r="760" spans="1:18" outlineLevel="1">
      <c r="A760" s="394"/>
      <c r="B760" s="636" t="s">
        <v>1179</v>
      </c>
      <c r="C760" s="382" t="s">
        <v>1177</v>
      </c>
      <c r="D760" s="387">
        <v>0.95</v>
      </c>
      <c r="E760" s="399"/>
      <c r="F760" s="387">
        <v>0.95</v>
      </c>
      <c r="G760" s="387"/>
      <c r="H760" s="387"/>
      <c r="I760" s="387"/>
      <c r="J760" s="387"/>
      <c r="K760" s="378">
        <v>1</v>
      </c>
      <c r="L760" s="378"/>
      <c r="M760" s="379">
        <f t="shared" si="171"/>
        <v>0</v>
      </c>
      <c r="N760" s="378">
        <f t="shared" si="172"/>
        <v>2</v>
      </c>
      <c r="O760" s="379">
        <f t="shared" si="166"/>
        <v>2</v>
      </c>
      <c r="P760" s="378" t="s">
        <v>1147</v>
      </c>
      <c r="Q760" s="380" t="s">
        <v>1148</v>
      </c>
      <c r="R760" s="378"/>
    </row>
    <row r="761" spans="1:18" outlineLevel="1">
      <c r="A761" s="394"/>
      <c r="B761" s="637"/>
      <c r="C761" s="382" t="s">
        <v>1180</v>
      </c>
      <c r="D761" s="387">
        <v>0.85</v>
      </c>
      <c r="E761" s="399"/>
      <c r="F761" s="387">
        <v>0.85</v>
      </c>
      <c r="G761" s="387"/>
      <c r="H761" s="387"/>
      <c r="I761" s="387"/>
      <c r="J761" s="387"/>
      <c r="K761" s="378">
        <v>1</v>
      </c>
      <c r="L761" s="378"/>
      <c r="M761" s="379">
        <f t="shared" si="171"/>
        <v>0</v>
      </c>
      <c r="N761" s="378">
        <f t="shared" si="172"/>
        <v>2</v>
      </c>
      <c r="O761" s="379">
        <f t="shared" si="166"/>
        <v>2</v>
      </c>
      <c r="P761" s="378" t="s">
        <v>1147</v>
      </c>
      <c r="Q761" s="380" t="s">
        <v>1148</v>
      </c>
      <c r="R761" s="378"/>
    </row>
    <row r="762" spans="1:18" outlineLevel="1">
      <c r="A762" s="394"/>
      <c r="B762" s="637"/>
      <c r="C762" s="382" t="s">
        <v>1181</v>
      </c>
      <c r="D762" s="387">
        <v>0.9</v>
      </c>
      <c r="E762" s="399"/>
      <c r="F762" s="387">
        <v>0.9</v>
      </c>
      <c r="G762" s="387"/>
      <c r="H762" s="387"/>
      <c r="I762" s="387"/>
      <c r="J762" s="387"/>
      <c r="K762" s="378">
        <v>1</v>
      </c>
      <c r="L762" s="378"/>
      <c r="M762" s="379">
        <f t="shared" si="171"/>
        <v>0</v>
      </c>
      <c r="N762" s="378">
        <f t="shared" si="172"/>
        <v>2</v>
      </c>
      <c r="O762" s="379">
        <f t="shared" si="166"/>
        <v>2</v>
      </c>
      <c r="P762" s="378" t="s">
        <v>1147</v>
      </c>
      <c r="Q762" s="380" t="s">
        <v>1148</v>
      </c>
      <c r="R762" s="378"/>
    </row>
    <row r="763" spans="1:18" outlineLevel="1">
      <c r="A763" s="394"/>
      <c r="B763" s="637"/>
      <c r="C763" s="382" t="s">
        <v>1182</v>
      </c>
      <c r="D763" s="387">
        <v>0.9</v>
      </c>
      <c r="E763" s="399"/>
      <c r="F763" s="387">
        <v>0.9</v>
      </c>
      <c r="G763" s="387"/>
      <c r="H763" s="387"/>
      <c r="I763" s="387"/>
      <c r="J763" s="387"/>
      <c r="K763" s="378">
        <v>1</v>
      </c>
      <c r="L763" s="378"/>
      <c r="M763" s="379">
        <f t="shared" si="171"/>
        <v>0</v>
      </c>
      <c r="N763" s="378">
        <f t="shared" si="172"/>
        <v>2</v>
      </c>
      <c r="O763" s="379">
        <f t="shared" si="166"/>
        <v>2</v>
      </c>
      <c r="P763" s="378" t="s">
        <v>1147</v>
      </c>
      <c r="Q763" s="380" t="s">
        <v>1148</v>
      </c>
      <c r="R763" s="378"/>
    </row>
    <row r="764" spans="1:18" outlineLevel="1">
      <c r="A764" s="394"/>
      <c r="B764" s="637"/>
      <c r="C764" s="382" t="s">
        <v>1183</v>
      </c>
      <c r="D764" s="387">
        <v>0.9</v>
      </c>
      <c r="E764" s="399"/>
      <c r="F764" s="387">
        <v>0.9</v>
      </c>
      <c r="G764" s="387"/>
      <c r="H764" s="387"/>
      <c r="I764" s="387"/>
      <c r="J764" s="387"/>
      <c r="K764" s="378">
        <v>1</v>
      </c>
      <c r="L764" s="378"/>
      <c r="M764" s="379">
        <f t="shared" si="171"/>
        <v>0</v>
      </c>
      <c r="N764" s="378">
        <f t="shared" si="172"/>
        <v>2</v>
      </c>
      <c r="O764" s="379">
        <f t="shared" si="166"/>
        <v>2</v>
      </c>
      <c r="P764" s="378" t="s">
        <v>1147</v>
      </c>
      <c r="Q764" s="380" t="s">
        <v>1148</v>
      </c>
      <c r="R764" s="378"/>
    </row>
    <row r="765" spans="1:18" outlineLevel="1">
      <c r="A765" s="394"/>
      <c r="B765" s="637"/>
      <c r="C765" s="382" t="s">
        <v>1178</v>
      </c>
      <c r="D765" s="387">
        <v>0.9</v>
      </c>
      <c r="E765" s="399"/>
      <c r="F765" s="387">
        <v>0.9</v>
      </c>
      <c r="G765" s="387"/>
      <c r="H765" s="387"/>
      <c r="I765" s="387"/>
      <c r="J765" s="387"/>
      <c r="K765" s="378">
        <v>1</v>
      </c>
      <c r="L765" s="378"/>
      <c r="M765" s="379">
        <f t="shared" si="171"/>
        <v>0</v>
      </c>
      <c r="N765" s="378">
        <f t="shared" si="172"/>
        <v>2</v>
      </c>
      <c r="O765" s="379">
        <f t="shared" si="166"/>
        <v>2</v>
      </c>
      <c r="P765" s="378" t="s">
        <v>1147</v>
      </c>
      <c r="Q765" s="380" t="s">
        <v>1148</v>
      </c>
      <c r="R765" s="378"/>
    </row>
    <row r="766" spans="1:18" outlineLevel="1">
      <c r="A766" s="394"/>
      <c r="B766" s="638"/>
      <c r="C766" s="382" t="s">
        <v>1184</v>
      </c>
      <c r="D766" s="387">
        <v>0.85</v>
      </c>
      <c r="E766" s="399"/>
      <c r="F766" s="387">
        <v>0.85</v>
      </c>
      <c r="G766" s="387"/>
      <c r="H766" s="387"/>
      <c r="I766" s="387"/>
      <c r="J766" s="387"/>
      <c r="K766" s="378">
        <v>1</v>
      </c>
      <c r="L766" s="378"/>
      <c r="M766" s="379">
        <f t="shared" si="171"/>
        <v>0</v>
      </c>
      <c r="N766" s="378">
        <f t="shared" si="172"/>
        <v>2</v>
      </c>
      <c r="O766" s="379">
        <f t="shared" si="166"/>
        <v>2</v>
      </c>
      <c r="P766" s="378" t="s">
        <v>1147</v>
      </c>
      <c r="Q766" s="380" t="s">
        <v>1148</v>
      </c>
      <c r="R766" s="378"/>
    </row>
    <row r="767" spans="1:18" outlineLevel="1">
      <c r="A767" s="394" t="s">
        <v>1185</v>
      </c>
      <c r="B767" s="395"/>
      <c r="C767" s="382"/>
      <c r="D767" s="387"/>
      <c r="E767" s="399"/>
      <c r="F767" s="387"/>
      <c r="G767" s="387"/>
      <c r="H767" s="387"/>
      <c r="I767" s="387"/>
      <c r="J767" s="387"/>
      <c r="K767" s="378"/>
      <c r="L767" s="378"/>
      <c r="M767" s="379">
        <f>IFERROR(MIN(M768:M771),0)</f>
        <v>0</v>
      </c>
      <c r="N767" s="378">
        <f>N768</f>
        <v>2</v>
      </c>
      <c r="O767" s="379">
        <f>MAX(M767:N767)</f>
        <v>2</v>
      </c>
      <c r="P767" s="378" t="s">
        <v>1147</v>
      </c>
      <c r="Q767" s="380" t="s">
        <v>1148</v>
      </c>
      <c r="R767" s="378"/>
    </row>
    <row r="768" spans="1:18" outlineLevel="1">
      <c r="A768" s="394"/>
      <c r="B768" s="636" t="s">
        <v>1186</v>
      </c>
      <c r="C768" s="382" t="s">
        <v>1187</v>
      </c>
      <c r="D768" s="387">
        <v>0.95</v>
      </c>
      <c r="E768" s="389"/>
      <c r="F768" s="398">
        <v>0.45</v>
      </c>
      <c r="G768" s="387"/>
      <c r="H768" s="387"/>
      <c r="I768" s="387"/>
      <c r="J768" s="387"/>
      <c r="K768" s="378">
        <v>1</v>
      </c>
      <c r="L768" s="378"/>
      <c r="M768" s="379">
        <f>IFERROR(MIN(MAX(0,IF(K768="N/A",0,IF((D768=E768),5,5-QUOTIENT(D768,E768)))), MAX(0,IF(K768="N/A",0,IF((F768=G768),5,5-QUOTIENT(F768,G768))))),0)</f>
        <v>0</v>
      </c>
      <c r="N768" s="378">
        <f>IF(K768="N/A", 1, 2)</f>
        <v>2</v>
      </c>
      <c r="O768" s="379">
        <f t="shared" ref="O768:O794" si="173">MAX(M768:N768)</f>
        <v>2</v>
      </c>
      <c r="P768" s="378" t="s">
        <v>1147</v>
      </c>
      <c r="Q768" s="380" t="s">
        <v>1148</v>
      </c>
      <c r="R768" s="378"/>
    </row>
    <row r="769" spans="1:18" outlineLevel="1">
      <c r="A769" s="394"/>
      <c r="B769" s="637"/>
      <c r="C769" s="382" t="s">
        <v>1188</v>
      </c>
      <c r="D769" s="387">
        <v>0.9</v>
      </c>
      <c r="E769" s="389"/>
      <c r="F769" s="398">
        <v>0.4</v>
      </c>
      <c r="G769" s="387"/>
      <c r="H769" s="387"/>
      <c r="I769" s="387"/>
      <c r="J769" s="387"/>
      <c r="K769" s="378">
        <v>1</v>
      </c>
      <c r="L769" s="378"/>
      <c r="M769" s="379">
        <f>IFERROR(MIN(MAX(0,IF(K769="N/A",0,IF((D769=E769),5,5-QUOTIENT(D769,E769)))), MAX(0,IF(K769="N/A",0,IF((F769=G769),5,5-QUOTIENT(F769,G769))))),0)</f>
        <v>0</v>
      </c>
      <c r="N769" s="378">
        <f t="shared" ref="N769:N771" si="174">IF(K769="N/A", 1, 2)</f>
        <v>2</v>
      </c>
      <c r="O769" s="379">
        <f t="shared" si="173"/>
        <v>2</v>
      </c>
      <c r="P769" s="378" t="s">
        <v>1147</v>
      </c>
      <c r="Q769" s="380" t="s">
        <v>1148</v>
      </c>
      <c r="R769" s="378"/>
    </row>
    <row r="770" spans="1:18" outlineLevel="1">
      <c r="A770" s="394"/>
      <c r="B770" s="637"/>
      <c r="C770" s="382" t="s">
        <v>1170</v>
      </c>
      <c r="D770" s="390">
        <v>0.05</v>
      </c>
      <c r="E770" s="389"/>
      <c r="F770" s="390">
        <v>0.05</v>
      </c>
      <c r="G770" s="387"/>
      <c r="H770" s="387"/>
      <c r="I770" s="387"/>
      <c r="J770" s="387"/>
      <c r="K770" s="378">
        <v>1</v>
      </c>
      <c r="L770" s="378"/>
      <c r="M770" s="379">
        <f>IFERROR(MIN(MAX(0,IF(K770="N/A",0,IF((D770=E770),5,5-QUOTIENT(D770,E770)))), MAX(0,IF(K770="N/A",0,IF((F770=G770),5,5-QUOTIENT(F770,G770))))),0)</f>
        <v>0</v>
      </c>
      <c r="N770" s="378">
        <f t="shared" si="174"/>
        <v>2</v>
      </c>
      <c r="O770" s="379">
        <f t="shared" si="173"/>
        <v>2</v>
      </c>
      <c r="P770" s="378" t="s">
        <v>1147</v>
      </c>
      <c r="Q770" s="380" t="s">
        <v>1148</v>
      </c>
      <c r="R770" s="378"/>
    </row>
    <row r="771" spans="1:18" outlineLevel="1">
      <c r="A771" s="394"/>
      <c r="B771" s="638"/>
      <c r="C771" s="382" t="s">
        <v>1189</v>
      </c>
      <c r="D771" s="391">
        <v>100</v>
      </c>
      <c r="E771" s="389"/>
      <c r="F771" s="391">
        <v>100</v>
      </c>
      <c r="G771" s="387"/>
      <c r="H771" s="387"/>
      <c r="I771" s="387"/>
      <c r="J771" s="387"/>
      <c r="K771" s="378">
        <v>1</v>
      </c>
      <c r="L771" s="378"/>
      <c r="M771" s="379">
        <f>IFERROR(MIN(MAX(0,IF(K771="N/A",0,IF((D771=E771),5,5-QUOTIENT(D771,E771)))), MAX(0,IF(K771="N/A",0,IF((F771=G771),5,5-QUOTIENT(F771,G771))))),0)</f>
        <v>0</v>
      </c>
      <c r="N771" s="378">
        <f t="shared" si="174"/>
        <v>2</v>
      </c>
      <c r="O771" s="379">
        <f t="shared" si="173"/>
        <v>2</v>
      </c>
      <c r="P771" s="378" t="s">
        <v>1147</v>
      </c>
      <c r="Q771" s="380" t="s">
        <v>1148</v>
      </c>
      <c r="R771" s="378"/>
    </row>
    <row r="772" spans="1:18" outlineLevel="1">
      <c r="A772" s="394" t="s">
        <v>1190</v>
      </c>
      <c r="B772" s="396"/>
      <c r="C772" s="382"/>
      <c r="D772" s="391"/>
      <c r="E772" s="389"/>
      <c r="F772" s="391"/>
      <c r="G772" s="387"/>
      <c r="H772" s="387"/>
      <c r="I772" s="387"/>
      <c r="J772" s="387"/>
      <c r="K772" s="378"/>
      <c r="L772" s="378"/>
      <c r="M772" s="379">
        <f>IFERROR(MIN(M773:M776),0)</f>
        <v>0</v>
      </c>
      <c r="N772" s="378">
        <f>N773</f>
        <v>2</v>
      </c>
      <c r="O772" s="379">
        <f t="shared" si="173"/>
        <v>2</v>
      </c>
      <c r="P772" s="378" t="s">
        <v>1147</v>
      </c>
      <c r="Q772" s="380" t="s">
        <v>1148</v>
      </c>
      <c r="R772" s="378"/>
    </row>
    <row r="773" spans="1:18" outlineLevel="1">
      <c r="A773" s="394"/>
      <c r="B773" s="397" t="s">
        <v>752</v>
      </c>
      <c r="C773" s="382" t="s">
        <v>1191</v>
      </c>
      <c r="D773" s="387">
        <v>0.85</v>
      </c>
      <c r="E773" s="389"/>
      <c r="F773" s="398">
        <v>0.85</v>
      </c>
      <c r="G773" s="387"/>
      <c r="H773" s="387"/>
      <c r="I773" s="387"/>
      <c r="J773" s="387"/>
      <c r="K773" s="378">
        <v>1</v>
      </c>
      <c r="L773" s="378"/>
      <c r="M773" s="379">
        <f>IFERROR(MIN(MAX(0,IF(K773="N/A",0,IF((D773=E773),5,5-QUOTIENT(D773,E773)))), MAX(0,IF(K773="N/A",0,IF((F773=G773),5,5-QUOTIENT(F773,G773))))),0)</f>
        <v>0</v>
      </c>
      <c r="N773" s="378">
        <f>IF(K773="N/A", 1, 2)</f>
        <v>2</v>
      </c>
      <c r="O773" s="379">
        <f t="shared" si="173"/>
        <v>2</v>
      </c>
      <c r="P773" s="378" t="s">
        <v>1147</v>
      </c>
      <c r="Q773" s="380" t="s">
        <v>1148</v>
      </c>
      <c r="R773" s="378"/>
    </row>
    <row r="774" spans="1:18" outlineLevel="1">
      <c r="A774" s="394"/>
      <c r="B774" s="397" t="s">
        <v>752</v>
      </c>
      <c r="C774" s="400" t="s">
        <v>1170</v>
      </c>
      <c r="D774" s="401">
        <v>1</v>
      </c>
      <c r="E774" s="389"/>
      <c r="F774" s="401">
        <v>1</v>
      </c>
      <c r="G774" s="387"/>
      <c r="H774" s="387"/>
      <c r="I774" s="387"/>
      <c r="J774" s="387"/>
      <c r="K774" s="378">
        <v>1</v>
      </c>
      <c r="L774" s="378"/>
      <c r="M774" s="379">
        <f>IFERROR(MIN(MAX(0,IF(K774="N/A",0,IF((D774=E774),5,5-QUOTIENT(D774,E774)))), MAX(0,IF(K774="N/A",0,IF((F774=G774),5,5-QUOTIENT(F774,G774))))),0)</f>
        <v>0</v>
      </c>
      <c r="N774" s="378">
        <f t="shared" ref="N774:N776" si="175">IF(K774="N/A", 1, 2)</f>
        <v>2</v>
      </c>
      <c r="O774" s="379">
        <f t="shared" si="173"/>
        <v>2</v>
      </c>
      <c r="P774" s="378" t="s">
        <v>1147</v>
      </c>
      <c r="Q774" s="380" t="s">
        <v>1148</v>
      </c>
      <c r="R774" s="378"/>
    </row>
    <row r="775" spans="1:18" outlineLevel="1">
      <c r="A775" s="394"/>
      <c r="B775" s="402" t="s">
        <v>1192</v>
      </c>
      <c r="C775" s="400" t="s">
        <v>1193</v>
      </c>
      <c r="D775" s="403">
        <v>0.999</v>
      </c>
      <c r="E775" s="389"/>
      <c r="F775" s="403">
        <v>0.999</v>
      </c>
      <c r="G775" s="387"/>
      <c r="H775" s="387"/>
      <c r="I775" s="387"/>
      <c r="J775" s="387"/>
      <c r="K775" s="378">
        <v>1</v>
      </c>
      <c r="L775" s="378"/>
      <c r="M775" s="379">
        <f>IFERROR(MIN(MAX(0,IF(K775="N/A",0,IF((D775=E775),5,5-QUOTIENT(D775,E775)))), MAX(0,IF(K775="N/A",0,IF((F775=G775),5,5-QUOTIENT(F775,G775))))),0)</f>
        <v>0</v>
      </c>
      <c r="N775" s="378">
        <f t="shared" si="175"/>
        <v>2</v>
      </c>
      <c r="O775" s="379">
        <f t="shared" si="173"/>
        <v>2</v>
      </c>
      <c r="P775" s="378" t="s">
        <v>1147</v>
      </c>
      <c r="Q775" s="380" t="s">
        <v>1148</v>
      </c>
      <c r="R775" s="378"/>
    </row>
    <row r="776" spans="1:18" outlineLevel="1">
      <c r="A776" s="394"/>
      <c r="B776" s="402" t="s">
        <v>1192</v>
      </c>
      <c r="C776" s="400" t="s">
        <v>1194</v>
      </c>
      <c r="D776" s="403">
        <v>0.999</v>
      </c>
      <c r="E776" s="389"/>
      <c r="F776" s="403">
        <v>0.999</v>
      </c>
      <c r="G776" s="387"/>
      <c r="H776" s="387"/>
      <c r="I776" s="387"/>
      <c r="J776" s="387"/>
      <c r="K776" s="378">
        <v>1</v>
      </c>
      <c r="L776" s="378"/>
      <c r="M776" s="379">
        <f>IFERROR(MIN(MAX(0,IF(K776="N/A",0,IF((D776=E776),5,5-QUOTIENT(D776,E776)))), MAX(0,IF(K776="N/A",0,IF((F776=G776),5,5-QUOTIENT(F776,G776))))),0)</f>
        <v>0</v>
      </c>
      <c r="N776" s="378">
        <f t="shared" si="175"/>
        <v>2</v>
      </c>
      <c r="O776" s="379">
        <f t="shared" si="173"/>
        <v>2</v>
      </c>
      <c r="P776" s="378" t="s">
        <v>1147</v>
      </c>
      <c r="Q776" s="380" t="s">
        <v>1148</v>
      </c>
      <c r="R776" s="378"/>
    </row>
    <row r="777" spans="1:18" outlineLevel="1">
      <c r="A777" s="404" t="s">
        <v>1195</v>
      </c>
      <c r="B777" s="405"/>
      <c r="C777" s="400"/>
      <c r="D777" s="403"/>
      <c r="E777" s="389"/>
      <c r="F777" s="403"/>
      <c r="G777" s="387"/>
      <c r="H777" s="387"/>
      <c r="I777" s="387"/>
      <c r="J777" s="387"/>
      <c r="K777" s="378"/>
      <c r="L777" s="378"/>
      <c r="M777" s="379">
        <f>IFERROR(MIN(M778:M789),0)</f>
        <v>0</v>
      </c>
      <c r="N777" s="378">
        <f>N780</f>
        <v>2</v>
      </c>
      <c r="O777" s="379">
        <f t="shared" si="173"/>
        <v>2</v>
      </c>
      <c r="P777" s="378" t="s">
        <v>1147</v>
      </c>
      <c r="Q777" s="380" t="s">
        <v>1148</v>
      </c>
      <c r="R777" s="378"/>
    </row>
    <row r="778" spans="1:18" outlineLevel="1">
      <c r="A778" s="406"/>
      <c r="B778" s="639" t="s">
        <v>1196</v>
      </c>
      <c r="C778" s="382" t="s">
        <v>1197</v>
      </c>
      <c r="D778" s="387">
        <v>0.99</v>
      </c>
      <c r="E778" s="389"/>
      <c r="F778" s="398">
        <v>0.95</v>
      </c>
      <c r="G778" s="387"/>
      <c r="H778" s="387"/>
      <c r="I778" s="387"/>
      <c r="J778" s="387"/>
      <c r="K778" s="378">
        <v>1</v>
      </c>
      <c r="L778" s="378"/>
      <c r="M778" s="379">
        <f t="shared" ref="M778:M789" si="176">IFERROR(MIN(MAX(0,IF(K778="N/A",0,IF((D778=E778),5,5-QUOTIENT(D778,E778)))), MAX(0,IF(K778="N/A",0,IF((F778=G778),5,5-QUOTIENT(F778,G778))))),0)</f>
        <v>0</v>
      </c>
      <c r="N778" s="378">
        <f>IF(K778="N/A", 1, 2)</f>
        <v>2</v>
      </c>
      <c r="O778" s="379">
        <f t="shared" si="173"/>
        <v>2</v>
      </c>
      <c r="P778" s="378" t="s">
        <v>1147</v>
      </c>
      <c r="Q778" s="380" t="s">
        <v>1148</v>
      </c>
      <c r="R778" s="378"/>
    </row>
    <row r="779" spans="1:18" outlineLevel="1">
      <c r="A779" s="406"/>
      <c r="B779" s="640"/>
      <c r="C779" s="382" t="s">
        <v>1198</v>
      </c>
      <c r="D779" s="387">
        <v>0.85</v>
      </c>
      <c r="E779" s="389"/>
      <c r="F779" s="398">
        <v>0.8</v>
      </c>
      <c r="G779" s="387"/>
      <c r="H779" s="387"/>
      <c r="I779" s="387"/>
      <c r="J779" s="387"/>
      <c r="K779" s="378">
        <v>1</v>
      </c>
      <c r="L779" s="378"/>
      <c r="M779" s="379">
        <f t="shared" si="176"/>
        <v>0</v>
      </c>
      <c r="N779" s="378">
        <f t="shared" ref="N779:N780" si="177">IF(K779="N/A", 1, 2)</f>
        <v>2</v>
      </c>
      <c r="O779" s="379">
        <f t="shared" si="173"/>
        <v>2</v>
      </c>
      <c r="P779" s="378" t="s">
        <v>1147</v>
      </c>
      <c r="Q779" s="380" t="s">
        <v>1148</v>
      </c>
      <c r="R779" s="378"/>
    </row>
    <row r="780" spans="1:18" ht="15" customHeight="1" outlineLevel="1">
      <c r="A780" s="406"/>
      <c r="B780" s="641"/>
      <c r="C780" s="382" t="s">
        <v>1193</v>
      </c>
      <c r="D780" s="387">
        <v>0.99</v>
      </c>
      <c r="E780" s="389"/>
      <c r="F780" s="398">
        <v>0.95</v>
      </c>
      <c r="G780" s="387"/>
      <c r="H780" s="387"/>
      <c r="I780" s="387"/>
      <c r="J780" s="387"/>
      <c r="K780" s="378">
        <v>1</v>
      </c>
      <c r="L780" s="378"/>
      <c r="M780" s="379">
        <f t="shared" si="176"/>
        <v>0</v>
      </c>
      <c r="N780" s="378">
        <f t="shared" si="177"/>
        <v>2</v>
      </c>
      <c r="O780" s="379">
        <f t="shared" si="173"/>
        <v>2</v>
      </c>
      <c r="P780" s="378" t="s">
        <v>1147</v>
      </c>
      <c r="Q780" s="380" t="s">
        <v>1148</v>
      </c>
      <c r="R780" s="378"/>
    </row>
    <row r="781" spans="1:18" outlineLevel="1">
      <c r="A781" s="406"/>
      <c r="B781" s="639" t="s">
        <v>1199</v>
      </c>
      <c r="C781" s="382" t="s">
        <v>1197</v>
      </c>
      <c r="D781" s="387">
        <v>0.99</v>
      </c>
      <c r="E781" s="389"/>
      <c r="F781" s="398">
        <v>0.95</v>
      </c>
      <c r="G781" s="387"/>
      <c r="H781" s="387"/>
      <c r="I781" s="387"/>
      <c r="J781" s="387"/>
      <c r="K781" s="378" t="s">
        <v>549</v>
      </c>
      <c r="L781" s="378"/>
      <c r="M781" s="379">
        <f t="shared" si="176"/>
        <v>0</v>
      </c>
      <c r="N781" s="378">
        <f>IF(K781="N/A", 1, 2)</f>
        <v>1</v>
      </c>
      <c r="O781" s="379">
        <f t="shared" si="173"/>
        <v>1</v>
      </c>
      <c r="P781" s="378" t="s">
        <v>1147</v>
      </c>
      <c r="Q781" s="380" t="s">
        <v>1148</v>
      </c>
      <c r="R781" s="378"/>
    </row>
    <row r="782" spans="1:18" outlineLevel="1">
      <c r="A782" s="406"/>
      <c r="B782" s="640"/>
      <c r="C782" s="382" t="s">
        <v>1198</v>
      </c>
      <c r="D782" s="387">
        <v>0.85</v>
      </c>
      <c r="E782" s="389"/>
      <c r="F782" s="398">
        <v>0.8</v>
      </c>
      <c r="G782" s="387"/>
      <c r="H782" s="387"/>
      <c r="I782" s="387"/>
      <c r="J782" s="387"/>
      <c r="K782" s="378" t="s">
        <v>549</v>
      </c>
      <c r="L782" s="378"/>
      <c r="M782" s="379">
        <f t="shared" si="176"/>
        <v>0</v>
      </c>
      <c r="N782" s="378">
        <f t="shared" ref="N782:N789" si="178">IF(K782="N/A", 1, 2)</f>
        <v>1</v>
      </c>
      <c r="O782" s="379">
        <f t="shared" si="173"/>
        <v>1</v>
      </c>
      <c r="P782" s="378" t="s">
        <v>1147</v>
      </c>
      <c r="Q782" s="380" t="s">
        <v>1148</v>
      </c>
      <c r="R782" s="378"/>
    </row>
    <row r="783" spans="1:18" outlineLevel="1">
      <c r="A783" s="406"/>
      <c r="B783" s="641"/>
      <c r="C783" s="382" t="s">
        <v>1193</v>
      </c>
      <c r="D783" s="387">
        <v>0.99</v>
      </c>
      <c r="E783" s="389"/>
      <c r="F783" s="398">
        <v>0.95</v>
      </c>
      <c r="G783" s="387"/>
      <c r="H783" s="387"/>
      <c r="I783" s="387"/>
      <c r="J783" s="387"/>
      <c r="K783" s="378" t="s">
        <v>549</v>
      </c>
      <c r="L783" s="378"/>
      <c r="M783" s="379">
        <f t="shared" si="176"/>
        <v>0</v>
      </c>
      <c r="N783" s="378">
        <f t="shared" si="178"/>
        <v>1</v>
      </c>
      <c r="O783" s="379">
        <f t="shared" si="173"/>
        <v>1</v>
      </c>
      <c r="P783" s="378" t="s">
        <v>1147</v>
      </c>
      <c r="Q783" s="380" t="s">
        <v>1148</v>
      </c>
      <c r="R783" s="378"/>
    </row>
    <row r="784" spans="1:18" outlineLevel="1">
      <c r="A784" s="406"/>
      <c r="B784" s="639" t="s">
        <v>1200</v>
      </c>
      <c r="C784" s="382" t="s">
        <v>1197</v>
      </c>
      <c r="D784" s="387">
        <v>0.99</v>
      </c>
      <c r="E784" s="389"/>
      <c r="F784" s="398">
        <v>0.95</v>
      </c>
      <c r="G784" s="387"/>
      <c r="H784" s="387"/>
      <c r="I784" s="387"/>
      <c r="J784" s="387"/>
      <c r="K784" s="378" t="s">
        <v>549</v>
      </c>
      <c r="L784" s="378"/>
      <c r="M784" s="379">
        <f t="shared" si="176"/>
        <v>0</v>
      </c>
      <c r="N784" s="378">
        <f t="shared" si="178"/>
        <v>1</v>
      </c>
      <c r="O784" s="379">
        <f t="shared" si="173"/>
        <v>1</v>
      </c>
      <c r="P784" s="378" t="s">
        <v>1147</v>
      </c>
      <c r="Q784" s="380" t="s">
        <v>1148</v>
      </c>
      <c r="R784" s="378"/>
    </row>
    <row r="785" spans="1:18" outlineLevel="1">
      <c r="A785" s="406"/>
      <c r="B785" s="640"/>
      <c r="C785" s="382" t="s">
        <v>1198</v>
      </c>
      <c r="D785" s="387">
        <v>0.85</v>
      </c>
      <c r="E785" s="389"/>
      <c r="F785" s="398">
        <v>0.8</v>
      </c>
      <c r="G785" s="387"/>
      <c r="H785" s="387"/>
      <c r="I785" s="387"/>
      <c r="J785" s="387"/>
      <c r="K785" s="378" t="s">
        <v>549</v>
      </c>
      <c r="L785" s="378"/>
      <c r="M785" s="379">
        <f t="shared" si="176"/>
        <v>0</v>
      </c>
      <c r="N785" s="378">
        <f t="shared" si="178"/>
        <v>1</v>
      </c>
      <c r="O785" s="379">
        <f t="shared" si="173"/>
        <v>1</v>
      </c>
      <c r="P785" s="378" t="s">
        <v>1147</v>
      </c>
      <c r="Q785" s="380" t="s">
        <v>1148</v>
      </c>
      <c r="R785" s="378"/>
    </row>
    <row r="786" spans="1:18" outlineLevel="1">
      <c r="A786" s="406"/>
      <c r="B786" s="641"/>
      <c r="C786" s="382" t="s">
        <v>1193</v>
      </c>
      <c r="D786" s="387">
        <v>0.99</v>
      </c>
      <c r="E786" s="389"/>
      <c r="F786" s="398">
        <v>0.95</v>
      </c>
      <c r="G786" s="387"/>
      <c r="H786" s="387"/>
      <c r="I786" s="387"/>
      <c r="J786" s="387"/>
      <c r="K786" s="378" t="s">
        <v>549</v>
      </c>
      <c r="L786" s="378"/>
      <c r="M786" s="379">
        <f t="shared" si="176"/>
        <v>0</v>
      </c>
      <c r="N786" s="378">
        <f t="shared" si="178"/>
        <v>1</v>
      </c>
      <c r="O786" s="379">
        <f t="shared" si="173"/>
        <v>1</v>
      </c>
      <c r="P786" s="378" t="s">
        <v>1147</v>
      </c>
      <c r="Q786" s="380" t="s">
        <v>1148</v>
      </c>
      <c r="R786" s="378"/>
    </row>
    <row r="787" spans="1:18" outlineLevel="1">
      <c r="A787" s="406"/>
      <c r="B787" s="639" t="s">
        <v>1201</v>
      </c>
      <c r="C787" s="382" t="s">
        <v>1197</v>
      </c>
      <c r="D787" s="387">
        <v>0.99</v>
      </c>
      <c r="E787" s="389"/>
      <c r="F787" s="398">
        <v>0.95</v>
      </c>
      <c r="G787" s="387"/>
      <c r="H787" s="387"/>
      <c r="I787" s="387"/>
      <c r="J787" s="387"/>
      <c r="K787" s="378" t="s">
        <v>549</v>
      </c>
      <c r="L787" s="378"/>
      <c r="M787" s="379">
        <f t="shared" si="176"/>
        <v>0</v>
      </c>
      <c r="N787" s="378">
        <f t="shared" si="178"/>
        <v>1</v>
      </c>
      <c r="O787" s="379">
        <f t="shared" si="173"/>
        <v>1</v>
      </c>
      <c r="P787" s="378" t="s">
        <v>1147</v>
      </c>
      <c r="Q787" s="380" t="s">
        <v>1148</v>
      </c>
      <c r="R787" s="378"/>
    </row>
    <row r="788" spans="1:18" outlineLevel="1">
      <c r="A788" s="406"/>
      <c r="B788" s="640"/>
      <c r="C788" s="382" t="s">
        <v>1198</v>
      </c>
      <c r="D788" s="387">
        <v>0.85</v>
      </c>
      <c r="E788" s="389"/>
      <c r="F788" s="398">
        <v>0.8</v>
      </c>
      <c r="G788" s="387"/>
      <c r="H788" s="387"/>
      <c r="I788" s="387"/>
      <c r="J788" s="387"/>
      <c r="K788" s="378" t="s">
        <v>549</v>
      </c>
      <c r="L788" s="378"/>
      <c r="M788" s="379">
        <f t="shared" si="176"/>
        <v>0</v>
      </c>
      <c r="N788" s="378">
        <f t="shared" si="178"/>
        <v>1</v>
      </c>
      <c r="O788" s="379">
        <f t="shared" si="173"/>
        <v>1</v>
      </c>
      <c r="P788" s="378" t="s">
        <v>1147</v>
      </c>
      <c r="Q788" s="380" t="s">
        <v>1148</v>
      </c>
      <c r="R788" s="378"/>
    </row>
    <row r="789" spans="1:18" outlineLevel="1">
      <c r="A789" s="406"/>
      <c r="B789" s="641"/>
      <c r="C789" s="382" t="s">
        <v>1193</v>
      </c>
      <c r="D789" s="387">
        <v>0.99</v>
      </c>
      <c r="E789" s="389"/>
      <c r="F789" s="398">
        <v>0.95</v>
      </c>
      <c r="G789" s="387"/>
      <c r="H789" s="387"/>
      <c r="I789" s="387"/>
      <c r="J789" s="387"/>
      <c r="K789" s="378" t="s">
        <v>549</v>
      </c>
      <c r="L789" s="378"/>
      <c r="M789" s="379">
        <f t="shared" si="176"/>
        <v>0</v>
      </c>
      <c r="N789" s="378">
        <f t="shared" si="178"/>
        <v>1</v>
      </c>
      <c r="O789" s="379">
        <f t="shared" si="173"/>
        <v>1</v>
      </c>
      <c r="P789" s="378" t="s">
        <v>1147</v>
      </c>
      <c r="Q789" s="380" t="s">
        <v>1148</v>
      </c>
      <c r="R789" s="378"/>
    </row>
    <row r="790" spans="1:18" outlineLevel="1">
      <c r="A790" s="404" t="s">
        <v>1202</v>
      </c>
      <c r="B790" s="407"/>
      <c r="C790" s="382"/>
      <c r="D790" s="387"/>
      <c r="E790" s="389"/>
      <c r="F790" s="398"/>
      <c r="G790" s="387"/>
      <c r="H790" s="387"/>
      <c r="I790" s="387"/>
      <c r="J790" s="387"/>
      <c r="K790" s="378"/>
      <c r="L790" s="378"/>
      <c r="M790" s="379">
        <f>M791</f>
        <v>0</v>
      </c>
      <c r="N790" s="378">
        <f>N791</f>
        <v>1</v>
      </c>
      <c r="O790" s="379">
        <f t="shared" si="173"/>
        <v>1</v>
      </c>
      <c r="P790" s="378" t="s">
        <v>1147</v>
      </c>
      <c r="Q790" s="380" t="s">
        <v>1148</v>
      </c>
      <c r="R790" s="378"/>
    </row>
    <row r="791" spans="1:18" outlineLevel="1">
      <c r="A791" s="406"/>
      <c r="B791" s="388" t="s">
        <v>1192</v>
      </c>
      <c r="C791" s="382" t="s">
        <v>1203</v>
      </c>
      <c r="D791" s="387">
        <v>0.95</v>
      </c>
      <c r="E791" s="389"/>
      <c r="F791" s="398">
        <v>0.9</v>
      </c>
      <c r="G791" s="387"/>
      <c r="H791" s="387"/>
      <c r="I791" s="387"/>
      <c r="J791" s="387"/>
      <c r="K791" s="378" t="s">
        <v>549</v>
      </c>
      <c r="L791" s="378"/>
      <c r="M791" s="379">
        <f>IFERROR(MIN(MAX(0,IF(K791="N/A",0,IF((D791=E791),5,5-QUOTIENT(D791,E791)))), MAX(0,IF(K791="N/A",0,IF((F791=G791),5,5-QUOTIENT(F791,G791))))),0)</f>
        <v>0</v>
      </c>
      <c r="N791" s="378">
        <f>IF(K791="N/A", 1, 2)</f>
        <v>1</v>
      </c>
      <c r="O791" s="379">
        <f t="shared" si="173"/>
        <v>1</v>
      </c>
      <c r="P791" s="378" t="s">
        <v>1147</v>
      </c>
      <c r="Q791" s="380" t="s">
        <v>1148</v>
      </c>
      <c r="R791" s="378"/>
    </row>
    <row r="792" spans="1:18" outlineLevel="1">
      <c r="A792" s="404" t="s">
        <v>1204</v>
      </c>
      <c r="B792" s="408"/>
      <c r="C792" s="382"/>
      <c r="D792" s="387"/>
      <c r="E792" s="389"/>
      <c r="F792" s="398"/>
      <c r="G792" s="387"/>
      <c r="H792" s="387"/>
      <c r="I792" s="387"/>
      <c r="J792" s="387"/>
      <c r="K792" s="378"/>
      <c r="L792" s="378"/>
      <c r="M792" s="379">
        <f>IFERROR(MIN(M793:M794),0)</f>
        <v>0</v>
      </c>
      <c r="N792" s="378">
        <f>N793</f>
        <v>1</v>
      </c>
      <c r="O792" s="379">
        <f t="shared" si="173"/>
        <v>1</v>
      </c>
      <c r="P792" s="378" t="s">
        <v>1147</v>
      </c>
      <c r="Q792" s="380" t="s">
        <v>1148</v>
      </c>
      <c r="R792" s="378"/>
    </row>
    <row r="793" spans="1:18" outlineLevel="1">
      <c r="A793" s="404"/>
      <c r="B793" s="644" t="s">
        <v>1205</v>
      </c>
      <c r="C793" s="382" t="s">
        <v>1206</v>
      </c>
      <c r="D793" s="387">
        <v>0.9</v>
      </c>
      <c r="E793" s="389"/>
      <c r="F793" s="398" t="s">
        <v>549</v>
      </c>
      <c r="G793" s="387"/>
      <c r="H793" s="387"/>
      <c r="I793" s="387"/>
      <c r="J793" s="387"/>
      <c r="K793" s="378" t="s">
        <v>549</v>
      </c>
      <c r="L793" s="378"/>
      <c r="M793" s="379">
        <f>IFERROR(MIN(MAX(0,IF(K793="N/A",0,IF((D793=E793),5,5-QUOTIENT(D793,E793)))), MAX(0,IF(K793="N/A",0,IF((F793=G793),5,5-QUOTIENT(F793,G793))))),0)</f>
        <v>0</v>
      </c>
      <c r="N793" s="378">
        <f>IF(K793="N/A", 1, 2)</f>
        <v>1</v>
      </c>
      <c r="O793" s="379">
        <f t="shared" si="173"/>
        <v>1</v>
      </c>
      <c r="P793" s="378" t="s">
        <v>1147</v>
      </c>
      <c r="Q793" s="380" t="s">
        <v>1148</v>
      </c>
      <c r="R793" s="378"/>
    </row>
    <row r="794" spans="1:18" outlineLevel="1">
      <c r="A794" s="404"/>
      <c r="B794" s="645"/>
      <c r="C794" s="382" t="s">
        <v>1207</v>
      </c>
      <c r="D794" s="387">
        <v>0.9</v>
      </c>
      <c r="E794" s="389"/>
      <c r="F794" s="398" t="s">
        <v>549</v>
      </c>
      <c r="G794" s="387"/>
      <c r="H794" s="387"/>
      <c r="I794" s="387"/>
      <c r="J794" s="387"/>
      <c r="K794" s="378" t="s">
        <v>549</v>
      </c>
      <c r="L794" s="378"/>
      <c r="M794" s="379">
        <f>IFERROR(MIN(MAX(0,IF(K794="N/A",0,IF((D794=E794),5,5-QUOTIENT(D794,E794)))), MAX(0,IF(K794="N/A",0,IF((F794=G794),5,5-QUOTIENT(F794,G794))))),0)</f>
        <v>0</v>
      </c>
      <c r="N794" s="378">
        <f>IF(K794="N/A", 1, 2)</f>
        <v>1</v>
      </c>
      <c r="O794" s="379">
        <f t="shared" si="173"/>
        <v>1</v>
      </c>
      <c r="P794" s="378" t="s">
        <v>1147</v>
      </c>
      <c r="Q794" s="380" t="s">
        <v>1148</v>
      </c>
      <c r="R794" s="378"/>
    </row>
    <row r="795" spans="1:18" outlineLevel="1">
      <c r="A795" s="404" t="s">
        <v>1208</v>
      </c>
      <c r="B795" s="408"/>
      <c r="C795" s="382"/>
      <c r="D795" s="387"/>
      <c r="E795" s="389"/>
      <c r="F795" s="398"/>
      <c r="G795" s="387"/>
      <c r="H795" s="387"/>
      <c r="I795" s="387"/>
      <c r="J795" s="387"/>
      <c r="K795" s="378"/>
      <c r="L795" s="378"/>
      <c r="M795" s="379">
        <f>IFERROR(MIN(M796:M797),0)</f>
        <v>0</v>
      </c>
      <c r="N795" s="378">
        <f>N796</f>
        <v>2</v>
      </c>
      <c r="O795" s="379">
        <f>MAX(M795:N795)</f>
        <v>2</v>
      </c>
      <c r="P795" s="378" t="s">
        <v>1147</v>
      </c>
      <c r="Q795" s="380" t="s">
        <v>1148</v>
      </c>
      <c r="R795" s="378"/>
    </row>
    <row r="796" spans="1:18" outlineLevel="1">
      <c r="A796" s="404"/>
      <c r="B796" s="644" t="s">
        <v>1209</v>
      </c>
      <c r="C796" s="382" t="s">
        <v>1210</v>
      </c>
      <c r="D796" s="387">
        <v>0.9</v>
      </c>
      <c r="E796" s="389"/>
      <c r="F796" s="398" t="s">
        <v>549</v>
      </c>
      <c r="G796" s="387"/>
      <c r="H796" s="387"/>
      <c r="I796" s="387"/>
      <c r="J796" s="387"/>
      <c r="K796" s="378">
        <v>1</v>
      </c>
      <c r="L796" s="378"/>
      <c r="M796" s="379">
        <f>IFERROR(MIN(MAX(0,IF(K796="N/A",0,IF((D796=E796),5,5-QUOTIENT(D796,E796)))), MAX(0,IF(K796="N/A",0,IF((F796=G796),5,5-QUOTIENT(F796,G796))))),0)</f>
        <v>0</v>
      </c>
      <c r="N796" s="378">
        <f>IF(K796="N/A", 1, 2)</f>
        <v>2</v>
      </c>
      <c r="O796" s="379">
        <f t="shared" ref="O796:O800" si="179">MAX(M796:N796)</f>
        <v>2</v>
      </c>
      <c r="P796" s="378" t="s">
        <v>1147</v>
      </c>
      <c r="Q796" s="380" t="s">
        <v>1148</v>
      </c>
      <c r="R796" s="378"/>
    </row>
    <row r="797" spans="1:18" outlineLevel="1">
      <c r="A797" s="404"/>
      <c r="B797" s="645"/>
      <c r="C797" s="382" t="s">
        <v>1211</v>
      </c>
      <c r="D797" s="387">
        <v>0.9</v>
      </c>
      <c r="E797" s="389"/>
      <c r="F797" s="398" t="s">
        <v>549</v>
      </c>
      <c r="G797" s="387"/>
      <c r="H797" s="387"/>
      <c r="I797" s="387"/>
      <c r="J797" s="387"/>
      <c r="K797" s="378">
        <v>1</v>
      </c>
      <c r="L797" s="378"/>
      <c r="M797" s="379">
        <f>IFERROR(MIN(MAX(0,IF(K797="N/A",0,IF((D797=E797),5,5-QUOTIENT(D797,E797)))), MAX(0,IF(K797="N/A",0,IF((F797=G797),5,5-QUOTIENT(F797,G797))))),0)</f>
        <v>0</v>
      </c>
      <c r="N797" s="378">
        <f>IF(K797="N/A", 1, 2)</f>
        <v>2</v>
      </c>
      <c r="O797" s="379">
        <f t="shared" si="179"/>
        <v>2</v>
      </c>
      <c r="P797" s="378" t="s">
        <v>1147</v>
      </c>
      <c r="Q797" s="380" t="s">
        <v>1148</v>
      </c>
      <c r="R797" s="378"/>
    </row>
    <row r="798" spans="1:18" outlineLevel="1">
      <c r="A798" s="404" t="s">
        <v>1212</v>
      </c>
      <c r="B798" s="408"/>
      <c r="C798" s="382"/>
      <c r="D798" s="387"/>
      <c r="E798" s="389"/>
      <c r="F798" s="398"/>
      <c r="G798" s="387"/>
      <c r="H798" s="387"/>
      <c r="I798" s="387"/>
      <c r="J798" s="387"/>
      <c r="K798" s="378"/>
      <c r="L798" s="378"/>
      <c r="M798" s="379">
        <f>IFERROR(MIN(M799:M800),0)</f>
        <v>0</v>
      </c>
      <c r="N798" s="378">
        <f>N799</f>
        <v>2</v>
      </c>
      <c r="O798" s="379">
        <f t="shared" si="179"/>
        <v>2</v>
      </c>
      <c r="P798" s="378" t="s">
        <v>1147</v>
      </c>
      <c r="Q798" s="380" t="s">
        <v>1148</v>
      </c>
      <c r="R798" s="378"/>
    </row>
    <row r="799" spans="1:18" outlineLevel="1">
      <c r="A799" s="404"/>
      <c r="B799" s="644" t="s">
        <v>1213</v>
      </c>
      <c r="C799" s="382" t="s">
        <v>1214</v>
      </c>
      <c r="D799" s="387">
        <v>0.9</v>
      </c>
      <c r="E799" s="389"/>
      <c r="F799" s="398" t="s">
        <v>549</v>
      </c>
      <c r="G799" s="387"/>
      <c r="H799" s="387"/>
      <c r="I799" s="387"/>
      <c r="J799" s="387"/>
      <c r="K799" s="378">
        <v>1</v>
      </c>
      <c r="L799" s="378"/>
      <c r="M799" s="379">
        <f>IFERROR(MIN(MAX(0,IF(K799="N/A",0,IF((D799=E799),5,5-QUOTIENT(D799,E799)))), MAX(0,IF(K799="N/A",0,IF((F799=G799),5,5-QUOTIENT(F799,G799))))),0)</f>
        <v>0</v>
      </c>
      <c r="N799" s="378">
        <f>IF(K799="N/A", 1, 2)</f>
        <v>2</v>
      </c>
      <c r="O799" s="379">
        <f t="shared" si="179"/>
        <v>2</v>
      </c>
      <c r="P799" s="378" t="s">
        <v>1147</v>
      </c>
      <c r="Q799" s="380" t="s">
        <v>1148</v>
      </c>
      <c r="R799" s="378"/>
    </row>
    <row r="800" spans="1:18" outlineLevel="1">
      <c r="A800" s="404"/>
      <c r="B800" s="645"/>
      <c r="C800" s="382" t="s">
        <v>1215</v>
      </c>
      <c r="D800" s="387">
        <v>0.9</v>
      </c>
      <c r="E800" s="389"/>
      <c r="F800" s="398" t="s">
        <v>549</v>
      </c>
      <c r="G800" s="387"/>
      <c r="H800" s="387"/>
      <c r="I800" s="387"/>
      <c r="J800" s="387"/>
      <c r="K800" s="378">
        <v>1</v>
      </c>
      <c r="L800" s="378"/>
      <c r="M800" s="379">
        <f>IFERROR(MIN(MAX(0,IF(K800="N/A",0,IF((D800=E800),5,5-QUOTIENT(D800,E800)))), MAX(0,IF(K800="N/A",0,IF((F800=G800),5,5-QUOTIENT(F800,G800))))),0)</f>
        <v>0</v>
      </c>
      <c r="N800" s="378">
        <f>IF(K800="N/A", 1, 2)</f>
        <v>2</v>
      </c>
      <c r="O800" s="379">
        <f t="shared" si="179"/>
        <v>2</v>
      </c>
      <c r="P800" s="378" t="s">
        <v>1147</v>
      </c>
      <c r="Q800" s="380" t="s">
        <v>1148</v>
      </c>
      <c r="R800" s="378"/>
    </row>
    <row r="801" spans="1:18" outlineLevel="1">
      <c r="A801" s="388" t="s">
        <v>1216</v>
      </c>
      <c r="B801" s="409"/>
      <c r="C801" s="382"/>
      <c r="D801" s="387"/>
      <c r="E801" s="389"/>
      <c r="F801" s="398"/>
      <c r="G801" s="387"/>
      <c r="H801" s="387"/>
      <c r="I801" s="387"/>
      <c r="J801" s="387"/>
      <c r="K801" s="378"/>
      <c r="L801" s="378"/>
      <c r="M801" s="379"/>
      <c r="N801" s="378"/>
      <c r="O801" s="379"/>
      <c r="P801" s="378" t="s">
        <v>1147</v>
      </c>
      <c r="Q801" s="380" t="s">
        <v>1148</v>
      </c>
      <c r="R801" s="378"/>
    </row>
    <row r="802" spans="1:18" outlineLevel="1">
      <c r="A802" s="388"/>
      <c r="B802" s="633" t="s">
        <v>1217</v>
      </c>
      <c r="C802" s="382" t="s">
        <v>1168</v>
      </c>
      <c r="D802" s="398" t="s">
        <v>549</v>
      </c>
      <c r="E802" s="389"/>
      <c r="F802" s="398" t="s">
        <v>549</v>
      </c>
      <c r="G802" s="387"/>
      <c r="H802" s="387"/>
      <c r="I802" s="387"/>
      <c r="J802" s="387"/>
      <c r="K802" s="378" t="s">
        <v>549</v>
      </c>
      <c r="L802" s="378"/>
      <c r="M802" s="379">
        <f t="shared" ref="M802:M807" si="180">IFERROR(MIN(MAX(0,IF(K802="N/A",0,IF((D802=E802),5,5-QUOTIENT(D802,E802)))), MAX(0,IF(K802="N/A",0,IF((F802=G802),5,5-QUOTIENT(F802,G802))))),0)</f>
        <v>0</v>
      </c>
      <c r="N802" s="378">
        <f t="shared" ref="N802:N807" si="181">IF(K802="N/A", 0, 2)</f>
        <v>0</v>
      </c>
      <c r="O802" s="379">
        <f t="shared" ref="O802:O811" si="182">MAX(M802:N802)</f>
        <v>0</v>
      </c>
      <c r="P802" s="378" t="s">
        <v>1147</v>
      </c>
      <c r="Q802" s="380" t="s">
        <v>1148</v>
      </c>
      <c r="R802" s="378"/>
    </row>
    <row r="803" spans="1:18" outlineLevel="1">
      <c r="A803" s="388"/>
      <c r="B803" s="634"/>
      <c r="C803" s="382" t="s">
        <v>1169</v>
      </c>
      <c r="D803" s="398" t="s">
        <v>549</v>
      </c>
      <c r="E803" s="389"/>
      <c r="F803" s="398" t="s">
        <v>549</v>
      </c>
      <c r="G803" s="387"/>
      <c r="H803" s="387"/>
      <c r="I803" s="387"/>
      <c r="J803" s="387"/>
      <c r="K803" s="378" t="s">
        <v>549</v>
      </c>
      <c r="L803" s="378"/>
      <c r="M803" s="379">
        <f t="shared" si="180"/>
        <v>0</v>
      </c>
      <c r="N803" s="378">
        <f t="shared" si="181"/>
        <v>0</v>
      </c>
      <c r="O803" s="379">
        <f t="shared" si="182"/>
        <v>0</v>
      </c>
      <c r="P803" s="378" t="s">
        <v>1147</v>
      </c>
      <c r="Q803" s="380" t="s">
        <v>1148</v>
      </c>
      <c r="R803" s="378"/>
    </row>
    <row r="804" spans="1:18" outlineLevel="1">
      <c r="A804" s="388"/>
      <c r="B804" s="642" t="s">
        <v>1218</v>
      </c>
      <c r="C804" s="382" t="s">
        <v>1168</v>
      </c>
      <c r="D804" s="398" t="s">
        <v>549</v>
      </c>
      <c r="E804" s="389"/>
      <c r="F804" s="398" t="s">
        <v>549</v>
      </c>
      <c r="G804" s="387"/>
      <c r="H804" s="387"/>
      <c r="I804" s="387"/>
      <c r="J804" s="387"/>
      <c r="K804" s="378" t="s">
        <v>549</v>
      </c>
      <c r="L804" s="378"/>
      <c r="M804" s="379">
        <f t="shared" si="180"/>
        <v>0</v>
      </c>
      <c r="N804" s="378">
        <f t="shared" si="181"/>
        <v>0</v>
      </c>
      <c r="O804" s="379">
        <f t="shared" si="182"/>
        <v>0</v>
      </c>
      <c r="P804" s="378" t="s">
        <v>1147</v>
      </c>
      <c r="Q804" s="380" t="s">
        <v>1148</v>
      </c>
      <c r="R804" s="378"/>
    </row>
    <row r="805" spans="1:18" outlineLevel="1">
      <c r="A805" s="388"/>
      <c r="B805" s="642"/>
      <c r="C805" s="382" t="s">
        <v>1169</v>
      </c>
      <c r="D805" s="398" t="s">
        <v>549</v>
      </c>
      <c r="E805" s="389"/>
      <c r="F805" s="398" t="s">
        <v>549</v>
      </c>
      <c r="G805" s="387"/>
      <c r="H805" s="387"/>
      <c r="I805" s="387"/>
      <c r="J805" s="387"/>
      <c r="K805" s="378" t="s">
        <v>549</v>
      </c>
      <c r="L805" s="378"/>
      <c r="M805" s="379">
        <f t="shared" si="180"/>
        <v>0</v>
      </c>
      <c r="N805" s="378">
        <f t="shared" si="181"/>
        <v>0</v>
      </c>
      <c r="O805" s="379">
        <f t="shared" si="182"/>
        <v>0</v>
      </c>
      <c r="P805" s="378" t="s">
        <v>1147</v>
      </c>
      <c r="Q805" s="380" t="s">
        <v>1148</v>
      </c>
      <c r="R805" s="378"/>
    </row>
    <row r="806" spans="1:18" outlineLevel="1">
      <c r="A806" s="388"/>
      <c r="B806" s="642" t="s">
        <v>1219</v>
      </c>
      <c r="C806" s="382" t="s">
        <v>1168</v>
      </c>
      <c r="D806" s="398" t="s">
        <v>549</v>
      </c>
      <c r="E806" s="389"/>
      <c r="F806" s="398" t="s">
        <v>549</v>
      </c>
      <c r="G806" s="387"/>
      <c r="H806" s="387"/>
      <c r="I806" s="387"/>
      <c r="J806" s="387"/>
      <c r="K806" s="378" t="s">
        <v>549</v>
      </c>
      <c r="L806" s="378"/>
      <c r="M806" s="379">
        <f t="shared" si="180"/>
        <v>0</v>
      </c>
      <c r="N806" s="378">
        <f t="shared" si="181"/>
        <v>0</v>
      </c>
      <c r="O806" s="379">
        <f t="shared" si="182"/>
        <v>0</v>
      </c>
      <c r="P806" s="378" t="s">
        <v>1147</v>
      </c>
      <c r="Q806" s="380" t="s">
        <v>1148</v>
      </c>
      <c r="R806" s="378"/>
    </row>
    <row r="807" spans="1:18" outlineLevel="1">
      <c r="A807" s="388"/>
      <c r="B807" s="642"/>
      <c r="C807" s="382" t="s">
        <v>1169</v>
      </c>
      <c r="D807" s="398" t="s">
        <v>549</v>
      </c>
      <c r="E807" s="389"/>
      <c r="F807" s="398" t="s">
        <v>549</v>
      </c>
      <c r="G807" s="387"/>
      <c r="H807" s="387"/>
      <c r="I807" s="387"/>
      <c r="J807" s="387"/>
      <c r="K807" s="378" t="s">
        <v>549</v>
      </c>
      <c r="L807" s="378"/>
      <c r="M807" s="379">
        <f t="shared" si="180"/>
        <v>0</v>
      </c>
      <c r="N807" s="378">
        <f t="shared" si="181"/>
        <v>0</v>
      </c>
      <c r="O807" s="379">
        <f t="shared" si="182"/>
        <v>0</v>
      </c>
      <c r="P807" s="378" t="s">
        <v>1147</v>
      </c>
      <c r="Q807" s="380" t="s">
        <v>1148</v>
      </c>
      <c r="R807" s="378"/>
    </row>
    <row r="808" spans="1:18" outlineLevel="1">
      <c r="A808" s="388" t="s">
        <v>1220</v>
      </c>
      <c r="B808" s="381"/>
      <c r="C808" s="382"/>
      <c r="D808" s="398"/>
      <c r="E808" s="389"/>
      <c r="F808" s="398"/>
      <c r="G808" s="387"/>
      <c r="H808" s="387"/>
      <c r="I808" s="387"/>
      <c r="J808" s="387"/>
      <c r="K808" s="378"/>
      <c r="L808" s="378"/>
      <c r="M808" s="379">
        <f>M809</f>
        <v>0</v>
      </c>
      <c r="N808" s="378">
        <f>N809</f>
        <v>2</v>
      </c>
      <c r="O808" s="379">
        <f t="shared" si="182"/>
        <v>2</v>
      </c>
      <c r="P808" s="378" t="s">
        <v>1147</v>
      </c>
      <c r="Q808" s="380" t="s">
        <v>1148</v>
      </c>
      <c r="R808" s="378"/>
    </row>
    <row r="809" spans="1:18" outlineLevel="1">
      <c r="A809" s="406"/>
      <c r="B809" s="388" t="s">
        <v>1221</v>
      </c>
      <c r="C809" s="382" t="s">
        <v>1222</v>
      </c>
      <c r="D809" s="387">
        <v>0.95</v>
      </c>
      <c r="E809" s="389"/>
      <c r="F809" s="398">
        <v>0.9</v>
      </c>
      <c r="G809" s="387"/>
      <c r="H809" s="387"/>
      <c r="I809" s="387"/>
      <c r="J809" s="387"/>
      <c r="K809" s="378">
        <v>1</v>
      </c>
      <c r="L809" s="378"/>
      <c r="M809" s="379">
        <f>IFERROR(MIN(MAX(0,IF(K809="N/A",0,IF((D809=E809),5,5-QUOTIENT(D809,E809)))), MAX(0,IF(K809="N/A",0,IF((F809=G809),5,5-QUOTIENT(F809,G809))))),0)</f>
        <v>0</v>
      </c>
      <c r="N809" s="378">
        <f>IF(K809="N/A", 1, 2)</f>
        <v>2</v>
      </c>
      <c r="O809" s="379">
        <f t="shared" si="182"/>
        <v>2</v>
      </c>
      <c r="P809" s="378" t="s">
        <v>1147</v>
      </c>
      <c r="Q809" s="380" t="s">
        <v>1148</v>
      </c>
      <c r="R809" s="378"/>
    </row>
    <row r="810" spans="1:18" outlineLevel="1">
      <c r="A810" s="388" t="s">
        <v>1223</v>
      </c>
      <c r="B810" s="381"/>
      <c r="C810" s="382"/>
      <c r="D810" s="398"/>
      <c r="E810" s="389"/>
      <c r="F810" s="398"/>
      <c r="G810" s="387"/>
      <c r="H810" s="387"/>
      <c r="I810" s="387"/>
      <c r="J810" s="387"/>
      <c r="K810" s="378"/>
      <c r="L810" s="378"/>
      <c r="M810" s="379">
        <f>M811</f>
        <v>0</v>
      </c>
      <c r="N810" s="378">
        <f>N811</f>
        <v>2</v>
      </c>
      <c r="O810" s="379">
        <f t="shared" si="182"/>
        <v>2</v>
      </c>
      <c r="P810" s="378" t="s">
        <v>1147</v>
      </c>
      <c r="Q810" s="380" t="s">
        <v>1148</v>
      </c>
      <c r="R810" s="378"/>
    </row>
    <row r="811" spans="1:18" outlineLevel="1">
      <c r="A811" s="406"/>
      <c r="B811" s="388" t="s">
        <v>1224</v>
      </c>
      <c r="C811" s="382" t="s">
        <v>1222</v>
      </c>
      <c r="D811" s="387">
        <v>0.95</v>
      </c>
      <c r="E811" s="389"/>
      <c r="F811" s="398">
        <v>0.9</v>
      </c>
      <c r="G811" s="387"/>
      <c r="H811" s="387"/>
      <c r="I811" s="387"/>
      <c r="J811" s="387"/>
      <c r="K811" s="378">
        <v>1</v>
      </c>
      <c r="L811" s="378"/>
      <c r="M811" s="379">
        <f>IFERROR(MIN(MAX(0,IF(K811="N/A",0,IF((D811=E811),5,5-QUOTIENT(D811,E811)))), MAX(0,IF(K811="N/A",0,IF((F811=G811),5,5-QUOTIENT(F811,G811))))),0)</f>
        <v>0</v>
      </c>
      <c r="N811" s="378">
        <f>IF(K811="N/A", 1, 2)</f>
        <v>2</v>
      </c>
      <c r="O811" s="379">
        <f t="shared" si="182"/>
        <v>2</v>
      </c>
      <c r="P811" s="378" t="s">
        <v>1147</v>
      </c>
      <c r="Q811" s="380" t="s">
        <v>1148</v>
      </c>
      <c r="R811" s="378"/>
    </row>
    <row r="812" spans="1:18" outlineLevel="1">
      <c r="A812" s="388" t="s">
        <v>1225</v>
      </c>
      <c r="B812" s="381"/>
      <c r="C812" s="382"/>
      <c r="D812" s="398"/>
      <c r="E812" s="389"/>
      <c r="F812" s="398"/>
      <c r="G812" s="387"/>
      <c r="H812" s="387"/>
      <c r="I812" s="387"/>
      <c r="J812" s="387"/>
      <c r="K812" s="378"/>
      <c r="L812" s="378"/>
      <c r="M812" s="379">
        <f>M813</f>
        <v>0</v>
      </c>
      <c r="N812" s="378">
        <f>N813</f>
        <v>1</v>
      </c>
      <c r="O812" s="379">
        <f>MAX(M812:N812)</f>
        <v>1</v>
      </c>
      <c r="P812" s="378" t="s">
        <v>1147</v>
      </c>
      <c r="Q812" s="380" t="s">
        <v>1148</v>
      </c>
      <c r="R812" s="378"/>
    </row>
    <row r="813" spans="1:18" outlineLevel="1">
      <c r="A813" s="406"/>
      <c r="B813" s="388" t="s">
        <v>1226</v>
      </c>
      <c r="C813" s="382" t="s">
        <v>1222</v>
      </c>
      <c r="D813" s="387">
        <v>0.95</v>
      </c>
      <c r="E813" s="389"/>
      <c r="F813" s="398">
        <v>0.9</v>
      </c>
      <c r="G813" s="387"/>
      <c r="H813" s="387"/>
      <c r="I813" s="387"/>
      <c r="J813" s="387"/>
      <c r="K813" s="378" t="s">
        <v>549</v>
      </c>
      <c r="L813" s="378"/>
      <c r="M813" s="379">
        <f>IFERROR(MIN(MAX(0,IF(K813="N/A",0,IF((D813=E813),5,5-QUOTIENT(D813,E813)))), MAX(0,IF(K813="N/A",0,IF((F813=G813),5,5-QUOTIENT(F813,G813))))),0)</f>
        <v>0</v>
      </c>
      <c r="N813" s="378">
        <f>IF(K813="N/A", 1, 2)</f>
        <v>1</v>
      </c>
      <c r="O813" s="379">
        <f t="shared" ref="O813" si="183">MAX(M813:N813)</f>
        <v>1</v>
      </c>
      <c r="P813" s="378" t="s">
        <v>1147</v>
      </c>
      <c r="Q813" s="380" t="s">
        <v>1148</v>
      </c>
      <c r="R813" s="378"/>
    </row>
    <row r="814" spans="1:18" outlineLevel="1">
      <c r="A814" s="388" t="s">
        <v>1227</v>
      </c>
      <c r="B814" s="381"/>
      <c r="C814" s="382"/>
      <c r="D814" s="398"/>
      <c r="E814" s="389"/>
      <c r="F814" s="398"/>
      <c r="G814" s="387"/>
      <c r="H814" s="387"/>
      <c r="I814" s="387"/>
      <c r="J814" s="387"/>
      <c r="K814" s="378"/>
      <c r="L814" s="378"/>
      <c r="M814" s="379">
        <f>M815</f>
        <v>0</v>
      </c>
      <c r="N814" s="378">
        <f>N815</f>
        <v>1</v>
      </c>
      <c r="O814" s="379">
        <f>MAX(M814:N814)</f>
        <v>1</v>
      </c>
      <c r="P814" s="378" t="s">
        <v>1147</v>
      </c>
      <c r="Q814" s="380" t="s">
        <v>1148</v>
      </c>
      <c r="R814" s="378"/>
    </row>
    <row r="815" spans="1:18" outlineLevel="1">
      <c r="A815" s="406"/>
      <c r="B815" s="388" t="s">
        <v>1228</v>
      </c>
      <c r="C815" s="382" t="s">
        <v>1222</v>
      </c>
      <c r="D815" s="387">
        <v>0.95</v>
      </c>
      <c r="E815" s="389"/>
      <c r="F815" s="398">
        <v>0.9</v>
      </c>
      <c r="G815" s="387"/>
      <c r="H815" s="387"/>
      <c r="I815" s="387"/>
      <c r="J815" s="387"/>
      <c r="K815" s="378" t="s">
        <v>549</v>
      </c>
      <c r="L815" s="378"/>
      <c r="M815" s="379">
        <f>IFERROR(MIN(MAX(0,IF(K815="N/A",0,IF((D815=E815),5,5-QUOTIENT(D815,E815)))), MAX(0,IF(K815="N/A",0,IF((F815=G815),5,5-QUOTIENT(F815,G815))))),0)</f>
        <v>0</v>
      </c>
      <c r="N815" s="378">
        <f>IF(K815="N/A", 1, 2)</f>
        <v>1</v>
      </c>
      <c r="O815" s="379">
        <f t="shared" ref="O815" si="184">MAX(M815:N815)</f>
        <v>1</v>
      </c>
      <c r="P815" s="378" t="s">
        <v>1147</v>
      </c>
      <c r="Q815" s="380" t="s">
        <v>1148</v>
      </c>
      <c r="R815" s="378"/>
    </row>
    <row r="816" spans="1:18" outlineLevel="1">
      <c r="A816" s="388" t="s">
        <v>1229</v>
      </c>
      <c r="B816" s="381"/>
      <c r="C816" s="382"/>
      <c r="D816" s="398"/>
      <c r="E816" s="389"/>
      <c r="F816" s="398"/>
      <c r="G816" s="387"/>
      <c r="H816" s="387"/>
      <c r="I816" s="387"/>
      <c r="J816" s="387"/>
      <c r="K816" s="378"/>
      <c r="L816" s="378"/>
      <c r="M816" s="379">
        <f>M817</f>
        <v>0</v>
      </c>
      <c r="N816" s="378">
        <f>N817</f>
        <v>2</v>
      </c>
      <c r="O816" s="379">
        <f>MAX(M816:N816)</f>
        <v>2</v>
      </c>
      <c r="P816" s="378" t="s">
        <v>1147</v>
      </c>
      <c r="Q816" s="380" t="s">
        <v>1148</v>
      </c>
      <c r="R816" s="378"/>
    </row>
    <row r="817" spans="1:18" outlineLevel="1">
      <c r="A817" s="406"/>
      <c r="B817" s="388" t="s">
        <v>1230</v>
      </c>
      <c r="C817" s="382" t="s">
        <v>1222</v>
      </c>
      <c r="D817" s="387">
        <v>0.95</v>
      </c>
      <c r="E817" s="389"/>
      <c r="F817" s="398">
        <v>0.9</v>
      </c>
      <c r="G817" s="387"/>
      <c r="H817" s="387"/>
      <c r="I817" s="387"/>
      <c r="J817" s="387"/>
      <c r="K817" s="378">
        <v>1</v>
      </c>
      <c r="L817" s="378"/>
      <c r="M817" s="379">
        <f>IFERROR(MIN(MAX(0,IF(K817="N/A",0,IF((D817=E817),5,5-QUOTIENT(D817,E817)))), MAX(0,IF(K817="N/A",0,IF((F817=G817),5,5-QUOTIENT(F817,G817))))),0)</f>
        <v>0</v>
      </c>
      <c r="N817" s="378">
        <f>IF(K817="N/A", 1, 2)</f>
        <v>2</v>
      </c>
      <c r="O817" s="379">
        <f t="shared" ref="O817" si="185">MAX(M817:N817)</f>
        <v>2</v>
      </c>
      <c r="P817" s="378" t="s">
        <v>1147</v>
      </c>
      <c r="Q817" s="380" t="s">
        <v>1148</v>
      </c>
      <c r="R817" s="378"/>
    </row>
    <row r="818" spans="1:18" outlineLevel="1">
      <c r="A818" s="388" t="s">
        <v>1231</v>
      </c>
      <c r="B818" s="381"/>
      <c r="C818" s="382"/>
      <c r="D818" s="398"/>
      <c r="E818" s="389"/>
      <c r="F818" s="398"/>
      <c r="G818" s="387"/>
      <c r="H818" s="387"/>
      <c r="I818" s="387"/>
      <c r="J818" s="387"/>
      <c r="K818" s="378"/>
      <c r="L818" s="378"/>
      <c r="M818" s="379">
        <f>IFERROR(MIN(M819:M825),0)</f>
        <v>0</v>
      </c>
      <c r="N818" s="378">
        <f>N819</f>
        <v>1</v>
      </c>
      <c r="O818" s="379">
        <f>MAX(M818:N818)</f>
        <v>1</v>
      </c>
      <c r="P818" s="378" t="s">
        <v>1147</v>
      </c>
      <c r="Q818" s="380" t="s">
        <v>1148</v>
      </c>
      <c r="R818" s="378"/>
    </row>
    <row r="819" spans="1:18" outlineLevel="1">
      <c r="A819" s="394"/>
      <c r="B819" s="636" t="s">
        <v>1179</v>
      </c>
      <c r="C819" s="382" t="s">
        <v>1232</v>
      </c>
      <c r="D819" s="387">
        <v>0.5</v>
      </c>
      <c r="E819" s="399"/>
      <c r="F819" s="387">
        <v>0.5</v>
      </c>
      <c r="G819" s="387"/>
      <c r="H819" s="387"/>
      <c r="I819" s="387"/>
      <c r="J819" s="387"/>
      <c r="K819" s="378" t="s">
        <v>549</v>
      </c>
      <c r="L819" s="378"/>
      <c r="M819" s="379">
        <f t="shared" ref="M819:M825" si="186">IFERROR(MIN(MAX(0,IF(K819="N/A",0,IF((D819=E819),5,5-QUOTIENT(D819,E819)))), MAX(0,IF(K819="N/A",0,IF((F819=G819),5,5-QUOTIENT(F819,G819))))),0)</f>
        <v>0</v>
      </c>
      <c r="N819" s="378">
        <f>IF(K819="N/A", 1, 2)</f>
        <v>1</v>
      </c>
      <c r="O819" s="379">
        <f t="shared" ref="O819:O829" si="187">MAX(M819:N819)</f>
        <v>1</v>
      </c>
      <c r="P819" s="378" t="s">
        <v>1147</v>
      </c>
      <c r="Q819" s="380" t="s">
        <v>1148</v>
      </c>
      <c r="R819" s="378"/>
    </row>
    <row r="820" spans="1:18" outlineLevel="1">
      <c r="A820" s="394"/>
      <c r="B820" s="637"/>
      <c r="C820" s="382" t="s">
        <v>1233</v>
      </c>
      <c r="D820" s="387">
        <v>0.5</v>
      </c>
      <c r="E820" s="399"/>
      <c r="F820" s="387">
        <v>0.5</v>
      </c>
      <c r="G820" s="387"/>
      <c r="H820" s="387"/>
      <c r="I820" s="387"/>
      <c r="J820" s="387"/>
      <c r="K820" s="378" t="s">
        <v>549</v>
      </c>
      <c r="L820" s="378"/>
      <c r="M820" s="379">
        <f t="shared" si="186"/>
        <v>0</v>
      </c>
      <c r="N820" s="378">
        <f t="shared" ref="N820:N825" si="188">IF(K820="N/A", 1, 2)</f>
        <v>1</v>
      </c>
      <c r="O820" s="379">
        <f t="shared" si="187"/>
        <v>1</v>
      </c>
      <c r="P820" s="378" t="s">
        <v>1147</v>
      </c>
      <c r="Q820" s="380" t="s">
        <v>1148</v>
      </c>
      <c r="R820" s="378"/>
    </row>
    <row r="821" spans="1:18" outlineLevel="1">
      <c r="A821" s="394"/>
      <c r="B821" s="637"/>
      <c r="C821" s="382" t="s">
        <v>1234</v>
      </c>
      <c r="D821" s="387">
        <v>0.5</v>
      </c>
      <c r="E821" s="399"/>
      <c r="F821" s="387">
        <v>0.5</v>
      </c>
      <c r="G821" s="387"/>
      <c r="H821" s="387"/>
      <c r="I821" s="387"/>
      <c r="J821" s="387"/>
      <c r="K821" s="378" t="s">
        <v>549</v>
      </c>
      <c r="L821" s="378"/>
      <c r="M821" s="379">
        <f t="shared" si="186"/>
        <v>0</v>
      </c>
      <c r="N821" s="378">
        <f t="shared" si="188"/>
        <v>1</v>
      </c>
      <c r="O821" s="379">
        <f t="shared" si="187"/>
        <v>1</v>
      </c>
      <c r="P821" s="378" t="s">
        <v>1147</v>
      </c>
      <c r="Q821" s="380" t="s">
        <v>1148</v>
      </c>
      <c r="R821" s="378"/>
    </row>
    <row r="822" spans="1:18" outlineLevel="1">
      <c r="A822" s="394"/>
      <c r="B822" s="637"/>
      <c r="C822" s="382" t="s">
        <v>1235</v>
      </c>
      <c r="D822" s="387">
        <v>0.5</v>
      </c>
      <c r="E822" s="399"/>
      <c r="F822" s="387">
        <v>0.5</v>
      </c>
      <c r="G822" s="387"/>
      <c r="H822" s="387"/>
      <c r="I822" s="387"/>
      <c r="J822" s="387"/>
      <c r="K822" s="378" t="s">
        <v>549</v>
      </c>
      <c r="L822" s="378"/>
      <c r="M822" s="379">
        <f t="shared" si="186"/>
        <v>0</v>
      </c>
      <c r="N822" s="378">
        <f t="shared" si="188"/>
        <v>1</v>
      </c>
      <c r="O822" s="379">
        <f t="shared" si="187"/>
        <v>1</v>
      </c>
      <c r="P822" s="378" t="s">
        <v>1147</v>
      </c>
      <c r="Q822" s="380" t="s">
        <v>1148</v>
      </c>
      <c r="R822" s="378"/>
    </row>
    <row r="823" spans="1:18" outlineLevel="1">
      <c r="A823" s="394"/>
      <c r="B823" s="637"/>
      <c r="C823" s="382" t="s">
        <v>1236</v>
      </c>
      <c r="D823" s="387">
        <v>0.5</v>
      </c>
      <c r="E823" s="399"/>
      <c r="F823" s="387">
        <v>0.5</v>
      </c>
      <c r="G823" s="387"/>
      <c r="H823" s="387"/>
      <c r="I823" s="387"/>
      <c r="J823" s="387"/>
      <c r="K823" s="378" t="s">
        <v>549</v>
      </c>
      <c r="L823" s="378"/>
      <c r="M823" s="379">
        <f t="shared" si="186"/>
        <v>0</v>
      </c>
      <c r="N823" s="378">
        <f t="shared" si="188"/>
        <v>1</v>
      </c>
      <c r="O823" s="379">
        <f t="shared" si="187"/>
        <v>1</v>
      </c>
      <c r="P823" s="378" t="s">
        <v>1147</v>
      </c>
      <c r="Q823" s="380" t="s">
        <v>1148</v>
      </c>
      <c r="R823" s="378"/>
    </row>
    <row r="824" spans="1:18" outlineLevel="1">
      <c r="A824" s="394"/>
      <c r="B824" s="637"/>
      <c r="C824" s="382" t="s">
        <v>1237</v>
      </c>
      <c r="D824" s="387">
        <v>0.5</v>
      </c>
      <c r="E824" s="399"/>
      <c r="F824" s="387">
        <v>0.5</v>
      </c>
      <c r="G824" s="387"/>
      <c r="H824" s="387"/>
      <c r="I824" s="387"/>
      <c r="J824" s="387"/>
      <c r="K824" s="378" t="s">
        <v>549</v>
      </c>
      <c r="L824" s="378"/>
      <c r="M824" s="379">
        <f t="shared" si="186"/>
        <v>0</v>
      </c>
      <c r="N824" s="378">
        <f t="shared" si="188"/>
        <v>1</v>
      </c>
      <c r="O824" s="379">
        <f t="shared" si="187"/>
        <v>1</v>
      </c>
      <c r="P824" s="378" t="s">
        <v>1147</v>
      </c>
      <c r="Q824" s="380" t="s">
        <v>1148</v>
      </c>
      <c r="R824" s="378"/>
    </row>
    <row r="825" spans="1:18" outlineLevel="1">
      <c r="A825" s="394"/>
      <c r="B825" s="638"/>
      <c r="C825" s="382" t="s">
        <v>1238</v>
      </c>
      <c r="D825" s="387">
        <v>0.5</v>
      </c>
      <c r="E825" s="399"/>
      <c r="F825" s="387">
        <v>0.5</v>
      </c>
      <c r="G825" s="387"/>
      <c r="H825" s="387"/>
      <c r="I825" s="387"/>
      <c r="J825" s="387"/>
      <c r="K825" s="378" t="s">
        <v>549</v>
      </c>
      <c r="L825" s="378"/>
      <c r="M825" s="379">
        <f t="shared" si="186"/>
        <v>0</v>
      </c>
      <c r="N825" s="378">
        <f t="shared" si="188"/>
        <v>1</v>
      </c>
      <c r="O825" s="379">
        <f t="shared" si="187"/>
        <v>1</v>
      </c>
      <c r="P825" s="378" t="s">
        <v>1147</v>
      </c>
      <c r="Q825" s="380" t="s">
        <v>1148</v>
      </c>
      <c r="R825" s="378"/>
    </row>
    <row r="826" spans="1:18" outlineLevel="1">
      <c r="A826" s="388" t="s">
        <v>1239</v>
      </c>
      <c r="B826" s="381"/>
      <c r="C826" s="382"/>
      <c r="D826" s="398"/>
      <c r="E826" s="389"/>
      <c r="F826" s="398"/>
      <c r="G826" s="387"/>
      <c r="H826" s="387"/>
      <c r="I826" s="387"/>
      <c r="J826" s="387"/>
      <c r="K826" s="378"/>
      <c r="L826" s="378"/>
      <c r="M826" s="379">
        <f>M827</f>
        <v>0</v>
      </c>
      <c r="N826" s="378">
        <f>N827</f>
        <v>1</v>
      </c>
      <c r="O826" s="379">
        <f t="shared" si="187"/>
        <v>1</v>
      </c>
      <c r="P826" s="378" t="s">
        <v>1147</v>
      </c>
      <c r="Q826" s="380" t="s">
        <v>1148</v>
      </c>
      <c r="R826" s="378"/>
    </row>
    <row r="827" spans="1:18" outlineLevel="1">
      <c r="A827" s="406"/>
      <c r="B827" s="388" t="s">
        <v>1240</v>
      </c>
      <c r="C827" s="382" t="s">
        <v>1222</v>
      </c>
      <c r="D827" s="387">
        <v>0.95</v>
      </c>
      <c r="E827" s="389"/>
      <c r="F827" s="398">
        <v>0.9</v>
      </c>
      <c r="G827" s="387"/>
      <c r="H827" s="387"/>
      <c r="I827" s="387"/>
      <c r="J827" s="387"/>
      <c r="K827" s="378" t="s">
        <v>549</v>
      </c>
      <c r="L827" s="378"/>
      <c r="M827" s="379">
        <f>IFERROR(MIN(MAX(0,IF(K827="N/A",0,IF((D827=E827),5,5-QUOTIENT(D827,E827)))), MAX(0,IF(K827="N/A",0,IF((F827=G827),5,5-QUOTIENT(F827,G827))))),0)</f>
        <v>0</v>
      </c>
      <c r="N827" s="378">
        <f>IF(K827="N/A", 1, 2)</f>
        <v>1</v>
      </c>
      <c r="O827" s="379">
        <f t="shared" si="187"/>
        <v>1</v>
      </c>
      <c r="P827" s="378" t="s">
        <v>1147</v>
      </c>
      <c r="Q827" s="380" t="s">
        <v>1148</v>
      </c>
      <c r="R827" s="378"/>
    </row>
    <row r="828" spans="1:18" outlineLevel="1">
      <c r="A828" s="388" t="s">
        <v>1241</v>
      </c>
      <c r="B828" s="381"/>
      <c r="C828" s="382"/>
      <c r="D828" s="398"/>
      <c r="E828" s="389"/>
      <c r="F828" s="398"/>
      <c r="G828" s="387"/>
      <c r="H828" s="387"/>
      <c r="I828" s="387"/>
      <c r="J828" s="387"/>
      <c r="K828" s="378"/>
      <c r="L828" s="378"/>
      <c r="M828" s="379">
        <f>M829</f>
        <v>0</v>
      </c>
      <c r="N828" s="378">
        <f>N829</f>
        <v>2</v>
      </c>
      <c r="O828" s="379">
        <f t="shared" si="187"/>
        <v>2</v>
      </c>
      <c r="P828" s="378" t="s">
        <v>1147</v>
      </c>
      <c r="Q828" s="380" t="s">
        <v>1148</v>
      </c>
      <c r="R828" s="378"/>
    </row>
    <row r="829" spans="1:18" outlineLevel="1">
      <c r="A829" s="406"/>
      <c r="B829" s="388" t="s">
        <v>1242</v>
      </c>
      <c r="C829" s="382" t="s">
        <v>1222</v>
      </c>
      <c r="D829" s="387">
        <v>0.95</v>
      </c>
      <c r="E829" s="389"/>
      <c r="F829" s="398">
        <v>0.9</v>
      </c>
      <c r="G829" s="387"/>
      <c r="H829" s="387"/>
      <c r="I829" s="387"/>
      <c r="J829" s="387"/>
      <c r="K829" s="378">
        <v>1</v>
      </c>
      <c r="L829" s="378"/>
      <c r="M829" s="379">
        <f>IFERROR(MIN(MAX(0,IF(K829="N/A",0,IF((D829=E829),5,5-QUOTIENT(D829,E829)))), MAX(0,IF(K829="N/A",0,IF((F829=G829),5,5-QUOTIENT(F829,G829))))),0)</f>
        <v>0</v>
      </c>
      <c r="N829" s="378">
        <f>IF(K829="N/A", 1, 2)</f>
        <v>2</v>
      </c>
      <c r="O829" s="379">
        <f t="shared" si="187"/>
        <v>2</v>
      </c>
      <c r="P829" s="378" t="s">
        <v>1147</v>
      </c>
      <c r="Q829" s="380" t="s">
        <v>1148</v>
      </c>
      <c r="R829" s="378"/>
    </row>
    <row r="830" spans="1:18" outlineLevel="1">
      <c r="A830" s="388" t="s">
        <v>1243</v>
      </c>
      <c r="B830" s="381"/>
      <c r="C830" s="382"/>
      <c r="D830" s="398"/>
      <c r="E830" s="389"/>
      <c r="F830" s="398"/>
      <c r="G830" s="387"/>
      <c r="H830" s="387"/>
      <c r="I830" s="387"/>
      <c r="J830" s="387"/>
      <c r="K830" s="378"/>
      <c r="L830" s="378"/>
      <c r="M830" s="379">
        <f>IFERROR(MIN(M831:M837),0)</f>
        <v>0</v>
      </c>
      <c r="N830" s="378">
        <f>N831</f>
        <v>1</v>
      </c>
      <c r="O830" s="379">
        <f>MAX(M830:N830)</f>
        <v>1</v>
      </c>
      <c r="P830" s="378" t="s">
        <v>1147</v>
      </c>
      <c r="Q830" s="380" t="s">
        <v>1148</v>
      </c>
      <c r="R830" s="378"/>
    </row>
    <row r="831" spans="1:18" outlineLevel="1">
      <c r="A831" s="394"/>
      <c r="B831" s="636" t="s">
        <v>1179</v>
      </c>
      <c r="C831" s="382" t="s">
        <v>1232</v>
      </c>
      <c r="D831" s="387">
        <v>0.5</v>
      </c>
      <c r="E831" s="399"/>
      <c r="F831" s="387">
        <v>0.5</v>
      </c>
      <c r="G831" s="387"/>
      <c r="H831" s="387"/>
      <c r="I831" s="387"/>
      <c r="J831" s="387"/>
      <c r="K831" s="378" t="s">
        <v>549</v>
      </c>
      <c r="L831" s="378"/>
      <c r="M831" s="379">
        <f t="shared" ref="M831:M837" si="189">IFERROR(MIN(MAX(0,IF(K831="N/A",0,IF((D831=E831),5,5-QUOTIENT(D831,E831)))), MAX(0,IF(K831="N/A",0,IF((F831=G831),5,5-QUOTIENT(F831,G831))))),0)</f>
        <v>0</v>
      </c>
      <c r="N831" s="378">
        <f>IF(K831="N/A", 1, 2)</f>
        <v>1</v>
      </c>
      <c r="O831" s="379">
        <f t="shared" ref="O831:O849" si="190">MAX(M831:N831)</f>
        <v>1</v>
      </c>
      <c r="P831" s="378" t="s">
        <v>1147</v>
      </c>
      <c r="Q831" s="380" t="s">
        <v>1148</v>
      </c>
      <c r="R831" s="378"/>
    </row>
    <row r="832" spans="1:18" outlineLevel="1">
      <c r="A832" s="394"/>
      <c r="B832" s="637"/>
      <c r="C832" s="382" t="s">
        <v>1233</v>
      </c>
      <c r="D832" s="387">
        <v>0.5</v>
      </c>
      <c r="E832" s="399"/>
      <c r="F832" s="387">
        <v>0.5</v>
      </c>
      <c r="G832" s="387"/>
      <c r="H832" s="387"/>
      <c r="I832" s="387"/>
      <c r="J832" s="387"/>
      <c r="K832" s="378" t="s">
        <v>549</v>
      </c>
      <c r="L832" s="378"/>
      <c r="M832" s="379">
        <f t="shared" si="189"/>
        <v>0</v>
      </c>
      <c r="N832" s="378">
        <f t="shared" ref="N832:N837" si="191">IF(K832="N/A", 1, 2)</f>
        <v>1</v>
      </c>
      <c r="O832" s="379">
        <f t="shared" si="190"/>
        <v>1</v>
      </c>
      <c r="P832" s="378" t="s">
        <v>1147</v>
      </c>
      <c r="Q832" s="380" t="s">
        <v>1148</v>
      </c>
      <c r="R832" s="378"/>
    </row>
    <row r="833" spans="1:18" outlineLevel="1">
      <c r="A833" s="394"/>
      <c r="B833" s="637"/>
      <c r="C833" s="382" t="s">
        <v>1234</v>
      </c>
      <c r="D833" s="387">
        <v>0.5</v>
      </c>
      <c r="E833" s="399"/>
      <c r="F833" s="387">
        <v>0.5</v>
      </c>
      <c r="G833" s="387"/>
      <c r="H833" s="387"/>
      <c r="I833" s="387"/>
      <c r="J833" s="387"/>
      <c r="K833" s="378" t="s">
        <v>549</v>
      </c>
      <c r="L833" s="378"/>
      <c r="M833" s="379">
        <f t="shared" si="189"/>
        <v>0</v>
      </c>
      <c r="N833" s="378">
        <f t="shared" si="191"/>
        <v>1</v>
      </c>
      <c r="O833" s="379">
        <f t="shared" si="190"/>
        <v>1</v>
      </c>
      <c r="P833" s="378" t="s">
        <v>1147</v>
      </c>
      <c r="Q833" s="380" t="s">
        <v>1148</v>
      </c>
      <c r="R833" s="378"/>
    </row>
    <row r="834" spans="1:18" outlineLevel="1">
      <c r="A834" s="394"/>
      <c r="B834" s="637"/>
      <c r="C834" s="382" t="s">
        <v>1235</v>
      </c>
      <c r="D834" s="387">
        <v>0.5</v>
      </c>
      <c r="E834" s="399"/>
      <c r="F834" s="387">
        <v>0.5</v>
      </c>
      <c r="G834" s="387"/>
      <c r="H834" s="387"/>
      <c r="I834" s="387"/>
      <c r="J834" s="387"/>
      <c r="K834" s="378" t="s">
        <v>549</v>
      </c>
      <c r="L834" s="378"/>
      <c r="M834" s="379">
        <f t="shared" si="189"/>
        <v>0</v>
      </c>
      <c r="N834" s="378">
        <f t="shared" si="191"/>
        <v>1</v>
      </c>
      <c r="O834" s="379">
        <f t="shared" si="190"/>
        <v>1</v>
      </c>
      <c r="P834" s="378" t="s">
        <v>1147</v>
      </c>
      <c r="Q834" s="380" t="s">
        <v>1148</v>
      </c>
      <c r="R834" s="378"/>
    </row>
    <row r="835" spans="1:18" outlineLevel="1">
      <c r="A835" s="394"/>
      <c r="B835" s="637"/>
      <c r="C835" s="382" t="s">
        <v>1236</v>
      </c>
      <c r="D835" s="387">
        <v>0.5</v>
      </c>
      <c r="E835" s="399"/>
      <c r="F835" s="387">
        <v>0.5</v>
      </c>
      <c r="G835" s="387"/>
      <c r="H835" s="387"/>
      <c r="I835" s="387"/>
      <c r="J835" s="387"/>
      <c r="K835" s="378" t="s">
        <v>549</v>
      </c>
      <c r="L835" s="378"/>
      <c r="M835" s="379">
        <f t="shared" si="189"/>
        <v>0</v>
      </c>
      <c r="N835" s="378">
        <f t="shared" si="191"/>
        <v>1</v>
      </c>
      <c r="O835" s="379">
        <f t="shared" si="190"/>
        <v>1</v>
      </c>
      <c r="P835" s="378" t="s">
        <v>1147</v>
      </c>
      <c r="Q835" s="380" t="s">
        <v>1148</v>
      </c>
      <c r="R835" s="378"/>
    </row>
    <row r="836" spans="1:18" outlineLevel="1">
      <c r="A836" s="394"/>
      <c r="B836" s="637"/>
      <c r="C836" s="382" t="s">
        <v>1237</v>
      </c>
      <c r="D836" s="387">
        <v>0.5</v>
      </c>
      <c r="E836" s="399"/>
      <c r="F836" s="387">
        <v>0.5</v>
      </c>
      <c r="G836" s="387"/>
      <c r="H836" s="387"/>
      <c r="I836" s="387"/>
      <c r="J836" s="387"/>
      <c r="K836" s="378" t="s">
        <v>549</v>
      </c>
      <c r="L836" s="378"/>
      <c r="M836" s="379">
        <f t="shared" si="189"/>
        <v>0</v>
      </c>
      <c r="N836" s="378">
        <f t="shared" si="191"/>
        <v>1</v>
      </c>
      <c r="O836" s="379">
        <f t="shared" si="190"/>
        <v>1</v>
      </c>
      <c r="P836" s="378" t="s">
        <v>1147</v>
      </c>
      <c r="Q836" s="380" t="s">
        <v>1148</v>
      </c>
      <c r="R836" s="378"/>
    </row>
    <row r="837" spans="1:18" outlineLevel="1">
      <c r="A837" s="394"/>
      <c r="B837" s="638"/>
      <c r="C837" s="382" t="s">
        <v>1238</v>
      </c>
      <c r="D837" s="387">
        <v>0.5</v>
      </c>
      <c r="E837" s="399"/>
      <c r="F837" s="387">
        <v>0.5</v>
      </c>
      <c r="G837" s="387"/>
      <c r="H837" s="387"/>
      <c r="I837" s="387"/>
      <c r="J837" s="387"/>
      <c r="K837" s="378" t="s">
        <v>549</v>
      </c>
      <c r="L837" s="378"/>
      <c r="M837" s="379">
        <f t="shared" si="189"/>
        <v>0</v>
      </c>
      <c r="N837" s="378">
        <f t="shared" si="191"/>
        <v>1</v>
      </c>
      <c r="O837" s="379">
        <f t="shared" si="190"/>
        <v>1</v>
      </c>
      <c r="P837" s="378" t="s">
        <v>1147</v>
      </c>
      <c r="Q837" s="380" t="s">
        <v>1148</v>
      </c>
      <c r="R837" s="378"/>
    </row>
    <row r="838" spans="1:18" outlineLevel="1">
      <c r="A838" s="388" t="s">
        <v>1244</v>
      </c>
      <c r="B838" s="381"/>
      <c r="C838" s="382"/>
      <c r="D838" s="398"/>
      <c r="E838" s="389"/>
      <c r="F838" s="398"/>
      <c r="G838" s="387"/>
      <c r="H838" s="387"/>
      <c r="I838" s="387"/>
      <c r="J838" s="387"/>
      <c r="K838" s="378"/>
      <c r="L838" s="378"/>
      <c r="M838" s="379">
        <f>IFERROR(MIN(M839:M845),0)</f>
        <v>0</v>
      </c>
      <c r="N838" s="378">
        <f>N839</f>
        <v>1</v>
      </c>
      <c r="O838" s="379">
        <f t="shared" si="190"/>
        <v>1</v>
      </c>
      <c r="P838" s="378" t="s">
        <v>1147</v>
      </c>
      <c r="Q838" s="380" t="s">
        <v>1148</v>
      </c>
      <c r="R838" s="378"/>
    </row>
    <row r="839" spans="1:18" outlineLevel="1">
      <c r="A839" s="394"/>
      <c r="B839" s="636" t="s">
        <v>1245</v>
      </c>
      <c r="C839" s="382" t="s">
        <v>1246</v>
      </c>
      <c r="D839" s="387">
        <v>0.5</v>
      </c>
      <c r="E839" s="399"/>
      <c r="F839" s="387">
        <v>0.5</v>
      </c>
      <c r="G839" s="387"/>
      <c r="H839" s="387"/>
      <c r="I839" s="387"/>
      <c r="J839" s="387"/>
      <c r="K839" s="378" t="s">
        <v>549</v>
      </c>
      <c r="L839" s="378"/>
      <c r="M839" s="379">
        <f t="shared" ref="M839:M845" si="192">IFERROR(MIN(MAX(0,IF(K839="N/A",0,IF((D839=E839),5,5-QUOTIENT(D839,E839)))), MAX(0,IF(K839="N/A",0,IF((F839=G839),5,5-QUOTIENT(F839,G839))))),0)</f>
        <v>0</v>
      </c>
      <c r="N839" s="378">
        <f>IF(K839="N/A", 1, 2)</f>
        <v>1</v>
      </c>
      <c r="O839" s="379">
        <f t="shared" si="190"/>
        <v>1</v>
      </c>
      <c r="P839" s="378" t="s">
        <v>1147</v>
      </c>
      <c r="Q839" s="380" t="s">
        <v>1148</v>
      </c>
      <c r="R839" s="378"/>
    </row>
    <row r="840" spans="1:18" outlineLevel="1">
      <c r="A840" s="394"/>
      <c r="B840" s="637"/>
      <c r="C840" s="382" t="s">
        <v>1247</v>
      </c>
      <c r="D840" s="387">
        <v>0.5</v>
      </c>
      <c r="E840" s="399"/>
      <c r="F840" s="387">
        <v>0.5</v>
      </c>
      <c r="G840" s="387"/>
      <c r="H840" s="387"/>
      <c r="I840" s="387"/>
      <c r="J840" s="387"/>
      <c r="K840" s="378" t="s">
        <v>549</v>
      </c>
      <c r="L840" s="378"/>
      <c r="M840" s="379">
        <f t="shared" si="192"/>
        <v>0</v>
      </c>
      <c r="N840" s="378">
        <f t="shared" ref="N840:N845" si="193">IF(K840="N/A", 1, 2)</f>
        <v>1</v>
      </c>
      <c r="O840" s="379">
        <f t="shared" si="190"/>
        <v>1</v>
      </c>
      <c r="P840" s="378" t="s">
        <v>1147</v>
      </c>
      <c r="Q840" s="380" t="s">
        <v>1148</v>
      </c>
      <c r="R840" s="378"/>
    </row>
    <row r="841" spans="1:18" outlineLevel="1">
      <c r="A841" s="394"/>
      <c r="B841" s="637"/>
      <c r="C841" s="382" t="s">
        <v>1248</v>
      </c>
      <c r="D841" s="387">
        <v>0.5</v>
      </c>
      <c r="E841" s="399"/>
      <c r="F841" s="387">
        <v>0.5</v>
      </c>
      <c r="G841" s="387"/>
      <c r="H841" s="387"/>
      <c r="I841" s="387"/>
      <c r="J841" s="387"/>
      <c r="K841" s="378" t="s">
        <v>549</v>
      </c>
      <c r="L841" s="378"/>
      <c r="M841" s="379">
        <f t="shared" si="192"/>
        <v>0</v>
      </c>
      <c r="N841" s="378">
        <f t="shared" si="193"/>
        <v>1</v>
      </c>
      <c r="O841" s="379">
        <f t="shared" si="190"/>
        <v>1</v>
      </c>
      <c r="P841" s="378" t="s">
        <v>1147</v>
      </c>
      <c r="Q841" s="380" t="s">
        <v>1148</v>
      </c>
      <c r="R841" s="378"/>
    </row>
    <row r="842" spans="1:18" outlineLevel="1">
      <c r="A842" s="394"/>
      <c r="B842" s="637"/>
      <c r="C842" s="382" t="s">
        <v>1249</v>
      </c>
      <c r="D842" s="387">
        <v>0.5</v>
      </c>
      <c r="E842" s="399"/>
      <c r="F842" s="387">
        <v>0.5</v>
      </c>
      <c r="G842" s="387"/>
      <c r="H842" s="387"/>
      <c r="I842" s="387"/>
      <c r="J842" s="387"/>
      <c r="K842" s="378" t="s">
        <v>549</v>
      </c>
      <c r="L842" s="378"/>
      <c r="M842" s="379">
        <f t="shared" si="192"/>
        <v>0</v>
      </c>
      <c r="N842" s="378">
        <f t="shared" si="193"/>
        <v>1</v>
      </c>
      <c r="O842" s="379">
        <f t="shared" si="190"/>
        <v>1</v>
      </c>
      <c r="P842" s="378" t="s">
        <v>1147</v>
      </c>
      <c r="Q842" s="380" t="s">
        <v>1148</v>
      </c>
      <c r="R842" s="378"/>
    </row>
    <row r="843" spans="1:18" outlineLevel="1">
      <c r="A843" s="394"/>
      <c r="B843" s="637"/>
      <c r="C843" s="382" t="s">
        <v>1250</v>
      </c>
      <c r="D843" s="387">
        <v>0.5</v>
      </c>
      <c r="E843" s="399"/>
      <c r="F843" s="387">
        <v>0.5</v>
      </c>
      <c r="G843" s="387"/>
      <c r="H843" s="387"/>
      <c r="I843" s="387"/>
      <c r="J843" s="387"/>
      <c r="K843" s="378" t="s">
        <v>549</v>
      </c>
      <c r="L843" s="378"/>
      <c r="M843" s="379">
        <f t="shared" si="192"/>
        <v>0</v>
      </c>
      <c r="N843" s="378">
        <f t="shared" si="193"/>
        <v>1</v>
      </c>
      <c r="O843" s="379">
        <f t="shared" si="190"/>
        <v>1</v>
      </c>
      <c r="P843" s="378" t="s">
        <v>1147</v>
      </c>
      <c r="Q843" s="380" t="s">
        <v>1148</v>
      </c>
      <c r="R843" s="378"/>
    </row>
    <row r="844" spans="1:18" outlineLevel="1">
      <c r="A844" s="394"/>
      <c r="B844" s="637"/>
      <c r="C844" s="382" t="s">
        <v>1251</v>
      </c>
      <c r="D844" s="387">
        <v>0.5</v>
      </c>
      <c r="E844" s="399"/>
      <c r="F844" s="387">
        <v>0.5</v>
      </c>
      <c r="G844" s="387"/>
      <c r="H844" s="387"/>
      <c r="I844" s="387"/>
      <c r="J844" s="387"/>
      <c r="K844" s="378" t="s">
        <v>549</v>
      </c>
      <c r="L844" s="378"/>
      <c r="M844" s="379">
        <f t="shared" si="192"/>
        <v>0</v>
      </c>
      <c r="N844" s="378">
        <f t="shared" si="193"/>
        <v>1</v>
      </c>
      <c r="O844" s="379">
        <f t="shared" si="190"/>
        <v>1</v>
      </c>
      <c r="P844" s="378" t="s">
        <v>1147</v>
      </c>
      <c r="Q844" s="380" t="s">
        <v>1148</v>
      </c>
      <c r="R844" s="378"/>
    </row>
    <row r="845" spans="1:18" outlineLevel="1">
      <c r="A845" s="394"/>
      <c r="B845" s="638"/>
      <c r="C845" s="382" t="s">
        <v>1252</v>
      </c>
      <c r="D845" s="387">
        <v>0.5</v>
      </c>
      <c r="E845" s="399"/>
      <c r="F845" s="387">
        <v>0.5</v>
      </c>
      <c r="G845" s="387"/>
      <c r="H845" s="387"/>
      <c r="I845" s="387"/>
      <c r="J845" s="387"/>
      <c r="K845" s="378" t="s">
        <v>549</v>
      </c>
      <c r="L845" s="378"/>
      <c r="M845" s="379">
        <f t="shared" si="192"/>
        <v>0</v>
      </c>
      <c r="N845" s="378">
        <f t="shared" si="193"/>
        <v>1</v>
      </c>
      <c r="O845" s="379">
        <f t="shared" si="190"/>
        <v>1</v>
      </c>
      <c r="P845" s="378" t="s">
        <v>1147</v>
      </c>
      <c r="Q845" s="380" t="s">
        <v>1148</v>
      </c>
      <c r="R845" s="378"/>
    </row>
    <row r="846" spans="1:18" outlineLevel="1">
      <c r="A846" s="388" t="s">
        <v>1253</v>
      </c>
      <c r="B846" s="381"/>
      <c r="C846" s="382"/>
      <c r="D846" s="398"/>
      <c r="E846" s="389"/>
      <c r="F846" s="398"/>
      <c r="G846" s="387"/>
      <c r="H846" s="387"/>
      <c r="I846" s="387"/>
      <c r="J846" s="387"/>
      <c r="K846" s="378"/>
      <c r="L846" s="378"/>
      <c r="M846" s="379">
        <f>M847</f>
        <v>0</v>
      </c>
      <c r="N846" s="378">
        <f>N847</f>
        <v>2</v>
      </c>
      <c r="O846" s="379">
        <f t="shared" si="190"/>
        <v>2</v>
      </c>
      <c r="P846" s="378" t="s">
        <v>1147</v>
      </c>
      <c r="Q846" s="380" t="s">
        <v>1148</v>
      </c>
      <c r="R846" s="378"/>
    </row>
    <row r="847" spans="1:18" outlineLevel="1">
      <c r="A847" s="406"/>
      <c r="B847" s="388" t="s">
        <v>1254</v>
      </c>
      <c r="C847" s="382" t="s">
        <v>1222</v>
      </c>
      <c r="D847" s="387">
        <v>0.5</v>
      </c>
      <c r="E847" s="389"/>
      <c r="F847" s="398">
        <v>0.5</v>
      </c>
      <c r="G847" s="387"/>
      <c r="H847" s="387"/>
      <c r="I847" s="387"/>
      <c r="J847" s="387"/>
      <c r="K847" s="378">
        <v>1</v>
      </c>
      <c r="L847" s="378"/>
      <c r="M847" s="379">
        <f>IFERROR(MIN(MAX(0,IF(K847="N/A",0,IF((D847=E847),5,5-QUOTIENT(D847,E847)))), MAX(0,IF(K847="N/A",0,IF((F847=G847),5,5-QUOTIENT(F847,G847))))),0)</f>
        <v>0</v>
      </c>
      <c r="N847" s="378">
        <f>IF(K847="N/A", 1, 2)</f>
        <v>2</v>
      </c>
      <c r="O847" s="379">
        <f t="shared" si="190"/>
        <v>2</v>
      </c>
      <c r="P847" s="378" t="s">
        <v>1147</v>
      </c>
      <c r="Q847" s="380" t="s">
        <v>1148</v>
      </c>
      <c r="R847" s="378"/>
    </row>
    <row r="848" spans="1:18" outlineLevel="1">
      <c r="A848" s="388" t="s">
        <v>1255</v>
      </c>
      <c r="B848" s="381"/>
      <c r="C848" s="382"/>
      <c r="D848" s="398"/>
      <c r="E848" s="389"/>
      <c r="F848" s="398"/>
      <c r="G848" s="387"/>
      <c r="H848" s="387"/>
      <c r="I848" s="387"/>
      <c r="J848" s="387"/>
      <c r="K848" s="378"/>
      <c r="L848" s="378"/>
      <c r="M848" s="379">
        <f>M849</f>
        <v>0</v>
      </c>
      <c r="N848" s="378">
        <f>N849</f>
        <v>1</v>
      </c>
      <c r="O848" s="379">
        <f t="shared" si="190"/>
        <v>1</v>
      </c>
      <c r="P848" s="378" t="s">
        <v>1147</v>
      </c>
      <c r="Q848" s="380" t="s">
        <v>1148</v>
      </c>
      <c r="R848" s="378"/>
    </row>
    <row r="849" spans="1:18" outlineLevel="1">
      <c r="A849" s="406"/>
      <c r="B849" s="388" t="s">
        <v>1256</v>
      </c>
      <c r="C849" s="382" t="s">
        <v>1222</v>
      </c>
      <c r="D849" s="387">
        <v>0.5</v>
      </c>
      <c r="E849" s="389"/>
      <c r="F849" s="398">
        <v>0.5</v>
      </c>
      <c r="G849" s="387"/>
      <c r="H849" s="387"/>
      <c r="I849" s="387"/>
      <c r="J849" s="387"/>
      <c r="K849" s="378" t="s">
        <v>549</v>
      </c>
      <c r="L849" s="378"/>
      <c r="M849" s="379">
        <f>IFERROR(MIN(MAX(0,IF(K849="N/A",0,IF((D849=E849),5,5-QUOTIENT(D849,E849)))), MAX(0,IF(K849="N/A",0,IF((F849=G849),5,5-QUOTIENT(F849,G849))))),0)</f>
        <v>0</v>
      </c>
      <c r="N849" s="378">
        <f>IF(K849="N/A", 1, 2)</f>
        <v>1</v>
      </c>
      <c r="O849" s="379">
        <f t="shared" si="190"/>
        <v>1</v>
      </c>
      <c r="P849" s="378" t="s">
        <v>1147</v>
      </c>
      <c r="Q849" s="380" t="s">
        <v>1148</v>
      </c>
      <c r="R849" s="378"/>
    </row>
    <row r="850" spans="1:18" outlineLevel="1">
      <c r="A850" s="388" t="s">
        <v>1257</v>
      </c>
      <c r="B850" s="381"/>
      <c r="C850" s="399"/>
      <c r="D850" s="398"/>
      <c r="E850" s="389"/>
      <c r="F850" s="398"/>
      <c r="G850" s="387"/>
      <c r="H850" s="387"/>
      <c r="I850" s="387"/>
      <c r="J850" s="387"/>
      <c r="K850" s="378"/>
      <c r="L850" s="378"/>
      <c r="M850" s="379">
        <f>M851</f>
        <v>0</v>
      </c>
      <c r="N850" s="378">
        <f>N851</f>
        <v>2</v>
      </c>
      <c r="O850" s="379">
        <f>MAX(M850:N850)</f>
        <v>2</v>
      </c>
      <c r="P850" s="378" t="s">
        <v>1147</v>
      </c>
      <c r="Q850" s="380" t="s">
        <v>1148</v>
      </c>
      <c r="R850" s="378"/>
    </row>
    <row r="851" spans="1:18" outlineLevel="1">
      <c r="A851" s="406"/>
      <c r="B851" s="388" t="s">
        <v>673</v>
      </c>
      <c r="C851" s="382" t="s">
        <v>1222</v>
      </c>
      <c r="D851" s="387">
        <v>0.5</v>
      </c>
      <c r="E851" s="389"/>
      <c r="F851" s="398">
        <v>0.5</v>
      </c>
      <c r="G851" s="387"/>
      <c r="H851" s="387"/>
      <c r="I851" s="387"/>
      <c r="J851" s="387"/>
      <c r="K851" s="378">
        <v>1</v>
      </c>
      <c r="L851" s="378"/>
      <c r="M851" s="379">
        <f>IFERROR(MIN(MAX(0,IF(K851="N/A",0,IF((D851=E851),5,5-QUOTIENT(D851,E851)))), MAX(0,IF(K851="N/A",0,IF((F851=G851),5,5-QUOTIENT(F851,G851))))),0)</f>
        <v>0</v>
      </c>
      <c r="N851" s="378">
        <f>IF(K851="N/A", 1, 2)</f>
        <v>2</v>
      </c>
      <c r="O851" s="379">
        <f t="shared" ref="O851" si="194">MAX(M851:N851)</f>
        <v>2</v>
      </c>
      <c r="P851" s="378" t="s">
        <v>1147</v>
      </c>
      <c r="Q851" s="380" t="s">
        <v>1148</v>
      </c>
      <c r="R851" s="378"/>
    </row>
    <row r="852" spans="1:18" outlineLevel="1">
      <c r="A852" s="388" t="s">
        <v>1258</v>
      </c>
      <c r="B852" s="381"/>
      <c r="C852" s="399"/>
      <c r="D852" s="398"/>
      <c r="E852" s="389"/>
      <c r="F852" s="398"/>
      <c r="G852" s="387"/>
      <c r="H852" s="387"/>
      <c r="I852" s="387"/>
      <c r="J852" s="387"/>
      <c r="K852" s="378"/>
      <c r="L852" s="378"/>
      <c r="M852" s="379">
        <f>M853</f>
        <v>0</v>
      </c>
      <c r="N852" s="378">
        <f>N853</f>
        <v>2</v>
      </c>
      <c r="O852" s="379">
        <f>MAX(M852:N852)</f>
        <v>2</v>
      </c>
      <c r="P852" s="378" t="s">
        <v>1147</v>
      </c>
      <c r="Q852" s="380" t="s">
        <v>1148</v>
      </c>
      <c r="R852" s="378"/>
    </row>
    <row r="853" spans="1:18" outlineLevel="1">
      <c r="A853" s="406"/>
      <c r="B853" s="388" t="s">
        <v>1259</v>
      </c>
      <c r="C853" s="382" t="s">
        <v>1222</v>
      </c>
      <c r="D853" s="387">
        <v>0.5</v>
      </c>
      <c r="E853" s="389"/>
      <c r="F853" s="398">
        <v>0.5</v>
      </c>
      <c r="G853" s="387"/>
      <c r="H853" s="387"/>
      <c r="I853" s="387"/>
      <c r="J853" s="387"/>
      <c r="K853" s="378">
        <v>1</v>
      </c>
      <c r="L853" s="378"/>
      <c r="M853" s="379">
        <f>IFERROR(MIN(MAX(0,IF(K853="N/A",0,IF((D853=E853),5,5-QUOTIENT(D853,E853)))), MAX(0,IF(K853="N/A",0,IF((F853=G853),5,5-QUOTIENT(F853,G853))))),0)</f>
        <v>0</v>
      </c>
      <c r="N853" s="378">
        <f>IF(K853="N/A", 1, 2)</f>
        <v>2</v>
      </c>
      <c r="O853" s="379">
        <f t="shared" ref="O853" si="195">MAX(M853:N853)</f>
        <v>2</v>
      </c>
      <c r="P853" s="378" t="s">
        <v>1147</v>
      </c>
      <c r="Q853" s="380" t="s">
        <v>1148</v>
      </c>
      <c r="R853" s="378"/>
    </row>
    <row r="854" spans="1:18" outlineLevel="1">
      <c r="A854" s="388" t="s">
        <v>1260</v>
      </c>
      <c r="B854" s="381"/>
      <c r="C854" s="399"/>
      <c r="D854" s="398"/>
      <c r="E854" s="389"/>
      <c r="F854" s="398"/>
      <c r="G854" s="387"/>
      <c r="H854" s="387"/>
      <c r="I854" s="387"/>
      <c r="J854" s="387"/>
      <c r="K854" s="378"/>
      <c r="L854" s="378"/>
      <c r="M854" s="379">
        <f>M855</f>
        <v>2</v>
      </c>
      <c r="N854" s="378">
        <f>N855</f>
        <v>2</v>
      </c>
      <c r="O854" s="379">
        <f>MAX(M854:N854)</f>
        <v>2</v>
      </c>
      <c r="P854" s="410" t="s">
        <v>1261</v>
      </c>
      <c r="Q854" s="411" t="s">
        <v>1262</v>
      </c>
      <c r="R854" s="378"/>
    </row>
    <row r="855" spans="1:18" outlineLevel="1">
      <c r="A855" s="412"/>
      <c r="B855" s="388" t="s">
        <v>1263</v>
      </c>
      <c r="C855" s="413" t="s">
        <v>1264</v>
      </c>
      <c r="D855" s="414">
        <v>5</v>
      </c>
      <c r="E855" s="414">
        <v>2</v>
      </c>
      <c r="F855" s="414">
        <v>5</v>
      </c>
      <c r="G855" s="391">
        <v>2</v>
      </c>
      <c r="H855" s="391"/>
      <c r="I855" s="391"/>
      <c r="J855" s="391"/>
      <c r="K855" s="378">
        <v>2</v>
      </c>
      <c r="L855" s="378"/>
      <c r="M855" s="379">
        <f>IFERROR(MIN(MAX(0,IF(K855="N/A",0,IF((D855=E855),5,5-QUOTIENT(D855,E855)-1))), MAX(0,IF(K855="N/A",0,IF((F855=G855),5,5-QUOTIENT(F855,G855)-1)))),0)</f>
        <v>2</v>
      </c>
      <c r="N855" s="378">
        <f>IF(K855="N/A", 1, 2)</f>
        <v>2</v>
      </c>
      <c r="O855" s="379">
        <f t="shared" ref="O855:O856" si="196">MAX(M855:N855)</f>
        <v>2</v>
      </c>
      <c r="P855" s="410" t="s">
        <v>1261</v>
      </c>
      <c r="Q855" s="411" t="s">
        <v>1262</v>
      </c>
      <c r="R855" s="378"/>
    </row>
    <row r="856" spans="1:18" outlineLevel="1">
      <c r="A856" s="415" t="s">
        <v>1265</v>
      </c>
      <c r="B856" s="416" t="s">
        <v>767</v>
      </c>
      <c r="C856" s="413" t="s">
        <v>1264</v>
      </c>
      <c r="D856" s="414">
        <v>5</v>
      </c>
      <c r="E856" s="414">
        <v>2</v>
      </c>
      <c r="F856" s="414">
        <v>5</v>
      </c>
      <c r="G856" s="391">
        <v>2</v>
      </c>
      <c r="H856" s="391"/>
      <c r="I856" s="391"/>
      <c r="J856" s="391"/>
      <c r="K856" s="378">
        <v>2</v>
      </c>
      <c r="L856" s="378"/>
      <c r="M856" s="379">
        <f>IFERROR(MIN(MAX(0,IF(K856="N/A",0,IF((D856=E856),5,5-QUOTIENT(D856,E856)-1))), MAX(0,IF(K856="N/A",0,IF((F856=G856),5,5-QUOTIENT(F856,G856)-1)))),0)</f>
        <v>2</v>
      </c>
      <c r="N856" s="378">
        <f>IF(K856="N/A", 1, 2)</f>
        <v>2</v>
      </c>
      <c r="O856" s="379">
        <f t="shared" si="196"/>
        <v>2</v>
      </c>
      <c r="P856" s="410" t="s">
        <v>1261</v>
      </c>
      <c r="Q856" s="411" t="s">
        <v>1262</v>
      </c>
      <c r="R856" s="378"/>
    </row>
    <row r="857" spans="1:18">
      <c r="A857" s="362" t="s">
        <v>1275</v>
      </c>
      <c r="B857" s="646"/>
      <c r="D857" s="364"/>
      <c r="E857" s="364"/>
      <c r="F857" s="371"/>
      <c r="G857" s="364"/>
      <c r="H857" s="364"/>
      <c r="I857" s="364"/>
      <c r="J857" s="364"/>
      <c r="K857" s="364"/>
      <c r="L857" s="364"/>
      <c r="M857" s="371"/>
      <c r="N857" s="364"/>
      <c r="O857" s="371"/>
      <c r="P857" s="364"/>
      <c r="Q857" s="364"/>
    </row>
    <row r="858" spans="1:18">
      <c r="B858" s="646"/>
      <c r="D858" s="364"/>
      <c r="E858" s="417"/>
      <c r="F858" s="418"/>
      <c r="G858" s="364"/>
      <c r="H858" s="364"/>
      <c r="I858" s="364"/>
      <c r="J858" s="364"/>
      <c r="K858" s="364"/>
      <c r="L858" s="364"/>
      <c r="M858" s="371"/>
      <c r="N858" s="364"/>
      <c r="O858" s="371"/>
      <c r="P858" s="364"/>
      <c r="Q858" s="364"/>
      <c r="R858" s="364"/>
    </row>
    <row r="859" spans="1:18">
      <c r="B859" s="646"/>
      <c r="D859" s="364"/>
      <c r="E859" s="417"/>
      <c r="F859" s="418"/>
      <c r="G859" s="364"/>
      <c r="H859" s="364"/>
      <c r="I859" s="364"/>
      <c r="J859" s="364"/>
      <c r="K859" s="364"/>
      <c r="L859" s="364"/>
      <c r="M859" s="371"/>
      <c r="N859" s="364"/>
      <c r="O859" s="371"/>
      <c r="P859" s="364"/>
      <c r="Q859" s="364"/>
      <c r="R859" s="364"/>
    </row>
    <row r="860" spans="1:18" outlineLevel="1">
      <c r="A860" s="362"/>
      <c r="C860" s="363"/>
      <c r="D860" s="628" t="s">
        <v>1132</v>
      </c>
      <c r="E860" s="629"/>
      <c r="F860" s="628" t="s">
        <v>1133</v>
      </c>
      <c r="G860" s="629"/>
      <c r="H860" s="370"/>
      <c r="I860" s="370"/>
      <c r="J860" s="370"/>
      <c r="K860" s="364"/>
      <c r="L860" s="364"/>
      <c r="M860" s="371"/>
      <c r="N860" s="364"/>
      <c r="O860" s="371"/>
      <c r="P860" s="364"/>
      <c r="Q860" s="364"/>
    </row>
    <row r="861" spans="1:18" outlineLevel="1">
      <c r="A861" s="372" t="s">
        <v>1134</v>
      </c>
      <c r="B861" s="373" t="s">
        <v>1135</v>
      </c>
      <c r="C861" s="373" t="s">
        <v>1136</v>
      </c>
      <c r="D861" s="373" t="s">
        <v>1137</v>
      </c>
      <c r="E861" s="373" t="s">
        <v>1138</v>
      </c>
      <c r="F861" s="374" t="s">
        <v>1137</v>
      </c>
      <c r="G861" s="373" t="s">
        <v>1138</v>
      </c>
      <c r="H861" s="373" t="s">
        <v>1268</v>
      </c>
      <c r="I861" s="373" t="s">
        <v>1269</v>
      </c>
      <c r="J861" s="373" t="s">
        <v>1270</v>
      </c>
      <c r="K861" s="375" t="s">
        <v>1139</v>
      </c>
      <c r="L861" s="375" t="s">
        <v>1271</v>
      </c>
      <c r="M861" s="374" t="s">
        <v>1140</v>
      </c>
      <c r="N861" s="373" t="s">
        <v>1141</v>
      </c>
      <c r="O861" s="374" t="s">
        <v>1142</v>
      </c>
      <c r="P861" s="373" t="s">
        <v>1143</v>
      </c>
      <c r="Q861" s="373" t="s">
        <v>1144</v>
      </c>
      <c r="R861" s="373" t="s">
        <v>1145</v>
      </c>
    </row>
    <row r="862" spans="1:18" outlineLevel="1">
      <c r="A862" s="376" t="s">
        <v>1146</v>
      </c>
      <c r="B862" s="630"/>
      <c r="C862" s="631"/>
      <c r="D862" s="631"/>
      <c r="E862" s="631"/>
      <c r="F862" s="631"/>
      <c r="G862" s="632"/>
      <c r="H862" s="377"/>
      <c r="I862" s="377"/>
      <c r="J862" s="377"/>
      <c r="K862" s="378"/>
      <c r="L862" s="378"/>
      <c r="M862" s="379">
        <f>IFERROR(MIN(M863:M881),0)</f>
        <v>0</v>
      </c>
      <c r="N862" s="378">
        <f>N863</f>
        <v>2</v>
      </c>
      <c r="O862" s="379">
        <f>MAX(M862:N862)</f>
        <v>2</v>
      </c>
      <c r="P862" s="378" t="s">
        <v>1147</v>
      </c>
      <c r="Q862" s="380" t="s">
        <v>1148</v>
      </c>
      <c r="R862" s="378"/>
    </row>
    <row r="863" spans="1:18" outlineLevel="1">
      <c r="A863" s="376"/>
      <c r="B863" s="381" t="s">
        <v>1149</v>
      </c>
      <c r="C863" s="382" t="s">
        <v>1150</v>
      </c>
      <c r="D863" s="378">
        <v>99</v>
      </c>
      <c r="E863" s="383"/>
      <c r="F863" s="384">
        <v>90</v>
      </c>
      <c r="G863" s="378"/>
      <c r="H863" s="378"/>
      <c r="I863" s="378"/>
      <c r="J863" s="378"/>
      <c r="K863" s="378">
        <v>1</v>
      </c>
      <c r="L863" s="378"/>
      <c r="M863" s="379">
        <f t="shared" ref="M863:M881" si="197">IFERROR(MIN(MAX(0,IF(K863="N/A",0,IF((D863=E863),5,5-QUOTIENT(D863,E863)))), MAX(0,IF(K863="N/A",0,IF((F863=G863),5,5-QUOTIENT(F863,G863))))),0)</f>
        <v>0</v>
      </c>
      <c r="N863" s="378">
        <f>IF(K863="N/A", 1, 2)</f>
        <v>2</v>
      </c>
      <c r="O863" s="379">
        <f>MAX(M863:N863)</f>
        <v>2</v>
      </c>
      <c r="P863" s="378" t="s">
        <v>1147</v>
      </c>
      <c r="Q863" s="380" t="s">
        <v>1148</v>
      </c>
      <c r="R863" s="378"/>
    </row>
    <row r="864" spans="1:18" outlineLevel="1">
      <c r="A864" s="376"/>
      <c r="B864" s="633" t="s">
        <v>1151</v>
      </c>
      <c r="C864" s="382" t="s">
        <v>1152</v>
      </c>
      <c r="D864" s="378">
        <v>5</v>
      </c>
      <c r="E864" s="383"/>
      <c r="F864" s="384">
        <v>5</v>
      </c>
      <c r="G864" s="378"/>
      <c r="H864" s="378"/>
      <c r="I864" s="378"/>
      <c r="J864" s="378"/>
      <c r="K864" s="378">
        <v>1</v>
      </c>
      <c r="L864" s="378"/>
      <c r="M864" s="379">
        <f t="shared" si="197"/>
        <v>0</v>
      </c>
      <c r="N864" s="378">
        <f t="shared" ref="N864:N881" si="198">IF(K864="N/A", 1, 2)</f>
        <v>2</v>
      </c>
      <c r="O864" s="379">
        <f t="shared" ref="O864:O909" si="199">MAX(M864:N864)</f>
        <v>2</v>
      </c>
      <c r="P864" s="378" t="s">
        <v>1147</v>
      </c>
      <c r="Q864" s="380" t="s">
        <v>1148</v>
      </c>
      <c r="R864" s="378"/>
    </row>
    <row r="865" spans="1:18" outlineLevel="1">
      <c r="A865" s="376"/>
      <c r="B865" s="634"/>
      <c r="C865" s="382" t="s">
        <v>1153</v>
      </c>
      <c r="D865" s="378">
        <v>5</v>
      </c>
      <c r="E865" s="383"/>
      <c r="F865" s="384">
        <v>5</v>
      </c>
      <c r="G865" s="378"/>
      <c r="H865" s="378"/>
      <c r="I865" s="378"/>
      <c r="J865" s="378"/>
      <c r="K865" s="378">
        <v>1</v>
      </c>
      <c r="L865" s="378"/>
      <c r="M865" s="379">
        <f t="shared" si="197"/>
        <v>0</v>
      </c>
      <c r="N865" s="378">
        <f t="shared" si="198"/>
        <v>2</v>
      </c>
      <c r="O865" s="379">
        <f t="shared" si="199"/>
        <v>2</v>
      </c>
      <c r="P865" s="378" t="s">
        <v>1147</v>
      </c>
      <c r="Q865" s="380" t="s">
        <v>1148</v>
      </c>
      <c r="R865" s="378"/>
    </row>
    <row r="866" spans="1:18" outlineLevel="1">
      <c r="A866" s="376"/>
      <c r="B866" s="635"/>
      <c r="C866" s="382" t="s">
        <v>1154</v>
      </c>
      <c r="D866" s="378">
        <v>0.5</v>
      </c>
      <c r="E866" s="383"/>
      <c r="F866" s="384">
        <v>0.5</v>
      </c>
      <c r="G866" s="378"/>
      <c r="H866" s="378"/>
      <c r="I866" s="378"/>
      <c r="J866" s="378"/>
      <c r="K866" s="378">
        <v>1</v>
      </c>
      <c r="L866" s="378"/>
      <c r="M866" s="379">
        <f t="shared" si="197"/>
        <v>0</v>
      </c>
      <c r="N866" s="378">
        <f t="shared" si="198"/>
        <v>2</v>
      </c>
      <c r="O866" s="379">
        <f t="shared" si="199"/>
        <v>2</v>
      </c>
      <c r="P866" s="378" t="s">
        <v>1147</v>
      </c>
      <c r="Q866" s="380" t="s">
        <v>1148</v>
      </c>
      <c r="R866" s="378"/>
    </row>
    <row r="867" spans="1:18" outlineLevel="1">
      <c r="A867" s="376"/>
      <c r="B867" s="633" t="s">
        <v>1155</v>
      </c>
      <c r="C867" s="382" t="s">
        <v>1152</v>
      </c>
      <c r="D867" s="378">
        <v>10</v>
      </c>
      <c r="E867" s="383"/>
      <c r="F867" s="384">
        <v>15</v>
      </c>
      <c r="G867" s="378"/>
      <c r="H867" s="378"/>
      <c r="I867" s="378"/>
      <c r="J867" s="378"/>
      <c r="K867" s="378">
        <v>1</v>
      </c>
      <c r="L867" s="378"/>
      <c r="M867" s="379">
        <f t="shared" si="197"/>
        <v>0</v>
      </c>
      <c r="N867" s="378">
        <f t="shared" si="198"/>
        <v>2</v>
      </c>
      <c r="O867" s="379">
        <f t="shared" si="199"/>
        <v>2</v>
      </c>
      <c r="P867" s="378" t="s">
        <v>1147</v>
      </c>
      <c r="Q867" s="380" t="s">
        <v>1148</v>
      </c>
      <c r="R867" s="378"/>
    </row>
    <row r="868" spans="1:18" outlineLevel="1">
      <c r="A868" s="376"/>
      <c r="B868" s="634"/>
      <c r="C868" s="382" t="s">
        <v>1153</v>
      </c>
      <c r="D868" s="378">
        <v>10</v>
      </c>
      <c r="E868" s="383"/>
      <c r="F868" s="384">
        <v>15</v>
      </c>
      <c r="G868" s="378"/>
      <c r="H868" s="378"/>
      <c r="I868" s="378"/>
      <c r="J868" s="378"/>
      <c r="K868" s="378">
        <v>1</v>
      </c>
      <c r="L868" s="378"/>
      <c r="M868" s="379">
        <f t="shared" si="197"/>
        <v>0</v>
      </c>
      <c r="N868" s="378">
        <f t="shared" si="198"/>
        <v>2</v>
      </c>
      <c r="O868" s="379">
        <f t="shared" si="199"/>
        <v>2</v>
      </c>
      <c r="P868" s="378" t="s">
        <v>1147</v>
      </c>
      <c r="Q868" s="380" t="s">
        <v>1148</v>
      </c>
      <c r="R868" s="378"/>
    </row>
    <row r="869" spans="1:18" outlineLevel="1">
      <c r="A869" s="376"/>
      <c r="B869" s="635"/>
      <c r="C869" s="382" t="s">
        <v>1154</v>
      </c>
      <c r="D869" s="378">
        <v>0.5</v>
      </c>
      <c r="E869" s="383"/>
      <c r="F869" s="384">
        <v>0.5</v>
      </c>
      <c r="G869" s="378"/>
      <c r="H869" s="378"/>
      <c r="I869" s="378"/>
      <c r="J869" s="378"/>
      <c r="K869" s="378">
        <v>1</v>
      </c>
      <c r="L869" s="378"/>
      <c r="M869" s="379">
        <f t="shared" si="197"/>
        <v>0</v>
      </c>
      <c r="N869" s="378">
        <f t="shared" si="198"/>
        <v>2</v>
      </c>
      <c r="O869" s="379">
        <f t="shared" si="199"/>
        <v>2</v>
      </c>
      <c r="P869" s="378" t="s">
        <v>1147</v>
      </c>
      <c r="Q869" s="380" t="s">
        <v>1148</v>
      </c>
      <c r="R869" s="378"/>
    </row>
    <row r="870" spans="1:18" outlineLevel="1">
      <c r="A870" s="376"/>
      <c r="B870" s="633" t="s">
        <v>1156</v>
      </c>
      <c r="C870" s="382" t="s">
        <v>1152</v>
      </c>
      <c r="D870" s="378">
        <v>25</v>
      </c>
      <c r="E870" s="383"/>
      <c r="F870" s="384">
        <v>40</v>
      </c>
      <c r="G870" s="378"/>
      <c r="H870" s="378"/>
      <c r="I870" s="378"/>
      <c r="J870" s="378"/>
      <c r="K870" s="378">
        <v>1</v>
      </c>
      <c r="L870" s="378"/>
      <c r="M870" s="379">
        <f t="shared" si="197"/>
        <v>0</v>
      </c>
      <c r="N870" s="378">
        <f t="shared" si="198"/>
        <v>2</v>
      </c>
      <c r="O870" s="379">
        <f t="shared" si="199"/>
        <v>2</v>
      </c>
      <c r="P870" s="378" t="s">
        <v>1147</v>
      </c>
      <c r="Q870" s="380" t="s">
        <v>1148</v>
      </c>
      <c r="R870" s="378"/>
    </row>
    <row r="871" spans="1:18" outlineLevel="1">
      <c r="A871" s="376"/>
      <c r="B871" s="634"/>
      <c r="C871" s="382" t="s">
        <v>1153</v>
      </c>
      <c r="D871" s="378">
        <v>25</v>
      </c>
      <c r="E871" s="383"/>
      <c r="F871" s="384">
        <v>40</v>
      </c>
      <c r="G871" s="378"/>
      <c r="H871" s="378"/>
      <c r="I871" s="378"/>
      <c r="J871" s="378"/>
      <c r="K871" s="378">
        <v>1</v>
      </c>
      <c r="L871" s="378"/>
      <c r="M871" s="379">
        <f t="shared" si="197"/>
        <v>0</v>
      </c>
      <c r="N871" s="378">
        <f t="shared" si="198"/>
        <v>2</v>
      </c>
      <c r="O871" s="379">
        <f t="shared" si="199"/>
        <v>2</v>
      </c>
      <c r="P871" s="378" t="s">
        <v>1147</v>
      </c>
      <c r="Q871" s="380" t="s">
        <v>1148</v>
      </c>
      <c r="R871" s="378"/>
    </row>
    <row r="872" spans="1:18" outlineLevel="1">
      <c r="A872" s="376"/>
      <c r="B872" s="635"/>
      <c r="C872" s="382" t="s">
        <v>1154</v>
      </c>
      <c r="D872" s="378">
        <v>0.5</v>
      </c>
      <c r="E872" s="383"/>
      <c r="F872" s="384">
        <v>0.5</v>
      </c>
      <c r="G872" s="378"/>
      <c r="H872" s="378"/>
      <c r="I872" s="378"/>
      <c r="J872" s="378"/>
      <c r="K872" s="378">
        <v>1</v>
      </c>
      <c r="L872" s="378"/>
      <c r="M872" s="379">
        <f t="shared" si="197"/>
        <v>0</v>
      </c>
      <c r="N872" s="378">
        <f t="shared" si="198"/>
        <v>2</v>
      </c>
      <c r="O872" s="379">
        <f t="shared" si="199"/>
        <v>2</v>
      </c>
      <c r="P872" s="378" t="s">
        <v>1147</v>
      </c>
      <c r="Q872" s="380" t="s">
        <v>1148</v>
      </c>
      <c r="R872" s="378"/>
    </row>
    <row r="873" spans="1:18" outlineLevel="1">
      <c r="A873" s="376"/>
      <c r="B873" s="633" t="s">
        <v>1157</v>
      </c>
      <c r="C873" s="382" t="s">
        <v>1158</v>
      </c>
      <c r="D873" s="378">
        <v>5</v>
      </c>
      <c r="E873" s="383"/>
      <c r="F873" s="384">
        <v>10</v>
      </c>
      <c r="G873" s="378"/>
      <c r="H873" s="378"/>
      <c r="I873" s="378"/>
      <c r="J873" s="378"/>
      <c r="K873" s="378">
        <v>1</v>
      </c>
      <c r="L873" s="378"/>
      <c r="M873" s="379">
        <f t="shared" si="197"/>
        <v>0</v>
      </c>
      <c r="N873" s="378">
        <f t="shared" si="198"/>
        <v>2</v>
      </c>
      <c r="O873" s="379">
        <f t="shared" si="199"/>
        <v>2</v>
      </c>
      <c r="P873" s="378" t="s">
        <v>1147</v>
      </c>
      <c r="Q873" s="380" t="s">
        <v>1148</v>
      </c>
      <c r="R873" s="378"/>
    </row>
    <row r="874" spans="1:18" outlineLevel="1">
      <c r="A874" s="376"/>
      <c r="B874" s="634"/>
      <c r="C874" s="382" t="s">
        <v>1159</v>
      </c>
      <c r="D874" s="378">
        <v>5</v>
      </c>
      <c r="E874" s="383"/>
      <c r="F874" s="384">
        <v>10</v>
      </c>
      <c r="G874" s="378"/>
      <c r="H874" s="378"/>
      <c r="I874" s="378"/>
      <c r="J874" s="378"/>
      <c r="K874" s="378">
        <v>1</v>
      </c>
      <c r="L874" s="378"/>
      <c r="M874" s="379">
        <f t="shared" si="197"/>
        <v>0</v>
      </c>
      <c r="N874" s="378">
        <f t="shared" si="198"/>
        <v>2</v>
      </c>
      <c r="O874" s="379">
        <f t="shared" si="199"/>
        <v>2</v>
      </c>
      <c r="P874" s="378" t="s">
        <v>1147</v>
      </c>
      <c r="Q874" s="380" t="s">
        <v>1148</v>
      </c>
      <c r="R874" s="378"/>
    </row>
    <row r="875" spans="1:18" outlineLevel="1">
      <c r="A875" s="376"/>
      <c r="B875" s="635"/>
      <c r="C875" s="382" t="s">
        <v>1160</v>
      </c>
      <c r="D875" s="378">
        <v>0.5</v>
      </c>
      <c r="E875" s="383"/>
      <c r="F875" s="384">
        <v>0.5</v>
      </c>
      <c r="G875" s="378"/>
      <c r="H875" s="378"/>
      <c r="I875" s="378"/>
      <c r="J875" s="378"/>
      <c r="K875" s="378">
        <v>1</v>
      </c>
      <c r="L875" s="378"/>
      <c r="M875" s="379">
        <f t="shared" si="197"/>
        <v>0</v>
      </c>
      <c r="N875" s="378">
        <f t="shared" si="198"/>
        <v>2</v>
      </c>
      <c r="O875" s="379">
        <f t="shared" si="199"/>
        <v>2</v>
      </c>
      <c r="P875" s="378" t="s">
        <v>1147</v>
      </c>
      <c r="Q875" s="380" t="s">
        <v>1148</v>
      </c>
      <c r="R875" s="378"/>
    </row>
    <row r="876" spans="1:18" outlineLevel="1">
      <c r="A876" s="376"/>
      <c r="B876" s="633" t="s">
        <v>1161</v>
      </c>
      <c r="C876" s="382" t="s">
        <v>1158</v>
      </c>
      <c r="D876" s="378">
        <v>5</v>
      </c>
      <c r="E876" s="383"/>
      <c r="F876" s="384">
        <v>10</v>
      </c>
      <c r="G876" s="378"/>
      <c r="H876" s="378"/>
      <c r="I876" s="378"/>
      <c r="J876" s="378"/>
      <c r="K876" s="378">
        <v>1</v>
      </c>
      <c r="L876" s="378"/>
      <c r="M876" s="379">
        <f t="shared" si="197"/>
        <v>0</v>
      </c>
      <c r="N876" s="378">
        <f t="shared" si="198"/>
        <v>2</v>
      </c>
      <c r="O876" s="379">
        <f t="shared" si="199"/>
        <v>2</v>
      </c>
      <c r="P876" s="378" t="s">
        <v>1147</v>
      </c>
      <c r="Q876" s="380" t="s">
        <v>1148</v>
      </c>
      <c r="R876" s="378"/>
    </row>
    <row r="877" spans="1:18" outlineLevel="1">
      <c r="A877" s="376"/>
      <c r="B877" s="634"/>
      <c r="C877" s="382" t="s">
        <v>1159</v>
      </c>
      <c r="D877" s="378">
        <v>5</v>
      </c>
      <c r="E877" s="383"/>
      <c r="F877" s="384">
        <v>10</v>
      </c>
      <c r="G877" s="378"/>
      <c r="H877" s="378"/>
      <c r="I877" s="378"/>
      <c r="J877" s="378"/>
      <c r="K877" s="378">
        <v>1</v>
      </c>
      <c r="L877" s="378"/>
      <c r="M877" s="379">
        <f t="shared" si="197"/>
        <v>0</v>
      </c>
      <c r="N877" s="378">
        <f t="shared" si="198"/>
        <v>2</v>
      </c>
      <c r="O877" s="379">
        <f t="shared" si="199"/>
        <v>2</v>
      </c>
      <c r="P877" s="378" t="s">
        <v>1147</v>
      </c>
      <c r="Q877" s="380" t="s">
        <v>1148</v>
      </c>
      <c r="R877" s="378"/>
    </row>
    <row r="878" spans="1:18" outlineLevel="1">
      <c r="A878" s="376"/>
      <c r="B878" s="635"/>
      <c r="C878" s="382" t="s">
        <v>1160</v>
      </c>
      <c r="D878" s="378">
        <v>0.5</v>
      </c>
      <c r="E878" s="383"/>
      <c r="F878" s="384">
        <v>0.5</v>
      </c>
      <c r="G878" s="378"/>
      <c r="H878" s="378"/>
      <c r="I878" s="378"/>
      <c r="J878" s="378"/>
      <c r="K878" s="378">
        <v>1</v>
      </c>
      <c r="L878" s="378"/>
      <c r="M878" s="379">
        <f t="shared" si="197"/>
        <v>0</v>
      </c>
      <c r="N878" s="378">
        <f t="shared" si="198"/>
        <v>2</v>
      </c>
      <c r="O878" s="379">
        <f t="shared" si="199"/>
        <v>2</v>
      </c>
      <c r="P878" s="378" t="s">
        <v>1147</v>
      </c>
      <c r="Q878" s="380" t="s">
        <v>1148</v>
      </c>
      <c r="R878" s="378"/>
    </row>
    <row r="879" spans="1:18" outlineLevel="1">
      <c r="A879" s="376"/>
      <c r="B879" s="633" t="s">
        <v>1162</v>
      </c>
      <c r="C879" s="382" t="s">
        <v>1158</v>
      </c>
      <c r="D879" s="378">
        <v>3</v>
      </c>
      <c r="E879" s="383"/>
      <c r="F879" s="384">
        <v>7</v>
      </c>
      <c r="G879" s="378"/>
      <c r="H879" s="378"/>
      <c r="I879" s="378"/>
      <c r="J879" s="378"/>
      <c r="K879" s="378">
        <v>1</v>
      </c>
      <c r="L879" s="378"/>
      <c r="M879" s="379">
        <f t="shared" si="197"/>
        <v>0</v>
      </c>
      <c r="N879" s="378">
        <f t="shared" si="198"/>
        <v>2</v>
      </c>
      <c r="O879" s="379">
        <f t="shared" si="199"/>
        <v>2</v>
      </c>
      <c r="P879" s="378" t="s">
        <v>1147</v>
      </c>
      <c r="Q879" s="380" t="s">
        <v>1148</v>
      </c>
      <c r="R879" s="378"/>
    </row>
    <row r="880" spans="1:18" outlineLevel="1">
      <c r="A880" s="376"/>
      <c r="B880" s="634"/>
      <c r="C880" s="382" t="s">
        <v>1159</v>
      </c>
      <c r="D880" s="378">
        <v>3</v>
      </c>
      <c r="E880" s="383"/>
      <c r="F880" s="384">
        <v>7</v>
      </c>
      <c r="G880" s="378"/>
      <c r="H880" s="378"/>
      <c r="I880" s="378"/>
      <c r="J880" s="378"/>
      <c r="K880" s="378">
        <v>1</v>
      </c>
      <c r="L880" s="378"/>
      <c r="M880" s="379">
        <f t="shared" si="197"/>
        <v>0</v>
      </c>
      <c r="N880" s="378">
        <f t="shared" si="198"/>
        <v>2</v>
      </c>
      <c r="O880" s="379">
        <f t="shared" si="199"/>
        <v>2</v>
      </c>
      <c r="P880" s="378" t="s">
        <v>1147</v>
      </c>
      <c r="Q880" s="380" t="s">
        <v>1148</v>
      </c>
      <c r="R880" s="378"/>
    </row>
    <row r="881" spans="1:18" outlineLevel="1">
      <c r="A881" s="376"/>
      <c r="B881" s="635"/>
      <c r="C881" s="382" t="s">
        <v>1160</v>
      </c>
      <c r="D881" s="385">
        <v>0.5</v>
      </c>
      <c r="E881" s="386"/>
      <c r="F881" s="385">
        <v>0.5</v>
      </c>
      <c r="G881" s="387"/>
      <c r="H881" s="387"/>
      <c r="I881" s="387"/>
      <c r="J881" s="387"/>
      <c r="K881" s="378">
        <v>1</v>
      </c>
      <c r="L881" s="378"/>
      <c r="M881" s="379">
        <f t="shared" si="197"/>
        <v>0</v>
      </c>
      <c r="N881" s="378">
        <f t="shared" si="198"/>
        <v>2</v>
      </c>
      <c r="O881" s="379">
        <f t="shared" si="199"/>
        <v>2</v>
      </c>
      <c r="P881" s="378" t="s">
        <v>1147</v>
      </c>
      <c r="Q881" s="380" t="s">
        <v>1148</v>
      </c>
      <c r="R881" s="378"/>
    </row>
    <row r="882" spans="1:18" outlineLevel="1">
      <c r="A882" s="388" t="s">
        <v>1163</v>
      </c>
      <c r="B882" s="630"/>
      <c r="C882" s="631"/>
      <c r="D882" s="631"/>
      <c r="E882" s="631"/>
      <c r="F882" s="631"/>
      <c r="G882" s="632"/>
      <c r="H882" s="377"/>
      <c r="I882" s="377"/>
      <c r="J882" s="377"/>
      <c r="K882" s="378"/>
      <c r="L882" s="378"/>
      <c r="M882" s="379">
        <f>IFERROR(MIN(M883:M885),0)</f>
        <v>0</v>
      </c>
      <c r="N882" s="378">
        <f>N883</f>
        <v>2</v>
      </c>
      <c r="O882" s="379">
        <f t="shared" si="199"/>
        <v>2</v>
      </c>
      <c r="P882" s="378" t="s">
        <v>1147</v>
      </c>
      <c r="Q882" s="380" t="s">
        <v>1148</v>
      </c>
      <c r="R882" s="378"/>
    </row>
    <row r="883" spans="1:18" outlineLevel="1">
      <c r="A883" s="388"/>
      <c r="B883" s="642" t="s">
        <v>1164</v>
      </c>
      <c r="C883" s="382" t="s">
        <v>1149</v>
      </c>
      <c r="D883" s="387">
        <v>0.98</v>
      </c>
      <c r="E883" s="389"/>
      <c r="F883" s="387">
        <v>0.9</v>
      </c>
      <c r="G883" s="387"/>
      <c r="H883" s="387"/>
      <c r="I883" s="387"/>
      <c r="J883" s="387"/>
      <c r="K883" s="378">
        <v>1</v>
      </c>
      <c r="L883" s="378"/>
      <c r="M883" s="379">
        <f>IFERROR(MIN(MAX(0,IF(K883="N/A",0,IF((D883=E883),5,5-QUOTIENT(D883,E883)))), MAX(0,IF(K883="N/A",0,IF((F883=G883),5,5-QUOTIENT(F883,G883))))),0)</f>
        <v>0</v>
      </c>
      <c r="N883" s="378">
        <f>IF(K883="N/A", 1, 2)</f>
        <v>2</v>
      </c>
      <c r="O883" s="379">
        <f t="shared" si="199"/>
        <v>2</v>
      </c>
      <c r="P883" s="378" t="s">
        <v>1147</v>
      </c>
      <c r="Q883" s="380" t="s">
        <v>1148</v>
      </c>
      <c r="R883" s="378"/>
    </row>
    <row r="884" spans="1:18" outlineLevel="1">
      <c r="A884" s="388"/>
      <c r="B884" s="642"/>
      <c r="C884" s="382" t="s">
        <v>1165</v>
      </c>
      <c r="D884" s="378">
        <v>2</v>
      </c>
      <c r="E884" s="390"/>
      <c r="F884" s="378">
        <v>4</v>
      </c>
      <c r="G884" s="387"/>
      <c r="H884" s="387"/>
      <c r="I884" s="387"/>
      <c r="J884" s="387"/>
      <c r="K884" s="378">
        <v>1</v>
      </c>
      <c r="L884" s="378"/>
      <c r="M884" s="379">
        <f>IFERROR(MIN(MAX(0,IF(K884="N/A",0,IF((D884=E884),5,5-QUOTIENT(D884,E884)))), MAX(0,IF(K884="N/A",0,IF((F884=G884),5,5-QUOTIENT(F884,G884))))),0)</f>
        <v>0</v>
      </c>
      <c r="N884" s="378">
        <f t="shared" ref="N884:N885" si="200">IF(K884="N/A", 1, 2)</f>
        <v>2</v>
      </c>
      <c r="O884" s="379">
        <f t="shared" si="199"/>
        <v>2</v>
      </c>
      <c r="P884" s="378" t="s">
        <v>1147</v>
      </c>
      <c r="Q884" s="380" t="s">
        <v>1148</v>
      </c>
      <c r="R884" s="378"/>
    </row>
    <row r="885" spans="1:18" outlineLevel="1">
      <c r="A885" s="388"/>
      <c r="B885" s="642"/>
      <c r="C885" s="382" t="s">
        <v>1153</v>
      </c>
      <c r="D885" s="378">
        <v>2</v>
      </c>
      <c r="E885" s="390"/>
      <c r="F885" s="378">
        <v>4</v>
      </c>
      <c r="G885" s="391"/>
      <c r="H885" s="391"/>
      <c r="I885" s="391"/>
      <c r="J885" s="391"/>
      <c r="K885" s="378">
        <v>1</v>
      </c>
      <c r="L885" s="378"/>
      <c r="M885" s="379">
        <f>IFERROR(MIN(MAX(0,IF(K885="N/A",0,IF((D885=E885),5,5-QUOTIENT(D885,E885)))), MAX(0,IF(K885="N/A",0,IF((F885=G885),5,5-QUOTIENT(F885,G885))))),0)</f>
        <v>0</v>
      </c>
      <c r="N885" s="378">
        <f t="shared" si="200"/>
        <v>2</v>
      </c>
      <c r="O885" s="379">
        <f t="shared" si="199"/>
        <v>2</v>
      </c>
      <c r="P885" s="378" t="s">
        <v>1147</v>
      </c>
      <c r="Q885" s="380" t="s">
        <v>1148</v>
      </c>
      <c r="R885" s="378"/>
    </row>
    <row r="886" spans="1:18" outlineLevel="1">
      <c r="A886" s="392" t="s">
        <v>1166</v>
      </c>
      <c r="B886" s="393"/>
      <c r="C886" s="382"/>
      <c r="D886" s="378"/>
      <c r="E886" s="390"/>
      <c r="F886" s="378"/>
      <c r="G886" s="391"/>
      <c r="H886" s="391"/>
      <c r="I886" s="391"/>
      <c r="J886" s="391"/>
      <c r="K886" s="378"/>
      <c r="L886" s="378"/>
      <c r="M886" s="379">
        <f>IFERROR(MIN(M887:M890),0)</f>
        <v>0</v>
      </c>
      <c r="N886" s="378">
        <f>N887</f>
        <v>2</v>
      </c>
      <c r="O886" s="379">
        <f t="shared" si="199"/>
        <v>2</v>
      </c>
      <c r="P886" s="378" t="s">
        <v>1147</v>
      </c>
      <c r="Q886" s="380" t="s">
        <v>1148</v>
      </c>
      <c r="R886" s="378"/>
    </row>
    <row r="887" spans="1:18" outlineLevel="1">
      <c r="A887" s="394"/>
      <c r="B887" s="643" t="s">
        <v>1167</v>
      </c>
      <c r="C887" s="382" t="s">
        <v>1168</v>
      </c>
      <c r="D887" s="387">
        <v>0.45</v>
      </c>
      <c r="E887" s="389"/>
      <c r="F887" s="387">
        <v>0.45</v>
      </c>
      <c r="G887" s="387"/>
      <c r="H887" s="387"/>
      <c r="I887" s="387"/>
      <c r="J887" s="387"/>
      <c r="K887" s="378">
        <v>1</v>
      </c>
      <c r="L887" s="378"/>
      <c r="M887" s="379">
        <f>IFERROR(MIN(MAX(0,IF(K887="N/A",0,IF((D887=E887),5,5-QUOTIENT(D887,E887)))), MAX(0,IF(K887="N/A",0,IF((F887=G887),5,5-QUOTIENT(F887,G887))))),0)</f>
        <v>0</v>
      </c>
      <c r="N887" s="378">
        <f>IF(K887="N/A", 1, 2)</f>
        <v>2</v>
      </c>
      <c r="O887" s="379">
        <f t="shared" si="199"/>
        <v>2</v>
      </c>
      <c r="P887" s="378" t="s">
        <v>1147</v>
      </c>
      <c r="Q887" s="380" t="s">
        <v>1148</v>
      </c>
      <c r="R887" s="378"/>
    </row>
    <row r="888" spans="1:18" outlineLevel="1">
      <c r="A888" s="394"/>
      <c r="B888" s="637"/>
      <c r="C888" s="382" t="s">
        <v>1169</v>
      </c>
      <c r="D888" s="387">
        <v>0.05</v>
      </c>
      <c r="E888" s="389"/>
      <c r="F888" s="387">
        <v>0.05</v>
      </c>
      <c r="G888" s="387"/>
      <c r="H888" s="387"/>
      <c r="I888" s="387"/>
      <c r="J888" s="387"/>
      <c r="K888" s="378">
        <v>1</v>
      </c>
      <c r="L888" s="378"/>
      <c r="M888" s="379">
        <f>IFERROR(MIN(MAX(0,IF(K888="N/A",0,IF((D888=E888),5,5-QUOTIENT(D888,E888)))), MAX(0,IF(K888="N/A",0,IF((F888=G888),5,5-QUOTIENT(F888,G888))))),0)</f>
        <v>0</v>
      </c>
      <c r="N888" s="378">
        <f t="shared" ref="N888:N890" si="201">IF(K888="N/A", 1, 2)</f>
        <v>2</v>
      </c>
      <c r="O888" s="379">
        <f t="shared" si="199"/>
        <v>2</v>
      </c>
      <c r="P888" s="378" t="s">
        <v>1147</v>
      </c>
      <c r="Q888" s="380" t="s">
        <v>1148</v>
      </c>
      <c r="R888" s="378"/>
    </row>
    <row r="889" spans="1:18" outlineLevel="1">
      <c r="A889" s="394"/>
      <c r="B889" s="637"/>
      <c r="C889" s="382" t="s">
        <v>1170</v>
      </c>
      <c r="D889" s="391">
        <v>1</v>
      </c>
      <c r="E889" s="389"/>
      <c r="F889" s="391">
        <v>1</v>
      </c>
      <c r="G889" s="387"/>
      <c r="H889" s="387"/>
      <c r="I889" s="387"/>
      <c r="J889" s="387"/>
      <c r="K889" s="378">
        <v>1</v>
      </c>
      <c r="L889" s="378"/>
      <c r="M889" s="379">
        <f>IFERROR(MIN(MAX(0,IF(K889="N/A",0,IF((D889=E889),5,5-QUOTIENT(D889,E889)))), MAX(0,IF(K889="N/A",0,IF((F889=G889),5,5-QUOTIENT(F889,G889))))),0)</f>
        <v>0</v>
      </c>
      <c r="N889" s="378">
        <f t="shared" si="201"/>
        <v>2</v>
      </c>
      <c r="O889" s="379">
        <f t="shared" si="199"/>
        <v>2</v>
      </c>
      <c r="P889" s="378" t="s">
        <v>1147</v>
      </c>
      <c r="Q889" s="380" t="s">
        <v>1148</v>
      </c>
      <c r="R889" s="378"/>
    </row>
    <row r="890" spans="1:18" outlineLevel="1">
      <c r="A890" s="394"/>
      <c r="B890" s="638"/>
      <c r="C890" s="382" t="s">
        <v>1171</v>
      </c>
      <c r="D890" s="391">
        <v>10</v>
      </c>
      <c r="E890" s="389"/>
      <c r="F890" s="391">
        <v>10</v>
      </c>
      <c r="G890" s="387"/>
      <c r="H890" s="387"/>
      <c r="I890" s="387"/>
      <c r="J890" s="387"/>
      <c r="K890" s="378">
        <v>1</v>
      </c>
      <c r="L890" s="378"/>
      <c r="M890" s="379">
        <f>IFERROR(MIN(MAX(0,IF(K890="N/A",0,IF((D890=E890),5,5-QUOTIENT(D890,E890)))), MAX(0,IF(K890="N/A",0,IF((F890=G890),5,5-QUOTIENT(F890,G890))))),0)</f>
        <v>0</v>
      </c>
      <c r="N890" s="378">
        <f t="shared" si="201"/>
        <v>2</v>
      </c>
      <c r="O890" s="379">
        <f t="shared" si="199"/>
        <v>2</v>
      </c>
      <c r="P890" s="378" t="s">
        <v>1147</v>
      </c>
      <c r="Q890" s="380" t="s">
        <v>1148</v>
      </c>
      <c r="R890" s="378"/>
    </row>
    <row r="891" spans="1:18" outlineLevel="1">
      <c r="A891" s="394" t="s">
        <v>1172</v>
      </c>
      <c r="B891" s="395"/>
      <c r="C891" s="382"/>
      <c r="D891" s="391"/>
      <c r="E891" s="389"/>
      <c r="F891" s="391"/>
      <c r="G891" s="387"/>
      <c r="H891" s="387"/>
      <c r="I891" s="387"/>
      <c r="J891" s="387"/>
      <c r="K891" s="378"/>
      <c r="L891" s="378"/>
      <c r="M891" s="379">
        <f>IFERROR(MIN(M892:M894),0)</f>
        <v>0</v>
      </c>
      <c r="N891" s="378">
        <f>N892</f>
        <v>2</v>
      </c>
      <c r="O891" s="379">
        <f t="shared" si="199"/>
        <v>2</v>
      </c>
      <c r="P891" s="378" t="s">
        <v>1147</v>
      </c>
      <c r="Q891" s="380" t="s">
        <v>1148</v>
      </c>
      <c r="R891" s="378"/>
    </row>
    <row r="892" spans="1:18" outlineLevel="1">
      <c r="A892" s="394"/>
      <c r="B892" s="636" t="s">
        <v>568</v>
      </c>
      <c r="C892" s="382" t="s">
        <v>1168</v>
      </c>
      <c r="D892" s="387">
        <v>0.8</v>
      </c>
      <c r="E892" s="389"/>
      <c r="F892" s="387">
        <v>0.8</v>
      </c>
      <c r="G892" s="387"/>
      <c r="H892" s="387"/>
      <c r="I892" s="387"/>
      <c r="J892" s="387"/>
      <c r="K892" s="378">
        <v>1</v>
      </c>
      <c r="L892" s="378"/>
      <c r="M892" s="379">
        <f>IFERROR(MIN(MAX(0,IF(K892="N/A",0,IF((D892=E892),5,5-QUOTIENT(D892,E892)))), MAX(0,IF(K892="N/A",0,IF((F892=G892),5,5-QUOTIENT(F892,G892))))),0)</f>
        <v>0</v>
      </c>
      <c r="N892" s="378">
        <f>IF(K892="N/A", 1, 2)</f>
        <v>2</v>
      </c>
      <c r="O892" s="379">
        <f t="shared" si="199"/>
        <v>2</v>
      </c>
      <c r="P892" s="378" t="s">
        <v>1147</v>
      </c>
      <c r="Q892" s="380" t="s">
        <v>1148</v>
      </c>
      <c r="R892" s="378"/>
    </row>
    <row r="893" spans="1:18" outlineLevel="1">
      <c r="A893" s="394"/>
      <c r="B893" s="637"/>
      <c r="C893" s="382" t="s">
        <v>1170</v>
      </c>
      <c r="D893" s="390">
        <v>0.05</v>
      </c>
      <c r="E893" s="389"/>
      <c r="F893" s="390">
        <v>0.05</v>
      </c>
      <c r="G893" s="387"/>
      <c r="H893" s="387"/>
      <c r="I893" s="387"/>
      <c r="J893" s="387"/>
      <c r="K893" s="378">
        <v>1</v>
      </c>
      <c r="L893" s="378"/>
      <c r="M893" s="379">
        <f>IFERROR(MIN(MAX(0,IF(K893="N/A",0,IF((D893=E893),5,5-QUOTIENT(D893,E893)))), MAX(0,IF(K893="N/A",0,IF((F893=G893),5,5-QUOTIENT(F893,G893))))),0)</f>
        <v>0</v>
      </c>
      <c r="N893" s="378">
        <f t="shared" ref="N893:N894" si="202">IF(K893="N/A", 1, 2)</f>
        <v>2</v>
      </c>
      <c r="O893" s="379">
        <f t="shared" si="199"/>
        <v>2</v>
      </c>
      <c r="P893" s="378" t="s">
        <v>1147</v>
      </c>
      <c r="Q893" s="380" t="s">
        <v>1148</v>
      </c>
      <c r="R893" s="378"/>
    </row>
    <row r="894" spans="1:18" outlineLevel="1">
      <c r="A894" s="394"/>
      <c r="B894" s="638"/>
      <c r="C894" s="382" t="s">
        <v>1173</v>
      </c>
      <c r="D894" s="391">
        <v>10</v>
      </c>
      <c r="E894" s="389"/>
      <c r="F894" s="391">
        <v>10</v>
      </c>
      <c r="G894" s="387"/>
      <c r="H894" s="387"/>
      <c r="I894" s="387"/>
      <c r="J894" s="387"/>
      <c r="K894" s="378">
        <v>1</v>
      </c>
      <c r="L894" s="378"/>
      <c r="M894" s="379">
        <f>IFERROR(MIN(MAX(0,IF(K894="N/A",0,IF((D894=E894),5,5-QUOTIENT(D894,E894)))), MAX(0,IF(K894="N/A",0,IF((F894=G894),5,5-QUOTIENT(F894,G894))))),0)</f>
        <v>0</v>
      </c>
      <c r="N894" s="378">
        <f t="shared" si="202"/>
        <v>2</v>
      </c>
      <c r="O894" s="379">
        <f t="shared" si="199"/>
        <v>2</v>
      </c>
      <c r="P894" s="378" t="s">
        <v>1147</v>
      </c>
      <c r="Q894" s="380" t="s">
        <v>1148</v>
      </c>
      <c r="R894" s="378"/>
    </row>
    <row r="895" spans="1:18" outlineLevel="1">
      <c r="A895" s="394" t="s">
        <v>1174</v>
      </c>
      <c r="B895" s="395"/>
      <c r="C895" s="382"/>
      <c r="D895" s="391"/>
      <c r="E895" s="389"/>
      <c r="F895" s="391"/>
      <c r="G895" s="387"/>
      <c r="H895" s="387"/>
      <c r="I895" s="387"/>
      <c r="J895" s="387"/>
      <c r="K895" s="378"/>
      <c r="L895" s="378"/>
      <c r="M895" s="379">
        <f>IFERROR(MIN(M896:M898),0)</f>
        <v>0</v>
      </c>
      <c r="N895" s="378">
        <f>N896</f>
        <v>2</v>
      </c>
      <c r="O895" s="379">
        <f t="shared" si="199"/>
        <v>2</v>
      </c>
      <c r="P895" s="378" t="s">
        <v>1147</v>
      </c>
      <c r="Q895" s="380" t="s">
        <v>1148</v>
      </c>
      <c r="R895" s="378"/>
    </row>
    <row r="896" spans="1:18" outlineLevel="1">
      <c r="A896" s="394"/>
      <c r="B896" s="636" t="s">
        <v>571</v>
      </c>
      <c r="C896" s="382" t="s">
        <v>1168</v>
      </c>
      <c r="D896" s="387">
        <v>0.95</v>
      </c>
      <c r="E896" s="389"/>
      <c r="F896" s="387">
        <v>0.95</v>
      </c>
      <c r="G896" s="387"/>
      <c r="H896" s="387"/>
      <c r="I896" s="387"/>
      <c r="J896" s="387"/>
      <c r="K896" s="378">
        <v>1</v>
      </c>
      <c r="L896" s="378"/>
      <c r="M896" s="379">
        <f>IFERROR(MIN(MAX(0,IF(K896="N/A",0,IF((D896=E896),5,5-QUOTIENT(D896,E896)))), MAX(0,IF(K896="N/A",0,IF((F896=G896),5,5-QUOTIENT(F896,G896))))),0)</f>
        <v>0</v>
      </c>
      <c r="N896" s="378">
        <f t="shared" ref="N896:N898" si="203">IF(K896="N/A", 0, 2)</f>
        <v>2</v>
      </c>
      <c r="O896" s="379">
        <f t="shared" si="199"/>
        <v>2</v>
      </c>
      <c r="P896" s="378" t="s">
        <v>1147</v>
      </c>
      <c r="Q896" s="380" t="s">
        <v>1148</v>
      </c>
      <c r="R896" s="378"/>
    </row>
    <row r="897" spans="1:18" outlineLevel="1">
      <c r="A897" s="394"/>
      <c r="B897" s="637"/>
      <c r="C897" s="382" t="s">
        <v>1170</v>
      </c>
      <c r="D897" s="390">
        <v>0.01</v>
      </c>
      <c r="E897" s="389"/>
      <c r="F897" s="390">
        <v>0.01</v>
      </c>
      <c r="G897" s="387"/>
      <c r="H897" s="387"/>
      <c r="I897" s="387"/>
      <c r="J897" s="387"/>
      <c r="K897" s="378">
        <v>1</v>
      </c>
      <c r="L897" s="378"/>
      <c r="M897" s="379">
        <f>IFERROR(MIN(MAX(0,IF(K897="N/A",0,IF((D897=E897),5,5-QUOTIENT(D897,E897)))), MAX(0,IF(K897="N/A",0,IF((F897=G897),5,5-QUOTIENT(F897,G897))))),0)</f>
        <v>0</v>
      </c>
      <c r="N897" s="378">
        <f t="shared" si="203"/>
        <v>2</v>
      </c>
      <c r="O897" s="379">
        <f t="shared" si="199"/>
        <v>2</v>
      </c>
      <c r="P897" s="378" t="s">
        <v>1147</v>
      </c>
      <c r="Q897" s="380" t="s">
        <v>1148</v>
      </c>
      <c r="R897" s="378"/>
    </row>
    <row r="898" spans="1:18" outlineLevel="1">
      <c r="A898" s="394"/>
      <c r="B898" s="638"/>
      <c r="C898" s="382" t="s">
        <v>1173</v>
      </c>
      <c r="D898" s="391">
        <v>6</v>
      </c>
      <c r="E898" s="389"/>
      <c r="F898" s="391">
        <v>6</v>
      </c>
      <c r="G898" s="387"/>
      <c r="H898" s="387"/>
      <c r="I898" s="387"/>
      <c r="J898" s="387"/>
      <c r="K898" s="378">
        <v>1</v>
      </c>
      <c r="L898" s="378"/>
      <c r="M898" s="379">
        <f>IFERROR(MIN(MAX(0,IF(K898="N/A",0,IF((D898=E898),5,5-QUOTIENT(D898,E898)))), MAX(0,IF(K898="N/A",0,IF((F898=G898),5,5-QUOTIENT(F898,G898))))),0)</f>
        <v>0</v>
      </c>
      <c r="N898" s="378">
        <f t="shared" si="203"/>
        <v>2</v>
      </c>
      <c r="O898" s="379">
        <f t="shared" si="199"/>
        <v>2</v>
      </c>
      <c r="P898" s="378" t="s">
        <v>1147</v>
      </c>
      <c r="Q898" s="380" t="s">
        <v>1148</v>
      </c>
      <c r="R898" s="378"/>
    </row>
    <row r="899" spans="1:18" outlineLevel="1">
      <c r="A899" s="394" t="s">
        <v>1175</v>
      </c>
      <c r="B899" s="396"/>
      <c r="C899" s="382"/>
      <c r="D899" s="391"/>
      <c r="E899" s="389"/>
      <c r="F899" s="391"/>
      <c r="G899" s="387"/>
      <c r="H899" s="387"/>
      <c r="I899" s="387"/>
      <c r="J899" s="387"/>
      <c r="K899" s="378"/>
      <c r="L899" s="378"/>
      <c r="M899" s="379">
        <f>IFERROR(MIN(M900:M909),0)</f>
        <v>0</v>
      </c>
      <c r="N899" s="378">
        <f>N900</f>
        <v>2</v>
      </c>
      <c r="O899" s="379">
        <f t="shared" si="199"/>
        <v>2</v>
      </c>
      <c r="P899" s="378" t="s">
        <v>1147</v>
      </c>
      <c r="Q899" s="380" t="s">
        <v>1148</v>
      </c>
      <c r="R899" s="378"/>
    </row>
    <row r="900" spans="1:18" outlineLevel="1">
      <c r="A900" s="394"/>
      <c r="B900" s="397" t="s">
        <v>1149</v>
      </c>
      <c r="C900" s="382" t="s">
        <v>1150</v>
      </c>
      <c r="D900" s="387">
        <v>0.99</v>
      </c>
      <c r="E900" s="389"/>
      <c r="F900" s="398">
        <v>0.99</v>
      </c>
      <c r="G900" s="387"/>
      <c r="H900" s="387"/>
      <c r="I900" s="387"/>
      <c r="J900" s="387"/>
      <c r="K900" s="378">
        <v>1</v>
      </c>
      <c r="L900" s="378"/>
      <c r="M900" s="379">
        <f t="shared" ref="M900:M909" si="204">IFERROR(MIN(MAX(0,IF(K900="N/A",0,IF((D900=E900),5,5-QUOTIENT(D900,E900)))), MAX(0,IF(K900="N/A",0,IF((F900=G900),5,5-QUOTIENT(F900,G900))))),0)</f>
        <v>0</v>
      </c>
      <c r="N900" s="378">
        <f>IF(K900="N/A", 1, 2)</f>
        <v>2</v>
      </c>
      <c r="O900" s="379">
        <f t="shared" si="199"/>
        <v>2</v>
      </c>
      <c r="P900" s="378" t="s">
        <v>1147</v>
      </c>
      <c r="Q900" s="380" t="s">
        <v>1148</v>
      </c>
      <c r="R900" s="378"/>
    </row>
    <row r="901" spans="1:18" outlineLevel="1">
      <c r="A901" s="394"/>
      <c r="B901" s="636" t="s">
        <v>1176</v>
      </c>
      <c r="C901" s="382" t="s">
        <v>1177</v>
      </c>
      <c r="D901" s="387">
        <v>0.98</v>
      </c>
      <c r="E901" s="389"/>
      <c r="F901" s="398">
        <v>0.95</v>
      </c>
      <c r="G901" s="387"/>
      <c r="H901" s="387"/>
      <c r="I901" s="387"/>
      <c r="J901" s="387"/>
      <c r="K901" s="378">
        <v>1</v>
      </c>
      <c r="L901" s="378"/>
      <c r="M901" s="379">
        <f t="shared" si="204"/>
        <v>0</v>
      </c>
      <c r="N901" s="378">
        <f t="shared" ref="N901:N909" si="205">IF(K901="N/A", 1, 2)</f>
        <v>2</v>
      </c>
      <c r="O901" s="379">
        <f t="shared" si="199"/>
        <v>2</v>
      </c>
      <c r="P901" s="378" t="s">
        <v>1147</v>
      </c>
      <c r="Q901" s="380" t="s">
        <v>1148</v>
      </c>
      <c r="R901" s="378"/>
    </row>
    <row r="902" spans="1:18" outlineLevel="1">
      <c r="A902" s="394"/>
      <c r="B902" s="638"/>
      <c r="C902" s="382" t="s">
        <v>1178</v>
      </c>
      <c r="D902" s="387">
        <v>0.95</v>
      </c>
      <c r="E902" s="399"/>
      <c r="F902" s="398">
        <v>0.9</v>
      </c>
      <c r="G902" s="387"/>
      <c r="H902" s="387"/>
      <c r="I902" s="387"/>
      <c r="J902" s="387"/>
      <c r="K902" s="378">
        <v>1</v>
      </c>
      <c r="L902" s="378"/>
      <c r="M902" s="379">
        <f t="shared" si="204"/>
        <v>0</v>
      </c>
      <c r="N902" s="378">
        <f t="shared" si="205"/>
        <v>2</v>
      </c>
      <c r="O902" s="379">
        <f t="shared" si="199"/>
        <v>2</v>
      </c>
      <c r="P902" s="378" t="s">
        <v>1147</v>
      </c>
      <c r="Q902" s="380" t="s">
        <v>1148</v>
      </c>
      <c r="R902" s="378"/>
    </row>
    <row r="903" spans="1:18" outlineLevel="1">
      <c r="A903" s="394"/>
      <c r="B903" s="636" t="s">
        <v>1179</v>
      </c>
      <c r="C903" s="382" t="s">
        <v>1177</v>
      </c>
      <c r="D903" s="387">
        <v>0.95</v>
      </c>
      <c r="E903" s="399"/>
      <c r="F903" s="387">
        <v>0.95</v>
      </c>
      <c r="G903" s="387"/>
      <c r="H903" s="387"/>
      <c r="I903" s="387"/>
      <c r="J903" s="387"/>
      <c r="K903" s="378">
        <v>1</v>
      </c>
      <c r="L903" s="378"/>
      <c r="M903" s="379">
        <f t="shared" si="204"/>
        <v>0</v>
      </c>
      <c r="N903" s="378">
        <f t="shared" si="205"/>
        <v>2</v>
      </c>
      <c r="O903" s="379">
        <f t="shared" si="199"/>
        <v>2</v>
      </c>
      <c r="P903" s="378" t="s">
        <v>1147</v>
      </c>
      <c r="Q903" s="380" t="s">
        <v>1148</v>
      </c>
      <c r="R903" s="378"/>
    </row>
    <row r="904" spans="1:18" outlineLevel="1">
      <c r="A904" s="394"/>
      <c r="B904" s="637"/>
      <c r="C904" s="382" t="s">
        <v>1180</v>
      </c>
      <c r="D904" s="387">
        <v>0.85</v>
      </c>
      <c r="E904" s="399"/>
      <c r="F904" s="387">
        <v>0.85</v>
      </c>
      <c r="G904" s="387"/>
      <c r="H904" s="387"/>
      <c r="I904" s="387"/>
      <c r="J904" s="387"/>
      <c r="K904" s="378">
        <v>1</v>
      </c>
      <c r="L904" s="378"/>
      <c r="M904" s="379">
        <f t="shared" si="204"/>
        <v>0</v>
      </c>
      <c r="N904" s="378">
        <f t="shared" si="205"/>
        <v>2</v>
      </c>
      <c r="O904" s="379">
        <f t="shared" si="199"/>
        <v>2</v>
      </c>
      <c r="P904" s="378" t="s">
        <v>1147</v>
      </c>
      <c r="Q904" s="380" t="s">
        <v>1148</v>
      </c>
      <c r="R904" s="378"/>
    </row>
    <row r="905" spans="1:18" outlineLevel="1">
      <c r="A905" s="394"/>
      <c r="B905" s="637"/>
      <c r="C905" s="382" t="s">
        <v>1181</v>
      </c>
      <c r="D905" s="387">
        <v>0.9</v>
      </c>
      <c r="E905" s="399"/>
      <c r="F905" s="387">
        <v>0.9</v>
      </c>
      <c r="G905" s="387"/>
      <c r="H905" s="387"/>
      <c r="I905" s="387"/>
      <c r="J905" s="387"/>
      <c r="K905" s="378">
        <v>1</v>
      </c>
      <c r="L905" s="378"/>
      <c r="M905" s="379">
        <f t="shared" si="204"/>
        <v>0</v>
      </c>
      <c r="N905" s="378">
        <f t="shared" si="205"/>
        <v>2</v>
      </c>
      <c r="O905" s="379">
        <f t="shared" si="199"/>
        <v>2</v>
      </c>
      <c r="P905" s="378" t="s">
        <v>1147</v>
      </c>
      <c r="Q905" s="380" t="s">
        <v>1148</v>
      </c>
      <c r="R905" s="378"/>
    </row>
    <row r="906" spans="1:18" outlineLevel="1">
      <c r="A906" s="394"/>
      <c r="B906" s="637"/>
      <c r="C906" s="382" t="s">
        <v>1182</v>
      </c>
      <c r="D906" s="387">
        <v>0.9</v>
      </c>
      <c r="E906" s="399"/>
      <c r="F906" s="387">
        <v>0.9</v>
      </c>
      <c r="G906" s="387"/>
      <c r="H906" s="387"/>
      <c r="I906" s="387"/>
      <c r="J906" s="387"/>
      <c r="K906" s="378">
        <v>1</v>
      </c>
      <c r="L906" s="378"/>
      <c r="M906" s="379">
        <f t="shared" si="204"/>
        <v>0</v>
      </c>
      <c r="N906" s="378">
        <f t="shared" si="205"/>
        <v>2</v>
      </c>
      <c r="O906" s="379">
        <f t="shared" si="199"/>
        <v>2</v>
      </c>
      <c r="P906" s="378" t="s">
        <v>1147</v>
      </c>
      <c r="Q906" s="380" t="s">
        <v>1148</v>
      </c>
      <c r="R906" s="378"/>
    </row>
    <row r="907" spans="1:18" outlineLevel="1">
      <c r="A907" s="394"/>
      <c r="B907" s="637"/>
      <c r="C907" s="382" t="s">
        <v>1183</v>
      </c>
      <c r="D907" s="387">
        <v>0.9</v>
      </c>
      <c r="E907" s="399"/>
      <c r="F907" s="387">
        <v>0.9</v>
      </c>
      <c r="G907" s="387"/>
      <c r="H907" s="387"/>
      <c r="I907" s="387"/>
      <c r="J907" s="387"/>
      <c r="K907" s="378">
        <v>1</v>
      </c>
      <c r="L907" s="378"/>
      <c r="M907" s="379">
        <f t="shared" si="204"/>
        <v>0</v>
      </c>
      <c r="N907" s="378">
        <f t="shared" si="205"/>
        <v>2</v>
      </c>
      <c r="O907" s="379">
        <f t="shared" si="199"/>
        <v>2</v>
      </c>
      <c r="P907" s="378" t="s">
        <v>1147</v>
      </c>
      <c r="Q907" s="380" t="s">
        <v>1148</v>
      </c>
      <c r="R907" s="378"/>
    </row>
    <row r="908" spans="1:18" outlineLevel="1">
      <c r="A908" s="394"/>
      <c r="B908" s="637"/>
      <c r="C908" s="382" t="s">
        <v>1178</v>
      </c>
      <c r="D908" s="387">
        <v>0.9</v>
      </c>
      <c r="E908" s="399"/>
      <c r="F908" s="387">
        <v>0.9</v>
      </c>
      <c r="G908" s="387"/>
      <c r="H908" s="387"/>
      <c r="I908" s="387"/>
      <c r="J908" s="387"/>
      <c r="K908" s="378">
        <v>1</v>
      </c>
      <c r="L908" s="378"/>
      <c r="M908" s="379">
        <f t="shared" si="204"/>
        <v>0</v>
      </c>
      <c r="N908" s="378">
        <f t="shared" si="205"/>
        <v>2</v>
      </c>
      <c r="O908" s="379">
        <f t="shared" si="199"/>
        <v>2</v>
      </c>
      <c r="P908" s="378" t="s">
        <v>1147</v>
      </c>
      <c r="Q908" s="380" t="s">
        <v>1148</v>
      </c>
      <c r="R908" s="378"/>
    </row>
    <row r="909" spans="1:18" outlineLevel="1">
      <c r="A909" s="394"/>
      <c r="B909" s="638"/>
      <c r="C909" s="382" t="s">
        <v>1184</v>
      </c>
      <c r="D909" s="387">
        <v>0.85</v>
      </c>
      <c r="E909" s="399"/>
      <c r="F909" s="387">
        <v>0.85</v>
      </c>
      <c r="G909" s="387"/>
      <c r="H909" s="387"/>
      <c r="I909" s="387"/>
      <c r="J909" s="387"/>
      <c r="K909" s="378">
        <v>1</v>
      </c>
      <c r="L909" s="378"/>
      <c r="M909" s="379">
        <f t="shared" si="204"/>
        <v>0</v>
      </c>
      <c r="N909" s="378">
        <f t="shared" si="205"/>
        <v>2</v>
      </c>
      <c r="O909" s="379">
        <f t="shared" si="199"/>
        <v>2</v>
      </c>
      <c r="P909" s="378" t="s">
        <v>1147</v>
      </c>
      <c r="Q909" s="380" t="s">
        <v>1148</v>
      </c>
      <c r="R909" s="378"/>
    </row>
    <row r="910" spans="1:18" outlineLevel="1">
      <c r="A910" s="394" t="s">
        <v>1185</v>
      </c>
      <c r="B910" s="395"/>
      <c r="C910" s="382"/>
      <c r="D910" s="387"/>
      <c r="E910" s="399"/>
      <c r="F910" s="387"/>
      <c r="G910" s="387"/>
      <c r="H910" s="387"/>
      <c r="I910" s="387"/>
      <c r="J910" s="387"/>
      <c r="K910" s="378"/>
      <c r="L910" s="378"/>
      <c r="M910" s="379">
        <f>IFERROR(MIN(M911:M914),0)</f>
        <v>0</v>
      </c>
      <c r="N910" s="378">
        <f>N911</f>
        <v>2</v>
      </c>
      <c r="O910" s="379">
        <f>MAX(M910:N910)</f>
        <v>2</v>
      </c>
      <c r="P910" s="378" t="s">
        <v>1147</v>
      </c>
      <c r="Q910" s="380" t="s">
        <v>1148</v>
      </c>
      <c r="R910" s="378"/>
    </row>
    <row r="911" spans="1:18" outlineLevel="1">
      <c r="A911" s="394"/>
      <c r="B911" s="636" t="s">
        <v>1186</v>
      </c>
      <c r="C911" s="382" t="s">
        <v>1187</v>
      </c>
      <c r="D911" s="387">
        <v>0.95</v>
      </c>
      <c r="E911" s="389"/>
      <c r="F911" s="398">
        <v>0.45</v>
      </c>
      <c r="G911" s="387"/>
      <c r="H911" s="387"/>
      <c r="I911" s="387"/>
      <c r="J911" s="387"/>
      <c r="K911" s="378">
        <v>1</v>
      </c>
      <c r="L911" s="378"/>
      <c r="M911" s="379">
        <f>IFERROR(MIN(MAX(0,IF(K911="N/A",0,IF((D911=E911),5,5-QUOTIENT(D911,E911)))), MAX(0,IF(K911="N/A",0,IF((F911=G911),5,5-QUOTIENT(F911,G911))))),0)</f>
        <v>0</v>
      </c>
      <c r="N911" s="378">
        <f>IF(K911="N/A", 1, 2)</f>
        <v>2</v>
      </c>
      <c r="O911" s="379">
        <f t="shared" ref="O911:O937" si="206">MAX(M911:N911)</f>
        <v>2</v>
      </c>
      <c r="P911" s="378" t="s">
        <v>1147</v>
      </c>
      <c r="Q911" s="380" t="s">
        <v>1148</v>
      </c>
      <c r="R911" s="378"/>
    </row>
    <row r="912" spans="1:18" outlineLevel="1">
      <c r="A912" s="394"/>
      <c r="B912" s="637"/>
      <c r="C912" s="382" t="s">
        <v>1188</v>
      </c>
      <c r="D912" s="387">
        <v>0.9</v>
      </c>
      <c r="E912" s="389"/>
      <c r="F912" s="398">
        <v>0.4</v>
      </c>
      <c r="G912" s="387"/>
      <c r="H912" s="387"/>
      <c r="I912" s="387"/>
      <c r="J912" s="387"/>
      <c r="K912" s="378">
        <v>1</v>
      </c>
      <c r="L912" s="378"/>
      <c r="M912" s="379">
        <f>IFERROR(MIN(MAX(0,IF(K912="N/A",0,IF((D912=E912),5,5-QUOTIENT(D912,E912)))), MAX(0,IF(K912="N/A",0,IF((F912=G912),5,5-QUOTIENT(F912,G912))))),0)</f>
        <v>0</v>
      </c>
      <c r="N912" s="378">
        <f t="shared" ref="N912:N914" si="207">IF(K912="N/A", 1, 2)</f>
        <v>2</v>
      </c>
      <c r="O912" s="379">
        <f t="shared" si="206"/>
        <v>2</v>
      </c>
      <c r="P912" s="378" t="s">
        <v>1147</v>
      </c>
      <c r="Q912" s="380" t="s">
        <v>1148</v>
      </c>
      <c r="R912" s="378"/>
    </row>
    <row r="913" spans="1:18" outlineLevel="1">
      <c r="A913" s="394"/>
      <c r="B913" s="637"/>
      <c r="C913" s="382" t="s">
        <v>1170</v>
      </c>
      <c r="D913" s="390">
        <v>0.05</v>
      </c>
      <c r="E913" s="389"/>
      <c r="F913" s="390">
        <v>0.05</v>
      </c>
      <c r="G913" s="387"/>
      <c r="H913" s="387"/>
      <c r="I913" s="387"/>
      <c r="J913" s="387"/>
      <c r="K913" s="378">
        <v>1</v>
      </c>
      <c r="L913" s="378"/>
      <c r="M913" s="379">
        <f>IFERROR(MIN(MAX(0,IF(K913="N/A",0,IF((D913=E913),5,5-QUOTIENT(D913,E913)))), MAX(0,IF(K913="N/A",0,IF((F913=G913),5,5-QUOTIENT(F913,G913))))),0)</f>
        <v>0</v>
      </c>
      <c r="N913" s="378">
        <f t="shared" si="207"/>
        <v>2</v>
      </c>
      <c r="O913" s="379">
        <f t="shared" si="206"/>
        <v>2</v>
      </c>
      <c r="P913" s="378" t="s">
        <v>1147</v>
      </c>
      <c r="Q913" s="380" t="s">
        <v>1148</v>
      </c>
      <c r="R913" s="378"/>
    </row>
    <row r="914" spans="1:18" outlineLevel="1">
      <c r="A914" s="394"/>
      <c r="B914" s="638"/>
      <c r="C914" s="382" t="s">
        <v>1189</v>
      </c>
      <c r="D914" s="391">
        <v>100</v>
      </c>
      <c r="E914" s="389"/>
      <c r="F914" s="391">
        <v>100</v>
      </c>
      <c r="G914" s="387"/>
      <c r="H914" s="387"/>
      <c r="I914" s="387"/>
      <c r="J914" s="387"/>
      <c r="K914" s="378">
        <v>1</v>
      </c>
      <c r="L914" s="378"/>
      <c r="M914" s="379">
        <f>IFERROR(MIN(MAX(0,IF(K914="N/A",0,IF((D914=E914),5,5-QUOTIENT(D914,E914)))), MAX(0,IF(K914="N/A",0,IF((F914=G914),5,5-QUOTIENT(F914,G914))))),0)</f>
        <v>0</v>
      </c>
      <c r="N914" s="378">
        <f t="shared" si="207"/>
        <v>2</v>
      </c>
      <c r="O914" s="379">
        <f t="shared" si="206"/>
        <v>2</v>
      </c>
      <c r="P914" s="378" t="s">
        <v>1147</v>
      </c>
      <c r="Q914" s="380" t="s">
        <v>1148</v>
      </c>
      <c r="R914" s="378"/>
    </row>
    <row r="915" spans="1:18" outlineLevel="1">
      <c r="A915" s="394" t="s">
        <v>1190</v>
      </c>
      <c r="B915" s="396"/>
      <c r="C915" s="382"/>
      <c r="D915" s="391"/>
      <c r="E915" s="389"/>
      <c r="F915" s="391"/>
      <c r="G915" s="387"/>
      <c r="H915" s="387"/>
      <c r="I915" s="387"/>
      <c r="J915" s="387"/>
      <c r="K915" s="378"/>
      <c r="L915" s="378"/>
      <c r="M915" s="379">
        <f>IFERROR(MIN(M916:M919),0)</f>
        <v>0</v>
      </c>
      <c r="N915" s="378">
        <f>N916</f>
        <v>2</v>
      </c>
      <c r="O915" s="379">
        <f t="shared" si="206"/>
        <v>2</v>
      </c>
      <c r="P915" s="378" t="s">
        <v>1147</v>
      </c>
      <c r="Q915" s="380" t="s">
        <v>1148</v>
      </c>
      <c r="R915" s="378"/>
    </row>
    <row r="916" spans="1:18" outlineLevel="1">
      <c r="A916" s="394"/>
      <c r="B916" s="397" t="s">
        <v>752</v>
      </c>
      <c r="C916" s="382" t="s">
        <v>1191</v>
      </c>
      <c r="D916" s="387">
        <v>0.85</v>
      </c>
      <c r="E916" s="389"/>
      <c r="F916" s="398">
        <v>0.85</v>
      </c>
      <c r="G916" s="387"/>
      <c r="H916" s="387"/>
      <c r="I916" s="387"/>
      <c r="J916" s="387"/>
      <c r="K916" s="378">
        <v>1</v>
      </c>
      <c r="L916" s="378"/>
      <c r="M916" s="379">
        <f>IFERROR(MIN(MAX(0,IF(K916="N/A",0,IF((D916=E916),5,5-QUOTIENT(D916,E916)))), MAX(0,IF(K916="N/A",0,IF((F916=G916),5,5-QUOTIENT(F916,G916))))),0)</f>
        <v>0</v>
      </c>
      <c r="N916" s="378">
        <f>IF(K916="N/A", 1, 2)</f>
        <v>2</v>
      </c>
      <c r="O916" s="379">
        <f t="shared" si="206"/>
        <v>2</v>
      </c>
      <c r="P916" s="378" t="s">
        <v>1147</v>
      </c>
      <c r="Q916" s="380" t="s">
        <v>1148</v>
      </c>
      <c r="R916" s="378"/>
    </row>
    <row r="917" spans="1:18" outlineLevel="1">
      <c r="A917" s="394"/>
      <c r="B917" s="397" t="s">
        <v>752</v>
      </c>
      <c r="C917" s="400" t="s">
        <v>1170</v>
      </c>
      <c r="D917" s="401">
        <v>1</v>
      </c>
      <c r="E917" s="389"/>
      <c r="F917" s="401">
        <v>1</v>
      </c>
      <c r="G917" s="387"/>
      <c r="H917" s="387"/>
      <c r="I917" s="387"/>
      <c r="J917" s="387"/>
      <c r="K917" s="378">
        <v>1</v>
      </c>
      <c r="L917" s="378"/>
      <c r="M917" s="379">
        <f>IFERROR(MIN(MAX(0,IF(K917="N/A",0,IF((D917=E917),5,5-QUOTIENT(D917,E917)))), MAX(0,IF(K917="N/A",0,IF((F917=G917),5,5-QUOTIENT(F917,G917))))),0)</f>
        <v>0</v>
      </c>
      <c r="N917" s="378">
        <f t="shared" ref="N917:N919" si="208">IF(K917="N/A", 1, 2)</f>
        <v>2</v>
      </c>
      <c r="O917" s="379">
        <f t="shared" si="206"/>
        <v>2</v>
      </c>
      <c r="P917" s="378" t="s">
        <v>1147</v>
      </c>
      <c r="Q917" s="380" t="s">
        <v>1148</v>
      </c>
      <c r="R917" s="378"/>
    </row>
    <row r="918" spans="1:18" outlineLevel="1">
      <c r="A918" s="394"/>
      <c r="B918" s="402" t="s">
        <v>1192</v>
      </c>
      <c r="C918" s="400" t="s">
        <v>1193</v>
      </c>
      <c r="D918" s="403">
        <v>0.999</v>
      </c>
      <c r="E918" s="389"/>
      <c r="F918" s="403">
        <v>0.999</v>
      </c>
      <c r="G918" s="387"/>
      <c r="H918" s="387"/>
      <c r="I918" s="387"/>
      <c r="J918" s="387"/>
      <c r="K918" s="378">
        <v>1</v>
      </c>
      <c r="L918" s="378"/>
      <c r="M918" s="379">
        <f>IFERROR(MIN(MAX(0,IF(K918="N/A",0,IF((D918=E918),5,5-QUOTIENT(D918,E918)))), MAX(0,IF(K918="N/A",0,IF((F918=G918),5,5-QUOTIENT(F918,G918))))),0)</f>
        <v>0</v>
      </c>
      <c r="N918" s="378">
        <f t="shared" si="208"/>
        <v>2</v>
      </c>
      <c r="O918" s="379">
        <f t="shared" si="206"/>
        <v>2</v>
      </c>
      <c r="P918" s="378" t="s">
        <v>1147</v>
      </c>
      <c r="Q918" s="380" t="s">
        <v>1148</v>
      </c>
      <c r="R918" s="378"/>
    </row>
    <row r="919" spans="1:18" outlineLevel="1">
      <c r="A919" s="394"/>
      <c r="B919" s="402" t="s">
        <v>1192</v>
      </c>
      <c r="C919" s="400" t="s">
        <v>1194</v>
      </c>
      <c r="D919" s="403">
        <v>0.999</v>
      </c>
      <c r="E919" s="389"/>
      <c r="F919" s="403">
        <v>0.999</v>
      </c>
      <c r="G919" s="387"/>
      <c r="H919" s="387"/>
      <c r="I919" s="387"/>
      <c r="J919" s="387"/>
      <c r="K919" s="378">
        <v>1</v>
      </c>
      <c r="L919" s="378"/>
      <c r="M919" s="379">
        <f>IFERROR(MIN(MAX(0,IF(K919="N/A",0,IF((D919=E919),5,5-QUOTIENT(D919,E919)))), MAX(0,IF(K919="N/A",0,IF((F919=G919),5,5-QUOTIENT(F919,G919))))),0)</f>
        <v>0</v>
      </c>
      <c r="N919" s="378">
        <f t="shared" si="208"/>
        <v>2</v>
      </c>
      <c r="O919" s="379">
        <f t="shared" si="206"/>
        <v>2</v>
      </c>
      <c r="P919" s="378" t="s">
        <v>1147</v>
      </c>
      <c r="Q919" s="380" t="s">
        <v>1148</v>
      </c>
      <c r="R919" s="378"/>
    </row>
    <row r="920" spans="1:18" outlineLevel="1">
      <c r="A920" s="404" t="s">
        <v>1195</v>
      </c>
      <c r="B920" s="405"/>
      <c r="C920" s="400"/>
      <c r="D920" s="403"/>
      <c r="E920" s="389"/>
      <c r="F920" s="403"/>
      <c r="G920" s="387"/>
      <c r="H920" s="387"/>
      <c r="I920" s="387"/>
      <c r="J920" s="387"/>
      <c r="K920" s="378"/>
      <c r="L920" s="378"/>
      <c r="M920" s="379">
        <f>IFERROR(MIN(M921:M932),0)</f>
        <v>0</v>
      </c>
      <c r="N920" s="378">
        <f>N923</f>
        <v>2</v>
      </c>
      <c r="O920" s="379">
        <f t="shared" si="206"/>
        <v>2</v>
      </c>
      <c r="P920" s="378" t="s">
        <v>1147</v>
      </c>
      <c r="Q920" s="380" t="s">
        <v>1148</v>
      </c>
      <c r="R920" s="378"/>
    </row>
    <row r="921" spans="1:18" outlineLevel="1">
      <c r="A921" s="406"/>
      <c r="B921" s="639" t="s">
        <v>1196</v>
      </c>
      <c r="C921" s="382" t="s">
        <v>1197</v>
      </c>
      <c r="D921" s="387">
        <v>0.99</v>
      </c>
      <c r="E921" s="389"/>
      <c r="F921" s="398">
        <v>0.95</v>
      </c>
      <c r="G921" s="387"/>
      <c r="H921" s="387"/>
      <c r="I921" s="387"/>
      <c r="J921" s="387"/>
      <c r="K921" s="378">
        <v>1</v>
      </c>
      <c r="L921" s="378"/>
      <c r="M921" s="379">
        <f t="shared" ref="M921:M932" si="209">IFERROR(MIN(MAX(0,IF(K921="N/A",0,IF((D921=E921),5,5-QUOTIENT(D921,E921)))), MAX(0,IF(K921="N/A",0,IF((F921=G921),5,5-QUOTIENT(F921,G921))))),0)</f>
        <v>0</v>
      </c>
      <c r="N921" s="378">
        <f>IF(K921="N/A", 1, 2)</f>
        <v>2</v>
      </c>
      <c r="O921" s="379">
        <f t="shared" si="206"/>
        <v>2</v>
      </c>
      <c r="P921" s="378" t="s">
        <v>1147</v>
      </c>
      <c r="Q921" s="380" t="s">
        <v>1148</v>
      </c>
      <c r="R921" s="378"/>
    </row>
    <row r="922" spans="1:18" outlineLevel="1">
      <c r="A922" s="406"/>
      <c r="B922" s="640"/>
      <c r="C922" s="382" t="s">
        <v>1198</v>
      </c>
      <c r="D922" s="387">
        <v>0.85</v>
      </c>
      <c r="E922" s="389"/>
      <c r="F922" s="398">
        <v>0.8</v>
      </c>
      <c r="G922" s="387"/>
      <c r="H922" s="387"/>
      <c r="I922" s="387"/>
      <c r="J922" s="387"/>
      <c r="K922" s="378">
        <v>1</v>
      </c>
      <c r="L922" s="378"/>
      <c r="M922" s="379">
        <f t="shared" si="209"/>
        <v>0</v>
      </c>
      <c r="N922" s="378">
        <f t="shared" ref="N922:N923" si="210">IF(K922="N/A", 1, 2)</f>
        <v>2</v>
      </c>
      <c r="O922" s="379">
        <f t="shared" si="206"/>
        <v>2</v>
      </c>
      <c r="P922" s="378" t="s">
        <v>1147</v>
      </c>
      <c r="Q922" s="380" t="s">
        <v>1148</v>
      </c>
      <c r="R922" s="378"/>
    </row>
    <row r="923" spans="1:18" ht="15" customHeight="1" outlineLevel="1">
      <c r="A923" s="406"/>
      <c r="B923" s="641"/>
      <c r="C923" s="382" t="s">
        <v>1193</v>
      </c>
      <c r="D923" s="387">
        <v>0.99</v>
      </c>
      <c r="E923" s="389"/>
      <c r="F923" s="398">
        <v>0.95</v>
      </c>
      <c r="G923" s="387"/>
      <c r="H923" s="387"/>
      <c r="I923" s="387"/>
      <c r="J923" s="387"/>
      <c r="K923" s="378">
        <v>1</v>
      </c>
      <c r="L923" s="378"/>
      <c r="M923" s="379">
        <f t="shared" si="209"/>
        <v>0</v>
      </c>
      <c r="N923" s="378">
        <f t="shared" si="210"/>
        <v>2</v>
      </c>
      <c r="O923" s="379">
        <f t="shared" si="206"/>
        <v>2</v>
      </c>
      <c r="P923" s="378" t="s">
        <v>1147</v>
      </c>
      <c r="Q923" s="380" t="s">
        <v>1148</v>
      </c>
      <c r="R923" s="378"/>
    </row>
    <row r="924" spans="1:18" outlineLevel="1">
      <c r="A924" s="406"/>
      <c r="B924" s="639" t="s">
        <v>1199</v>
      </c>
      <c r="C924" s="382" t="s">
        <v>1197</v>
      </c>
      <c r="D924" s="387">
        <v>0.99</v>
      </c>
      <c r="E924" s="389"/>
      <c r="F924" s="398">
        <v>0.95</v>
      </c>
      <c r="G924" s="387"/>
      <c r="H924" s="387"/>
      <c r="I924" s="387"/>
      <c r="J924" s="387"/>
      <c r="K924" s="378" t="s">
        <v>549</v>
      </c>
      <c r="L924" s="378"/>
      <c r="M924" s="379">
        <f t="shared" si="209"/>
        <v>0</v>
      </c>
      <c r="N924" s="378">
        <f>IF(K924="N/A", 1, 2)</f>
        <v>1</v>
      </c>
      <c r="O924" s="379">
        <f t="shared" si="206"/>
        <v>1</v>
      </c>
      <c r="P924" s="378" t="s">
        <v>1147</v>
      </c>
      <c r="Q924" s="380" t="s">
        <v>1148</v>
      </c>
      <c r="R924" s="378"/>
    </row>
    <row r="925" spans="1:18" outlineLevel="1">
      <c r="A925" s="406"/>
      <c r="B925" s="640"/>
      <c r="C925" s="382" t="s">
        <v>1198</v>
      </c>
      <c r="D925" s="387">
        <v>0.85</v>
      </c>
      <c r="E925" s="389"/>
      <c r="F925" s="398">
        <v>0.8</v>
      </c>
      <c r="G925" s="387"/>
      <c r="H925" s="387"/>
      <c r="I925" s="387"/>
      <c r="J925" s="387"/>
      <c r="K925" s="378" t="s">
        <v>549</v>
      </c>
      <c r="L925" s="378"/>
      <c r="M925" s="379">
        <f t="shared" si="209"/>
        <v>0</v>
      </c>
      <c r="N925" s="378">
        <f t="shared" ref="N925:N932" si="211">IF(K925="N/A", 1, 2)</f>
        <v>1</v>
      </c>
      <c r="O925" s="379">
        <f t="shared" si="206"/>
        <v>1</v>
      </c>
      <c r="P925" s="378" t="s">
        <v>1147</v>
      </c>
      <c r="Q925" s="380" t="s">
        <v>1148</v>
      </c>
      <c r="R925" s="378"/>
    </row>
    <row r="926" spans="1:18" outlineLevel="1">
      <c r="A926" s="406"/>
      <c r="B926" s="641"/>
      <c r="C926" s="382" t="s">
        <v>1193</v>
      </c>
      <c r="D926" s="387">
        <v>0.99</v>
      </c>
      <c r="E926" s="389"/>
      <c r="F926" s="398">
        <v>0.95</v>
      </c>
      <c r="G926" s="387"/>
      <c r="H926" s="387"/>
      <c r="I926" s="387"/>
      <c r="J926" s="387"/>
      <c r="K926" s="378" t="s">
        <v>549</v>
      </c>
      <c r="L926" s="378"/>
      <c r="M926" s="379">
        <f t="shared" si="209"/>
        <v>0</v>
      </c>
      <c r="N926" s="378">
        <f t="shared" si="211"/>
        <v>1</v>
      </c>
      <c r="O926" s="379">
        <f t="shared" si="206"/>
        <v>1</v>
      </c>
      <c r="P926" s="378" t="s">
        <v>1147</v>
      </c>
      <c r="Q926" s="380" t="s">
        <v>1148</v>
      </c>
      <c r="R926" s="378"/>
    </row>
    <row r="927" spans="1:18" outlineLevel="1">
      <c r="A927" s="406"/>
      <c r="B927" s="639" t="s">
        <v>1200</v>
      </c>
      <c r="C927" s="382" t="s">
        <v>1197</v>
      </c>
      <c r="D927" s="387">
        <v>0.99</v>
      </c>
      <c r="E927" s="389"/>
      <c r="F927" s="398">
        <v>0.95</v>
      </c>
      <c r="G927" s="387"/>
      <c r="H927" s="387"/>
      <c r="I927" s="387"/>
      <c r="J927" s="387"/>
      <c r="K927" s="378" t="s">
        <v>549</v>
      </c>
      <c r="L927" s="378"/>
      <c r="M927" s="379">
        <f t="shared" si="209"/>
        <v>0</v>
      </c>
      <c r="N927" s="378">
        <f t="shared" si="211"/>
        <v>1</v>
      </c>
      <c r="O927" s="379">
        <f t="shared" si="206"/>
        <v>1</v>
      </c>
      <c r="P927" s="378" t="s">
        <v>1147</v>
      </c>
      <c r="Q927" s="380" t="s">
        <v>1148</v>
      </c>
      <c r="R927" s="378"/>
    </row>
    <row r="928" spans="1:18" outlineLevel="1">
      <c r="A928" s="406"/>
      <c r="B928" s="640"/>
      <c r="C928" s="382" t="s">
        <v>1198</v>
      </c>
      <c r="D928" s="387">
        <v>0.85</v>
      </c>
      <c r="E928" s="389"/>
      <c r="F928" s="398">
        <v>0.8</v>
      </c>
      <c r="G928" s="387"/>
      <c r="H928" s="387"/>
      <c r="I928" s="387"/>
      <c r="J928" s="387"/>
      <c r="K928" s="378" t="s">
        <v>549</v>
      </c>
      <c r="L928" s="378"/>
      <c r="M928" s="379">
        <f t="shared" si="209"/>
        <v>0</v>
      </c>
      <c r="N928" s="378">
        <f t="shared" si="211"/>
        <v>1</v>
      </c>
      <c r="O928" s="379">
        <f t="shared" si="206"/>
        <v>1</v>
      </c>
      <c r="P928" s="378" t="s">
        <v>1147</v>
      </c>
      <c r="Q928" s="380" t="s">
        <v>1148</v>
      </c>
      <c r="R928" s="378"/>
    </row>
    <row r="929" spans="1:18" outlineLevel="1">
      <c r="A929" s="406"/>
      <c r="B929" s="641"/>
      <c r="C929" s="382" t="s">
        <v>1193</v>
      </c>
      <c r="D929" s="387">
        <v>0.99</v>
      </c>
      <c r="E929" s="389"/>
      <c r="F929" s="398">
        <v>0.95</v>
      </c>
      <c r="G929" s="387"/>
      <c r="H929" s="387"/>
      <c r="I929" s="387"/>
      <c r="J929" s="387"/>
      <c r="K929" s="378" t="s">
        <v>549</v>
      </c>
      <c r="L929" s="378"/>
      <c r="M929" s="379">
        <f t="shared" si="209"/>
        <v>0</v>
      </c>
      <c r="N929" s="378">
        <f t="shared" si="211"/>
        <v>1</v>
      </c>
      <c r="O929" s="379">
        <f t="shared" si="206"/>
        <v>1</v>
      </c>
      <c r="P929" s="378" t="s">
        <v>1147</v>
      </c>
      <c r="Q929" s="380" t="s">
        <v>1148</v>
      </c>
      <c r="R929" s="378"/>
    </row>
    <row r="930" spans="1:18" outlineLevel="1">
      <c r="A930" s="406"/>
      <c r="B930" s="639" t="s">
        <v>1201</v>
      </c>
      <c r="C930" s="382" t="s">
        <v>1197</v>
      </c>
      <c r="D930" s="387">
        <v>0.99</v>
      </c>
      <c r="E930" s="389"/>
      <c r="F930" s="398">
        <v>0.95</v>
      </c>
      <c r="G930" s="387"/>
      <c r="H930" s="387"/>
      <c r="I930" s="387"/>
      <c r="J930" s="387"/>
      <c r="K930" s="378" t="s">
        <v>549</v>
      </c>
      <c r="L930" s="378"/>
      <c r="M930" s="379">
        <f t="shared" si="209"/>
        <v>0</v>
      </c>
      <c r="N930" s="378">
        <f t="shared" si="211"/>
        <v>1</v>
      </c>
      <c r="O930" s="379">
        <f t="shared" si="206"/>
        <v>1</v>
      </c>
      <c r="P930" s="378" t="s">
        <v>1147</v>
      </c>
      <c r="Q930" s="380" t="s">
        <v>1148</v>
      </c>
      <c r="R930" s="378"/>
    </row>
    <row r="931" spans="1:18" outlineLevel="1">
      <c r="A931" s="406"/>
      <c r="B931" s="640"/>
      <c r="C931" s="382" t="s">
        <v>1198</v>
      </c>
      <c r="D931" s="387">
        <v>0.85</v>
      </c>
      <c r="E931" s="389"/>
      <c r="F931" s="398">
        <v>0.8</v>
      </c>
      <c r="G931" s="387"/>
      <c r="H931" s="387"/>
      <c r="I931" s="387"/>
      <c r="J931" s="387"/>
      <c r="K931" s="378" t="s">
        <v>549</v>
      </c>
      <c r="L931" s="378"/>
      <c r="M931" s="379">
        <f t="shared" si="209"/>
        <v>0</v>
      </c>
      <c r="N931" s="378">
        <f t="shared" si="211"/>
        <v>1</v>
      </c>
      <c r="O931" s="379">
        <f t="shared" si="206"/>
        <v>1</v>
      </c>
      <c r="P931" s="378" t="s">
        <v>1147</v>
      </c>
      <c r="Q931" s="380" t="s">
        <v>1148</v>
      </c>
      <c r="R931" s="378"/>
    </row>
    <row r="932" spans="1:18" outlineLevel="1">
      <c r="A932" s="406"/>
      <c r="B932" s="641"/>
      <c r="C932" s="382" t="s">
        <v>1193</v>
      </c>
      <c r="D932" s="387">
        <v>0.99</v>
      </c>
      <c r="E932" s="389"/>
      <c r="F932" s="398">
        <v>0.95</v>
      </c>
      <c r="G932" s="387"/>
      <c r="H932" s="387"/>
      <c r="I932" s="387"/>
      <c r="J932" s="387"/>
      <c r="K932" s="378" t="s">
        <v>549</v>
      </c>
      <c r="L932" s="378"/>
      <c r="M932" s="379">
        <f t="shared" si="209"/>
        <v>0</v>
      </c>
      <c r="N932" s="378">
        <f t="shared" si="211"/>
        <v>1</v>
      </c>
      <c r="O932" s="379">
        <f t="shared" si="206"/>
        <v>1</v>
      </c>
      <c r="P932" s="378" t="s">
        <v>1147</v>
      </c>
      <c r="Q932" s="380" t="s">
        <v>1148</v>
      </c>
      <c r="R932" s="378"/>
    </row>
    <row r="933" spans="1:18" outlineLevel="1">
      <c r="A933" s="404" t="s">
        <v>1202</v>
      </c>
      <c r="B933" s="407"/>
      <c r="C933" s="382"/>
      <c r="D933" s="387"/>
      <c r="E933" s="389"/>
      <c r="F933" s="398"/>
      <c r="G933" s="387"/>
      <c r="H933" s="387"/>
      <c r="I933" s="387"/>
      <c r="J933" s="387"/>
      <c r="K933" s="378"/>
      <c r="L933" s="378"/>
      <c r="M933" s="379">
        <f>M934</f>
        <v>0</v>
      </c>
      <c r="N933" s="378">
        <f>N934</f>
        <v>1</v>
      </c>
      <c r="O933" s="379">
        <f t="shared" si="206"/>
        <v>1</v>
      </c>
      <c r="P933" s="378" t="s">
        <v>1147</v>
      </c>
      <c r="Q933" s="380" t="s">
        <v>1148</v>
      </c>
      <c r="R933" s="378"/>
    </row>
    <row r="934" spans="1:18" outlineLevel="1">
      <c r="A934" s="406"/>
      <c r="B934" s="388" t="s">
        <v>1192</v>
      </c>
      <c r="C934" s="382" t="s">
        <v>1203</v>
      </c>
      <c r="D934" s="387">
        <v>0.95</v>
      </c>
      <c r="E934" s="389"/>
      <c r="F934" s="398">
        <v>0.9</v>
      </c>
      <c r="G934" s="387"/>
      <c r="H934" s="387"/>
      <c r="I934" s="387"/>
      <c r="J934" s="387"/>
      <c r="K934" s="378" t="s">
        <v>549</v>
      </c>
      <c r="L934" s="378"/>
      <c r="M934" s="379">
        <f>IFERROR(MIN(MAX(0,IF(K934="N/A",0,IF((D934=E934),5,5-QUOTIENT(D934,E934)))), MAX(0,IF(K934="N/A",0,IF((F934=G934),5,5-QUOTIENT(F934,G934))))),0)</f>
        <v>0</v>
      </c>
      <c r="N934" s="378">
        <f>IF(K934="N/A", 1, 2)</f>
        <v>1</v>
      </c>
      <c r="O934" s="379">
        <f t="shared" si="206"/>
        <v>1</v>
      </c>
      <c r="P934" s="378" t="s">
        <v>1147</v>
      </c>
      <c r="Q934" s="380" t="s">
        <v>1148</v>
      </c>
      <c r="R934" s="378"/>
    </row>
    <row r="935" spans="1:18" outlineLevel="1">
      <c r="A935" s="404" t="s">
        <v>1204</v>
      </c>
      <c r="B935" s="408"/>
      <c r="C935" s="382"/>
      <c r="D935" s="387"/>
      <c r="E935" s="389"/>
      <c r="F935" s="398"/>
      <c r="G935" s="387"/>
      <c r="H935" s="387"/>
      <c r="I935" s="387"/>
      <c r="J935" s="387"/>
      <c r="K935" s="378"/>
      <c r="L935" s="378"/>
      <c r="M935" s="379">
        <f>IFERROR(MIN(M936:M937),0)</f>
        <v>0</v>
      </c>
      <c r="N935" s="378">
        <f>N936</f>
        <v>1</v>
      </c>
      <c r="O935" s="379">
        <f t="shared" si="206"/>
        <v>1</v>
      </c>
      <c r="P935" s="378" t="s">
        <v>1147</v>
      </c>
      <c r="Q935" s="380" t="s">
        <v>1148</v>
      </c>
      <c r="R935" s="378"/>
    </row>
    <row r="936" spans="1:18" outlineLevel="1">
      <c r="A936" s="404"/>
      <c r="B936" s="644" t="s">
        <v>1205</v>
      </c>
      <c r="C936" s="382" t="s">
        <v>1206</v>
      </c>
      <c r="D936" s="387">
        <v>0.9</v>
      </c>
      <c r="E936" s="389"/>
      <c r="F936" s="398" t="s">
        <v>549</v>
      </c>
      <c r="G936" s="387"/>
      <c r="H936" s="387"/>
      <c r="I936" s="387"/>
      <c r="J936" s="387"/>
      <c r="K936" s="378" t="s">
        <v>549</v>
      </c>
      <c r="L936" s="378"/>
      <c r="M936" s="379">
        <f>IFERROR(MIN(MAX(0,IF(K936="N/A",0,IF((D936=E936),5,5-QUOTIENT(D936,E936)))), MAX(0,IF(K936="N/A",0,IF((F936=G936),5,5-QUOTIENT(F936,G936))))),0)</f>
        <v>0</v>
      </c>
      <c r="N936" s="378">
        <f>IF(K936="N/A", 1, 2)</f>
        <v>1</v>
      </c>
      <c r="O936" s="379">
        <f t="shared" si="206"/>
        <v>1</v>
      </c>
      <c r="P936" s="378" t="s">
        <v>1147</v>
      </c>
      <c r="Q936" s="380" t="s">
        <v>1148</v>
      </c>
      <c r="R936" s="378"/>
    </row>
    <row r="937" spans="1:18" outlineLevel="1">
      <c r="A937" s="404"/>
      <c r="B937" s="645"/>
      <c r="C937" s="382" t="s">
        <v>1207</v>
      </c>
      <c r="D937" s="387">
        <v>0.9</v>
      </c>
      <c r="E937" s="389"/>
      <c r="F937" s="398" t="s">
        <v>549</v>
      </c>
      <c r="G937" s="387"/>
      <c r="H937" s="387"/>
      <c r="I937" s="387"/>
      <c r="J937" s="387"/>
      <c r="K937" s="378" t="s">
        <v>549</v>
      </c>
      <c r="L937" s="378"/>
      <c r="M937" s="379">
        <f>IFERROR(MIN(MAX(0,IF(K937="N/A",0,IF((D937=E937),5,5-QUOTIENT(D937,E937)))), MAX(0,IF(K937="N/A",0,IF((F937=G937),5,5-QUOTIENT(F937,G937))))),0)</f>
        <v>0</v>
      </c>
      <c r="N937" s="378">
        <f>IF(K937="N/A", 1, 2)</f>
        <v>1</v>
      </c>
      <c r="O937" s="379">
        <f t="shared" si="206"/>
        <v>1</v>
      </c>
      <c r="P937" s="378" t="s">
        <v>1147</v>
      </c>
      <c r="Q937" s="380" t="s">
        <v>1148</v>
      </c>
      <c r="R937" s="378"/>
    </row>
    <row r="938" spans="1:18" outlineLevel="1">
      <c r="A938" s="404" t="s">
        <v>1208</v>
      </c>
      <c r="B938" s="408"/>
      <c r="C938" s="382"/>
      <c r="D938" s="387"/>
      <c r="E938" s="389"/>
      <c r="F938" s="398"/>
      <c r="G938" s="387"/>
      <c r="H938" s="387"/>
      <c r="I938" s="387"/>
      <c r="J938" s="387"/>
      <c r="K938" s="378"/>
      <c r="L938" s="378"/>
      <c r="M938" s="379">
        <f>IFERROR(MIN(M939:M940),0)</f>
        <v>0</v>
      </c>
      <c r="N938" s="378">
        <f>N939</f>
        <v>2</v>
      </c>
      <c r="O938" s="379">
        <f>MAX(M938:N938)</f>
        <v>2</v>
      </c>
      <c r="P938" s="378" t="s">
        <v>1147</v>
      </c>
      <c r="Q938" s="380" t="s">
        <v>1148</v>
      </c>
      <c r="R938" s="378"/>
    </row>
    <row r="939" spans="1:18" outlineLevel="1">
      <c r="A939" s="404"/>
      <c r="B939" s="644" t="s">
        <v>1209</v>
      </c>
      <c r="C939" s="382" t="s">
        <v>1210</v>
      </c>
      <c r="D939" s="387">
        <v>0.9</v>
      </c>
      <c r="E939" s="389"/>
      <c r="F939" s="398" t="s">
        <v>549</v>
      </c>
      <c r="G939" s="387"/>
      <c r="H939" s="387"/>
      <c r="I939" s="387"/>
      <c r="J939" s="387"/>
      <c r="K939" s="378">
        <v>1</v>
      </c>
      <c r="L939" s="378"/>
      <c r="M939" s="379">
        <f>IFERROR(MIN(MAX(0,IF(K939="N/A",0,IF((D939=E939),5,5-QUOTIENT(D939,E939)))), MAX(0,IF(K939="N/A",0,IF((F939=G939),5,5-QUOTIENT(F939,G939))))),0)</f>
        <v>0</v>
      </c>
      <c r="N939" s="378">
        <f>IF(K939="N/A", 1, 2)</f>
        <v>2</v>
      </c>
      <c r="O939" s="379">
        <f t="shared" ref="O939:O943" si="212">MAX(M939:N939)</f>
        <v>2</v>
      </c>
      <c r="P939" s="378" t="s">
        <v>1147</v>
      </c>
      <c r="Q939" s="380" t="s">
        <v>1148</v>
      </c>
      <c r="R939" s="378"/>
    </row>
    <row r="940" spans="1:18" outlineLevel="1">
      <c r="A940" s="404"/>
      <c r="B940" s="645"/>
      <c r="C940" s="382" t="s">
        <v>1211</v>
      </c>
      <c r="D940" s="387">
        <v>0.9</v>
      </c>
      <c r="E940" s="389"/>
      <c r="F940" s="398" t="s">
        <v>549</v>
      </c>
      <c r="G940" s="387"/>
      <c r="H940" s="387"/>
      <c r="I940" s="387"/>
      <c r="J940" s="387"/>
      <c r="K940" s="378">
        <v>1</v>
      </c>
      <c r="L940" s="378"/>
      <c r="M940" s="379">
        <f>IFERROR(MIN(MAX(0,IF(K940="N/A",0,IF((D940=E940),5,5-QUOTIENT(D940,E940)))), MAX(0,IF(K940="N/A",0,IF((F940=G940),5,5-QUOTIENT(F940,G940))))),0)</f>
        <v>0</v>
      </c>
      <c r="N940" s="378">
        <f>IF(K940="N/A", 1, 2)</f>
        <v>2</v>
      </c>
      <c r="O940" s="379">
        <f t="shared" si="212"/>
        <v>2</v>
      </c>
      <c r="P940" s="378" t="s">
        <v>1147</v>
      </c>
      <c r="Q940" s="380" t="s">
        <v>1148</v>
      </c>
      <c r="R940" s="378"/>
    </row>
    <row r="941" spans="1:18" outlineLevel="1">
      <c r="A941" s="404" t="s">
        <v>1212</v>
      </c>
      <c r="B941" s="408"/>
      <c r="C941" s="382"/>
      <c r="D941" s="387"/>
      <c r="E941" s="389"/>
      <c r="F941" s="398"/>
      <c r="G941" s="387"/>
      <c r="H941" s="387"/>
      <c r="I941" s="387"/>
      <c r="J941" s="387"/>
      <c r="K941" s="378"/>
      <c r="L941" s="378"/>
      <c r="M941" s="379">
        <f>IFERROR(MIN(M942:M943),0)</f>
        <v>0</v>
      </c>
      <c r="N941" s="378">
        <f>N942</f>
        <v>2</v>
      </c>
      <c r="O941" s="379">
        <f t="shared" si="212"/>
        <v>2</v>
      </c>
      <c r="P941" s="378" t="s">
        <v>1147</v>
      </c>
      <c r="Q941" s="380" t="s">
        <v>1148</v>
      </c>
      <c r="R941" s="378"/>
    </row>
    <row r="942" spans="1:18" outlineLevel="1">
      <c r="A942" s="404"/>
      <c r="B942" s="644" t="s">
        <v>1213</v>
      </c>
      <c r="C942" s="382" t="s">
        <v>1214</v>
      </c>
      <c r="D942" s="387">
        <v>0.9</v>
      </c>
      <c r="E942" s="389"/>
      <c r="F942" s="398" t="s">
        <v>549</v>
      </c>
      <c r="G942" s="387"/>
      <c r="H942" s="387"/>
      <c r="I942" s="387"/>
      <c r="J942" s="387"/>
      <c r="K942" s="378">
        <v>1</v>
      </c>
      <c r="L942" s="378"/>
      <c r="M942" s="379">
        <f>IFERROR(MIN(MAX(0,IF(K942="N/A",0,IF((D942=E942),5,5-QUOTIENT(D942,E942)))), MAX(0,IF(K942="N/A",0,IF((F942=G942),5,5-QUOTIENT(F942,G942))))),0)</f>
        <v>0</v>
      </c>
      <c r="N942" s="378">
        <f>IF(K942="N/A", 1, 2)</f>
        <v>2</v>
      </c>
      <c r="O942" s="379">
        <f t="shared" si="212"/>
        <v>2</v>
      </c>
      <c r="P942" s="378" t="s">
        <v>1147</v>
      </c>
      <c r="Q942" s="380" t="s">
        <v>1148</v>
      </c>
      <c r="R942" s="378"/>
    </row>
    <row r="943" spans="1:18" outlineLevel="1">
      <c r="A943" s="404"/>
      <c r="B943" s="645"/>
      <c r="C943" s="382" t="s">
        <v>1215</v>
      </c>
      <c r="D943" s="387">
        <v>0.9</v>
      </c>
      <c r="E943" s="389"/>
      <c r="F943" s="398" t="s">
        <v>549</v>
      </c>
      <c r="G943" s="387"/>
      <c r="H943" s="387"/>
      <c r="I943" s="387"/>
      <c r="J943" s="387"/>
      <c r="K943" s="378">
        <v>1</v>
      </c>
      <c r="L943" s="378"/>
      <c r="M943" s="379">
        <f>IFERROR(MIN(MAX(0,IF(K943="N/A",0,IF((D943=E943),5,5-QUOTIENT(D943,E943)))), MAX(0,IF(K943="N/A",0,IF((F943=G943),5,5-QUOTIENT(F943,G943))))),0)</f>
        <v>0</v>
      </c>
      <c r="N943" s="378">
        <f>IF(K943="N/A", 1, 2)</f>
        <v>2</v>
      </c>
      <c r="O943" s="379">
        <f t="shared" si="212"/>
        <v>2</v>
      </c>
      <c r="P943" s="378" t="s">
        <v>1147</v>
      </c>
      <c r="Q943" s="380" t="s">
        <v>1148</v>
      </c>
      <c r="R943" s="378"/>
    </row>
    <row r="944" spans="1:18" outlineLevel="1">
      <c r="A944" s="388" t="s">
        <v>1216</v>
      </c>
      <c r="B944" s="409"/>
      <c r="C944" s="382"/>
      <c r="D944" s="387"/>
      <c r="E944" s="389"/>
      <c r="F944" s="398"/>
      <c r="G944" s="387"/>
      <c r="H944" s="387"/>
      <c r="I944" s="387"/>
      <c r="J944" s="387"/>
      <c r="K944" s="378"/>
      <c r="L944" s="378"/>
      <c r="M944" s="379"/>
      <c r="N944" s="378"/>
      <c r="O944" s="379"/>
      <c r="P944" s="378" t="s">
        <v>1147</v>
      </c>
      <c r="Q944" s="380" t="s">
        <v>1148</v>
      </c>
      <c r="R944" s="378"/>
    </row>
    <row r="945" spans="1:18" outlineLevel="1">
      <c r="A945" s="388"/>
      <c r="B945" s="633" t="s">
        <v>1217</v>
      </c>
      <c r="C945" s="382" t="s">
        <v>1168</v>
      </c>
      <c r="D945" s="398" t="s">
        <v>549</v>
      </c>
      <c r="E945" s="389"/>
      <c r="F945" s="398" t="s">
        <v>549</v>
      </c>
      <c r="G945" s="387"/>
      <c r="H945" s="387"/>
      <c r="I945" s="387"/>
      <c r="J945" s="387"/>
      <c r="K945" s="378" t="s">
        <v>549</v>
      </c>
      <c r="L945" s="378"/>
      <c r="M945" s="379">
        <f t="shared" ref="M945:M950" si="213">IFERROR(MIN(MAX(0,IF(K945="N/A",0,IF((D945=E945),5,5-QUOTIENT(D945,E945)))), MAX(0,IF(K945="N/A",0,IF((F945=G945),5,5-QUOTIENT(F945,G945))))),0)</f>
        <v>0</v>
      </c>
      <c r="N945" s="378">
        <f t="shared" ref="N945:N950" si="214">IF(K945="N/A", 0, 2)</f>
        <v>0</v>
      </c>
      <c r="O945" s="379">
        <f t="shared" ref="O945:O954" si="215">MAX(M945:N945)</f>
        <v>0</v>
      </c>
      <c r="P945" s="378" t="s">
        <v>1147</v>
      </c>
      <c r="Q945" s="380" t="s">
        <v>1148</v>
      </c>
      <c r="R945" s="378"/>
    </row>
    <row r="946" spans="1:18" outlineLevel="1">
      <c r="A946" s="388"/>
      <c r="B946" s="634"/>
      <c r="C946" s="382" t="s">
        <v>1169</v>
      </c>
      <c r="D946" s="398" t="s">
        <v>549</v>
      </c>
      <c r="E946" s="389"/>
      <c r="F946" s="398" t="s">
        <v>549</v>
      </c>
      <c r="G946" s="387"/>
      <c r="H946" s="387"/>
      <c r="I946" s="387"/>
      <c r="J946" s="387"/>
      <c r="K946" s="378" t="s">
        <v>549</v>
      </c>
      <c r="L946" s="378"/>
      <c r="M946" s="379">
        <f t="shared" si="213"/>
        <v>0</v>
      </c>
      <c r="N946" s="378">
        <f t="shared" si="214"/>
        <v>0</v>
      </c>
      <c r="O946" s="379">
        <f t="shared" si="215"/>
        <v>0</v>
      </c>
      <c r="P946" s="378" t="s">
        <v>1147</v>
      </c>
      <c r="Q946" s="380" t="s">
        <v>1148</v>
      </c>
      <c r="R946" s="378"/>
    </row>
    <row r="947" spans="1:18" outlineLevel="1">
      <c r="A947" s="388"/>
      <c r="B947" s="642" t="s">
        <v>1218</v>
      </c>
      <c r="C947" s="382" t="s">
        <v>1168</v>
      </c>
      <c r="D947" s="398" t="s">
        <v>549</v>
      </c>
      <c r="E947" s="389"/>
      <c r="F947" s="398" t="s">
        <v>549</v>
      </c>
      <c r="G947" s="387"/>
      <c r="H947" s="387"/>
      <c r="I947" s="387"/>
      <c r="J947" s="387"/>
      <c r="K947" s="378" t="s">
        <v>549</v>
      </c>
      <c r="L947" s="378"/>
      <c r="M947" s="379">
        <f t="shared" si="213"/>
        <v>0</v>
      </c>
      <c r="N947" s="378">
        <f t="shared" si="214"/>
        <v>0</v>
      </c>
      <c r="O947" s="379">
        <f t="shared" si="215"/>
        <v>0</v>
      </c>
      <c r="P947" s="378" t="s">
        <v>1147</v>
      </c>
      <c r="Q947" s="380" t="s">
        <v>1148</v>
      </c>
      <c r="R947" s="378"/>
    </row>
    <row r="948" spans="1:18" outlineLevel="1">
      <c r="A948" s="388"/>
      <c r="B948" s="642"/>
      <c r="C948" s="382" t="s">
        <v>1169</v>
      </c>
      <c r="D948" s="398" t="s">
        <v>549</v>
      </c>
      <c r="E948" s="389"/>
      <c r="F948" s="398" t="s">
        <v>549</v>
      </c>
      <c r="G948" s="387"/>
      <c r="H948" s="387"/>
      <c r="I948" s="387"/>
      <c r="J948" s="387"/>
      <c r="K948" s="378" t="s">
        <v>549</v>
      </c>
      <c r="L948" s="378"/>
      <c r="M948" s="379">
        <f t="shared" si="213"/>
        <v>0</v>
      </c>
      <c r="N948" s="378">
        <f t="shared" si="214"/>
        <v>0</v>
      </c>
      <c r="O948" s="379">
        <f t="shared" si="215"/>
        <v>0</v>
      </c>
      <c r="P948" s="378" t="s">
        <v>1147</v>
      </c>
      <c r="Q948" s="380" t="s">
        <v>1148</v>
      </c>
      <c r="R948" s="378"/>
    </row>
    <row r="949" spans="1:18" outlineLevel="1">
      <c r="A949" s="388"/>
      <c r="B949" s="642" t="s">
        <v>1219</v>
      </c>
      <c r="C949" s="382" t="s">
        <v>1168</v>
      </c>
      <c r="D949" s="398" t="s">
        <v>549</v>
      </c>
      <c r="E949" s="389"/>
      <c r="F949" s="398" t="s">
        <v>549</v>
      </c>
      <c r="G949" s="387"/>
      <c r="H949" s="387"/>
      <c r="I949" s="387"/>
      <c r="J949" s="387"/>
      <c r="K949" s="378" t="s">
        <v>549</v>
      </c>
      <c r="L949" s="378"/>
      <c r="M949" s="379">
        <f t="shared" si="213"/>
        <v>0</v>
      </c>
      <c r="N949" s="378">
        <f t="shared" si="214"/>
        <v>0</v>
      </c>
      <c r="O949" s="379">
        <f t="shared" si="215"/>
        <v>0</v>
      </c>
      <c r="P949" s="378" t="s">
        <v>1147</v>
      </c>
      <c r="Q949" s="380" t="s">
        <v>1148</v>
      </c>
      <c r="R949" s="378"/>
    </row>
    <row r="950" spans="1:18" outlineLevel="1">
      <c r="A950" s="388"/>
      <c r="B950" s="642"/>
      <c r="C950" s="382" t="s">
        <v>1169</v>
      </c>
      <c r="D950" s="398" t="s">
        <v>549</v>
      </c>
      <c r="E950" s="389"/>
      <c r="F950" s="398" t="s">
        <v>549</v>
      </c>
      <c r="G950" s="387"/>
      <c r="H950" s="387"/>
      <c r="I950" s="387"/>
      <c r="J950" s="387"/>
      <c r="K950" s="378" t="s">
        <v>549</v>
      </c>
      <c r="L950" s="378"/>
      <c r="M950" s="379">
        <f t="shared" si="213"/>
        <v>0</v>
      </c>
      <c r="N950" s="378">
        <f t="shared" si="214"/>
        <v>0</v>
      </c>
      <c r="O950" s="379">
        <f t="shared" si="215"/>
        <v>0</v>
      </c>
      <c r="P950" s="378" t="s">
        <v>1147</v>
      </c>
      <c r="Q950" s="380" t="s">
        <v>1148</v>
      </c>
      <c r="R950" s="378"/>
    </row>
    <row r="951" spans="1:18" outlineLevel="1">
      <c r="A951" s="388" t="s">
        <v>1220</v>
      </c>
      <c r="B951" s="381"/>
      <c r="C951" s="382"/>
      <c r="D951" s="398"/>
      <c r="E951" s="389"/>
      <c r="F951" s="398"/>
      <c r="G951" s="387"/>
      <c r="H951" s="387"/>
      <c r="I951" s="387"/>
      <c r="J951" s="387"/>
      <c r="K951" s="378"/>
      <c r="L951" s="378"/>
      <c r="M951" s="379">
        <f>M952</f>
        <v>0</v>
      </c>
      <c r="N951" s="378">
        <f>N952</f>
        <v>2</v>
      </c>
      <c r="O951" s="379">
        <f t="shared" si="215"/>
        <v>2</v>
      </c>
      <c r="P951" s="378" t="s">
        <v>1147</v>
      </c>
      <c r="Q951" s="380" t="s">
        <v>1148</v>
      </c>
      <c r="R951" s="378"/>
    </row>
    <row r="952" spans="1:18" outlineLevel="1">
      <c r="A952" s="406"/>
      <c r="B952" s="388" t="s">
        <v>1221</v>
      </c>
      <c r="C952" s="382" t="s">
        <v>1222</v>
      </c>
      <c r="D952" s="387">
        <v>0.95</v>
      </c>
      <c r="E952" s="389"/>
      <c r="F952" s="398">
        <v>0.9</v>
      </c>
      <c r="G952" s="387"/>
      <c r="H952" s="387"/>
      <c r="I952" s="387"/>
      <c r="J952" s="387"/>
      <c r="K952" s="378">
        <v>1</v>
      </c>
      <c r="L952" s="378"/>
      <c r="M952" s="379">
        <f>IFERROR(MIN(MAX(0,IF(K952="N/A",0,IF((D952=E952),5,5-QUOTIENT(D952,E952)))), MAX(0,IF(K952="N/A",0,IF((F952=G952),5,5-QUOTIENT(F952,G952))))),0)</f>
        <v>0</v>
      </c>
      <c r="N952" s="378">
        <f>IF(K952="N/A", 1, 2)</f>
        <v>2</v>
      </c>
      <c r="O952" s="379">
        <f t="shared" si="215"/>
        <v>2</v>
      </c>
      <c r="P952" s="378" t="s">
        <v>1147</v>
      </c>
      <c r="Q952" s="380" t="s">
        <v>1148</v>
      </c>
      <c r="R952" s="378"/>
    </row>
    <row r="953" spans="1:18" outlineLevel="1">
      <c r="A953" s="388" t="s">
        <v>1223</v>
      </c>
      <c r="B953" s="381"/>
      <c r="C953" s="382"/>
      <c r="D953" s="398"/>
      <c r="E953" s="389"/>
      <c r="F953" s="398"/>
      <c r="G953" s="387"/>
      <c r="H953" s="387"/>
      <c r="I953" s="387"/>
      <c r="J953" s="387"/>
      <c r="K953" s="378"/>
      <c r="L953" s="378"/>
      <c r="M953" s="379">
        <f>M954</f>
        <v>0</v>
      </c>
      <c r="N953" s="378">
        <f>N954</f>
        <v>2</v>
      </c>
      <c r="O953" s="379">
        <f t="shared" si="215"/>
        <v>2</v>
      </c>
      <c r="P953" s="378" t="s">
        <v>1147</v>
      </c>
      <c r="Q953" s="380" t="s">
        <v>1148</v>
      </c>
      <c r="R953" s="378"/>
    </row>
    <row r="954" spans="1:18" outlineLevel="1">
      <c r="A954" s="406"/>
      <c r="B954" s="388" t="s">
        <v>1224</v>
      </c>
      <c r="C954" s="382" t="s">
        <v>1222</v>
      </c>
      <c r="D954" s="387">
        <v>0.95</v>
      </c>
      <c r="E954" s="389"/>
      <c r="F954" s="398">
        <v>0.9</v>
      </c>
      <c r="G954" s="387"/>
      <c r="H954" s="387"/>
      <c r="I954" s="387"/>
      <c r="J954" s="387"/>
      <c r="K954" s="378">
        <v>1</v>
      </c>
      <c r="L954" s="378"/>
      <c r="M954" s="379">
        <f>IFERROR(MIN(MAX(0,IF(K954="N/A",0,IF((D954=E954),5,5-QUOTIENT(D954,E954)))), MAX(0,IF(K954="N/A",0,IF((F954=G954),5,5-QUOTIENT(F954,G954))))),0)</f>
        <v>0</v>
      </c>
      <c r="N954" s="378">
        <f>IF(K954="N/A", 1, 2)</f>
        <v>2</v>
      </c>
      <c r="O954" s="379">
        <f t="shared" si="215"/>
        <v>2</v>
      </c>
      <c r="P954" s="378" t="s">
        <v>1147</v>
      </c>
      <c r="Q954" s="380" t="s">
        <v>1148</v>
      </c>
      <c r="R954" s="378"/>
    </row>
    <row r="955" spans="1:18" outlineLevel="1">
      <c r="A955" s="388" t="s">
        <v>1225</v>
      </c>
      <c r="B955" s="381"/>
      <c r="C955" s="382"/>
      <c r="D955" s="398"/>
      <c r="E955" s="389"/>
      <c r="F955" s="398"/>
      <c r="G955" s="387"/>
      <c r="H955" s="387"/>
      <c r="I955" s="387"/>
      <c r="J955" s="387"/>
      <c r="K955" s="378"/>
      <c r="L955" s="378"/>
      <c r="M955" s="379">
        <f>M956</f>
        <v>0</v>
      </c>
      <c r="N955" s="378">
        <f>N956</f>
        <v>1</v>
      </c>
      <c r="O955" s="379">
        <f>MAX(M955:N955)</f>
        <v>1</v>
      </c>
      <c r="P955" s="378" t="s">
        <v>1147</v>
      </c>
      <c r="Q955" s="380" t="s">
        <v>1148</v>
      </c>
      <c r="R955" s="378"/>
    </row>
    <row r="956" spans="1:18" outlineLevel="1">
      <c r="A956" s="406"/>
      <c r="B956" s="388" t="s">
        <v>1226</v>
      </c>
      <c r="C956" s="382" t="s">
        <v>1222</v>
      </c>
      <c r="D956" s="387">
        <v>0.95</v>
      </c>
      <c r="E956" s="389"/>
      <c r="F956" s="398">
        <v>0.9</v>
      </c>
      <c r="G956" s="387"/>
      <c r="H956" s="387"/>
      <c r="I956" s="387"/>
      <c r="J956" s="387"/>
      <c r="K956" s="378" t="s">
        <v>549</v>
      </c>
      <c r="L956" s="378"/>
      <c r="M956" s="379">
        <f>IFERROR(MIN(MAX(0,IF(K956="N/A",0,IF((D956=E956),5,5-QUOTIENT(D956,E956)))), MAX(0,IF(K956="N/A",0,IF((F956=G956),5,5-QUOTIENT(F956,G956))))),0)</f>
        <v>0</v>
      </c>
      <c r="N956" s="378">
        <f>IF(K956="N/A", 1, 2)</f>
        <v>1</v>
      </c>
      <c r="O956" s="379">
        <f t="shared" ref="O956" si="216">MAX(M956:N956)</f>
        <v>1</v>
      </c>
      <c r="P956" s="378" t="s">
        <v>1147</v>
      </c>
      <c r="Q956" s="380" t="s">
        <v>1148</v>
      </c>
      <c r="R956" s="378"/>
    </row>
    <row r="957" spans="1:18" outlineLevel="1">
      <c r="A957" s="388" t="s">
        <v>1227</v>
      </c>
      <c r="B957" s="381"/>
      <c r="C957" s="382"/>
      <c r="D957" s="398"/>
      <c r="E957" s="389"/>
      <c r="F957" s="398"/>
      <c r="G957" s="387"/>
      <c r="H957" s="387"/>
      <c r="I957" s="387"/>
      <c r="J957" s="387"/>
      <c r="K957" s="378"/>
      <c r="L957" s="378"/>
      <c r="M957" s="379">
        <f>M958</f>
        <v>0</v>
      </c>
      <c r="N957" s="378">
        <f>N958</f>
        <v>1</v>
      </c>
      <c r="O957" s="379">
        <f>MAX(M957:N957)</f>
        <v>1</v>
      </c>
      <c r="P957" s="378" t="s">
        <v>1147</v>
      </c>
      <c r="Q957" s="380" t="s">
        <v>1148</v>
      </c>
      <c r="R957" s="378"/>
    </row>
    <row r="958" spans="1:18" outlineLevel="1">
      <c r="A958" s="406"/>
      <c r="B958" s="388" t="s">
        <v>1228</v>
      </c>
      <c r="C958" s="382" t="s">
        <v>1222</v>
      </c>
      <c r="D958" s="387">
        <v>0.95</v>
      </c>
      <c r="E958" s="389"/>
      <c r="F958" s="398">
        <v>0.9</v>
      </c>
      <c r="G958" s="387"/>
      <c r="H958" s="387"/>
      <c r="I958" s="387"/>
      <c r="J958" s="387"/>
      <c r="K958" s="378" t="s">
        <v>549</v>
      </c>
      <c r="L958" s="378"/>
      <c r="M958" s="379">
        <f>IFERROR(MIN(MAX(0,IF(K958="N/A",0,IF((D958=E958),5,5-QUOTIENT(D958,E958)))), MAX(0,IF(K958="N/A",0,IF((F958=G958),5,5-QUOTIENT(F958,G958))))),0)</f>
        <v>0</v>
      </c>
      <c r="N958" s="378">
        <f>IF(K958="N/A", 1, 2)</f>
        <v>1</v>
      </c>
      <c r="O958" s="379">
        <f t="shared" ref="O958" si="217">MAX(M958:N958)</f>
        <v>1</v>
      </c>
      <c r="P958" s="378" t="s">
        <v>1147</v>
      </c>
      <c r="Q958" s="380" t="s">
        <v>1148</v>
      </c>
      <c r="R958" s="378"/>
    </row>
    <row r="959" spans="1:18" outlineLevel="1">
      <c r="A959" s="388" t="s">
        <v>1229</v>
      </c>
      <c r="B959" s="381"/>
      <c r="C959" s="382"/>
      <c r="D959" s="398"/>
      <c r="E959" s="389"/>
      <c r="F959" s="398"/>
      <c r="G959" s="387"/>
      <c r="H959" s="387"/>
      <c r="I959" s="387"/>
      <c r="J959" s="387"/>
      <c r="K959" s="378"/>
      <c r="L959" s="378"/>
      <c r="M959" s="379">
        <f>M960</f>
        <v>0</v>
      </c>
      <c r="N959" s="378">
        <f>N960</f>
        <v>2</v>
      </c>
      <c r="O959" s="379">
        <f>MAX(M959:N959)</f>
        <v>2</v>
      </c>
      <c r="P959" s="378" t="s">
        <v>1147</v>
      </c>
      <c r="Q959" s="380" t="s">
        <v>1148</v>
      </c>
      <c r="R959" s="378"/>
    </row>
    <row r="960" spans="1:18" outlineLevel="1">
      <c r="A960" s="406"/>
      <c r="B960" s="388" t="s">
        <v>1230</v>
      </c>
      <c r="C960" s="382" t="s">
        <v>1222</v>
      </c>
      <c r="D960" s="387">
        <v>0.95</v>
      </c>
      <c r="E960" s="389"/>
      <c r="F960" s="398">
        <v>0.9</v>
      </c>
      <c r="G960" s="387"/>
      <c r="H960" s="387"/>
      <c r="I960" s="387"/>
      <c r="J960" s="387"/>
      <c r="K960" s="378">
        <v>1</v>
      </c>
      <c r="L960" s="378"/>
      <c r="M960" s="379">
        <f>IFERROR(MIN(MAX(0,IF(K960="N/A",0,IF((D960=E960),5,5-QUOTIENT(D960,E960)))), MAX(0,IF(K960="N/A",0,IF((F960=G960),5,5-QUOTIENT(F960,G960))))),0)</f>
        <v>0</v>
      </c>
      <c r="N960" s="378">
        <f>IF(K960="N/A", 1, 2)</f>
        <v>2</v>
      </c>
      <c r="O960" s="379">
        <f t="shared" ref="O960" si="218">MAX(M960:N960)</f>
        <v>2</v>
      </c>
      <c r="P960" s="378" t="s">
        <v>1147</v>
      </c>
      <c r="Q960" s="380" t="s">
        <v>1148</v>
      </c>
      <c r="R960" s="378"/>
    </row>
    <row r="961" spans="1:18" outlineLevel="1">
      <c r="A961" s="388" t="s">
        <v>1231</v>
      </c>
      <c r="B961" s="381"/>
      <c r="C961" s="382"/>
      <c r="D961" s="398"/>
      <c r="E961" s="389"/>
      <c r="F961" s="398"/>
      <c r="G961" s="387"/>
      <c r="H961" s="387"/>
      <c r="I961" s="387"/>
      <c r="J961" s="387"/>
      <c r="K961" s="378"/>
      <c r="L961" s="378"/>
      <c r="M961" s="379">
        <f>IFERROR(MIN(M962:M968),0)</f>
        <v>0</v>
      </c>
      <c r="N961" s="378">
        <f>N962</f>
        <v>2</v>
      </c>
      <c r="O961" s="379">
        <f>MAX(M961:N961)</f>
        <v>2</v>
      </c>
      <c r="P961" s="378" t="s">
        <v>1147</v>
      </c>
      <c r="Q961" s="380" t="s">
        <v>1148</v>
      </c>
      <c r="R961" s="378"/>
    </row>
    <row r="962" spans="1:18" outlineLevel="1">
      <c r="A962" s="394"/>
      <c r="B962" s="636" t="s">
        <v>1179</v>
      </c>
      <c r="C962" s="382" t="s">
        <v>1232</v>
      </c>
      <c r="D962" s="387">
        <v>0.5</v>
      </c>
      <c r="E962" s="399"/>
      <c r="F962" s="387">
        <v>0.5</v>
      </c>
      <c r="G962" s="387"/>
      <c r="H962" s="387"/>
      <c r="I962" s="387"/>
      <c r="J962" s="387"/>
      <c r="K962" s="378">
        <v>1</v>
      </c>
      <c r="L962" s="378"/>
      <c r="M962" s="379">
        <f t="shared" ref="M962:M968" si="219">IFERROR(MIN(MAX(0,IF(K962="N/A",0,IF((D962=E962),5,5-QUOTIENT(D962,E962)))), MAX(0,IF(K962="N/A",0,IF((F962=G962),5,5-QUOTIENT(F962,G962))))),0)</f>
        <v>0</v>
      </c>
      <c r="N962" s="378">
        <f>IF(K962="N/A", 1, 2)</f>
        <v>2</v>
      </c>
      <c r="O962" s="379">
        <f t="shared" ref="O962:O972" si="220">MAX(M962:N962)</f>
        <v>2</v>
      </c>
      <c r="P962" s="378" t="s">
        <v>1147</v>
      </c>
      <c r="Q962" s="380" t="s">
        <v>1148</v>
      </c>
      <c r="R962" s="378"/>
    </row>
    <row r="963" spans="1:18" outlineLevel="1">
      <c r="A963" s="394"/>
      <c r="B963" s="637"/>
      <c r="C963" s="382" t="s">
        <v>1233</v>
      </c>
      <c r="D963" s="387">
        <v>0.5</v>
      </c>
      <c r="E963" s="399"/>
      <c r="F963" s="387">
        <v>0.5</v>
      </c>
      <c r="G963" s="387"/>
      <c r="H963" s="387"/>
      <c r="I963" s="387"/>
      <c r="J963" s="387"/>
      <c r="K963" s="378" t="s">
        <v>549</v>
      </c>
      <c r="L963" s="378"/>
      <c r="M963" s="379">
        <f t="shared" si="219"/>
        <v>0</v>
      </c>
      <c r="N963" s="378">
        <f t="shared" ref="N963:N968" si="221">IF(K963="N/A", 1, 2)</f>
        <v>1</v>
      </c>
      <c r="O963" s="379">
        <f t="shared" si="220"/>
        <v>1</v>
      </c>
      <c r="P963" s="378" t="s">
        <v>1147</v>
      </c>
      <c r="Q963" s="380" t="s">
        <v>1148</v>
      </c>
      <c r="R963" s="378"/>
    </row>
    <row r="964" spans="1:18" outlineLevel="1">
      <c r="A964" s="394"/>
      <c r="B964" s="637"/>
      <c r="C964" s="382" t="s">
        <v>1234</v>
      </c>
      <c r="D964" s="387">
        <v>0.5</v>
      </c>
      <c r="E964" s="399"/>
      <c r="F964" s="387">
        <v>0.5</v>
      </c>
      <c r="G964" s="387"/>
      <c r="H964" s="387"/>
      <c r="I964" s="387"/>
      <c r="J964" s="387"/>
      <c r="K964" s="378" t="s">
        <v>549</v>
      </c>
      <c r="L964" s="378"/>
      <c r="M964" s="379">
        <f t="shared" si="219"/>
        <v>0</v>
      </c>
      <c r="N964" s="378">
        <f t="shared" si="221"/>
        <v>1</v>
      </c>
      <c r="O964" s="379">
        <f t="shared" si="220"/>
        <v>1</v>
      </c>
      <c r="P964" s="378" t="s">
        <v>1147</v>
      </c>
      <c r="Q964" s="380" t="s">
        <v>1148</v>
      </c>
      <c r="R964" s="378"/>
    </row>
    <row r="965" spans="1:18" outlineLevel="1">
      <c r="A965" s="394"/>
      <c r="B965" s="637"/>
      <c r="C965" s="382" t="s">
        <v>1235</v>
      </c>
      <c r="D965" s="387">
        <v>0.5</v>
      </c>
      <c r="E965" s="399"/>
      <c r="F965" s="387">
        <v>0.5</v>
      </c>
      <c r="G965" s="387"/>
      <c r="H965" s="387"/>
      <c r="I965" s="387"/>
      <c r="J965" s="387"/>
      <c r="K965" s="378" t="s">
        <v>549</v>
      </c>
      <c r="L965" s="378"/>
      <c r="M965" s="379">
        <f t="shared" si="219"/>
        <v>0</v>
      </c>
      <c r="N965" s="378">
        <f t="shared" si="221"/>
        <v>1</v>
      </c>
      <c r="O965" s="379">
        <f t="shared" si="220"/>
        <v>1</v>
      </c>
      <c r="P965" s="378" t="s">
        <v>1147</v>
      </c>
      <c r="Q965" s="380" t="s">
        <v>1148</v>
      </c>
      <c r="R965" s="378"/>
    </row>
    <row r="966" spans="1:18" outlineLevel="1">
      <c r="A966" s="394"/>
      <c r="B966" s="637"/>
      <c r="C966" s="382" t="s">
        <v>1236</v>
      </c>
      <c r="D966" s="387">
        <v>0.5</v>
      </c>
      <c r="E966" s="399"/>
      <c r="F966" s="387">
        <v>0.5</v>
      </c>
      <c r="G966" s="387"/>
      <c r="H966" s="387"/>
      <c r="I966" s="387"/>
      <c r="J966" s="387"/>
      <c r="K966" s="378" t="s">
        <v>549</v>
      </c>
      <c r="L966" s="378"/>
      <c r="M966" s="379">
        <f t="shared" si="219"/>
        <v>0</v>
      </c>
      <c r="N966" s="378">
        <f t="shared" si="221"/>
        <v>1</v>
      </c>
      <c r="O966" s="379">
        <f t="shared" si="220"/>
        <v>1</v>
      </c>
      <c r="P966" s="378" t="s">
        <v>1147</v>
      </c>
      <c r="Q966" s="380" t="s">
        <v>1148</v>
      </c>
      <c r="R966" s="378"/>
    </row>
    <row r="967" spans="1:18" outlineLevel="1">
      <c r="A967" s="394"/>
      <c r="B967" s="637"/>
      <c r="C967" s="382" t="s">
        <v>1237</v>
      </c>
      <c r="D967" s="387">
        <v>0.5</v>
      </c>
      <c r="E967" s="399"/>
      <c r="F967" s="387">
        <v>0.5</v>
      </c>
      <c r="G967" s="387"/>
      <c r="H967" s="387"/>
      <c r="I967" s="387"/>
      <c r="J967" s="387"/>
      <c r="K967" s="378" t="s">
        <v>549</v>
      </c>
      <c r="L967" s="378"/>
      <c r="M967" s="379">
        <f t="shared" si="219"/>
        <v>0</v>
      </c>
      <c r="N967" s="378">
        <f t="shared" si="221"/>
        <v>1</v>
      </c>
      <c r="O967" s="379">
        <f t="shared" si="220"/>
        <v>1</v>
      </c>
      <c r="P967" s="378" t="s">
        <v>1147</v>
      </c>
      <c r="Q967" s="380" t="s">
        <v>1148</v>
      </c>
      <c r="R967" s="378"/>
    </row>
    <row r="968" spans="1:18" outlineLevel="1">
      <c r="A968" s="394"/>
      <c r="B968" s="638"/>
      <c r="C968" s="382" t="s">
        <v>1238</v>
      </c>
      <c r="D968" s="387">
        <v>0.5</v>
      </c>
      <c r="E968" s="399"/>
      <c r="F968" s="387">
        <v>0.5</v>
      </c>
      <c r="G968" s="387"/>
      <c r="H968" s="387"/>
      <c r="I968" s="387"/>
      <c r="J968" s="387"/>
      <c r="K968" s="378" t="s">
        <v>549</v>
      </c>
      <c r="L968" s="378"/>
      <c r="M968" s="379">
        <f t="shared" si="219"/>
        <v>0</v>
      </c>
      <c r="N968" s="378">
        <f t="shared" si="221"/>
        <v>1</v>
      </c>
      <c r="O968" s="379">
        <f t="shared" si="220"/>
        <v>1</v>
      </c>
      <c r="P968" s="378" t="s">
        <v>1147</v>
      </c>
      <c r="Q968" s="380" t="s">
        <v>1148</v>
      </c>
      <c r="R968" s="378"/>
    </row>
    <row r="969" spans="1:18" outlineLevel="1">
      <c r="A969" s="388" t="s">
        <v>1239</v>
      </c>
      <c r="B969" s="381"/>
      <c r="C969" s="382"/>
      <c r="D969" s="398"/>
      <c r="E969" s="389"/>
      <c r="F969" s="398"/>
      <c r="G969" s="387"/>
      <c r="H969" s="387"/>
      <c r="I969" s="387"/>
      <c r="J969" s="387"/>
      <c r="K969" s="378"/>
      <c r="L969" s="378"/>
      <c r="M969" s="379">
        <f>M970</f>
        <v>0</v>
      </c>
      <c r="N969" s="378">
        <f>N970</f>
        <v>1</v>
      </c>
      <c r="O969" s="379">
        <f t="shared" si="220"/>
        <v>1</v>
      </c>
      <c r="P969" s="378" t="s">
        <v>1147</v>
      </c>
      <c r="Q969" s="380" t="s">
        <v>1148</v>
      </c>
      <c r="R969" s="378"/>
    </row>
    <row r="970" spans="1:18" outlineLevel="1">
      <c r="A970" s="406"/>
      <c r="B970" s="388" t="s">
        <v>1240</v>
      </c>
      <c r="C970" s="382" t="s">
        <v>1222</v>
      </c>
      <c r="D970" s="387">
        <v>0.95</v>
      </c>
      <c r="E970" s="389"/>
      <c r="F970" s="398">
        <v>0.9</v>
      </c>
      <c r="G970" s="387"/>
      <c r="H970" s="387"/>
      <c r="I970" s="387"/>
      <c r="J970" s="387"/>
      <c r="K970" s="378" t="s">
        <v>549</v>
      </c>
      <c r="L970" s="378"/>
      <c r="M970" s="379">
        <f>IFERROR(MIN(MAX(0,IF(K970="N/A",0,IF((D970=E970),5,5-QUOTIENT(D970,E970)))), MAX(0,IF(K970="N/A",0,IF((F970=G970),5,5-QUOTIENT(F970,G970))))),0)</f>
        <v>0</v>
      </c>
      <c r="N970" s="378">
        <f>IF(K970="N/A", 1, 2)</f>
        <v>1</v>
      </c>
      <c r="O970" s="379">
        <f t="shared" si="220"/>
        <v>1</v>
      </c>
      <c r="P970" s="378" t="s">
        <v>1147</v>
      </c>
      <c r="Q970" s="380" t="s">
        <v>1148</v>
      </c>
      <c r="R970" s="378"/>
    </row>
    <row r="971" spans="1:18" outlineLevel="1">
      <c r="A971" s="388" t="s">
        <v>1241</v>
      </c>
      <c r="B971" s="381"/>
      <c r="C971" s="382"/>
      <c r="D971" s="398"/>
      <c r="E971" s="389"/>
      <c r="F971" s="398"/>
      <c r="G971" s="387"/>
      <c r="H971" s="387"/>
      <c r="I971" s="387"/>
      <c r="J971" s="387"/>
      <c r="K971" s="378"/>
      <c r="L971" s="378"/>
      <c r="M971" s="379">
        <f>M972</f>
        <v>0</v>
      </c>
      <c r="N971" s="378">
        <f>N972</f>
        <v>2</v>
      </c>
      <c r="O971" s="379">
        <f t="shared" si="220"/>
        <v>2</v>
      </c>
      <c r="P971" s="378" t="s">
        <v>1147</v>
      </c>
      <c r="Q971" s="380" t="s">
        <v>1148</v>
      </c>
      <c r="R971" s="378"/>
    </row>
    <row r="972" spans="1:18" outlineLevel="1">
      <c r="A972" s="406"/>
      <c r="B972" s="388" t="s">
        <v>1242</v>
      </c>
      <c r="C972" s="382" t="s">
        <v>1222</v>
      </c>
      <c r="D972" s="387">
        <v>0.95</v>
      </c>
      <c r="E972" s="389"/>
      <c r="F972" s="398">
        <v>0.9</v>
      </c>
      <c r="G972" s="387"/>
      <c r="H972" s="387"/>
      <c r="I972" s="387"/>
      <c r="J972" s="387"/>
      <c r="K972" s="378">
        <v>1</v>
      </c>
      <c r="L972" s="378"/>
      <c r="M972" s="379">
        <f>IFERROR(MIN(MAX(0,IF(K972="N/A",0,IF((D972=E972),5,5-QUOTIENT(D972,E972)))), MAX(0,IF(K972="N/A",0,IF((F972=G972),5,5-QUOTIENT(F972,G972))))),0)</f>
        <v>0</v>
      </c>
      <c r="N972" s="378">
        <f>IF(K972="N/A", 1, 2)</f>
        <v>2</v>
      </c>
      <c r="O972" s="379">
        <f t="shared" si="220"/>
        <v>2</v>
      </c>
      <c r="P972" s="378" t="s">
        <v>1147</v>
      </c>
      <c r="Q972" s="380" t="s">
        <v>1148</v>
      </c>
      <c r="R972" s="378"/>
    </row>
    <row r="973" spans="1:18" outlineLevel="1">
      <c r="A973" s="388" t="s">
        <v>1243</v>
      </c>
      <c r="B973" s="381"/>
      <c r="C973" s="382"/>
      <c r="D973" s="398"/>
      <c r="E973" s="389"/>
      <c r="F973" s="398"/>
      <c r="G973" s="387"/>
      <c r="H973" s="387"/>
      <c r="I973" s="387"/>
      <c r="J973" s="387"/>
      <c r="K973" s="378"/>
      <c r="L973" s="378"/>
      <c r="M973" s="379">
        <f>IFERROR(MIN(M974:M980),0)</f>
        <v>0</v>
      </c>
      <c r="N973" s="378">
        <f>N974</f>
        <v>2</v>
      </c>
      <c r="O973" s="379">
        <f>MAX(M973:N973)</f>
        <v>2</v>
      </c>
      <c r="P973" s="378" t="s">
        <v>1147</v>
      </c>
      <c r="Q973" s="380" t="s">
        <v>1148</v>
      </c>
      <c r="R973" s="378"/>
    </row>
    <row r="974" spans="1:18" outlineLevel="1">
      <c r="A974" s="394"/>
      <c r="B974" s="636" t="s">
        <v>1179</v>
      </c>
      <c r="C974" s="382" t="s">
        <v>1232</v>
      </c>
      <c r="D974" s="387">
        <v>0.5</v>
      </c>
      <c r="E974" s="399"/>
      <c r="F974" s="387">
        <v>0.5</v>
      </c>
      <c r="G974" s="387"/>
      <c r="H974" s="387"/>
      <c r="I974" s="387"/>
      <c r="J974" s="387"/>
      <c r="K974" s="378">
        <v>1</v>
      </c>
      <c r="L974" s="378"/>
      <c r="M974" s="379">
        <f t="shared" ref="M974:M980" si="222">IFERROR(MIN(MAX(0,IF(K974="N/A",0,IF((D974=E974),5,5-QUOTIENT(D974,E974)))), MAX(0,IF(K974="N/A",0,IF((F974=G974),5,5-QUOTIENT(F974,G974))))),0)</f>
        <v>0</v>
      </c>
      <c r="N974" s="378">
        <f>IF(K974="N/A", 1, 2)</f>
        <v>2</v>
      </c>
      <c r="O974" s="379">
        <f t="shared" ref="O974:O992" si="223">MAX(M974:N974)</f>
        <v>2</v>
      </c>
      <c r="P974" s="378" t="s">
        <v>1147</v>
      </c>
      <c r="Q974" s="380" t="s">
        <v>1148</v>
      </c>
      <c r="R974" s="378"/>
    </row>
    <row r="975" spans="1:18" outlineLevel="1">
      <c r="A975" s="394"/>
      <c r="B975" s="637"/>
      <c r="C975" s="382" t="s">
        <v>1233</v>
      </c>
      <c r="D975" s="387">
        <v>0.5</v>
      </c>
      <c r="E975" s="399"/>
      <c r="F975" s="387">
        <v>0.5</v>
      </c>
      <c r="G975" s="387"/>
      <c r="H975" s="387"/>
      <c r="I975" s="387"/>
      <c r="J975" s="387"/>
      <c r="K975" s="378">
        <v>1</v>
      </c>
      <c r="L975" s="378"/>
      <c r="M975" s="379">
        <f t="shared" si="222"/>
        <v>0</v>
      </c>
      <c r="N975" s="378">
        <f t="shared" ref="N975:N980" si="224">IF(K975="N/A", 1, 2)</f>
        <v>2</v>
      </c>
      <c r="O975" s="379">
        <f t="shared" si="223"/>
        <v>2</v>
      </c>
      <c r="P975" s="378" t="s">
        <v>1147</v>
      </c>
      <c r="Q975" s="380" t="s">
        <v>1148</v>
      </c>
      <c r="R975" s="378"/>
    </row>
    <row r="976" spans="1:18" outlineLevel="1">
      <c r="A976" s="394"/>
      <c r="B976" s="637"/>
      <c r="C976" s="382" t="s">
        <v>1234</v>
      </c>
      <c r="D976" s="387">
        <v>0.5</v>
      </c>
      <c r="E976" s="399"/>
      <c r="F976" s="387">
        <v>0.5</v>
      </c>
      <c r="G976" s="387"/>
      <c r="H976" s="387"/>
      <c r="I976" s="387"/>
      <c r="J976" s="387"/>
      <c r="K976" s="378">
        <v>1</v>
      </c>
      <c r="L976" s="378"/>
      <c r="M976" s="379">
        <f t="shared" si="222"/>
        <v>0</v>
      </c>
      <c r="N976" s="378">
        <f t="shared" si="224"/>
        <v>2</v>
      </c>
      <c r="O976" s="379">
        <f t="shared" si="223"/>
        <v>2</v>
      </c>
      <c r="P976" s="378" t="s">
        <v>1147</v>
      </c>
      <c r="Q976" s="380" t="s">
        <v>1148</v>
      </c>
      <c r="R976" s="378"/>
    </row>
    <row r="977" spans="1:18" outlineLevel="1">
      <c r="A977" s="394"/>
      <c r="B977" s="637"/>
      <c r="C977" s="382" t="s">
        <v>1235</v>
      </c>
      <c r="D977" s="387">
        <v>0.5</v>
      </c>
      <c r="E977" s="399"/>
      <c r="F977" s="387">
        <v>0.5</v>
      </c>
      <c r="G977" s="387"/>
      <c r="H977" s="387"/>
      <c r="I977" s="387"/>
      <c r="J977" s="387"/>
      <c r="K977" s="378">
        <v>1</v>
      </c>
      <c r="L977" s="378"/>
      <c r="M977" s="379">
        <f t="shared" si="222"/>
        <v>0</v>
      </c>
      <c r="N977" s="378">
        <f t="shared" si="224"/>
        <v>2</v>
      </c>
      <c r="O977" s="379">
        <f t="shared" si="223"/>
        <v>2</v>
      </c>
      <c r="P977" s="378" t="s">
        <v>1147</v>
      </c>
      <c r="Q977" s="380" t="s">
        <v>1148</v>
      </c>
      <c r="R977" s="378"/>
    </row>
    <row r="978" spans="1:18" outlineLevel="1">
      <c r="A978" s="394"/>
      <c r="B978" s="637"/>
      <c r="C978" s="382" t="s">
        <v>1236</v>
      </c>
      <c r="D978" s="387">
        <v>0.5</v>
      </c>
      <c r="E978" s="399"/>
      <c r="F978" s="387">
        <v>0.5</v>
      </c>
      <c r="G978" s="387"/>
      <c r="H978" s="387"/>
      <c r="I978" s="387"/>
      <c r="J978" s="387"/>
      <c r="K978" s="378" t="s">
        <v>549</v>
      </c>
      <c r="L978" s="378"/>
      <c r="M978" s="379">
        <f t="shared" si="222"/>
        <v>0</v>
      </c>
      <c r="N978" s="378">
        <f t="shared" si="224"/>
        <v>1</v>
      </c>
      <c r="O978" s="379">
        <f t="shared" si="223"/>
        <v>1</v>
      </c>
      <c r="P978" s="378" t="s">
        <v>1147</v>
      </c>
      <c r="Q978" s="380" t="s">
        <v>1148</v>
      </c>
      <c r="R978" s="378"/>
    </row>
    <row r="979" spans="1:18" outlineLevel="1">
      <c r="A979" s="394"/>
      <c r="B979" s="637"/>
      <c r="C979" s="382" t="s">
        <v>1237</v>
      </c>
      <c r="D979" s="387">
        <v>0.5</v>
      </c>
      <c r="E979" s="399"/>
      <c r="F979" s="387">
        <v>0.5</v>
      </c>
      <c r="G979" s="387"/>
      <c r="H979" s="387"/>
      <c r="I979" s="387"/>
      <c r="J979" s="387"/>
      <c r="K979" s="378" t="s">
        <v>549</v>
      </c>
      <c r="L979" s="378"/>
      <c r="M979" s="379">
        <f t="shared" si="222"/>
        <v>0</v>
      </c>
      <c r="N979" s="378">
        <f t="shared" si="224"/>
        <v>1</v>
      </c>
      <c r="O979" s="379">
        <f t="shared" si="223"/>
        <v>1</v>
      </c>
      <c r="P979" s="378" t="s">
        <v>1147</v>
      </c>
      <c r="Q979" s="380" t="s">
        <v>1148</v>
      </c>
      <c r="R979" s="378"/>
    </row>
    <row r="980" spans="1:18" outlineLevel="1">
      <c r="A980" s="394"/>
      <c r="B980" s="638"/>
      <c r="C980" s="382" t="s">
        <v>1238</v>
      </c>
      <c r="D980" s="387">
        <v>0.5</v>
      </c>
      <c r="E980" s="399"/>
      <c r="F980" s="387">
        <v>0.5</v>
      </c>
      <c r="G980" s="387"/>
      <c r="H980" s="387"/>
      <c r="I980" s="387"/>
      <c r="J980" s="387"/>
      <c r="K980" s="378" t="s">
        <v>549</v>
      </c>
      <c r="L980" s="378"/>
      <c r="M980" s="379">
        <f t="shared" si="222"/>
        <v>0</v>
      </c>
      <c r="N980" s="378">
        <f t="shared" si="224"/>
        <v>1</v>
      </c>
      <c r="O980" s="379">
        <f t="shared" si="223"/>
        <v>1</v>
      </c>
      <c r="P980" s="378" t="s">
        <v>1147</v>
      </c>
      <c r="Q980" s="380" t="s">
        <v>1148</v>
      </c>
      <c r="R980" s="378"/>
    </row>
    <row r="981" spans="1:18" outlineLevel="1">
      <c r="A981" s="388" t="s">
        <v>1244</v>
      </c>
      <c r="B981" s="381"/>
      <c r="C981" s="382"/>
      <c r="D981" s="398"/>
      <c r="E981" s="389"/>
      <c r="F981" s="398"/>
      <c r="G981" s="387"/>
      <c r="H981" s="387"/>
      <c r="I981" s="387"/>
      <c r="J981" s="387"/>
      <c r="K981" s="378"/>
      <c r="L981" s="378"/>
      <c r="M981" s="379">
        <f>IFERROR(MIN(M982:M988),0)</f>
        <v>0</v>
      </c>
      <c r="N981" s="378">
        <f>N982</f>
        <v>1</v>
      </c>
      <c r="O981" s="379">
        <f t="shared" si="223"/>
        <v>1</v>
      </c>
      <c r="P981" s="378" t="s">
        <v>1147</v>
      </c>
      <c r="Q981" s="380" t="s">
        <v>1148</v>
      </c>
      <c r="R981" s="378"/>
    </row>
    <row r="982" spans="1:18" outlineLevel="1">
      <c r="A982" s="394"/>
      <c r="B982" s="636" t="s">
        <v>1245</v>
      </c>
      <c r="C982" s="382" t="s">
        <v>1246</v>
      </c>
      <c r="D982" s="387">
        <v>0.5</v>
      </c>
      <c r="E982" s="399"/>
      <c r="F982" s="387">
        <v>0.5</v>
      </c>
      <c r="G982" s="387"/>
      <c r="H982" s="387"/>
      <c r="I982" s="387"/>
      <c r="J982" s="387"/>
      <c r="K982" s="378" t="s">
        <v>549</v>
      </c>
      <c r="L982" s="378"/>
      <c r="M982" s="379">
        <f t="shared" ref="M982:M988" si="225">IFERROR(MIN(MAX(0,IF(K982="N/A",0,IF((D982=E982),5,5-QUOTIENT(D982,E982)))), MAX(0,IF(K982="N/A",0,IF((F982=G982),5,5-QUOTIENT(F982,G982))))),0)</f>
        <v>0</v>
      </c>
      <c r="N982" s="378">
        <f>IF(K982="N/A", 1, 2)</f>
        <v>1</v>
      </c>
      <c r="O982" s="379">
        <f t="shared" si="223"/>
        <v>1</v>
      </c>
      <c r="P982" s="378" t="s">
        <v>1147</v>
      </c>
      <c r="Q982" s="380" t="s">
        <v>1148</v>
      </c>
      <c r="R982" s="378"/>
    </row>
    <row r="983" spans="1:18" outlineLevel="1">
      <c r="A983" s="394"/>
      <c r="B983" s="637"/>
      <c r="C983" s="382" t="s">
        <v>1247</v>
      </c>
      <c r="D983" s="387">
        <v>0.5</v>
      </c>
      <c r="E983" s="399"/>
      <c r="F983" s="387">
        <v>0.5</v>
      </c>
      <c r="G983" s="387"/>
      <c r="H983" s="387"/>
      <c r="I983" s="387"/>
      <c r="J983" s="387"/>
      <c r="K983" s="378" t="s">
        <v>549</v>
      </c>
      <c r="L983" s="378"/>
      <c r="M983" s="379">
        <f t="shared" si="225"/>
        <v>0</v>
      </c>
      <c r="N983" s="378">
        <f t="shared" ref="N983:N988" si="226">IF(K983="N/A", 1, 2)</f>
        <v>1</v>
      </c>
      <c r="O983" s="379">
        <f t="shared" si="223"/>
        <v>1</v>
      </c>
      <c r="P983" s="378" t="s">
        <v>1147</v>
      </c>
      <c r="Q983" s="380" t="s">
        <v>1148</v>
      </c>
      <c r="R983" s="378"/>
    </row>
    <row r="984" spans="1:18" outlineLevel="1">
      <c r="A984" s="394"/>
      <c r="B984" s="637"/>
      <c r="C984" s="382" t="s">
        <v>1248</v>
      </c>
      <c r="D984" s="387">
        <v>0.5</v>
      </c>
      <c r="E984" s="399"/>
      <c r="F984" s="387">
        <v>0.5</v>
      </c>
      <c r="G984" s="387"/>
      <c r="H984" s="387"/>
      <c r="I984" s="387"/>
      <c r="J984" s="387"/>
      <c r="K984" s="378" t="s">
        <v>549</v>
      </c>
      <c r="L984" s="378"/>
      <c r="M984" s="379">
        <f t="shared" si="225"/>
        <v>0</v>
      </c>
      <c r="N984" s="378">
        <f t="shared" si="226"/>
        <v>1</v>
      </c>
      <c r="O984" s="379">
        <f t="shared" si="223"/>
        <v>1</v>
      </c>
      <c r="P984" s="378" t="s">
        <v>1147</v>
      </c>
      <c r="Q984" s="380" t="s">
        <v>1148</v>
      </c>
      <c r="R984" s="378"/>
    </row>
    <row r="985" spans="1:18" outlineLevel="1">
      <c r="A985" s="394"/>
      <c r="B985" s="637"/>
      <c r="C985" s="382" t="s">
        <v>1249</v>
      </c>
      <c r="D985" s="387">
        <v>0.5</v>
      </c>
      <c r="E985" s="399"/>
      <c r="F985" s="387">
        <v>0.5</v>
      </c>
      <c r="G985" s="387"/>
      <c r="H985" s="387"/>
      <c r="I985" s="387"/>
      <c r="J985" s="387"/>
      <c r="K985" s="378" t="s">
        <v>549</v>
      </c>
      <c r="L985" s="378"/>
      <c r="M985" s="379">
        <f t="shared" si="225"/>
        <v>0</v>
      </c>
      <c r="N985" s="378">
        <f t="shared" si="226"/>
        <v>1</v>
      </c>
      <c r="O985" s="379">
        <f t="shared" si="223"/>
        <v>1</v>
      </c>
      <c r="P985" s="378" t="s">
        <v>1147</v>
      </c>
      <c r="Q985" s="380" t="s">
        <v>1148</v>
      </c>
      <c r="R985" s="378"/>
    </row>
    <row r="986" spans="1:18" outlineLevel="1">
      <c r="A986" s="394"/>
      <c r="B986" s="637"/>
      <c r="C986" s="382" t="s">
        <v>1250</v>
      </c>
      <c r="D986" s="387">
        <v>0.5</v>
      </c>
      <c r="E986" s="399"/>
      <c r="F986" s="387">
        <v>0.5</v>
      </c>
      <c r="G986" s="387"/>
      <c r="H986" s="387"/>
      <c r="I986" s="387"/>
      <c r="J986" s="387"/>
      <c r="K986" s="378" t="s">
        <v>549</v>
      </c>
      <c r="L986" s="378"/>
      <c r="M986" s="379">
        <f t="shared" si="225"/>
        <v>0</v>
      </c>
      <c r="N986" s="378">
        <f t="shared" si="226"/>
        <v>1</v>
      </c>
      <c r="O986" s="379">
        <f t="shared" si="223"/>
        <v>1</v>
      </c>
      <c r="P986" s="378" t="s">
        <v>1147</v>
      </c>
      <c r="Q986" s="380" t="s">
        <v>1148</v>
      </c>
      <c r="R986" s="378"/>
    </row>
    <row r="987" spans="1:18" outlineLevel="1">
      <c r="A987" s="394"/>
      <c r="B987" s="637"/>
      <c r="C987" s="382" t="s">
        <v>1251</v>
      </c>
      <c r="D987" s="387">
        <v>0.5</v>
      </c>
      <c r="E987" s="399"/>
      <c r="F987" s="387">
        <v>0.5</v>
      </c>
      <c r="G987" s="387"/>
      <c r="H987" s="387"/>
      <c r="I987" s="387"/>
      <c r="J987" s="387"/>
      <c r="K987" s="378" t="s">
        <v>549</v>
      </c>
      <c r="L987" s="378"/>
      <c r="M987" s="379">
        <f t="shared" si="225"/>
        <v>0</v>
      </c>
      <c r="N987" s="378">
        <f t="shared" si="226"/>
        <v>1</v>
      </c>
      <c r="O987" s="379">
        <f t="shared" si="223"/>
        <v>1</v>
      </c>
      <c r="P987" s="378" t="s">
        <v>1147</v>
      </c>
      <c r="Q987" s="380" t="s">
        <v>1148</v>
      </c>
      <c r="R987" s="378"/>
    </row>
    <row r="988" spans="1:18" outlineLevel="1">
      <c r="A988" s="394"/>
      <c r="B988" s="638"/>
      <c r="C988" s="382" t="s">
        <v>1252</v>
      </c>
      <c r="D988" s="387">
        <v>0.5</v>
      </c>
      <c r="E988" s="399"/>
      <c r="F988" s="387">
        <v>0.5</v>
      </c>
      <c r="G988" s="387"/>
      <c r="H988" s="387"/>
      <c r="I988" s="387"/>
      <c r="J988" s="387"/>
      <c r="K988" s="378" t="s">
        <v>549</v>
      </c>
      <c r="L988" s="378"/>
      <c r="M988" s="379">
        <f t="shared" si="225"/>
        <v>0</v>
      </c>
      <c r="N988" s="378">
        <f t="shared" si="226"/>
        <v>1</v>
      </c>
      <c r="O988" s="379">
        <f t="shared" si="223"/>
        <v>1</v>
      </c>
      <c r="P988" s="378" t="s">
        <v>1147</v>
      </c>
      <c r="Q988" s="380" t="s">
        <v>1148</v>
      </c>
      <c r="R988" s="378"/>
    </row>
    <row r="989" spans="1:18" outlineLevel="1">
      <c r="A989" s="388" t="s">
        <v>1253</v>
      </c>
      <c r="B989" s="381"/>
      <c r="C989" s="382"/>
      <c r="D989" s="398"/>
      <c r="E989" s="389"/>
      <c r="F989" s="398"/>
      <c r="G989" s="387"/>
      <c r="H989" s="387"/>
      <c r="I989" s="387"/>
      <c r="J989" s="387"/>
      <c r="K989" s="378"/>
      <c r="L989" s="378"/>
      <c r="M989" s="379">
        <f>M990</f>
        <v>0</v>
      </c>
      <c r="N989" s="378">
        <f>N990</f>
        <v>2</v>
      </c>
      <c r="O989" s="379">
        <f t="shared" si="223"/>
        <v>2</v>
      </c>
      <c r="P989" s="378" t="s">
        <v>1147</v>
      </c>
      <c r="Q989" s="380" t="s">
        <v>1148</v>
      </c>
      <c r="R989" s="378"/>
    </row>
    <row r="990" spans="1:18" outlineLevel="1">
      <c r="A990" s="406"/>
      <c r="B990" s="388" t="s">
        <v>1254</v>
      </c>
      <c r="C990" s="382" t="s">
        <v>1222</v>
      </c>
      <c r="D990" s="387">
        <v>0.5</v>
      </c>
      <c r="E990" s="389"/>
      <c r="F990" s="398">
        <v>0.5</v>
      </c>
      <c r="G990" s="387"/>
      <c r="H990" s="387"/>
      <c r="I990" s="387"/>
      <c r="J990" s="387"/>
      <c r="K990" s="378">
        <v>1</v>
      </c>
      <c r="L990" s="378"/>
      <c r="M990" s="379">
        <f>IFERROR(MIN(MAX(0,IF(K990="N/A",0,IF((D990=E990),5,5-QUOTIENT(D990,E990)))), MAX(0,IF(K990="N/A",0,IF((F990=G990),5,5-QUOTIENT(F990,G990))))),0)</f>
        <v>0</v>
      </c>
      <c r="N990" s="378">
        <f>IF(K990="N/A", 1, 2)</f>
        <v>2</v>
      </c>
      <c r="O990" s="379">
        <f t="shared" si="223"/>
        <v>2</v>
      </c>
      <c r="P990" s="378" t="s">
        <v>1147</v>
      </c>
      <c r="Q990" s="380" t="s">
        <v>1148</v>
      </c>
      <c r="R990" s="378"/>
    </row>
    <row r="991" spans="1:18" outlineLevel="1">
      <c r="A991" s="388" t="s">
        <v>1255</v>
      </c>
      <c r="B991" s="381"/>
      <c r="C991" s="382"/>
      <c r="D991" s="398"/>
      <c r="E991" s="389"/>
      <c r="F991" s="398"/>
      <c r="G991" s="387"/>
      <c r="H991" s="387"/>
      <c r="I991" s="387"/>
      <c r="J991" s="387"/>
      <c r="K991" s="378"/>
      <c r="L991" s="378"/>
      <c r="M991" s="379">
        <f>M992</f>
        <v>0</v>
      </c>
      <c r="N991" s="378">
        <f>N992</f>
        <v>2</v>
      </c>
      <c r="O991" s="379">
        <f t="shared" si="223"/>
        <v>2</v>
      </c>
      <c r="P991" s="378" t="s">
        <v>1147</v>
      </c>
      <c r="Q991" s="380" t="s">
        <v>1148</v>
      </c>
      <c r="R991" s="378"/>
    </row>
    <row r="992" spans="1:18" outlineLevel="1">
      <c r="A992" s="406"/>
      <c r="B992" s="388" t="s">
        <v>1256</v>
      </c>
      <c r="C992" s="382" t="s">
        <v>1222</v>
      </c>
      <c r="D992" s="387">
        <v>0.5</v>
      </c>
      <c r="E992" s="389"/>
      <c r="F992" s="398">
        <v>0.5</v>
      </c>
      <c r="G992" s="387"/>
      <c r="H992" s="387"/>
      <c r="I992" s="387"/>
      <c r="J992" s="387"/>
      <c r="K992" s="378">
        <v>1</v>
      </c>
      <c r="L992" s="378"/>
      <c r="M992" s="379">
        <f>IFERROR(MIN(MAX(0,IF(K992="N/A",0,IF((D992=E992),5,5-QUOTIENT(D992,E992)))), MAX(0,IF(K992="N/A",0,IF((F992=G992),5,5-QUOTIENT(F992,G992))))),0)</f>
        <v>0</v>
      </c>
      <c r="N992" s="378">
        <f>IF(K992="N/A", 1, 2)</f>
        <v>2</v>
      </c>
      <c r="O992" s="379">
        <f t="shared" si="223"/>
        <v>2</v>
      </c>
      <c r="P992" s="378" t="s">
        <v>1147</v>
      </c>
      <c r="Q992" s="380" t="s">
        <v>1148</v>
      </c>
      <c r="R992" s="378"/>
    </row>
    <row r="993" spans="1:18" outlineLevel="1">
      <c r="A993" s="388" t="s">
        <v>1257</v>
      </c>
      <c r="B993" s="381"/>
      <c r="C993" s="399"/>
      <c r="D993" s="398"/>
      <c r="E993" s="389"/>
      <c r="F993" s="398"/>
      <c r="G993" s="387"/>
      <c r="H993" s="387"/>
      <c r="I993" s="387"/>
      <c r="J993" s="387"/>
      <c r="K993" s="378"/>
      <c r="L993" s="378"/>
      <c r="M993" s="379">
        <f>M994</f>
        <v>0</v>
      </c>
      <c r="N993" s="378">
        <f>N994</f>
        <v>2</v>
      </c>
      <c r="O993" s="379">
        <f>MAX(M993:N993)</f>
        <v>2</v>
      </c>
      <c r="P993" s="378" t="s">
        <v>1147</v>
      </c>
      <c r="Q993" s="380" t="s">
        <v>1148</v>
      </c>
      <c r="R993" s="378"/>
    </row>
    <row r="994" spans="1:18" outlineLevel="1">
      <c r="A994" s="406"/>
      <c r="B994" s="388" t="s">
        <v>673</v>
      </c>
      <c r="C994" s="382" t="s">
        <v>1222</v>
      </c>
      <c r="D994" s="387">
        <v>0.5</v>
      </c>
      <c r="E994" s="389"/>
      <c r="F994" s="398">
        <v>0.5</v>
      </c>
      <c r="G994" s="387"/>
      <c r="H994" s="387"/>
      <c r="I994" s="387"/>
      <c r="J994" s="387"/>
      <c r="K994" s="378">
        <v>1</v>
      </c>
      <c r="L994" s="378"/>
      <c r="M994" s="379">
        <f>IFERROR(MIN(MAX(0,IF(K994="N/A",0,IF((D994=E994),5,5-QUOTIENT(D994,E994)))), MAX(0,IF(K994="N/A",0,IF((F994=G994),5,5-QUOTIENT(F994,G994))))),0)</f>
        <v>0</v>
      </c>
      <c r="N994" s="378">
        <f>IF(K994="N/A", 1, 2)</f>
        <v>2</v>
      </c>
      <c r="O994" s="379">
        <f t="shared" ref="O994" si="227">MAX(M994:N994)</f>
        <v>2</v>
      </c>
      <c r="P994" s="378" t="s">
        <v>1147</v>
      </c>
      <c r="Q994" s="380" t="s">
        <v>1148</v>
      </c>
      <c r="R994" s="378"/>
    </row>
    <row r="995" spans="1:18" outlineLevel="1">
      <c r="A995" s="388" t="s">
        <v>1258</v>
      </c>
      <c r="B995" s="381"/>
      <c r="C995" s="399"/>
      <c r="D995" s="398"/>
      <c r="E995" s="389"/>
      <c r="F995" s="398"/>
      <c r="G995" s="387"/>
      <c r="H995" s="387"/>
      <c r="I995" s="387"/>
      <c r="J995" s="387"/>
      <c r="K995" s="378"/>
      <c r="L995" s="378"/>
      <c r="M995" s="379">
        <f>M996</f>
        <v>0</v>
      </c>
      <c r="N995" s="378">
        <f>N996</f>
        <v>2</v>
      </c>
      <c r="O995" s="379">
        <f>MAX(M995:N995)</f>
        <v>2</v>
      </c>
      <c r="P995" s="378" t="s">
        <v>1147</v>
      </c>
      <c r="Q995" s="380" t="s">
        <v>1148</v>
      </c>
      <c r="R995" s="378"/>
    </row>
    <row r="996" spans="1:18" outlineLevel="1">
      <c r="A996" s="406"/>
      <c r="B996" s="388" t="s">
        <v>1259</v>
      </c>
      <c r="C996" s="382" t="s">
        <v>1222</v>
      </c>
      <c r="D996" s="387">
        <v>0.5</v>
      </c>
      <c r="E996" s="389"/>
      <c r="F996" s="398">
        <v>0.5</v>
      </c>
      <c r="G996" s="387"/>
      <c r="H996" s="387"/>
      <c r="I996" s="387"/>
      <c r="J996" s="387"/>
      <c r="K996" s="378">
        <v>1</v>
      </c>
      <c r="L996" s="378"/>
      <c r="M996" s="379">
        <f>IFERROR(MIN(MAX(0,IF(K996="N/A",0,IF((D996=E996),5,5-QUOTIENT(D996,E996)))), MAX(0,IF(K996="N/A",0,IF((F996=G996),5,5-QUOTIENT(F996,G996))))),0)</f>
        <v>0</v>
      </c>
      <c r="N996" s="378">
        <f>IF(K996="N/A", 1, 2)</f>
        <v>2</v>
      </c>
      <c r="O996" s="379">
        <f t="shared" ref="O996" si="228">MAX(M996:N996)</f>
        <v>2</v>
      </c>
      <c r="P996" s="378" t="s">
        <v>1147</v>
      </c>
      <c r="Q996" s="380" t="s">
        <v>1148</v>
      </c>
      <c r="R996" s="378"/>
    </row>
    <row r="997" spans="1:18" outlineLevel="1">
      <c r="A997" s="388" t="s">
        <v>1260</v>
      </c>
      <c r="B997" s="381"/>
      <c r="C997" s="399"/>
      <c r="D997" s="398"/>
      <c r="E997" s="389"/>
      <c r="F997" s="398"/>
      <c r="G997" s="387"/>
      <c r="H997" s="387"/>
      <c r="I997" s="387"/>
      <c r="J997" s="387"/>
      <c r="K997" s="378"/>
      <c r="L997" s="378"/>
      <c r="M997" s="379">
        <f>M998</f>
        <v>2</v>
      </c>
      <c r="N997" s="378">
        <f>N998</f>
        <v>2</v>
      </c>
      <c r="O997" s="379">
        <f>MAX(M997:N997)</f>
        <v>2</v>
      </c>
      <c r="P997" s="410" t="s">
        <v>1261</v>
      </c>
      <c r="Q997" s="411" t="s">
        <v>1262</v>
      </c>
      <c r="R997" s="378"/>
    </row>
    <row r="998" spans="1:18" outlineLevel="1">
      <c r="A998" s="412"/>
      <c r="B998" s="388" t="s">
        <v>1263</v>
      </c>
      <c r="C998" s="413" t="s">
        <v>1264</v>
      </c>
      <c r="D998" s="414">
        <v>5</v>
      </c>
      <c r="E998" s="414">
        <v>2</v>
      </c>
      <c r="F998" s="414">
        <v>5</v>
      </c>
      <c r="G998" s="391">
        <v>2</v>
      </c>
      <c r="H998" s="391"/>
      <c r="I998" s="391"/>
      <c r="J998" s="391"/>
      <c r="K998" s="378">
        <v>2</v>
      </c>
      <c r="L998" s="378"/>
      <c r="M998" s="379">
        <f>IFERROR(MIN(MAX(0,IF(K998="N/A",0,IF((D998=E998),5,5-QUOTIENT(D998,E998)-1))), MAX(0,IF(K998="N/A",0,IF((F998=G998),5,5-QUOTIENT(F998,G998)-1)))),0)</f>
        <v>2</v>
      </c>
      <c r="N998" s="378">
        <f>IF(K998="N/A", 1, 2)</f>
        <v>2</v>
      </c>
      <c r="O998" s="379">
        <f t="shared" ref="O998:O999" si="229">MAX(M998:N998)</f>
        <v>2</v>
      </c>
      <c r="P998" s="410" t="s">
        <v>1261</v>
      </c>
      <c r="Q998" s="411" t="s">
        <v>1262</v>
      </c>
      <c r="R998" s="378"/>
    </row>
    <row r="999" spans="1:18" outlineLevel="1">
      <c r="A999" s="415" t="s">
        <v>1265</v>
      </c>
      <c r="B999" s="416" t="s">
        <v>767</v>
      </c>
      <c r="C999" s="413" t="s">
        <v>1264</v>
      </c>
      <c r="D999" s="414">
        <v>5</v>
      </c>
      <c r="E999" s="414">
        <v>2</v>
      </c>
      <c r="F999" s="414">
        <v>5</v>
      </c>
      <c r="G999" s="391">
        <v>2</v>
      </c>
      <c r="H999" s="391"/>
      <c r="I999" s="391"/>
      <c r="J999" s="391"/>
      <c r="K999" s="378">
        <v>2</v>
      </c>
      <c r="L999" s="378"/>
      <c r="M999" s="379">
        <f>IFERROR(MIN(MAX(0,IF(K999="N/A",0,IF((D999=E999),5,5-QUOTIENT(D999,E999)-1))), MAX(0,IF(K999="N/A",0,IF((F999=G999),5,5-QUOTIENT(F999,G999)-1)))),0)</f>
        <v>2</v>
      </c>
      <c r="N999" s="378">
        <f>IF(K999="N/A", 1, 2)</f>
        <v>2</v>
      </c>
      <c r="O999" s="379">
        <f t="shared" si="229"/>
        <v>2</v>
      </c>
      <c r="P999" s="410" t="s">
        <v>1261</v>
      </c>
      <c r="Q999" s="411" t="s">
        <v>1262</v>
      </c>
      <c r="R999" s="378"/>
    </row>
    <row r="1000" spans="1:18">
      <c r="A1000" s="362" t="s">
        <v>1276</v>
      </c>
      <c r="B1000" s="646"/>
      <c r="D1000" s="364"/>
      <c r="E1000" s="364"/>
      <c r="F1000" s="371"/>
      <c r="G1000" s="364"/>
      <c r="H1000" s="364"/>
      <c r="I1000" s="364"/>
      <c r="J1000" s="364"/>
      <c r="K1000" s="364"/>
      <c r="L1000" s="364"/>
      <c r="M1000" s="371"/>
      <c r="N1000" s="364"/>
      <c r="O1000" s="371"/>
      <c r="P1000" s="364"/>
      <c r="Q1000" s="364"/>
    </row>
    <row r="1001" spans="1:18">
      <c r="B1001" s="646"/>
      <c r="D1001" s="364"/>
      <c r="E1001" s="417"/>
      <c r="F1001" s="418"/>
      <c r="G1001" s="364"/>
      <c r="H1001" s="364"/>
      <c r="I1001" s="364"/>
      <c r="J1001" s="364"/>
      <c r="K1001" s="364"/>
      <c r="L1001" s="364"/>
      <c r="M1001" s="371"/>
      <c r="N1001" s="364"/>
      <c r="O1001" s="371"/>
      <c r="P1001" s="364"/>
      <c r="Q1001" s="364"/>
      <c r="R1001" s="364"/>
    </row>
    <row r="1002" spans="1:18">
      <c r="B1002" s="646"/>
      <c r="D1002" s="364"/>
      <c r="E1002" s="417"/>
      <c r="F1002" s="418"/>
      <c r="G1002" s="364"/>
      <c r="H1002" s="364"/>
      <c r="I1002" s="364"/>
      <c r="J1002" s="364"/>
      <c r="K1002" s="364"/>
      <c r="L1002" s="364"/>
      <c r="M1002" s="371"/>
      <c r="N1002" s="364"/>
      <c r="O1002" s="371"/>
      <c r="P1002" s="364"/>
      <c r="Q1002" s="364"/>
      <c r="R1002" s="364"/>
    </row>
    <row r="1003" spans="1:18" hidden="1" outlineLevel="1">
      <c r="A1003" s="362"/>
      <c r="C1003" s="363"/>
      <c r="D1003" s="628" t="s">
        <v>1132</v>
      </c>
      <c r="E1003" s="629"/>
      <c r="F1003" s="628" t="s">
        <v>1133</v>
      </c>
      <c r="G1003" s="629"/>
      <c r="H1003" s="370"/>
      <c r="I1003" s="370"/>
      <c r="J1003" s="370"/>
      <c r="K1003" s="364"/>
      <c r="L1003" s="364"/>
      <c r="M1003" s="371"/>
      <c r="N1003" s="364"/>
      <c r="O1003" s="371"/>
      <c r="P1003" s="364"/>
      <c r="Q1003" s="364"/>
    </row>
    <row r="1004" spans="1:18" hidden="1" outlineLevel="1">
      <c r="A1004" s="372" t="s">
        <v>1134</v>
      </c>
      <c r="B1004" s="373" t="s">
        <v>1135</v>
      </c>
      <c r="C1004" s="373" t="s">
        <v>1136</v>
      </c>
      <c r="D1004" s="373" t="s">
        <v>1137</v>
      </c>
      <c r="E1004" s="373" t="s">
        <v>1138</v>
      </c>
      <c r="F1004" s="374" t="s">
        <v>1137</v>
      </c>
      <c r="G1004" s="373" t="s">
        <v>1138</v>
      </c>
      <c r="H1004" s="373" t="s">
        <v>1268</v>
      </c>
      <c r="I1004" s="373" t="s">
        <v>1269</v>
      </c>
      <c r="J1004" s="373" t="s">
        <v>1270</v>
      </c>
      <c r="K1004" s="375" t="s">
        <v>1139</v>
      </c>
      <c r="L1004" s="375" t="s">
        <v>1271</v>
      </c>
      <c r="M1004" s="374" t="s">
        <v>1140</v>
      </c>
      <c r="N1004" s="373" t="s">
        <v>1141</v>
      </c>
      <c r="O1004" s="374" t="s">
        <v>1142</v>
      </c>
      <c r="P1004" s="373" t="s">
        <v>1143</v>
      </c>
      <c r="Q1004" s="373" t="s">
        <v>1144</v>
      </c>
      <c r="R1004" s="373" t="s">
        <v>1145</v>
      </c>
    </row>
    <row r="1005" spans="1:18" hidden="1" outlineLevel="1">
      <c r="A1005" s="376" t="s">
        <v>1146</v>
      </c>
      <c r="B1005" s="630"/>
      <c r="C1005" s="631"/>
      <c r="D1005" s="631"/>
      <c r="E1005" s="631"/>
      <c r="F1005" s="631"/>
      <c r="G1005" s="632"/>
      <c r="H1005" s="377"/>
      <c r="I1005" s="377"/>
      <c r="J1005" s="377"/>
      <c r="K1005" s="378"/>
      <c r="L1005" s="378"/>
      <c r="M1005" s="379">
        <f>IFERROR(MIN(M1006:M1024),0)</f>
        <v>0</v>
      </c>
      <c r="N1005" s="378">
        <f>N1006</f>
        <v>2</v>
      </c>
      <c r="O1005" s="379">
        <f>MAX(M1005:N1005)</f>
        <v>2</v>
      </c>
      <c r="P1005" s="378" t="s">
        <v>1147</v>
      </c>
      <c r="Q1005" s="380" t="s">
        <v>1148</v>
      </c>
      <c r="R1005" s="378"/>
    </row>
    <row r="1006" spans="1:18" hidden="1" outlineLevel="1">
      <c r="A1006" s="376"/>
      <c r="B1006" s="381" t="s">
        <v>1149</v>
      </c>
      <c r="C1006" s="382" t="s">
        <v>1150</v>
      </c>
      <c r="D1006" s="378">
        <v>99</v>
      </c>
      <c r="E1006" s="383"/>
      <c r="F1006" s="384">
        <v>90</v>
      </c>
      <c r="G1006" s="378"/>
      <c r="H1006" s="378"/>
      <c r="I1006" s="378"/>
      <c r="J1006" s="378"/>
      <c r="K1006" s="378">
        <v>1</v>
      </c>
      <c r="L1006" s="378"/>
      <c r="M1006" s="379">
        <f t="shared" ref="M1006:M1024" si="230">IFERROR(MIN(MAX(0,IF(K1006="N/A",0,IF((D1006=E1006),5,5-QUOTIENT(D1006,E1006)))), MAX(0,IF(K1006="N/A",0,IF((F1006=G1006),5,5-QUOTIENT(F1006,G1006))))),0)</f>
        <v>0</v>
      </c>
      <c r="N1006" s="378">
        <f>IF(K1006="N/A", 1, 2)</f>
        <v>2</v>
      </c>
      <c r="O1006" s="379">
        <f>MAX(M1006:N1006)</f>
        <v>2</v>
      </c>
      <c r="P1006" s="378" t="s">
        <v>1147</v>
      </c>
      <c r="Q1006" s="380" t="s">
        <v>1148</v>
      </c>
      <c r="R1006" s="378"/>
    </row>
    <row r="1007" spans="1:18" hidden="1" outlineLevel="1">
      <c r="A1007" s="376"/>
      <c r="B1007" s="633" t="s">
        <v>1151</v>
      </c>
      <c r="C1007" s="382" t="s">
        <v>1152</v>
      </c>
      <c r="D1007" s="378">
        <v>5</v>
      </c>
      <c r="E1007" s="383"/>
      <c r="F1007" s="384">
        <v>5</v>
      </c>
      <c r="G1007" s="378"/>
      <c r="H1007" s="378"/>
      <c r="I1007" s="378"/>
      <c r="J1007" s="378"/>
      <c r="K1007" s="378">
        <v>1</v>
      </c>
      <c r="L1007" s="378"/>
      <c r="M1007" s="379">
        <f t="shared" si="230"/>
        <v>0</v>
      </c>
      <c r="N1007" s="378">
        <f t="shared" ref="N1007:N1024" si="231">IF(K1007="N/A", 1, 2)</f>
        <v>2</v>
      </c>
      <c r="O1007" s="379">
        <f t="shared" ref="O1007:O1052" si="232">MAX(M1007:N1007)</f>
        <v>2</v>
      </c>
      <c r="P1007" s="378" t="s">
        <v>1147</v>
      </c>
      <c r="Q1007" s="380" t="s">
        <v>1148</v>
      </c>
      <c r="R1007" s="378"/>
    </row>
    <row r="1008" spans="1:18" hidden="1" outlineLevel="1">
      <c r="A1008" s="376"/>
      <c r="B1008" s="634"/>
      <c r="C1008" s="382" t="s">
        <v>1153</v>
      </c>
      <c r="D1008" s="378">
        <v>5</v>
      </c>
      <c r="E1008" s="383"/>
      <c r="F1008" s="384">
        <v>5</v>
      </c>
      <c r="G1008" s="378"/>
      <c r="H1008" s="378"/>
      <c r="I1008" s="378"/>
      <c r="J1008" s="378"/>
      <c r="K1008" s="378">
        <v>1</v>
      </c>
      <c r="L1008" s="378"/>
      <c r="M1008" s="379">
        <f t="shared" si="230"/>
        <v>0</v>
      </c>
      <c r="N1008" s="378">
        <f t="shared" si="231"/>
        <v>2</v>
      </c>
      <c r="O1008" s="379">
        <f t="shared" si="232"/>
        <v>2</v>
      </c>
      <c r="P1008" s="378" t="s">
        <v>1147</v>
      </c>
      <c r="Q1008" s="380" t="s">
        <v>1148</v>
      </c>
      <c r="R1008" s="378"/>
    </row>
    <row r="1009" spans="1:18" hidden="1" outlineLevel="1">
      <c r="A1009" s="376"/>
      <c r="B1009" s="635"/>
      <c r="C1009" s="382" t="s">
        <v>1154</v>
      </c>
      <c r="D1009" s="378">
        <v>0.5</v>
      </c>
      <c r="E1009" s="383"/>
      <c r="F1009" s="384">
        <v>0.5</v>
      </c>
      <c r="G1009" s="378"/>
      <c r="H1009" s="378"/>
      <c r="I1009" s="378"/>
      <c r="J1009" s="378"/>
      <c r="K1009" s="378">
        <v>1</v>
      </c>
      <c r="L1009" s="378"/>
      <c r="M1009" s="379">
        <f t="shared" si="230"/>
        <v>0</v>
      </c>
      <c r="N1009" s="378">
        <f t="shared" si="231"/>
        <v>2</v>
      </c>
      <c r="O1009" s="379">
        <f t="shared" si="232"/>
        <v>2</v>
      </c>
      <c r="P1009" s="378" t="s">
        <v>1147</v>
      </c>
      <c r="Q1009" s="380" t="s">
        <v>1148</v>
      </c>
      <c r="R1009" s="378"/>
    </row>
    <row r="1010" spans="1:18" hidden="1" outlineLevel="1">
      <c r="A1010" s="376"/>
      <c r="B1010" s="633" t="s">
        <v>1155</v>
      </c>
      <c r="C1010" s="382" t="s">
        <v>1152</v>
      </c>
      <c r="D1010" s="378">
        <v>10</v>
      </c>
      <c r="E1010" s="383"/>
      <c r="F1010" s="384">
        <v>15</v>
      </c>
      <c r="G1010" s="378"/>
      <c r="H1010" s="378"/>
      <c r="I1010" s="378"/>
      <c r="J1010" s="378"/>
      <c r="K1010" s="378">
        <v>1</v>
      </c>
      <c r="L1010" s="378"/>
      <c r="M1010" s="379">
        <f t="shared" si="230"/>
        <v>0</v>
      </c>
      <c r="N1010" s="378">
        <f t="shared" si="231"/>
        <v>2</v>
      </c>
      <c r="O1010" s="379">
        <f t="shared" si="232"/>
        <v>2</v>
      </c>
      <c r="P1010" s="378" t="s">
        <v>1147</v>
      </c>
      <c r="Q1010" s="380" t="s">
        <v>1148</v>
      </c>
      <c r="R1010" s="378"/>
    </row>
    <row r="1011" spans="1:18" hidden="1" outlineLevel="1">
      <c r="A1011" s="376"/>
      <c r="B1011" s="634"/>
      <c r="C1011" s="382" t="s">
        <v>1153</v>
      </c>
      <c r="D1011" s="378">
        <v>10</v>
      </c>
      <c r="E1011" s="383"/>
      <c r="F1011" s="384">
        <v>15</v>
      </c>
      <c r="G1011" s="378"/>
      <c r="H1011" s="378"/>
      <c r="I1011" s="378"/>
      <c r="J1011" s="378"/>
      <c r="K1011" s="378">
        <v>1</v>
      </c>
      <c r="L1011" s="378"/>
      <c r="M1011" s="379">
        <f t="shared" si="230"/>
        <v>0</v>
      </c>
      <c r="N1011" s="378">
        <f t="shared" si="231"/>
        <v>2</v>
      </c>
      <c r="O1011" s="379">
        <f t="shared" si="232"/>
        <v>2</v>
      </c>
      <c r="P1011" s="378" t="s">
        <v>1147</v>
      </c>
      <c r="Q1011" s="380" t="s">
        <v>1148</v>
      </c>
      <c r="R1011" s="378"/>
    </row>
    <row r="1012" spans="1:18" hidden="1" outlineLevel="1">
      <c r="A1012" s="376"/>
      <c r="B1012" s="635"/>
      <c r="C1012" s="382" t="s">
        <v>1154</v>
      </c>
      <c r="D1012" s="378">
        <v>0.5</v>
      </c>
      <c r="E1012" s="383"/>
      <c r="F1012" s="384">
        <v>0.5</v>
      </c>
      <c r="G1012" s="378"/>
      <c r="H1012" s="378"/>
      <c r="I1012" s="378"/>
      <c r="J1012" s="378"/>
      <c r="K1012" s="378">
        <v>1</v>
      </c>
      <c r="L1012" s="378"/>
      <c r="M1012" s="379">
        <f t="shared" si="230"/>
        <v>0</v>
      </c>
      <c r="N1012" s="378">
        <f t="shared" si="231"/>
        <v>2</v>
      </c>
      <c r="O1012" s="379">
        <f t="shared" si="232"/>
        <v>2</v>
      </c>
      <c r="P1012" s="378" t="s">
        <v>1147</v>
      </c>
      <c r="Q1012" s="380" t="s">
        <v>1148</v>
      </c>
      <c r="R1012" s="378"/>
    </row>
    <row r="1013" spans="1:18" hidden="1" outlineLevel="1">
      <c r="A1013" s="376"/>
      <c r="B1013" s="633" t="s">
        <v>1156</v>
      </c>
      <c r="C1013" s="382" t="s">
        <v>1152</v>
      </c>
      <c r="D1013" s="378">
        <v>25</v>
      </c>
      <c r="E1013" s="383"/>
      <c r="F1013" s="384">
        <v>40</v>
      </c>
      <c r="G1013" s="378"/>
      <c r="H1013" s="378"/>
      <c r="I1013" s="378"/>
      <c r="J1013" s="378"/>
      <c r="K1013" s="378">
        <v>1</v>
      </c>
      <c r="L1013" s="378"/>
      <c r="M1013" s="379">
        <f t="shared" si="230"/>
        <v>0</v>
      </c>
      <c r="N1013" s="378">
        <f t="shared" si="231"/>
        <v>2</v>
      </c>
      <c r="O1013" s="379">
        <f t="shared" si="232"/>
        <v>2</v>
      </c>
      <c r="P1013" s="378" t="s">
        <v>1147</v>
      </c>
      <c r="Q1013" s="380" t="s">
        <v>1148</v>
      </c>
      <c r="R1013" s="378"/>
    </row>
    <row r="1014" spans="1:18" hidden="1" outlineLevel="1">
      <c r="A1014" s="376"/>
      <c r="B1014" s="634"/>
      <c r="C1014" s="382" t="s">
        <v>1153</v>
      </c>
      <c r="D1014" s="378">
        <v>25</v>
      </c>
      <c r="E1014" s="383"/>
      <c r="F1014" s="384">
        <v>40</v>
      </c>
      <c r="G1014" s="378"/>
      <c r="H1014" s="378"/>
      <c r="I1014" s="378"/>
      <c r="J1014" s="378"/>
      <c r="K1014" s="378">
        <v>1</v>
      </c>
      <c r="L1014" s="378"/>
      <c r="M1014" s="379">
        <f t="shared" si="230"/>
        <v>0</v>
      </c>
      <c r="N1014" s="378">
        <f t="shared" si="231"/>
        <v>2</v>
      </c>
      <c r="O1014" s="379">
        <f t="shared" si="232"/>
        <v>2</v>
      </c>
      <c r="P1014" s="378" t="s">
        <v>1147</v>
      </c>
      <c r="Q1014" s="380" t="s">
        <v>1148</v>
      </c>
      <c r="R1014" s="378"/>
    </row>
    <row r="1015" spans="1:18" hidden="1" outlineLevel="1">
      <c r="A1015" s="376"/>
      <c r="B1015" s="635"/>
      <c r="C1015" s="382" t="s">
        <v>1154</v>
      </c>
      <c r="D1015" s="378">
        <v>0.5</v>
      </c>
      <c r="E1015" s="383"/>
      <c r="F1015" s="384">
        <v>0.5</v>
      </c>
      <c r="G1015" s="378"/>
      <c r="H1015" s="378"/>
      <c r="I1015" s="378"/>
      <c r="J1015" s="378"/>
      <c r="K1015" s="378">
        <v>1</v>
      </c>
      <c r="L1015" s="378"/>
      <c r="M1015" s="379">
        <f t="shared" si="230"/>
        <v>0</v>
      </c>
      <c r="N1015" s="378">
        <f t="shared" si="231"/>
        <v>2</v>
      </c>
      <c r="O1015" s="379">
        <f t="shared" si="232"/>
        <v>2</v>
      </c>
      <c r="P1015" s="378" t="s">
        <v>1147</v>
      </c>
      <c r="Q1015" s="380" t="s">
        <v>1148</v>
      </c>
      <c r="R1015" s="378"/>
    </row>
    <row r="1016" spans="1:18" hidden="1" outlineLevel="1">
      <c r="A1016" s="376"/>
      <c r="B1016" s="633" t="s">
        <v>1157</v>
      </c>
      <c r="C1016" s="382" t="s">
        <v>1158</v>
      </c>
      <c r="D1016" s="378">
        <v>5</v>
      </c>
      <c r="E1016" s="383"/>
      <c r="F1016" s="384">
        <v>10</v>
      </c>
      <c r="G1016" s="378"/>
      <c r="H1016" s="378"/>
      <c r="I1016" s="378"/>
      <c r="J1016" s="378"/>
      <c r="K1016" s="378">
        <v>1</v>
      </c>
      <c r="L1016" s="378"/>
      <c r="M1016" s="379">
        <f t="shared" si="230"/>
        <v>0</v>
      </c>
      <c r="N1016" s="378">
        <f t="shared" si="231"/>
        <v>2</v>
      </c>
      <c r="O1016" s="379">
        <f t="shared" si="232"/>
        <v>2</v>
      </c>
      <c r="P1016" s="378" t="s">
        <v>1147</v>
      </c>
      <c r="Q1016" s="380" t="s">
        <v>1148</v>
      </c>
      <c r="R1016" s="378"/>
    </row>
    <row r="1017" spans="1:18" hidden="1" outlineLevel="1">
      <c r="A1017" s="376"/>
      <c r="B1017" s="634"/>
      <c r="C1017" s="382" t="s">
        <v>1159</v>
      </c>
      <c r="D1017" s="378">
        <v>5</v>
      </c>
      <c r="E1017" s="383"/>
      <c r="F1017" s="384">
        <v>10</v>
      </c>
      <c r="G1017" s="378"/>
      <c r="H1017" s="378"/>
      <c r="I1017" s="378"/>
      <c r="J1017" s="378"/>
      <c r="K1017" s="378">
        <v>1</v>
      </c>
      <c r="L1017" s="378"/>
      <c r="M1017" s="379">
        <f t="shared" si="230"/>
        <v>0</v>
      </c>
      <c r="N1017" s="378">
        <f t="shared" si="231"/>
        <v>2</v>
      </c>
      <c r="O1017" s="379">
        <f t="shared" si="232"/>
        <v>2</v>
      </c>
      <c r="P1017" s="378" t="s">
        <v>1147</v>
      </c>
      <c r="Q1017" s="380" t="s">
        <v>1148</v>
      </c>
      <c r="R1017" s="378"/>
    </row>
    <row r="1018" spans="1:18" hidden="1" outlineLevel="1">
      <c r="A1018" s="376"/>
      <c r="B1018" s="635"/>
      <c r="C1018" s="382" t="s">
        <v>1160</v>
      </c>
      <c r="D1018" s="378">
        <v>0.5</v>
      </c>
      <c r="E1018" s="383"/>
      <c r="F1018" s="384">
        <v>0.5</v>
      </c>
      <c r="G1018" s="378"/>
      <c r="H1018" s="378"/>
      <c r="I1018" s="378"/>
      <c r="J1018" s="378"/>
      <c r="K1018" s="378">
        <v>1</v>
      </c>
      <c r="L1018" s="378"/>
      <c r="M1018" s="379">
        <f t="shared" si="230"/>
        <v>0</v>
      </c>
      <c r="N1018" s="378">
        <f t="shared" si="231"/>
        <v>2</v>
      </c>
      <c r="O1018" s="379">
        <f t="shared" si="232"/>
        <v>2</v>
      </c>
      <c r="P1018" s="378" t="s">
        <v>1147</v>
      </c>
      <c r="Q1018" s="380" t="s">
        <v>1148</v>
      </c>
      <c r="R1018" s="378"/>
    </row>
    <row r="1019" spans="1:18" hidden="1" outlineLevel="1">
      <c r="A1019" s="376"/>
      <c r="B1019" s="633" t="s">
        <v>1161</v>
      </c>
      <c r="C1019" s="382" t="s">
        <v>1158</v>
      </c>
      <c r="D1019" s="378">
        <v>5</v>
      </c>
      <c r="E1019" s="383"/>
      <c r="F1019" s="384">
        <v>10</v>
      </c>
      <c r="G1019" s="378"/>
      <c r="H1019" s="378"/>
      <c r="I1019" s="378"/>
      <c r="J1019" s="378"/>
      <c r="K1019" s="378">
        <v>1</v>
      </c>
      <c r="L1019" s="378"/>
      <c r="M1019" s="379">
        <f t="shared" si="230"/>
        <v>0</v>
      </c>
      <c r="N1019" s="378">
        <f t="shared" si="231"/>
        <v>2</v>
      </c>
      <c r="O1019" s="379">
        <f t="shared" si="232"/>
        <v>2</v>
      </c>
      <c r="P1019" s="378" t="s">
        <v>1147</v>
      </c>
      <c r="Q1019" s="380" t="s">
        <v>1148</v>
      </c>
      <c r="R1019" s="378"/>
    </row>
    <row r="1020" spans="1:18" hidden="1" outlineLevel="1">
      <c r="A1020" s="376"/>
      <c r="B1020" s="634"/>
      <c r="C1020" s="382" t="s">
        <v>1159</v>
      </c>
      <c r="D1020" s="378">
        <v>5</v>
      </c>
      <c r="E1020" s="383"/>
      <c r="F1020" s="384">
        <v>10</v>
      </c>
      <c r="G1020" s="378"/>
      <c r="H1020" s="378"/>
      <c r="I1020" s="378"/>
      <c r="J1020" s="378"/>
      <c r="K1020" s="378">
        <v>1</v>
      </c>
      <c r="L1020" s="378"/>
      <c r="M1020" s="379">
        <f t="shared" si="230"/>
        <v>0</v>
      </c>
      <c r="N1020" s="378">
        <f t="shared" si="231"/>
        <v>2</v>
      </c>
      <c r="O1020" s="379">
        <f t="shared" si="232"/>
        <v>2</v>
      </c>
      <c r="P1020" s="378" t="s">
        <v>1147</v>
      </c>
      <c r="Q1020" s="380" t="s">
        <v>1148</v>
      </c>
      <c r="R1020" s="378"/>
    </row>
    <row r="1021" spans="1:18" hidden="1" outlineLevel="1">
      <c r="A1021" s="376"/>
      <c r="B1021" s="635"/>
      <c r="C1021" s="382" t="s">
        <v>1160</v>
      </c>
      <c r="D1021" s="378">
        <v>0.5</v>
      </c>
      <c r="E1021" s="383"/>
      <c r="F1021" s="384">
        <v>0.5</v>
      </c>
      <c r="G1021" s="378"/>
      <c r="H1021" s="378"/>
      <c r="I1021" s="378"/>
      <c r="J1021" s="378"/>
      <c r="K1021" s="378">
        <v>1</v>
      </c>
      <c r="L1021" s="378"/>
      <c r="M1021" s="379">
        <f t="shared" si="230"/>
        <v>0</v>
      </c>
      <c r="N1021" s="378">
        <f t="shared" si="231"/>
        <v>2</v>
      </c>
      <c r="O1021" s="379">
        <f t="shared" si="232"/>
        <v>2</v>
      </c>
      <c r="P1021" s="378" t="s">
        <v>1147</v>
      </c>
      <c r="Q1021" s="380" t="s">
        <v>1148</v>
      </c>
      <c r="R1021" s="378"/>
    </row>
    <row r="1022" spans="1:18" hidden="1" outlineLevel="1">
      <c r="A1022" s="376"/>
      <c r="B1022" s="633" t="s">
        <v>1162</v>
      </c>
      <c r="C1022" s="382" t="s">
        <v>1158</v>
      </c>
      <c r="D1022" s="378">
        <v>3</v>
      </c>
      <c r="E1022" s="383"/>
      <c r="F1022" s="384">
        <v>7</v>
      </c>
      <c r="G1022" s="378"/>
      <c r="H1022" s="378"/>
      <c r="I1022" s="378"/>
      <c r="J1022" s="378"/>
      <c r="K1022" s="378">
        <v>1</v>
      </c>
      <c r="L1022" s="378"/>
      <c r="M1022" s="379">
        <f t="shared" si="230"/>
        <v>0</v>
      </c>
      <c r="N1022" s="378">
        <f t="shared" si="231"/>
        <v>2</v>
      </c>
      <c r="O1022" s="379">
        <f t="shared" si="232"/>
        <v>2</v>
      </c>
      <c r="P1022" s="378" t="s">
        <v>1147</v>
      </c>
      <c r="Q1022" s="380" t="s">
        <v>1148</v>
      </c>
      <c r="R1022" s="378"/>
    </row>
    <row r="1023" spans="1:18" hidden="1" outlineLevel="1">
      <c r="A1023" s="376"/>
      <c r="B1023" s="634"/>
      <c r="C1023" s="382" t="s">
        <v>1159</v>
      </c>
      <c r="D1023" s="378">
        <v>3</v>
      </c>
      <c r="E1023" s="383"/>
      <c r="F1023" s="384">
        <v>7</v>
      </c>
      <c r="G1023" s="378"/>
      <c r="H1023" s="378"/>
      <c r="I1023" s="378"/>
      <c r="J1023" s="378"/>
      <c r="K1023" s="378">
        <v>1</v>
      </c>
      <c r="L1023" s="378"/>
      <c r="M1023" s="379">
        <f t="shared" si="230"/>
        <v>0</v>
      </c>
      <c r="N1023" s="378">
        <f t="shared" si="231"/>
        <v>2</v>
      </c>
      <c r="O1023" s="379">
        <f t="shared" si="232"/>
        <v>2</v>
      </c>
      <c r="P1023" s="378" t="s">
        <v>1147</v>
      </c>
      <c r="Q1023" s="380" t="s">
        <v>1148</v>
      </c>
      <c r="R1023" s="378"/>
    </row>
    <row r="1024" spans="1:18" hidden="1" outlineLevel="1">
      <c r="A1024" s="376"/>
      <c r="B1024" s="635"/>
      <c r="C1024" s="382" t="s">
        <v>1160</v>
      </c>
      <c r="D1024" s="385">
        <v>0.5</v>
      </c>
      <c r="E1024" s="386"/>
      <c r="F1024" s="385">
        <v>0.5</v>
      </c>
      <c r="G1024" s="387"/>
      <c r="H1024" s="387"/>
      <c r="I1024" s="387"/>
      <c r="J1024" s="387"/>
      <c r="K1024" s="378">
        <v>1</v>
      </c>
      <c r="L1024" s="378"/>
      <c r="M1024" s="379">
        <f t="shared" si="230"/>
        <v>0</v>
      </c>
      <c r="N1024" s="378">
        <f t="shared" si="231"/>
        <v>2</v>
      </c>
      <c r="O1024" s="379">
        <f t="shared" si="232"/>
        <v>2</v>
      </c>
      <c r="P1024" s="378" t="s">
        <v>1147</v>
      </c>
      <c r="Q1024" s="380" t="s">
        <v>1148</v>
      </c>
      <c r="R1024" s="378"/>
    </row>
    <row r="1025" spans="1:18" hidden="1" outlineLevel="1">
      <c r="A1025" s="388" t="s">
        <v>1163</v>
      </c>
      <c r="B1025" s="630"/>
      <c r="C1025" s="631"/>
      <c r="D1025" s="631"/>
      <c r="E1025" s="631"/>
      <c r="F1025" s="631"/>
      <c r="G1025" s="632"/>
      <c r="H1025" s="377"/>
      <c r="I1025" s="377"/>
      <c r="J1025" s="377"/>
      <c r="K1025" s="378"/>
      <c r="L1025" s="378"/>
      <c r="M1025" s="379">
        <f>IFERROR(MIN(M1026:M1028),0)</f>
        <v>0</v>
      </c>
      <c r="N1025" s="378">
        <f>N1026</f>
        <v>2</v>
      </c>
      <c r="O1025" s="379">
        <f t="shared" si="232"/>
        <v>2</v>
      </c>
      <c r="P1025" s="378" t="s">
        <v>1147</v>
      </c>
      <c r="Q1025" s="380" t="s">
        <v>1148</v>
      </c>
      <c r="R1025" s="378"/>
    </row>
    <row r="1026" spans="1:18" hidden="1" outlineLevel="1">
      <c r="A1026" s="388"/>
      <c r="B1026" s="642" t="s">
        <v>1164</v>
      </c>
      <c r="C1026" s="382" t="s">
        <v>1149</v>
      </c>
      <c r="D1026" s="387">
        <v>0.98</v>
      </c>
      <c r="E1026" s="389"/>
      <c r="F1026" s="387">
        <v>0.9</v>
      </c>
      <c r="G1026" s="387"/>
      <c r="H1026" s="387"/>
      <c r="I1026" s="387"/>
      <c r="J1026" s="387"/>
      <c r="K1026" s="378">
        <v>1</v>
      </c>
      <c r="L1026" s="378"/>
      <c r="M1026" s="379">
        <f>IFERROR(MIN(MAX(0,IF(K1026="N/A",0,IF((D1026=E1026),5,5-QUOTIENT(D1026,E1026)))), MAX(0,IF(K1026="N/A",0,IF((F1026=G1026),5,5-QUOTIENT(F1026,G1026))))),0)</f>
        <v>0</v>
      </c>
      <c r="N1026" s="378">
        <f>IF(K1026="N/A", 1, 2)</f>
        <v>2</v>
      </c>
      <c r="O1026" s="379">
        <f t="shared" si="232"/>
        <v>2</v>
      </c>
      <c r="P1026" s="378" t="s">
        <v>1147</v>
      </c>
      <c r="Q1026" s="380" t="s">
        <v>1148</v>
      </c>
      <c r="R1026" s="378"/>
    </row>
    <row r="1027" spans="1:18" hidden="1" outlineLevel="1">
      <c r="A1027" s="388"/>
      <c r="B1027" s="642"/>
      <c r="C1027" s="382" t="s">
        <v>1165</v>
      </c>
      <c r="D1027" s="378">
        <v>2</v>
      </c>
      <c r="E1027" s="390"/>
      <c r="F1027" s="378">
        <v>4</v>
      </c>
      <c r="G1027" s="387"/>
      <c r="H1027" s="387"/>
      <c r="I1027" s="387"/>
      <c r="J1027" s="387"/>
      <c r="K1027" s="378">
        <v>1</v>
      </c>
      <c r="L1027" s="378"/>
      <c r="M1027" s="379">
        <f>IFERROR(MIN(MAX(0,IF(K1027="N/A",0,IF((D1027=E1027),5,5-QUOTIENT(D1027,E1027)))), MAX(0,IF(K1027="N/A",0,IF((F1027=G1027),5,5-QUOTIENT(F1027,G1027))))),0)</f>
        <v>0</v>
      </c>
      <c r="N1027" s="378">
        <f t="shared" ref="N1027:N1028" si="233">IF(K1027="N/A", 1, 2)</f>
        <v>2</v>
      </c>
      <c r="O1027" s="379">
        <f t="shared" si="232"/>
        <v>2</v>
      </c>
      <c r="P1027" s="378" t="s">
        <v>1147</v>
      </c>
      <c r="Q1027" s="380" t="s">
        <v>1148</v>
      </c>
      <c r="R1027" s="378"/>
    </row>
    <row r="1028" spans="1:18" hidden="1" outlineLevel="1">
      <c r="A1028" s="388"/>
      <c r="B1028" s="642"/>
      <c r="C1028" s="382" t="s">
        <v>1153</v>
      </c>
      <c r="D1028" s="378">
        <v>2</v>
      </c>
      <c r="E1028" s="390"/>
      <c r="F1028" s="378">
        <v>4</v>
      </c>
      <c r="G1028" s="391"/>
      <c r="H1028" s="391"/>
      <c r="I1028" s="391"/>
      <c r="J1028" s="391"/>
      <c r="K1028" s="378">
        <v>1</v>
      </c>
      <c r="L1028" s="378"/>
      <c r="M1028" s="379">
        <f>IFERROR(MIN(MAX(0,IF(K1028="N/A",0,IF((D1028=E1028),5,5-QUOTIENT(D1028,E1028)))), MAX(0,IF(K1028="N/A",0,IF((F1028=G1028),5,5-QUOTIENT(F1028,G1028))))),0)</f>
        <v>0</v>
      </c>
      <c r="N1028" s="378">
        <f t="shared" si="233"/>
        <v>2</v>
      </c>
      <c r="O1028" s="379">
        <f t="shared" si="232"/>
        <v>2</v>
      </c>
      <c r="P1028" s="378" t="s">
        <v>1147</v>
      </c>
      <c r="Q1028" s="380" t="s">
        <v>1148</v>
      </c>
      <c r="R1028" s="378"/>
    </row>
    <row r="1029" spans="1:18" hidden="1" outlineLevel="1">
      <c r="A1029" s="392" t="s">
        <v>1166</v>
      </c>
      <c r="B1029" s="393"/>
      <c r="C1029" s="382"/>
      <c r="D1029" s="378"/>
      <c r="E1029" s="390"/>
      <c r="F1029" s="378"/>
      <c r="G1029" s="391"/>
      <c r="H1029" s="391"/>
      <c r="I1029" s="391"/>
      <c r="J1029" s="391"/>
      <c r="K1029" s="378"/>
      <c r="L1029" s="378"/>
      <c r="M1029" s="379">
        <f>IFERROR(MIN(M1030:M1033),0)</f>
        <v>0</v>
      </c>
      <c r="N1029" s="378">
        <f>N1030</f>
        <v>2</v>
      </c>
      <c r="O1029" s="379">
        <f t="shared" si="232"/>
        <v>2</v>
      </c>
      <c r="P1029" s="378" t="s">
        <v>1147</v>
      </c>
      <c r="Q1029" s="380" t="s">
        <v>1148</v>
      </c>
      <c r="R1029" s="378"/>
    </row>
    <row r="1030" spans="1:18" hidden="1" outlineLevel="1">
      <c r="A1030" s="394"/>
      <c r="B1030" s="643" t="s">
        <v>1167</v>
      </c>
      <c r="C1030" s="382" t="s">
        <v>1168</v>
      </c>
      <c r="D1030" s="387">
        <v>0.45</v>
      </c>
      <c r="E1030" s="389"/>
      <c r="F1030" s="387">
        <v>0.45</v>
      </c>
      <c r="G1030" s="387"/>
      <c r="H1030" s="387"/>
      <c r="I1030" s="387"/>
      <c r="J1030" s="387"/>
      <c r="K1030" s="378">
        <v>1</v>
      </c>
      <c r="L1030" s="378"/>
      <c r="M1030" s="379">
        <f>IFERROR(MIN(MAX(0,IF(K1030="N/A",0,IF((D1030=E1030),5,5-QUOTIENT(D1030,E1030)))), MAX(0,IF(K1030="N/A",0,IF((F1030=G1030),5,5-QUOTIENT(F1030,G1030))))),0)</f>
        <v>0</v>
      </c>
      <c r="N1030" s="378">
        <f>IF(K1030="N/A", 1, 2)</f>
        <v>2</v>
      </c>
      <c r="O1030" s="379">
        <f t="shared" si="232"/>
        <v>2</v>
      </c>
      <c r="P1030" s="378" t="s">
        <v>1147</v>
      </c>
      <c r="Q1030" s="380" t="s">
        <v>1148</v>
      </c>
      <c r="R1030" s="378"/>
    </row>
    <row r="1031" spans="1:18" hidden="1" outlineLevel="1">
      <c r="A1031" s="394"/>
      <c r="B1031" s="637"/>
      <c r="C1031" s="382" t="s">
        <v>1169</v>
      </c>
      <c r="D1031" s="387">
        <v>0.05</v>
      </c>
      <c r="E1031" s="389"/>
      <c r="F1031" s="387">
        <v>0.05</v>
      </c>
      <c r="G1031" s="387"/>
      <c r="H1031" s="387"/>
      <c r="I1031" s="387"/>
      <c r="J1031" s="387"/>
      <c r="K1031" s="378">
        <v>1</v>
      </c>
      <c r="L1031" s="378"/>
      <c r="M1031" s="379">
        <f>IFERROR(MIN(MAX(0,IF(K1031="N/A",0,IF((D1031=E1031),5,5-QUOTIENT(D1031,E1031)))), MAX(0,IF(K1031="N/A",0,IF((F1031=G1031),5,5-QUOTIENT(F1031,G1031))))),0)</f>
        <v>0</v>
      </c>
      <c r="N1031" s="378">
        <f t="shared" ref="N1031:N1033" si="234">IF(K1031="N/A", 1, 2)</f>
        <v>2</v>
      </c>
      <c r="O1031" s="379">
        <f t="shared" si="232"/>
        <v>2</v>
      </c>
      <c r="P1031" s="378" t="s">
        <v>1147</v>
      </c>
      <c r="Q1031" s="380" t="s">
        <v>1148</v>
      </c>
      <c r="R1031" s="378"/>
    </row>
    <row r="1032" spans="1:18" hidden="1" outlineLevel="1">
      <c r="A1032" s="394"/>
      <c r="B1032" s="637"/>
      <c r="C1032" s="382" t="s">
        <v>1170</v>
      </c>
      <c r="D1032" s="391">
        <v>1</v>
      </c>
      <c r="E1032" s="389"/>
      <c r="F1032" s="391">
        <v>1</v>
      </c>
      <c r="G1032" s="387"/>
      <c r="H1032" s="387"/>
      <c r="I1032" s="387"/>
      <c r="J1032" s="387"/>
      <c r="K1032" s="378">
        <v>1</v>
      </c>
      <c r="L1032" s="378"/>
      <c r="M1032" s="379">
        <f>IFERROR(MIN(MAX(0,IF(K1032="N/A",0,IF((D1032=E1032),5,5-QUOTIENT(D1032,E1032)))), MAX(0,IF(K1032="N/A",0,IF((F1032=G1032),5,5-QUOTIENT(F1032,G1032))))),0)</f>
        <v>0</v>
      </c>
      <c r="N1032" s="378">
        <f t="shared" si="234"/>
        <v>2</v>
      </c>
      <c r="O1032" s="379">
        <f t="shared" si="232"/>
        <v>2</v>
      </c>
      <c r="P1032" s="378" t="s">
        <v>1147</v>
      </c>
      <c r="Q1032" s="380" t="s">
        <v>1148</v>
      </c>
      <c r="R1032" s="378"/>
    </row>
    <row r="1033" spans="1:18" hidden="1" outlineLevel="1">
      <c r="A1033" s="394"/>
      <c r="B1033" s="638"/>
      <c r="C1033" s="382" t="s">
        <v>1171</v>
      </c>
      <c r="D1033" s="391">
        <v>10</v>
      </c>
      <c r="E1033" s="389"/>
      <c r="F1033" s="391">
        <v>10</v>
      </c>
      <c r="G1033" s="387"/>
      <c r="H1033" s="387"/>
      <c r="I1033" s="387"/>
      <c r="J1033" s="387"/>
      <c r="K1033" s="378">
        <v>1</v>
      </c>
      <c r="L1033" s="378"/>
      <c r="M1033" s="379">
        <f>IFERROR(MIN(MAX(0,IF(K1033="N/A",0,IF((D1033=E1033),5,5-QUOTIENT(D1033,E1033)))), MAX(0,IF(K1033="N/A",0,IF((F1033=G1033),5,5-QUOTIENT(F1033,G1033))))),0)</f>
        <v>0</v>
      </c>
      <c r="N1033" s="378">
        <f t="shared" si="234"/>
        <v>2</v>
      </c>
      <c r="O1033" s="379">
        <f t="shared" si="232"/>
        <v>2</v>
      </c>
      <c r="P1033" s="378" t="s">
        <v>1147</v>
      </c>
      <c r="Q1033" s="380" t="s">
        <v>1148</v>
      </c>
      <c r="R1033" s="378"/>
    </row>
    <row r="1034" spans="1:18" hidden="1" outlineLevel="1">
      <c r="A1034" s="394" t="s">
        <v>1172</v>
      </c>
      <c r="B1034" s="395"/>
      <c r="C1034" s="382"/>
      <c r="D1034" s="391"/>
      <c r="E1034" s="389"/>
      <c r="F1034" s="391"/>
      <c r="G1034" s="387"/>
      <c r="H1034" s="387"/>
      <c r="I1034" s="387"/>
      <c r="J1034" s="387"/>
      <c r="K1034" s="378"/>
      <c r="L1034" s="378"/>
      <c r="M1034" s="379">
        <f>IFERROR(MIN(M1035:M1037),0)</f>
        <v>0</v>
      </c>
      <c r="N1034" s="378">
        <f>N1035</f>
        <v>2</v>
      </c>
      <c r="O1034" s="379">
        <f t="shared" si="232"/>
        <v>2</v>
      </c>
      <c r="P1034" s="378" t="s">
        <v>1147</v>
      </c>
      <c r="Q1034" s="380" t="s">
        <v>1148</v>
      </c>
      <c r="R1034" s="378"/>
    </row>
    <row r="1035" spans="1:18" hidden="1" outlineLevel="1">
      <c r="A1035" s="394"/>
      <c r="B1035" s="636" t="s">
        <v>568</v>
      </c>
      <c r="C1035" s="382" t="s">
        <v>1168</v>
      </c>
      <c r="D1035" s="387">
        <v>0.8</v>
      </c>
      <c r="E1035" s="389"/>
      <c r="F1035" s="387">
        <v>0.8</v>
      </c>
      <c r="G1035" s="387"/>
      <c r="H1035" s="387"/>
      <c r="I1035" s="387"/>
      <c r="J1035" s="387"/>
      <c r="K1035" s="378">
        <v>1</v>
      </c>
      <c r="L1035" s="378"/>
      <c r="M1035" s="379">
        <f>IFERROR(MIN(MAX(0,IF(K1035="N/A",0,IF((D1035=E1035),5,5-QUOTIENT(D1035,E1035)))), MAX(0,IF(K1035="N/A",0,IF((F1035=G1035),5,5-QUOTIENT(F1035,G1035))))),0)</f>
        <v>0</v>
      </c>
      <c r="N1035" s="378">
        <f>IF(K1035="N/A", 1, 2)</f>
        <v>2</v>
      </c>
      <c r="O1035" s="379">
        <f t="shared" si="232"/>
        <v>2</v>
      </c>
      <c r="P1035" s="378" t="s">
        <v>1147</v>
      </c>
      <c r="Q1035" s="380" t="s">
        <v>1148</v>
      </c>
      <c r="R1035" s="378"/>
    </row>
    <row r="1036" spans="1:18" hidden="1" outlineLevel="1">
      <c r="A1036" s="394"/>
      <c r="B1036" s="637"/>
      <c r="C1036" s="382" t="s">
        <v>1170</v>
      </c>
      <c r="D1036" s="390">
        <v>0.05</v>
      </c>
      <c r="E1036" s="389"/>
      <c r="F1036" s="390">
        <v>0.05</v>
      </c>
      <c r="G1036" s="387"/>
      <c r="H1036" s="387"/>
      <c r="I1036" s="387"/>
      <c r="J1036" s="387"/>
      <c r="K1036" s="378">
        <v>1</v>
      </c>
      <c r="L1036" s="378"/>
      <c r="M1036" s="379">
        <f>IFERROR(MIN(MAX(0,IF(K1036="N/A",0,IF((D1036=E1036),5,5-QUOTIENT(D1036,E1036)))), MAX(0,IF(K1036="N/A",0,IF((F1036=G1036),5,5-QUOTIENT(F1036,G1036))))),0)</f>
        <v>0</v>
      </c>
      <c r="N1036" s="378">
        <f t="shared" ref="N1036:N1037" si="235">IF(K1036="N/A", 1, 2)</f>
        <v>2</v>
      </c>
      <c r="O1036" s="379">
        <f t="shared" si="232"/>
        <v>2</v>
      </c>
      <c r="P1036" s="378" t="s">
        <v>1147</v>
      </c>
      <c r="Q1036" s="380" t="s">
        <v>1148</v>
      </c>
      <c r="R1036" s="378"/>
    </row>
    <row r="1037" spans="1:18" hidden="1" outlineLevel="1">
      <c r="A1037" s="394"/>
      <c r="B1037" s="638"/>
      <c r="C1037" s="382" t="s">
        <v>1173</v>
      </c>
      <c r="D1037" s="391">
        <v>10</v>
      </c>
      <c r="E1037" s="389"/>
      <c r="F1037" s="391">
        <v>10</v>
      </c>
      <c r="G1037" s="387"/>
      <c r="H1037" s="387"/>
      <c r="I1037" s="387"/>
      <c r="J1037" s="387"/>
      <c r="K1037" s="378">
        <v>1</v>
      </c>
      <c r="L1037" s="378"/>
      <c r="M1037" s="379">
        <f>IFERROR(MIN(MAX(0,IF(K1037="N/A",0,IF((D1037=E1037),5,5-QUOTIENT(D1037,E1037)))), MAX(0,IF(K1037="N/A",0,IF((F1037=G1037),5,5-QUOTIENT(F1037,G1037))))),0)</f>
        <v>0</v>
      </c>
      <c r="N1037" s="378">
        <f t="shared" si="235"/>
        <v>2</v>
      </c>
      <c r="O1037" s="379">
        <f t="shared" si="232"/>
        <v>2</v>
      </c>
      <c r="P1037" s="378" t="s">
        <v>1147</v>
      </c>
      <c r="Q1037" s="380" t="s">
        <v>1148</v>
      </c>
      <c r="R1037" s="378"/>
    </row>
    <row r="1038" spans="1:18" hidden="1" outlineLevel="1">
      <c r="A1038" s="394" t="s">
        <v>1174</v>
      </c>
      <c r="B1038" s="395"/>
      <c r="C1038" s="382"/>
      <c r="D1038" s="391"/>
      <c r="E1038" s="389"/>
      <c r="F1038" s="391"/>
      <c r="G1038" s="387"/>
      <c r="H1038" s="387"/>
      <c r="I1038" s="387"/>
      <c r="J1038" s="387"/>
      <c r="K1038" s="378"/>
      <c r="L1038" s="378"/>
      <c r="M1038" s="379">
        <f>IFERROR(MIN(M1039:M1041),0)</f>
        <v>0</v>
      </c>
      <c r="N1038" s="378">
        <f>N1039</f>
        <v>2</v>
      </c>
      <c r="O1038" s="379">
        <f t="shared" si="232"/>
        <v>2</v>
      </c>
      <c r="P1038" s="378" t="s">
        <v>1147</v>
      </c>
      <c r="Q1038" s="380" t="s">
        <v>1148</v>
      </c>
      <c r="R1038" s="378"/>
    </row>
    <row r="1039" spans="1:18" hidden="1" outlineLevel="1">
      <c r="A1039" s="394"/>
      <c r="B1039" s="636" t="s">
        <v>571</v>
      </c>
      <c r="C1039" s="382" t="s">
        <v>1168</v>
      </c>
      <c r="D1039" s="387">
        <v>0.95</v>
      </c>
      <c r="E1039" s="389"/>
      <c r="F1039" s="387">
        <v>0.95</v>
      </c>
      <c r="G1039" s="387"/>
      <c r="H1039" s="387"/>
      <c r="I1039" s="387"/>
      <c r="J1039" s="387"/>
      <c r="K1039" s="378">
        <v>1</v>
      </c>
      <c r="L1039" s="378"/>
      <c r="M1039" s="379">
        <f>IFERROR(MIN(MAX(0,IF(K1039="N/A",0,IF((D1039=E1039),5,5-QUOTIENT(D1039,E1039)))), MAX(0,IF(K1039="N/A",0,IF((F1039=G1039),5,5-QUOTIENT(F1039,G1039))))),0)</f>
        <v>0</v>
      </c>
      <c r="N1039" s="378">
        <f t="shared" ref="N1039:N1041" si="236">IF(K1039="N/A", 0, 2)</f>
        <v>2</v>
      </c>
      <c r="O1039" s="379">
        <f t="shared" si="232"/>
        <v>2</v>
      </c>
      <c r="P1039" s="378" t="s">
        <v>1147</v>
      </c>
      <c r="Q1039" s="380" t="s">
        <v>1148</v>
      </c>
      <c r="R1039" s="378"/>
    </row>
    <row r="1040" spans="1:18" hidden="1" outlineLevel="1">
      <c r="A1040" s="394"/>
      <c r="B1040" s="637"/>
      <c r="C1040" s="382" t="s">
        <v>1170</v>
      </c>
      <c r="D1040" s="390">
        <v>0.01</v>
      </c>
      <c r="E1040" s="389"/>
      <c r="F1040" s="390">
        <v>0.01</v>
      </c>
      <c r="G1040" s="387"/>
      <c r="H1040" s="387"/>
      <c r="I1040" s="387"/>
      <c r="J1040" s="387"/>
      <c r="K1040" s="378">
        <v>1</v>
      </c>
      <c r="L1040" s="378"/>
      <c r="M1040" s="379">
        <f>IFERROR(MIN(MAX(0,IF(K1040="N/A",0,IF((D1040=E1040),5,5-QUOTIENT(D1040,E1040)))), MAX(0,IF(K1040="N/A",0,IF((F1040=G1040),5,5-QUOTIENT(F1040,G1040))))),0)</f>
        <v>0</v>
      </c>
      <c r="N1040" s="378">
        <f t="shared" si="236"/>
        <v>2</v>
      </c>
      <c r="O1040" s="379">
        <f t="shared" si="232"/>
        <v>2</v>
      </c>
      <c r="P1040" s="378" t="s">
        <v>1147</v>
      </c>
      <c r="Q1040" s="380" t="s">
        <v>1148</v>
      </c>
      <c r="R1040" s="378"/>
    </row>
    <row r="1041" spans="1:18" hidden="1" outlineLevel="1">
      <c r="A1041" s="394"/>
      <c r="B1041" s="638"/>
      <c r="C1041" s="382" t="s">
        <v>1173</v>
      </c>
      <c r="D1041" s="391">
        <v>6</v>
      </c>
      <c r="E1041" s="389"/>
      <c r="F1041" s="391">
        <v>6</v>
      </c>
      <c r="G1041" s="387"/>
      <c r="H1041" s="387"/>
      <c r="I1041" s="387"/>
      <c r="J1041" s="387"/>
      <c r="K1041" s="378">
        <v>1</v>
      </c>
      <c r="L1041" s="378"/>
      <c r="M1041" s="379">
        <f>IFERROR(MIN(MAX(0,IF(K1041="N/A",0,IF((D1041=E1041),5,5-QUOTIENT(D1041,E1041)))), MAX(0,IF(K1041="N/A",0,IF((F1041=G1041),5,5-QUOTIENT(F1041,G1041))))),0)</f>
        <v>0</v>
      </c>
      <c r="N1041" s="378">
        <f t="shared" si="236"/>
        <v>2</v>
      </c>
      <c r="O1041" s="379">
        <f t="shared" si="232"/>
        <v>2</v>
      </c>
      <c r="P1041" s="378" t="s">
        <v>1147</v>
      </c>
      <c r="Q1041" s="380" t="s">
        <v>1148</v>
      </c>
      <c r="R1041" s="378"/>
    </row>
    <row r="1042" spans="1:18" hidden="1" outlineLevel="1">
      <c r="A1042" s="394" t="s">
        <v>1175</v>
      </c>
      <c r="B1042" s="396"/>
      <c r="C1042" s="382"/>
      <c r="D1042" s="391"/>
      <c r="E1042" s="389"/>
      <c r="F1042" s="391"/>
      <c r="G1042" s="387"/>
      <c r="H1042" s="387"/>
      <c r="I1042" s="387"/>
      <c r="J1042" s="387"/>
      <c r="K1042" s="378"/>
      <c r="L1042" s="378"/>
      <c r="M1042" s="379">
        <f>IFERROR(MIN(M1043:M1052),0)</f>
        <v>0</v>
      </c>
      <c r="N1042" s="378">
        <f>N1043</f>
        <v>2</v>
      </c>
      <c r="O1042" s="379">
        <f t="shared" si="232"/>
        <v>2</v>
      </c>
      <c r="P1042" s="378" t="s">
        <v>1147</v>
      </c>
      <c r="Q1042" s="380" t="s">
        <v>1148</v>
      </c>
      <c r="R1042" s="378"/>
    </row>
    <row r="1043" spans="1:18" hidden="1" outlineLevel="1">
      <c r="A1043" s="394"/>
      <c r="B1043" s="397" t="s">
        <v>1149</v>
      </c>
      <c r="C1043" s="382" t="s">
        <v>1150</v>
      </c>
      <c r="D1043" s="387">
        <v>0.99</v>
      </c>
      <c r="E1043" s="389"/>
      <c r="F1043" s="398">
        <v>0.99</v>
      </c>
      <c r="G1043" s="387"/>
      <c r="H1043" s="387"/>
      <c r="I1043" s="387"/>
      <c r="J1043" s="387"/>
      <c r="K1043" s="378">
        <v>1</v>
      </c>
      <c r="L1043" s="378"/>
      <c r="M1043" s="379">
        <f t="shared" ref="M1043:M1052" si="237">IFERROR(MIN(MAX(0,IF(K1043="N/A",0,IF((D1043=E1043),5,5-QUOTIENT(D1043,E1043)))), MAX(0,IF(K1043="N/A",0,IF((F1043=G1043),5,5-QUOTIENT(F1043,G1043))))),0)</f>
        <v>0</v>
      </c>
      <c r="N1043" s="378">
        <f>IF(K1043="N/A", 1, 2)</f>
        <v>2</v>
      </c>
      <c r="O1043" s="379">
        <f t="shared" si="232"/>
        <v>2</v>
      </c>
      <c r="P1043" s="378" t="s">
        <v>1147</v>
      </c>
      <c r="Q1043" s="380" t="s">
        <v>1148</v>
      </c>
      <c r="R1043" s="378"/>
    </row>
    <row r="1044" spans="1:18" hidden="1" outlineLevel="1">
      <c r="A1044" s="394"/>
      <c r="B1044" s="636" t="s">
        <v>1176</v>
      </c>
      <c r="C1044" s="382" t="s">
        <v>1177</v>
      </c>
      <c r="D1044" s="387">
        <v>0.98</v>
      </c>
      <c r="E1044" s="389"/>
      <c r="F1044" s="398">
        <v>0.95</v>
      </c>
      <c r="G1044" s="387"/>
      <c r="H1044" s="387"/>
      <c r="I1044" s="387"/>
      <c r="J1044" s="387"/>
      <c r="K1044" s="378">
        <v>1</v>
      </c>
      <c r="L1044" s="378"/>
      <c r="M1044" s="379">
        <f t="shared" si="237"/>
        <v>0</v>
      </c>
      <c r="N1044" s="378">
        <f t="shared" ref="N1044:N1052" si="238">IF(K1044="N/A", 1, 2)</f>
        <v>2</v>
      </c>
      <c r="O1044" s="379">
        <f t="shared" si="232"/>
        <v>2</v>
      </c>
      <c r="P1044" s="378" t="s">
        <v>1147</v>
      </c>
      <c r="Q1044" s="380" t="s">
        <v>1148</v>
      </c>
      <c r="R1044" s="378"/>
    </row>
    <row r="1045" spans="1:18" hidden="1" outlineLevel="1">
      <c r="A1045" s="394"/>
      <c r="B1045" s="638"/>
      <c r="C1045" s="382" t="s">
        <v>1178</v>
      </c>
      <c r="D1045" s="387">
        <v>0.95</v>
      </c>
      <c r="E1045" s="399"/>
      <c r="F1045" s="398">
        <v>0.9</v>
      </c>
      <c r="G1045" s="387"/>
      <c r="H1045" s="387"/>
      <c r="I1045" s="387"/>
      <c r="J1045" s="387"/>
      <c r="K1045" s="378">
        <v>1</v>
      </c>
      <c r="L1045" s="378"/>
      <c r="M1045" s="379">
        <f t="shared" si="237"/>
        <v>0</v>
      </c>
      <c r="N1045" s="378">
        <f t="shared" si="238"/>
        <v>2</v>
      </c>
      <c r="O1045" s="379">
        <f t="shared" si="232"/>
        <v>2</v>
      </c>
      <c r="P1045" s="378" t="s">
        <v>1147</v>
      </c>
      <c r="Q1045" s="380" t="s">
        <v>1148</v>
      </c>
      <c r="R1045" s="378"/>
    </row>
    <row r="1046" spans="1:18" hidden="1" outlineLevel="1">
      <c r="A1046" s="394"/>
      <c r="B1046" s="636" t="s">
        <v>1179</v>
      </c>
      <c r="C1046" s="382" t="s">
        <v>1177</v>
      </c>
      <c r="D1046" s="387">
        <v>0.95</v>
      </c>
      <c r="E1046" s="399"/>
      <c r="F1046" s="387">
        <v>0.95</v>
      </c>
      <c r="G1046" s="387"/>
      <c r="H1046" s="387"/>
      <c r="I1046" s="387"/>
      <c r="J1046" s="387"/>
      <c r="K1046" s="378">
        <v>1</v>
      </c>
      <c r="L1046" s="378"/>
      <c r="M1046" s="379">
        <f t="shared" si="237"/>
        <v>0</v>
      </c>
      <c r="N1046" s="378">
        <f t="shared" si="238"/>
        <v>2</v>
      </c>
      <c r="O1046" s="379">
        <f t="shared" si="232"/>
        <v>2</v>
      </c>
      <c r="P1046" s="378" t="s">
        <v>1147</v>
      </c>
      <c r="Q1046" s="380" t="s">
        <v>1148</v>
      </c>
      <c r="R1046" s="378"/>
    </row>
    <row r="1047" spans="1:18" hidden="1" outlineLevel="1">
      <c r="A1047" s="394"/>
      <c r="B1047" s="637"/>
      <c r="C1047" s="382" t="s">
        <v>1180</v>
      </c>
      <c r="D1047" s="387">
        <v>0.85</v>
      </c>
      <c r="E1047" s="399"/>
      <c r="F1047" s="387">
        <v>0.85</v>
      </c>
      <c r="G1047" s="387"/>
      <c r="H1047" s="387"/>
      <c r="I1047" s="387"/>
      <c r="J1047" s="387"/>
      <c r="K1047" s="378">
        <v>1</v>
      </c>
      <c r="L1047" s="378"/>
      <c r="M1047" s="379">
        <f t="shared" si="237"/>
        <v>0</v>
      </c>
      <c r="N1047" s="378">
        <f t="shared" si="238"/>
        <v>2</v>
      </c>
      <c r="O1047" s="379">
        <f t="shared" si="232"/>
        <v>2</v>
      </c>
      <c r="P1047" s="378" t="s">
        <v>1147</v>
      </c>
      <c r="Q1047" s="380" t="s">
        <v>1148</v>
      </c>
      <c r="R1047" s="378"/>
    </row>
    <row r="1048" spans="1:18" hidden="1" outlineLevel="1">
      <c r="A1048" s="394"/>
      <c r="B1048" s="637"/>
      <c r="C1048" s="382" t="s">
        <v>1181</v>
      </c>
      <c r="D1048" s="387">
        <v>0.9</v>
      </c>
      <c r="E1048" s="399"/>
      <c r="F1048" s="387">
        <v>0.9</v>
      </c>
      <c r="G1048" s="387"/>
      <c r="H1048" s="387"/>
      <c r="I1048" s="387"/>
      <c r="J1048" s="387"/>
      <c r="K1048" s="378">
        <v>1</v>
      </c>
      <c r="L1048" s="378"/>
      <c r="M1048" s="379">
        <f t="shared" si="237"/>
        <v>0</v>
      </c>
      <c r="N1048" s="378">
        <f t="shared" si="238"/>
        <v>2</v>
      </c>
      <c r="O1048" s="379">
        <f t="shared" si="232"/>
        <v>2</v>
      </c>
      <c r="P1048" s="378" t="s">
        <v>1147</v>
      </c>
      <c r="Q1048" s="380" t="s">
        <v>1148</v>
      </c>
      <c r="R1048" s="378"/>
    </row>
    <row r="1049" spans="1:18" hidden="1" outlineLevel="1">
      <c r="A1049" s="394"/>
      <c r="B1049" s="637"/>
      <c r="C1049" s="382" t="s">
        <v>1182</v>
      </c>
      <c r="D1049" s="387">
        <v>0.9</v>
      </c>
      <c r="E1049" s="399"/>
      <c r="F1049" s="387">
        <v>0.9</v>
      </c>
      <c r="G1049" s="387"/>
      <c r="H1049" s="387"/>
      <c r="I1049" s="387"/>
      <c r="J1049" s="387"/>
      <c r="K1049" s="378">
        <v>1</v>
      </c>
      <c r="L1049" s="378"/>
      <c r="M1049" s="379">
        <f t="shared" si="237"/>
        <v>0</v>
      </c>
      <c r="N1049" s="378">
        <f t="shared" si="238"/>
        <v>2</v>
      </c>
      <c r="O1049" s="379">
        <f t="shared" si="232"/>
        <v>2</v>
      </c>
      <c r="P1049" s="378" t="s">
        <v>1147</v>
      </c>
      <c r="Q1049" s="380" t="s">
        <v>1148</v>
      </c>
      <c r="R1049" s="378"/>
    </row>
    <row r="1050" spans="1:18" hidden="1" outlineLevel="1">
      <c r="A1050" s="394"/>
      <c r="B1050" s="637"/>
      <c r="C1050" s="382" t="s">
        <v>1183</v>
      </c>
      <c r="D1050" s="387">
        <v>0.9</v>
      </c>
      <c r="E1050" s="399"/>
      <c r="F1050" s="387">
        <v>0.9</v>
      </c>
      <c r="G1050" s="387"/>
      <c r="H1050" s="387"/>
      <c r="I1050" s="387"/>
      <c r="J1050" s="387"/>
      <c r="K1050" s="378">
        <v>1</v>
      </c>
      <c r="L1050" s="378"/>
      <c r="M1050" s="379">
        <f t="shared" si="237"/>
        <v>0</v>
      </c>
      <c r="N1050" s="378">
        <f t="shared" si="238"/>
        <v>2</v>
      </c>
      <c r="O1050" s="379">
        <f t="shared" si="232"/>
        <v>2</v>
      </c>
      <c r="P1050" s="378" t="s">
        <v>1147</v>
      </c>
      <c r="Q1050" s="380" t="s">
        <v>1148</v>
      </c>
      <c r="R1050" s="378"/>
    </row>
    <row r="1051" spans="1:18" hidden="1" outlineLevel="1">
      <c r="A1051" s="394"/>
      <c r="B1051" s="637"/>
      <c r="C1051" s="382" t="s">
        <v>1178</v>
      </c>
      <c r="D1051" s="387">
        <v>0.9</v>
      </c>
      <c r="E1051" s="399"/>
      <c r="F1051" s="387">
        <v>0.9</v>
      </c>
      <c r="G1051" s="387"/>
      <c r="H1051" s="387"/>
      <c r="I1051" s="387"/>
      <c r="J1051" s="387"/>
      <c r="K1051" s="378">
        <v>1</v>
      </c>
      <c r="L1051" s="378"/>
      <c r="M1051" s="379">
        <f t="shared" si="237"/>
        <v>0</v>
      </c>
      <c r="N1051" s="378">
        <f t="shared" si="238"/>
        <v>2</v>
      </c>
      <c r="O1051" s="379">
        <f t="shared" si="232"/>
        <v>2</v>
      </c>
      <c r="P1051" s="378" t="s">
        <v>1147</v>
      </c>
      <c r="Q1051" s="380" t="s">
        <v>1148</v>
      </c>
      <c r="R1051" s="378"/>
    </row>
    <row r="1052" spans="1:18" hidden="1" outlineLevel="1">
      <c r="A1052" s="394"/>
      <c r="B1052" s="638"/>
      <c r="C1052" s="382" t="s">
        <v>1184</v>
      </c>
      <c r="D1052" s="387">
        <v>0.85</v>
      </c>
      <c r="E1052" s="399"/>
      <c r="F1052" s="387">
        <v>0.85</v>
      </c>
      <c r="G1052" s="387"/>
      <c r="H1052" s="387"/>
      <c r="I1052" s="387"/>
      <c r="J1052" s="387"/>
      <c r="K1052" s="378">
        <v>1</v>
      </c>
      <c r="L1052" s="378"/>
      <c r="M1052" s="379">
        <f t="shared" si="237"/>
        <v>0</v>
      </c>
      <c r="N1052" s="378">
        <f t="shared" si="238"/>
        <v>2</v>
      </c>
      <c r="O1052" s="379">
        <f t="shared" si="232"/>
        <v>2</v>
      </c>
      <c r="P1052" s="378" t="s">
        <v>1147</v>
      </c>
      <c r="Q1052" s="380" t="s">
        <v>1148</v>
      </c>
      <c r="R1052" s="378"/>
    </row>
    <row r="1053" spans="1:18" hidden="1" outlineLevel="1">
      <c r="A1053" s="394" t="s">
        <v>1185</v>
      </c>
      <c r="B1053" s="395"/>
      <c r="C1053" s="382"/>
      <c r="D1053" s="387"/>
      <c r="E1053" s="399"/>
      <c r="F1053" s="387"/>
      <c r="G1053" s="387"/>
      <c r="H1053" s="387"/>
      <c r="I1053" s="387"/>
      <c r="J1053" s="387"/>
      <c r="K1053" s="378"/>
      <c r="L1053" s="378"/>
      <c r="M1053" s="379">
        <f>IFERROR(MIN(M1054:M1057),0)</f>
        <v>0</v>
      </c>
      <c r="N1053" s="378">
        <f>N1054</f>
        <v>2</v>
      </c>
      <c r="O1053" s="379">
        <f>MAX(M1053:N1053)</f>
        <v>2</v>
      </c>
      <c r="P1053" s="378" t="s">
        <v>1147</v>
      </c>
      <c r="Q1053" s="380" t="s">
        <v>1148</v>
      </c>
      <c r="R1053" s="378"/>
    </row>
    <row r="1054" spans="1:18" hidden="1" outlineLevel="1">
      <c r="A1054" s="394"/>
      <c r="B1054" s="636" t="s">
        <v>1186</v>
      </c>
      <c r="C1054" s="382" t="s">
        <v>1187</v>
      </c>
      <c r="D1054" s="387">
        <v>0.95</v>
      </c>
      <c r="E1054" s="389"/>
      <c r="F1054" s="398">
        <v>0.45</v>
      </c>
      <c r="G1054" s="387"/>
      <c r="H1054" s="387"/>
      <c r="I1054" s="387"/>
      <c r="J1054" s="387"/>
      <c r="K1054" s="378">
        <v>1</v>
      </c>
      <c r="L1054" s="378"/>
      <c r="M1054" s="379">
        <f>IFERROR(MIN(MAX(0,IF(K1054="N/A",0,IF((D1054=E1054),5,5-QUOTIENT(D1054,E1054)))), MAX(0,IF(K1054="N/A",0,IF((F1054=G1054),5,5-QUOTIENT(F1054,G1054))))),0)</f>
        <v>0</v>
      </c>
      <c r="N1054" s="378">
        <f>IF(K1054="N/A", 1, 2)</f>
        <v>2</v>
      </c>
      <c r="O1054" s="379">
        <f t="shared" ref="O1054:O1080" si="239">MAX(M1054:N1054)</f>
        <v>2</v>
      </c>
      <c r="P1054" s="378" t="s">
        <v>1147</v>
      </c>
      <c r="Q1054" s="380" t="s">
        <v>1148</v>
      </c>
      <c r="R1054" s="378"/>
    </row>
    <row r="1055" spans="1:18" hidden="1" outlineLevel="1">
      <c r="A1055" s="394"/>
      <c r="B1055" s="637"/>
      <c r="C1055" s="382" t="s">
        <v>1188</v>
      </c>
      <c r="D1055" s="387">
        <v>0.9</v>
      </c>
      <c r="E1055" s="389"/>
      <c r="F1055" s="398">
        <v>0.4</v>
      </c>
      <c r="G1055" s="387"/>
      <c r="H1055" s="387"/>
      <c r="I1055" s="387"/>
      <c r="J1055" s="387"/>
      <c r="K1055" s="378">
        <v>1</v>
      </c>
      <c r="L1055" s="378"/>
      <c r="M1055" s="379">
        <f>IFERROR(MIN(MAX(0,IF(K1055="N/A",0,IF((D1055=E1055),5,5-QUOTIENT(D1055,E1055)))), MAX(0,IF(K1055="N/A",0,IF((F1055=G1055),5,5-QUOTIENT(F1055,G1055))))),0)</f>
        <v>0</v>
      </c>
      <c r="N1055" s="378">
        <f t="shared" ref="N1055:N1057" si="240">IF(K1055="N/A", 1, 2)</f>
        <v>2</v>
      </c>
      <c r="O1055" s="379">
        <f t="shared" si="239"/>
        <v>2</v>
      </c>
      <c r="P1055" s="378" t="s">
        <v>1147</v>
      </c>
      <c r="Q1055" s="380" t="s">
        <v>1148</v>
      </c>
      <c r="R1055" s="378"/>
    </row>
    <row r="1056" spans="1:18" hidden="1" outlineLevel="1">
      <c r="A1056" s="394"/>
      <c r="B1056" s="637"/>
      <c r="C1056" s="382" t="s">
        <v>1170</v>
      </c>
      <c r="D1056" s="390">
        <v>0.05</v>
      </c>
      <c r="E1056" s="389"/>
      <c r="F1056" s="390">
        <v>0.05</v>
      </c>
      <c r="G1056" s="387"/>
      <c r="H1056" s="387"/>
      <c r="I1056" s="387"/>
      <c r="J1056" s="387"/>
      <c r="K1056" s="378">
        <v>1</v>
      </c>
      <c r="L1056" s="378"/>
      <c r="M1056" s="379">
        <f>IFERROR(MIN(MAX(0,IF(K1056="N/A",0,IF((D1056=E1056),5,5-QUOTIENT(D1056,E1056)))), MAX(0,IF(K1056="N/A",0,IF((F1056=G1056),5,5-QUOTIENT(F1056,G1056))))),0)</f>
        <v>0</v>
      </c>
      <c r="N1056" s="378">
        <f t="shared" si="240"/>
        <v>2</v>
      </c>
      <c r="O1056" s="379">
        <f t="shared" si="239"/>
        <v>2</v>
      </c>
      <c r="P1056" s="378" t="s">
        <v>1147</v>
      </c>
      <c r="Q1056" s="380" t="s">
        <v>1148</v>
      </c>
      <c r="R1056" s="378"/>
    </row>
    <row r="1057" spans="1:18" hidden="1" outlineLevel="1">
      <c r="A1057" s="394"/>
      <c r="B1057" s="638"/>
      <c r="C1057" s="382" t="s">
        <v>1189</v>
      </c>
      <c r="D1057" s="391">
        <v>100</v>
      </c>
      <c r="E1057" s="389"/>
      <c r="F1057" s="391">
        <v>100</v>
      </c>
      <c r="G1057" s="387"/>
      <c r="H1057" s="387"/>
      <c r="I1057" s="387"/>
      <c r="J1057" s="387"/>
      <c r="K1057" s="378">
        <v>1</v>
      </c>
      <c r="L1057" s="378"/>
      <c r="M1057" s="379">
        <f>IFERROR(MIN(MAX(0,IF(K1057="N/A",0,IF((D1057=E1057),5,5-QUOTIENT(D1057,E1057)))), MAX(0,IF(K1057="N/A",0,IF((F1057=G1057),5,5-QUOTIENT(F1057,G1057))))),0)</f>
        <v>0</v>
      </c>
      <c r="N1057" s="378">
        <f t="shared" si="240"/>
        <v>2</v>
      </c>
      <c r="O1057" s="379">
        <f t="shared" si="239"/>
        <v>2</v>
      </c>
      <c r="P1057" s="378" t="s">
        <v>1147</v>
      </c>
      <c r="Q1057" s="380" t="s">
        <v>1148</v>
      </c>
      <c r="R1057" s="378"/>
    </row>
    <row r="1058" spans="1:18" hidden="1" outlineLevel="1">
      <c r="A1058" s="394" t="s">
        <v>1190</v>
      </c>
      <c r="B1058" s="396"/>
      <c r="C1058" s="382"/>
      <c r="D1058" s="391"/>
      <c r="E1058" s="389"/>
      <c r="F1058" s="391"/>
      <c r="G1058" s="387"/>
      <c r="H1058" s="387"/>
      <c r="I1058" s="387"/>
      <c r="J1058" s="387"/>
      <c r="K1058" s="378"/>
      <c r="L1058" s="378"/>
      <c r="M1058" s="379">
        <f>IFERROR(MIN(M1059:M1062),0)</f>
        <v>0</v>
      </c>
      <c r="N1058" s="378">
        <f>N1059</f>
        <v>2</v>
      </c>
      <c r="O1058" s="379">
        <f t="shared" si="239"/>
        <v>2</v>
      </c>
      <c r="P1058" s="378" t="s">
        <v>1147</v>
      </c>
      <c r="Q1058" s="380" t="s">
        <v>1148</v>
      </c>
      <c r="R1058" s="378"/>
    </row>
    <row r="1059" spans="1:18" hidden="1" outlineLevel="1">
      <c r="A1059" s="394"/>
      <c r="B1059" s="397" t="s">
        <v>752</v>
      </c>
      <c r="C1059" s="382" t="s">
        <v>1191</v>
      </c>
      <c r="D1059" s="387">
        <v>0.85</v>
      </c>
      <c r="E1059" s="389"/>
      <c r="F1059" s="398">
        <v>0.85</v>
      </c>
      <c r="G1059" s="387"/>
      <c r="H1059" s="387"/>
      <c r="I1059" s="387"/>
      <c r="J1059" s="387"/>
      <c r="K1059" s="378">
        <v>1</v>
      </c>
      <c r="L1059" s="378"/>
      <c r="M1059" s="379">
        <f>IFERROR(MIN(MAX(0,IF(K1059="N/A",0,IF((D1059=E1059),5,5-QUOTIENT(D1059,E1059)))), MAX(0,IF(K1059="N/A",0,IF((F1059=G1059),5,5-QUOTIENT(F1059,G1059))))),0)</f>
        <v>0</v>
      </c>
      <c r="N1059" s="378">
        <f>IF(K1059="N/A", 1, 2)</f>
        <v>2</v>
      </c>
      <c r="O1059" s="379">
        <f t="shared" si="239"/>
        <v>2</v>
      </c>
      <c r="P1059" s="378" t="s">
        <v>1147</v>
      </c>
      <c r="Q1059" s="380" t="s">
        <v>1148</v>
      </c>
      <c r="R1059" s="378"/>
    </row>
    <row r="1060" spans="1:18" hidden="1" outlineLevel="1">
      <c r="A1060" s="394"/>
      <c r="B1060" s="397" t="s">
        <v>752</v>
      </c>
      <c r="C1060" s="400" t="s">
        <v>1170</v>
      </c>
      <c r="D1060" s="401">
        <v>1</v>
      </c>
      <c r="E1060" s="389"/>
      <c r="F1060" s="401">
        <v>1</v>
      </c>
      <c r="G1060" s="387"/>
      <c r="H1060" s="387"/>
      <c r="I1060" s="387"/>
      <c r="J1060" s="387"/>
      <c r="K1060" s="378">
        <v>1</v>
      </c>
      <c r="L1060" s="378"/>
      <c r="M1060" s="379">
        <f>IFERROR(MIN(MAX(0,IF(K1060="N/A",0,IF((D1060=E1060),5,5-QUOTIENT(D1060,E1060)))), MAX(0,IF(K1060="N/A",0,IF((F1060=G1060),5,5-QUOTIENT(F1060,G1060))))),0)</f>
        <v>0</v>
      </c>
      <c r="N1060" s="378">
        <f t="shared" ref="N1060:N1062" si="241">IF(K1060="N/A", 1, 2)</f>
        <v>2</v>
      </c>
      <c r="O1060" s="379">
        <f t="shared" si="239"/>
        <v>2</v>
      </c>
      <c r="P1060" s="378" t="s">
        <v>1147</v>
      </c>
      <c r="Q1060" s="380" t="s">
        <v>1148</v>
      </c>
      <c r="R1060" s="378"/>
    </row>
    <row r="1061" spans="1:18" hidden="1" outlineLevel="1">
      <c r="A1061" s="394"/>
      <c r="B1061" s="402" t="s">
        <v>1192</v>
      </c>
      <c r="C1061" s="400" t="s">
        <v>1193</v>
      </c>
      <c r="D1061" s="403">
        <v>0.999</v>
      </c>
      <c r="E1061" s="389"/>
      <c r="F1061" s="403">
        <v>0.999</v>
      </c>
      <c r="G1061" s="387"/>
      <c r="H1061" s="387"/>
      <c r="I1061" s="387"/>
      <c r="J1061" s="387"/>
      <c r="K1061" s="378">
        <v>1</v>
      </c>
      <c r="L1061" s="378"/>
      <c r="M1061" s="379">
        <f>IFERROR(MIN(MAX(0,IF(K1061="N/A",0,IF((D1061=E1061),5,5-QUOTIENT(D1061,E1061)))), MAX(0,IF(K1061="N/A",0,IF((F1061=G1061),5,5-QUOTIENT(F1061,G1061))))),0)</f>
        <v>0</v>
      </c>
      <c r="N1061" s="378">
        <f t="shared" si="241"/>
        <v>2</v>
      </c>
      <c r="O1061" s="379">
        <f t="shared" si="239"/>
        <v>2</v>
      </c>
      <c r="P1061" s="378" t="s">
        <v>1147</v>
      </c>
      <c r="Q1061" s="380" t="s">
        <v>1148</v>
      </c>
      <c r="R1061" s="378"/>
    </row>
    <row r="1062" spans="1:18" hidden="1" outlineLevel="1">
      <c r="A1062" s="394"/>
      <c r="B1062" s="402" t="s">
        <v>1192</v>
      </c>
      <c r="C1062" s="400" t="s">
        <v>1194</v>
      </c>
      <c r="D1062" s="403">
        <v>0.999</v>
      </c>
      <c r="E1062" s="389"/>
      <c r="F1062" s="403">
        <v>0.999</v>
      </c>
      <c r="G1062" s="387"/>
      <c r="H1062" s="387"/>
      <c r="I1062" s="387"/>
      <c r="J1062" s="387"/>
      <c r="K1062" s="378">
        <v>1</v>
      </c>
      <c r="L1062" s="378"/>
      <c r="M1062" s="379">
        <f>IFERROR(MIN(MAX(0,IF(K1062="N/A",0,IF((D1062=E1062),5,5-QUOTIENT(D1062,E1062)))), MAX(0,IF(K1062="N/A",0,IF((F1062=G1062),5,5-QUOTIENT(F1062,G1062))))),0)</f>
        <v>0</v>
      </c>
      <c r="N1062" s="378">
        <f t="shared" si="241"/>
        <v>2</v>
      </c>
      <c r="O1062" s="379">
        <f t="shared" si="239"/>
        <v>2</v>
      </c>
      <c r="P1062" s="378" t="s">
        <v>1147</v>
      </c>
      <c r="Q1062" s="380" t="s">
        <v>1148</v>
      </c>
      <c r="R1062" s="378"/>
    </row>
    <row r="1063" spans="1:18" hidden="1" outlineLevel="1">
      <c r="A1063" s="404" t="s">
        <v>1195</v>
      </c>
      <c r="B1063" s="405"/>
      <c r="C1063" s="400"/>
      <c r="D1063" s="403"/>
      <c r="E1063" s="389"/>
      <c r="F1063" s="403"/>
      <c r="G1063" s="387"/>
      <c r="H1063" s="387"/>
      <c r="I1063" s="387"/>
      <c r="J1063" s="387"/>
      <c r="K1063" s="378"/>
      <c r="L1063" s="378"/>
      <c r="M1063" s="379">
        <f>IFERROR(MIN(M1064:M1075),0)</f>
        <v>0</v>
      </c>
      <c r="N1063" s="378">
        <f>N1066</f>
        <v>2</v>
      </c>
      <c r="O1063" s="379">
        <f t="shared" si="239"/>
        <v>2</v>
      </c>
      <c r="P1063" s="378" t="s">
        <v>1147</v>
      </c>
      <c r="Q1063" s="380" t="s">
        <v>1148</v>
      </c>
      <c r="R1063" s="378"/>
    </row>
    <row r="1064" spans="1:18" hidden="1" outlineLevel="1">
      <c r="A1064" s="406"/>
      <c r="B1064" s="639" t="s">
        <v>1196</v>
      </c>
      <c r="C1064" s="382" t="s">
        <v>1197</v>
      </c>
      <c r="D1064" s="387">
        <v>0.99</v>
      </c>
      <c r="E1064" s="389"/>
      <c r="F1064" s="398">
        <v>0.95</v>
      </c>
      <c r="G1064" s="387"/>
      <c r="H1064" s="387"/>
      <c r="I1064" s="387"/>
      <c r="J1064" s="387"/>
      <c r="K1064" s="378">
        <v>1</v>
      </c>
      <c r="L1064" s="378"/>
      <c r="M1064" s="379">
        <f t="shared" ref="M1064:M1075" si="242">IFERROR(MIN(MAX(0,IF(K1064="N/A",0,IF((D1064=E1064),5,5-QUOTIENT(D1064,E1064)))), MAX(0,IF(K1064="N/A",0,IF((F1064=G1064),5,5-QUOTIENT(F1064,G1064))))),0)</f>
        <v>0</v>
      </c>
      <c r="N1064" s="378">
        <f>IF(K1064="N/A", 1, 2)</f>
        <v>2</v>
      </c>
      <c r="O1064" s="379">
        <f t="shared" si="239"/>
        <v>2</v>
      </c>
      <c r="P1064" s="378" t="s">
        <v>1147</v>
      </c>
      <c r="Q1064" s="380" t="s">
        <v>1148</v>
      </c>
      <c r="R1064" s="378"/>
    </row>
    <row r="1065" spans="1:18" hidden="1" outlineLevel="1">
      <c r="A1065" s="406"/>
      <c r="B1065" s="640"/>
      <c r="C1065" s="382" t="s">
        <v>1198</v>
      </c>
      <c r="D1065" s="387">
        <v>0.85</v>
      </c>
      <c r="E1065" s="389"/>
      <c r="F1065" s="398">
        <v>0.8</v>
      </c>
      <c r="G1065" s="387"/>
      <c r="H1065" s="387"/>
      <c r="I1065" s="387"/>
      <c r="J1065" s="387"/>
      <c r="K1065" s="378">
        <v>1</v>
      </c>
      <c r="L1065" s="378"/>
      <c r="M1065" s="379">
        <f t="shared" si="242"/>
        <v>0</v>
      </c>
      <c r="N1065" s="378">
        <f t="shared" ref="N1065:N1066" si="243">IF(K1065="N/A", 1, 2)</f>
        <v>2</v>
      </c>
      <c r="O1065" s="379">
        <f t="shared" si="239"/>
        <v>2</v>
      </c>
      <c r="P1065" s="378" t="s">
        <v>1147</v>
      </c>
      <c r="Q1065" s="380" t="s">
        <v>1148</v>
      </c>
      <c r="R1065" s="378"/>
    </row>
    <row r="1066" spans="1:18" ht="15" hidden="1" customHeight="1" outlineLevel="1">
      <c r="A1066" s="406"/>
      <c r="B1066" s="641"/>
      <c r="C1066" s="382" t="s">
        <v>1193</v>
      </c>
      <c r="D1066" s="387">
        <v>0.99</v>
      </c>
      <c r="E1066" s="389"/>
      <c r="F1066" s="398">
        <v>0.95</v>
      </c>
      <c r="G1066" s="387"/>
      <c r="H1066" s="387"/>
      <c r="I1066" s="387"/>
      <c r="J1066" s="387"/>
      <c r="K1066" s="378">
        <v>1</v>
      </c>
      <c r="L1066" s="378"/>
      <c r="M1066" s="379">
        <f t="shared" si="242"/>
        <v>0</v>
      </c>
      <c r="N1066" s="378">
        <f t="shared" si="243"/>
        <v>2</v>
      </c>
      <c r="O1066" s="379">
        <f t="shared" si="239"/>
        <v>2</v>
      </c>
      <c r="P1066" s="378" t="s">
        <v>1147</v>
      </c>
      <c r="Q1066" s="380" t="s">
        <v>1148</v>
      </c>
      <c r="R1066" s="378"/>
    </row>
    <row r="1067" spans="1:18" hidden="1" outlineLevel="1">
      <c r="A1067" s="406"/>
      <c r="B1067" s="639" t="s">
        <v>1199</v>
      </c>
      <c r="C1067" s="382" t="s">
        <v>1197</v>
      </c>
      <c r="D1067" s="387">
        <v>0.99</v>
      </c>
      <c r="E1067" s="389"/>
      <c r="F1067" s="398">
        <v>0.95</v>
      </c>
      <c r="G1067" s="387"/>
      <c r="H1067" s="387"/>
      <c r="I1067" s="387"/>
      <c r="J1067" s="387"/>
      <c r="K1067" s="378" t="s">
        <v>549</v>
      </c>
      <c r="L1067" s="378"/>
      <c r="M1067" s="379">
        <f t="shared" si="242"/>
        <v>0</v>
      </c>
      <c r="N1067" s="378">
        <f>IF(K1067="N/A", 1, 2)</f>
        <v>1</v>
      </c>
      <c r="O1067" s="379">
        <f t="shared" si="239"/>
        <v>1</v>
      </c>
      <c r="P1067" s="378" t="s">
        <v>1147</v>
      </c>
      <c r="Q1067" s="380" t="s">
        <v>1148</v>
      </c>
      <c r="R1067" s="378"/>
    </row>
    <row r="1068" spans="1:18" hidden="1" outlineLevel="1">
      <c r="A1068" s="406"/>
      <c r="B1068" s="640"/>
      <c r="C1068" s="382" t="s">
        <v>1198</v>
      </c>
      <c r="D1068" s="387">
        <v>0.85</v>
      </c>
      <c r="E1068" s="389"/>
      <c r="F1068" s="398">
        <v>0.8</v>
      </c>
      <c r="G1068" s="387"/>
      <c r="H1068" s="387"/>
      <c r="I1068" s="387"/>
      <c r="J1068" s="387"/>
      <c r="K1068" s="378" t="s">
        <v>549</v>
      </c>
      <c r="L1068" s="378"/>
      <c r="M1068" s="379">
        <f t="shared" si="242"/>
        <v>0</v>
      </c>
      <c r="N1068" s="378">
        <f t="shared" ref="N1068:N1075" si="244">IF(K1068="N/A", 1, 2)</f>
        <v>1</v>
      </c>
      <c r="O1068" s="379">
        <f t="shared" si="239"/>
        <v>1</v>
      </c>
      <c r="P1068" s="378" t="s">
        <v>1147</v>
      </c>
      <c r="Q1068" s="380" t="s">
        <v>1148</v>
      </c>
      <c r="R1068" s="378"/>
    </row>
    <row r="1069" spans="1:18" hidden="1" outlineLevel="1">
      <c r="A1069" s="406"/>
      <c r="B1069" s="641"/>
      <c r="C1069" s="382" t="s">
        <v>1193</v>
      </c>
      <c r="D1069" s="387">
        <v>0.99</v>
      </c>
      <c r="E1069" s="389"/>
      <c r="F1069" s="398">
        <v>0.95</v>
      </c>
      <c r="G1069" s="387"/>
      <c r="H1069" s="387"/>
      <c r="I1069" s="387"/>
      <c r="J1069" s="387"/>
      <c r="K1069" s="378" t="s">
        <v>549</v>
      </c>
      <c r="L1069" s="378"/>
      <c r="M1069" s="379">
        <f t="shared" si="242"/>
        <v>0</v>
      </c>
      <c r="N1069" s="378">
        <f t="shared" si="244"/>
        <v>1</v>
      </c>
      <c r="O1069" s="379">
        <f t="shared" si="239"/>
        <v>1</v>
      </c>
      <c r="P1069" s="378" t="s">
        <v>1147</v>
      </c>
      <c r="Q1069" s="380" t="s">
        <v>1148</v>
      </c>
      <c r="R1069" s="378"/>
    </row>
    <row r="1070" spans="1:18" hidden="1" outlineLevel="1">
      <c r="A1070" s="406"/>
      <c r="B1070" s="639" t="s">
        <v>1200</v>
      </c>
      <c r="C1070" s="382" t="s">
        <v>1197</v>
      </c>
      <c r="D1070" s="387">
        <v>0.99</v>
      </c>
      <c r="E1070" s="389"/>
      <c r="F1070" s="398">
        <v>0.95</v>
      </c>
      <c r="G1070" s="387"/>
      <c r="H1070" s="387"/>
      <c r="I1070" s="387"/>
      <c r="J1070" s="387"/>
      <c r="K1070" s="378" t="s">
        <v>549</v>
      </c>
      <c r="L1070" s="378"/>
      <c r="M1070" s="379">
        <f t="shared" si="242"/>
        <v>0</v>
      </c>
      <c r="N1070" s="378">
        <f t="shared" si="244"/>
        <v>1</v>
      </c>
      <c r="O1070" s="379">
        <f t="shared" si="239"/>
        <v>1</v>
      </c>
      <c r="P1070" s="378" t="s">
        <v>1147</v>
      </c>
      <c r="Q1070" s="380" t="s">
        <v>1148</v>
      </c>
      <c r="R1070" s="378"/>
    </row>
    <row r="1071" spans="1:18" hidden="1" outlineLevel="1">
      <c r="A1071" s="406"/>
      <c r="B1071" s="640"/>
      <c r="C1071" s="382" t="s">
        <v>1198</v>
      </c>
      <c r="D1071" s="387">
        <v>0.85</v>
      </c>
      <c r="E1071" s="389"/>
      <c r="F1071" s="398">
        <v>0.8</v>
      </c>
      <c r="G1071" s="387"/>
      <c r="H1071" s="387"/>
      <c r="I1071" s="387"/>
      <c r="J1071" s="387"/>
      <c r="K1071" s="378" t="s">
        <v>549</v>
      </c>
      <c r="L1071" s="378"/>
      <c r="M1071" s="379">
        <f t="shared" si="242"/>
        <v>0</v>
      </c>
      <c r="N1071" s="378">
        <f t="shared" si="244"/>
        <v>1</v>
      </c>
      <c r="O1071" s="379">
        <f t="shared" si="239"/>
        <v>1</v>
      </c>
      <c r="P1071" s="378" t="s">
        <v>1147</v>
      </c>
      <c r="Q1071" s="380" t="s">
        <v>1148</v>
      </c>
      <c r="R1071" s="378"/>
    </row>
    <row r="1072" spans="1:18" hidden="1" outlineLevel="1">
      <c r="A1072" s="406"/>
      <c r="B1072" s="641"/>
      <c r="C1072" s="382" t="s">
        <v>1193</v>
      </c>
      <c r="D1072" s="387">
        <v>0.99</v>
      </c>
      <c r="E1072" s="389"/>
      <c r="F1072" s="398">
        <v>0.95</v>
      </c>
      <c r="G1072" s="387"/>
      <c r="H1072" s="387"/>
      <c r="I1072" s="387"/>
      <c r="J1072" s="387"/>
      <c r="K1072" s="378" t="s">
        <v>549</v>
      </c>
      <c r="L1072" s="378"/>
      <c r="M1072" s="379">
        <f t="shared" si="242"/>
        <v>0</v>
      </c>
      <c r="N1072" s="378">
        <f t="shared" si="244"/>
        <v>1</v>
      </c>
      <c r="O1072" s="379">
        <f t="shared" si="239"/>
        <v>1</v>
      </c>
      <c r="P1072" s="378" t="s">
        <v>1147</v>
      </c>
      <c r="Q1072" s="380" t="s">
        <v>1148</v>
      </c>
      <c r="R1072" s="378"/>
    </row>
    <row r="1073" spans="1:18" hidden="1" outlineLevel="1">
      <c r="A1073" s="406"/>
      <c r="B1073" s="639" t="s">
        <v>1201</v>
      </c>
      <c r="C1073" s="382" t="s">
        <v>1197</v>
      </c>
      <c r="D1073" s="387">
        <v>0.99</v>
      </c>
      <c r="E1073" s="389"/>
      <c r="F1073" s="398">
        <v>0.95</v>
      </c>
      <c r="G1073" s="387"/>
      <c r="H1073" s="387"/>
      <c r="I1073" s="387"/>
      <c r="J1073" s="387"/>
      <c r="K1073" s="378" t="s">
        <v>549</v>
      </c>
      <c r="L1073" s="378"/>
      <c r="M1073" s="379">
        <f t="shared" si="242"/>
        <v>0</v>
      </c>
      <c r="N1073" s="378">
        <f t="shared" si="244"/>
        <v>1</v>
      </c>
      <c r="O1073" s="379">
        <f t="shared" si="239"/>
        <v>1</v>
      </c>
      <c r="P1073" s="378" t="s">
        <v>1147</v>
      </c>
      <c r="Q1073" s="380" t="s">
        <v>1148</v>
      </c>
      <c r="R1073" s="378"/>
    </row>
    <row r="1074" spans="1:18" hidden="1" outlineLevel="1">
      <c r="A1074" s="406"/>
      <c r="B1074" s="640"/>
      <c r="C1074" s="382" t="s">
        <v>1198</v>
      </c>
      <c r="D1074" s="387">
        <v>0.85</v>
      </c>
      <c r="E1074" s="389"/>
      <c r="F1074" s="398">
        <v>0.8</v>
      </c>
      <c r="G1074" s="387"/>
      <c r="H1074" s="387"/>
      <c r="I1074" s="387"/>
      <c r="J1074" s="387"/>
      <c r="K1074" s="378" t="s">
        <v>549</v>
      </c>
      <c r="L1074" s="378"/>
      <c r="M1074" s="379">
        <f t="shared" si="242"/>
        <v>0</v>
      </c>
      <c r="N1074" s="378">
        <f t="shared" si="244"/>
        <v>1</v>
      </c>
      <c r="O1074" s="379">
        <f t="shared" si="239"/>
        <v>1</v>
      </c>
      <c r="P1074" s="378" t="s">
        <v>1147</v>
      </c>
      <c r="Q1074" s="380" t="s">
        <v>1148</v>
      </c>
      <c r="R1074" s="378"/>
    </row>
    <row r="1075" spans="1:18" hidden="1" outlineLevel="1">
      <c r="A1075" s="406"/>
      <c r="B1075" s="641"/>
      <c r="C1075" s="382" t="s">
        <v>1193</v>
      </c>
      <c r="D1075" s="387">
        <v>0.99</v>
      </c>
      <c r="E1075" s="389"/>
      <c r="F1075" s="398">
        <v>0.95</v>
      </c>
      <c r="G1075" s="387"/>
      <c r="H1075" s="387"/>
      <c r="I1075" s="387"/>
      <c r="J1075" s="387"/>
      <c r="K1075" s="378" t="s">
        <v>549</v>
      </c>
      <c r="L1075" s="378"/>
      <c r="M1075" s="379">
        <f t="shared" si="242"/>
        <v>0</v>
      </c>
      <c r="N1075" s="378">
        <f t="shared" si="244"/>
        <v>1</v>
      </c>
      <c r="O1075" s="379">
        <f t="shared" si="239"/>
        <v>1</v>
      </c>
      <c r="P1075" s="378" t="s">
        <v>1147</v>
      </c>
      <c r="Q1075" s="380" t="s">
        <v>1148</v>
      </c>
      <c r="R1075" s="378"/>
    </row>
    <row r="1076" spans="1:18" hidden="1" outlineLevel="1">
      <c r="A1076" s="404" t="s">
        <v>1202</v>
      </c>
      <c r="B1076" s="407"/>
      <c r="C1076" s="382"/>
      <c r="D1076" s="387"/>
      <c r="E1076" s="389"/>
      <c r="F1076" s="398"/>
      <c r="G1076" s="387"/>
      <c r="H1076" s="387"/>
      <c r="I1076" s="387"/>
      <c r="J1076" s="387"/>
      <c r="K1076" s="378"/>
      <c r="L1076" s="378"/>
      <c r="M1076" s="379">
        <f>M1077</f>
        <v>0</v>
      </c>
      <c r="N1076" s="378">
        <f>N1077</f>
        <v>1</v>
      </c>
      <c r="O1076" s="379">
        <f t="shared" si="239"/>
        <v>1</v>
      </c>
      <c r="P1076" s="378" t="s">
        <v>1147</v>
      </c>
      <c r="Q1076" s="380" t="s">
        <v>1148</v>
      </c>
      <c r="R1076" s="378"/>
    </row>
    <row r="1077" spans="1:18" hidden="1" outlineLevel="1">
      <c r="A1077" s="406"/>
      <c r="B1077" s="388" t="s">
        <v>1192</v>
      </c>
      <c r="C1077" s="382" t="s">
        <v>1203</v>
      </c>
      <c r="D1077" s="387">
        <v>0.95</v>
      </c>
      <c r="E1077" s="389"/>
      <c r="F1077" s="398">
        <v>0.9</v>
      </c>
      <c r="G1077" s="387"/>
      <c r="H1077" s="387"/>
      <c r="I1077" s="387"/>
      <c r="J1077" s="387"/>
      <c r="K1077" s="378" t="s">
        <v>549</v>
      </c>
      <c r="L1077" s="378"/>
      <c r="M1077" s="379">
        <f>IFERROR(MIN(MAX(0,IF(K1077="N/A",0,IF((D1077=E1077),5,5-QUOTIENT(D1077,E1077)))), MAX(0,IF(K1077="N/A",0,IF((F1077=G1077),5,5-QUOTIENT(F1077,G1077))))),0)</f>
        <v>0</v>
      </c>
      <c r="N1077" s="378">
        <f>IF(K1077="N/A", 1, 2)</f>
        <v>1</v>
      </c>
      <c r="O1077" s="379">
        <f t="shared" si="239"/>
        <v>1</v>
      </c>
      <c r="P1077" s="378" t="s">
        <v>1147</v>
      </c>
      <c r="Q1077" s="380" t="s">
        <v>1148</v>
      </c>
      <c r="R1077" s="378"/>
    </row>
    <row r="1078" spans="1:18" hidden="1" outlineLevel="1">
      <c r="A1078" s="404" t="s">
        <v>1204</v>
      </c>
      <c r="B1078" s="408"/>
      <c r="C1078" s="382"/>
      <c r="D1078" s="387"/>
      <c r="E1078" s="389"/>
      <c r="F1078" s="398"/>
      <c r="G1078" s="387"/>
      <c r="H1078" s="387"/>
      <c r="I1078" s="387"/>
      <c r="J1078" s="387"/>
      <c r="K1078" s="378"/>
      <c r="L1078" s="378"/>
      <c r="M1078" s="379">
        <f>IFERROR(MIN(M1079:M1080),0)</f>
        <v>0</v>
      </c>
      <c r="N1078" s="378">
        <f>N1079</f>
        <v>1</v>
      </c>
      <c r="O1078" s="379">
        <f t="shared" si="239"/>
        <v>1</v>
      </c>
      <c r="P1078" s="378" t="s">
        <v>1147</v>
      </c>
      <c r="Q1078" s="380" t="s">
        <v>1148</v>
      </c>
      <c r="R1078" s="378"/>
    </row>
    <row r="1079" spans="1:18" hidden="1" outlineLevel="1">
      <c r="A1079" s="404"/>
      <c r="B1079" s="644" t="s">
        <v>1205</v>
      </c>
      <c r="C1079" s="382" t="s">
        <v>1206</v>
      </c>
      <c r="D1079" s="387">
        <v>0.9</v>
      </c>
      <c r="E1079" s="389"/>
      <c r="F1079" s="398" t="s">
        <v>549</v>
      </c>
      <c r="G1079" s="387"/>
      <c r="H1079" s="387"/>
      <c r="I1079" s="387"/>
      <c r="J1079" s="387"/>
      <c r="K1079" s="378" t="s">
        <v>549</v>
      </c>
      <c r="L1079" s="378"/>
      <c r="M1079" s="379">
        <f>IFERROR(MIN(MAX(0,IF(K1079="N/A",0,IF((D1079=E1079),5,5-QUOTIENT(D1079,E1079)))), MAX(0,IF(K1079="N/A",0,IF((F1079=G1079),5,5-QUOTIENT(F1079,G1079))))),0)</f>
        <v>0</v>
      </c>
      <c r="N1079" s="378">
        <f>IF(K1079="N/A", 1, 2)</f>
        <v>1</v>
      </c>
      <c r="O1079" s="379">
        <f t="shared" si="239"/>
        <v>1</v>
      </c>
      <c r="P1079" s="378" t="s">
        <v>1147</v>
      </c>
      <c r="Q1079" s="380" t="s">
        <v>1148</v>
      </c>
      <c r="R1079" s="378"/>
    </row>
    <row r="1080" spans="1:18" hidden="1" outlineLevel="1">
      <c r="A1080" s="404"/>
      <c r="B1080" s="645"/>
      <c r="C1080" s="382" t="s">
        <v>1207</v>
      </c>
      <c r="D1080" s="387">
        <v>0.9</v>
      </c>
      <c r="E1080" s="389"/>
      <c r="F1080" s="398" t="s">
        <v>549</v>
      </c>
      <c r="G1080" s="387"/>
      <c r="H1080" s="387"/>
      <c r="I1080" s="387"/>
      <c r="J1080" s="387"/>
      <c r="K1080" s="378" t="s">
        <v>549</v>
      </c>
      <c r="L1080" s="378"/>
      <c r="M1080" s="379">
        <f>IFERROR(MIN(MAX(0,IF(K1080="N/A",0,IF((D1080=E1080),5,5-QUOTIENT(D1080,E1080)))), MAX(0,IF(K1080="N/A",0,IF((F1080=G1080),5,5-QUOTIENT(F1080,G1080))))),0)</f>
        <v>0</v>
      </c>
      <c r="N1080" s="378">
        <f>IF(K1080="N/A", 1, 2)</f>
        <v>1</v>
      </c>
      <c r="O1080" s="379">
        <f t="shared" si="239"/>
        <v>1</v>
      </c>
      <c r="P1080" s="378" t="s">
        <v>1147</v>
      </c>
      <c r="Q1080" s="380" t="s">
        <v>1148</v>
      </c>
      <c r="R1080" s="378"/>
    </row>
    <row r="1081" spans="1:18" hidden="1" outlineLevel="1">
      <c r="A1081" s="404" t="s">
        <v>1208</v>
      </c>
      <c r="B1081" s="408"/>
      <c r="C1081" s="382"/>
      <c r="D1081" s="387"/>
      <c r="E1081" s="389"/>
      <c r="F1081" s="398"/>
      <c r="G1081" s="387"/>
      <c r="H1081" s="387"/>
      <c r="I1081" s="387"/>
      <c r="J1081" s="387"/>
      <c r="K1081" s="378"/>
      <c r="L1081" s="378"/>
      <c r="M1081" s="379">
        <f>IFERROR(MIN(M1082:M1083),0)</f>
        <v>0</v>
      </c>
      <c r="N1081" s="378">
        <f>N1082</f>
        <v>2</v>
      </c>
      <c r="O1081" s="379">
        <f>MAX(M1081:N1081)</f>
        <v>2</v>
      </c>
      <c r="P1081" s="378" t="s">
        <v>1147</v>
      </c>
      <c r="Q1081" s="380" t="s">
        <v>1148</v>
      </c>
      <c r="R1081" s="378"/>
    </row>
    <row r="1082" spans="1:18" hidden="1" outlineLevel="1">
      <c r="A1082" s="404"/>
      <c r="B1082" s="644" t="s">
        <v>1209</v>
      </c>
      <c r="C1082" s="382" t="s">
        <v>1210</v>
      </c>
      <c r="D1082" s="387">
        <v>0.9</v>
      </c>
      <c r="E1082" s="389"/>
      <c r="F1082" s="398" t="s">
        <v>549</v>
      </c>
      <c r="G1082" s="387"/>
      <c r="H1082" s="387"/>
      <c r="I1082" s="387"/>
      <c r="J1082" s="387"/>
      <c r="K1082" s="378">
        <v>1</v>
      </c>
      <c r="L1082" s="378"/>
      <c r="M1082" s="379">
        <f>IFERROR(MIN(MAX(0,IF(K1082="N/A",0,IF((D1082=E1082),5,5-QUOTIENT(D1082,E1082)))), MAX(0,IF(K1082="N/A",0,IF((F1082=G1082),5,5-QUOTIENT(F1082,G1082))))),0)</f>
        <v>0</v>
      </c>
      <c r="N1082" s="378">
        <f>IF(K1082="N/A", 1, 2)</f>
        <v>2</v>
      </c>
      <c r="O1082" s="379">
        <f t="shared" ref="O1082:O1086" si="245">MAX(M1082:N1082)</f>
        <v>2</v>
      </c>
      <c r="P1082" s="378" t="s">
        <v>1147</v>
      </c>
      <c r="Q1082" s="380" t="s">
        <v>1148</v>
      </c>
      <c r="R1082" s="378"/>
    </row>
    <row r="1083" spans="1:18" hidden="1" outlineLevel="1">
      <c r="A1083" s="404"/>
      <c r="B1083" s="645"/>
      <c r="C1083" s="382" t="s">
        <v>1211</v>
      </c>
      <c r="D1083" s="387">
        <v>0.9</v>
      </c>
      <c r="E1083" s="389"/>
      <c r="F1083" s="398" t="s">
        <v>549</v>
      </c>
      <c r="G1083" s="387"/>
      <c r="H1083" s="387"/>
      <c r="I1083" s="387"/>
      <c r="J1083" s="387"/>
      <c r="K1083" s="378">
        <v>1</v>
      </c>
      <c r="L1083" s="378"/>
      <c r="M1083" s="379">
        <f>IFERROR(MIN(MAX(0,IF(K1083="N/A",0,IF((D1083=E1083),5,5-QUOTIENT(D1083,E1083)))), MAX(0,IF(K1083="N/A",0,IF((F1083=G1083),5,5-QUOTIENT(F1083,G1083))))),0)</f>
        <v>0</v>
      </c>
      <c r="N1083" s="378">
        <f>IF(K1083="N/A", 1, 2)</f>
        <v>2</v>
      </c>
      <c r="O1083" s="379">
        <f t="shared" si="245"/>
        <v>2</v>
      </c>
      <c r="P1083" s="378" t="s">
        <v>1147</v>
      </c>
      <c r="Q1083" s="380" t="s">
        <v>1148</v>
      </c>
      <c r="R1083" s="378"/>
    </row>
    <row r="1084" spans="1:18" hidden="1" outlineLevel="1">
      <c r="A1084" s="404" t="s">
        <v>1212</v>
      </c>
      <c r="B1084" s="408"/>
      <c r="C1084" s="382"/>
      <c r="D1084" s="387"/>
      <c r="E1084" s="389"/>
      <c r="F1084" s="398"/>
      <c r="G1084" s="387"/>
      <c r="H1084" s="387"/>
      <c r="I1084" s="387"/>
      <c r="J1084" s="387"/>
      <c r="K1084" s="378"/>
      <c r="L1084" s="378"/>
      <c r="M1084" s="379">
        <f>IFERROR(MIN(M1085:M1086),0)</f>
        <v>0</v>
      </c>
      <c r="N1084" s="378">
        <f>N1085</f>
        <v>2</v>
      </c>
      <c r="O1084" s="379">
        <f t="shared" si="245"/>
        <v>2</v>
      </c>
      <c r="P1084" s="378" t="s">
        <v>1147</v>
      </c>
      <c r="Q1084" s="380" t="s">
        <v>1148</v>
      </c>
      <c r="R1084" s="378"/>
    </row>
    <row r="1085" spans="1:18" hidden="1" outlineLevel="1">
      <c r="A1085" s="404"/>
      <c r="B1085" s="644" t="s">
        <v>1213</v>
      </c>
      <c r="C1085" s="382" t="s">
        <v>1214</v>
      </c>
      <c r="D1085" s="387">
        <v>0.9</v>
      </c>
      <c r="E1085" s="389"/>
      <c r="F1085" s="398" t="s">
        <v>549</v>
      </c>
      <c r="G1085" s="387"/>
      <c r="H1085" s="387"/>
      <c r="I1085" s="387"/>
      <c r="J1085" s="387"/>
      <c r="K1085" s="378">
        <v>1</v>
      </c>
      <c r="L1085" s="378"/>
      <c r="M1085" s="379">
        <f>IFERROR(MIN(MAX(0,IF(K1085="N/A",0,IF((D1085=E1085),5,5-QUOTIENT(D1085,E1085)))), MAX(0,IF(K1085="N/A",0,IF((F1085=G1085),5,5-QUOTIENT(F1085,G1085))))),0)</f>
        <v>0</v>
      </c>
      <c r="N1085" s="378">
        <f>IF(K1085="N/A", 1, 2)</f>
        <v>2</v>
      </c>
      <c r="O1085" s="379">
        <f t="shared" si="245"/>
        <v>2</v>
      </c>
      <c r="P1085" s="378" t="s">
        <v>1147</v>
      </c>
      <c r="Q1085" s="380" t="s">
        <v>1148</v>
      </c>
      <c r="R1085" s="378"/>
    </row>
    <row r="1086" spans="1:18" hidden="1" outlineLevel="1">
      <c r="A1086" s="404"/>
      <c r="B1086" s="645"/>
      <c r="C1086" s="382" t="s">
        <v>1215</v>
      </c>
      <c r="D1086" s="387">
        <v>0.9</v>
      </c>
      <c r="E1086" s="389"/>
      <c r="F1086" s="398" t="s">
        <v>549</v>
      </c>
      <c r="G1086" s="387"/>
      <c r="H1086" s="387"/>
      <c r="I1086" s="387"/>
      <c r="J1086" s="387"/>
      <c r="K1086" s="378">
        <v>1</v>
      </c>
      <c r="L1086" s="378"/>
      <c r="M1086" s="379">
        <f>IFERROR(MIN(MAX(0,IF(K1086="N/A",0,IF((D1086=E1086),5,5-QUOTIENT(D1086,E1086)))), MAX(0,IF(K1086="N/A",0,IF((F1086=G1086),5,5-QUOTIENT(F1086,G1086))))),0)</f>
        <v>0</v>
      </c>
      <c r="N1086" s="378">
        <f>IF(K1086="N/A", 1, 2)</f>
        <v>2</v>
      </c>
      <c r="O1086" s="379">
        <f t="shared" si="245"/>
        <v>2</v>
      </c>
      <c r="P1086" s="378" t="s">
        <v>1147</v>
      </c>
      <c r="Q1086" s="380" t="s">
        <v>1148</v>
      </c>
      <c r="R1086" s="378"/>
    </row>
    <row r="1087" spans="1:18" hidden="1" outlineLevel="1">
      <c r="A1087" s="388" t="s">
        <v>1216</v>
      </c>
      <c r="B1087" s="409"/>
      <c r="C1087" s="382"/>
      <c r="D1087" s="387"/>
      <c r="E1087" s="389"/>
      <c r="F1087" s="398"/>
      <c r="G1087" s="387"/>
      <c r="H1087" s="387"/>
      <c r="I1087" s="387"/>
      <c r="J1087" s="387"/>
      <c r="K1087" s="378"/>
      <c r="L1087" s="378"/>
      <c r="M1087" s="379"/>
      <c r="N1087" s="378"/>
      <c r="O1087" s="379"/>
      <c r="P1087" s="378" t="s">
        <v>1147</v>
      </c>
      <c r="Q1087" s="380" t="s">
        <v>1148</v>
      </c>
      <c r="R1087" s="378"/>
    </row>
    <row r="1088" spans="1:18" hidden="1" outlineLevel="1">
      <c r="A1088" s="388"/>
      <c r="B1088" s="633" t="s">
        <v>1217</v>
      </c>
      <c r="C1088" s="382" t="s">
        <v>1168</v>
      </c>
      <c r="D1088" s="398" t="s">
        <v>549</v>
      </c>
      <c r="E1088" s="389"/>
      <c r="F1088" s="398" t="s">
        <v>549</v>
      </c>
      <c r="G1088" s="387"/>
      <c r="H1088" s="387"/>
      <c r="I1088" s="387"/>
      <c r="J1088" s="387"/>
      <c r="K1088" s="378" t="s">
        <v>549</v>
      </c>
      <c r="L1088" s="378"/>
      <c r="M1088" s="379">
        <f t="shared" ref="M1088:M1093" si="246">IFERROR(MIN(MAX(0,IF(K1088="N/A",0,IF((D1088=E1088),5,5-QUOTIENT(D1088,E1088)))), MAX(0,IF(K1088="N/A",0,IF((F1088=G1088),5,5-QUOTIENT(F1088,G1088))))),0)</f>
        <v>0</v>
      </c>
      <c r="N1088" s="378">
        <f t="shared" ref="N1088:N1093" si="247">IF(K1088="N/A", 0, 2)</f>
        <v>0</v>
      </c>
      <c r="O1088" s="379">
        <f t="shared" ref="O1088:O1097" si="248">MAX(M1088:N1088)</f>
        <v>0</v>
      </c>
      <c r="P1088" s="378" t="s">
        <v>1147</v>
      </c>
      <c r="Q1088" s="380" t="s">
        <v>1148</v>
      </c>
      <c r="R1088" s="378"/>
    </row>
    <row r="1089" spans="1:18" hidden="1" outlineLevel="1">
      <c r="A1089" s="388"/>
      <c r="B1089" s="634"/>
      <c r="C1089" s="382" t="s">
        <v>1169</v>
      </c>
      <c r="D1089" s="398" t="s">
        <v>549</v>
      </c>
      <c r="E1089" s="389"/>
      <c r="F1089" s="398" t="s">
        <v>549</v>
      </c>
      <c r="G1089" s="387"/>
      <c r="H1089" s="387"/>
      <c r="I1089" s="387"/>
      <c r="J1089" s="387"/>
      <c r="K1089" s="378" t="s">
        <v>549</v>
      </c>
      <c r="L1089" s="378"/>
      <c r="M1089" s="379">
        <f t="shared" si="246"/>
        <v>0</v>
      </c>
      <c r="N1089" s="378">
        <f t="shared" si="247"/>
        <v>0</v>
      </c>
      <c r="O1089" s="379">
        <f t="shared" si="248"/>
        <v>0</v>
      </c>
      <c r="P1089" s="378" t="s">
        <v>1147</v>
      </c>
      <c r="Q1089" s="380" t="s">
        <v>1148</v>
      </c>
      <c r="R1089" s="378"/>
    </row>
    <row r="1090" spans="1:18" hidden="1" outlineLevel="1">
      <c r="A1090" s="388"/>
      <c r="B1090" s="642" t="s">
        <v>1218</v>
      </c>
      <c r="C1090" s="382" t="s">
        <v>1168</v>
      </c>
      <c r="D1090" s="398" t="s">
        <v>549</v>
      </c>
      <c r="E1090" s="389"/>
      <c r="F1090" s="398" t="s">
        <v>549</v>
      </c>
      <c r="G1090" s="387"/>
      <c r="H1090" s="387"/>
      <c r="I1090" s="387"/>
      <c r="J1090" s="387"/>
      <c r="K1090" s="378" t="s">
        <v>549</v>
      </c>
      <c r="L1090" s="378"/>
      <c r="M1090" s="379">
        <f t="shared" si="246"/>
        <v>0</v>
      </c>
      <c r="N1090" s="378">
        <f t="shared" si="247"/>
        <v>0</v>
      </c>
      <c r="O1090" s="379">
        <f t="shared" si="248"/>
        <v>0</v>
      </c>
      <c r="P1090" s="378" t="s">
        <v>1147</v>
      </c>
      <c r="Q1090" s="380" t="s">
        <v>1148</v>
      </c>
      <c r="R1090" s="378"/>
    </row>
    <row r="1091" spans="1:18" hidden="1" outlineLevel="1">
      <c r="A1091" s="388"/>
      <c r="B1091" s="642"/>
      <c r="C1091" s="382" t="s">
        <v>1169</v>
      </c>
      <c r="D1091" s="398" t="s">
        <v>549</v>
      </c>
      <c r="E1091" s="389"/>
      <c r="F1091" s="398" t="s">
        <v>549</v>
      </c>
      <c r="G1091" s="387"/>
      <c r="H1091" s="387"/>
      <c r="I1091" s="387"/>
      <c r="J1091" s="387"/>
      <c r="K1091" s="378" t="s">
        <v>549</v>
      </c>
      <c r="L1091" s="378"/>
      <c r="M1091" s="379">
        <f t="shared" si="246"/>
        <v>0</v>
      </c>
      <c r="N1091" s="378">
        <f t="shared" si="247"/>
        <v>0</v>
      </c>
      <c r="O1091" s="379">
        <f t="shared" si="248"/>
        <v>0</v>
      </c>
      <c r="P1091" s="378" t="s">
        <v>1147</v>
      </c>
      <c r="Q1091" s="380" t="s">
        <v>1148</v>
      </c>
      <c r="R1091" s="378"/>
    </row>
    <row r="1092" spans="1:18" hidden="1" outlineLevel="1">
      <c r="A1092" s="388"/>
      <c r="B1092" s="642" t="s">
        <v>1219</v>
      </c>
      <c r="C1092" s="382" t="s">
        <v>1168</v>
      </c>
      <c r="D1092" s="398" t="s">
        <v>549</v>
      </c>
      <c r="E1092" s="389"/>
      <c r="F1092" s="398" t="s">
        <v>549</v>
      </c>
      <c r="G1092" s="387"/>
      <c r="H1092" s="387"/>
      <c r="I1092" s="387"/>
      <c r="J1092" s="387"/>
      <c r="K1092" s="378" t="s">
        <v>549</v>
      </c>
      <c r="L1092" s="378"/>
      <c r="M1092" s="379">
        <f t="shared" si="246"/>
        <v>0</v>
      </c>
      <c r="N1092" s="378">
        <f t="shared" si="247"/>
        <v>0</v>
      </c>
      <c r="O1092" s="379">
        <f t="shared" si="248"/>
        <v>0</v>
      </c>
      <c r="P1092" s="378" t="s">
        <v>1147</v>
      </c>
      <c r="Q1092" s="380" t="s">
        <v>1148</v>
      </c>
      <c r="R1092" s="378"/>
    </row>
    <row r="1093" spans="1:18" hidden="1" outlineLevel="1">
      <c r="A1093" s="388"/>
      <c r="B1093" s="642"/>
      <c r="C1093" s="382" t="s">
        <v>1169</v>
      </c>
      <c r="D1093" s="398" t="s">
        <v>549</v>
      </c>
      <c r="E1093" s="389"/>
      <c r="F1093" s="398" t="s">
        <v>549</v>
      </c>
      <c r="G1093" s="387"/>
      <c r="H1093" s="387"/>
      <c r="I1093" s="387"/>
      <c r="J1093" s="387"/>
      <c r="K1093" s="378" t="s">
        <v>549</v>
      </c>
      <c r="L1093" s="378"/>
      <c r="M1093" s="379">
        <f t="shared" si="246"/>
        <v>0</v>
      </c>
      <c r="N1093" s="378">
        <f t="shared" si="247"/>
        <v>0</v>
      </c>
      <c r="O1093" s="379">
        <f t="shared" si="248"/>
        <v>0</v>
      </c>
      <c r="P1093" s="378" t="s">
        <v>1147</v>
      </c>
      <c r="Q1093" s="380" t="s">
        <v>1148</v>
      </c>
      <c r="R1093" s="378"/>
    </row>
    <row r="1094" spans="1:18" hidden="1" outlineLevel="1">
      <c r="A1094" s="388" t="s">
        <v>1220</v>
      </c>
      <c r="B1094" s="381"/>
      <c r="C1094" s="382"/>
      <c r="D1094" s="398"/>
      <c r="E1094" s="389"/>
      <c r="F1094" s="398"/>
      <c r="G1094" s="387"/>
      <c r="H1094" s="387"/>
      <c r="I1094" s="387"/>
      <c r="J1094" s="387"/>
      <c r="K1094" s="378"/>
      <c r="L1094" s="378"/>
      <c r="M1094" s="379">
        <f>M1095</f>
        <v>0</v>
      </c>
      <c r="N1094" s="378">
        <f>N1095</f>
        <v>2</v>
      </c>
      <c r="O1094" s="379">
        <f t="shared" si="248"/>
        <v>2</v>
      </c>
      <c r="P1094" s="378" t="s">
        <v>1147</v>
      </c>
      <c r="Q1094" s="380" t="s">
        <v>1148</v>
      </c>
      <c r="R1094" s="378"/>
    </row>
    <row r="1095" spans="1:18" hidden="1" outlineLevel="1">
      <c r="A1095" s="406"/>
      <c r="B1095" s="388" t="s">
        <v>1221</v>
      </c>
      <c r="C1095" s="382" t="s">
        <v>1222</v>
      </c>
      <c r="D1095" s="387">
        <v>0.95</v>
      </c>
      <c r="E1095" s="389"/>
      <c r="F1095" s="398">
        <v>0.9</v>
      </c>
      <c r="G1095" s="387"/>
      <c r="H1095" s="387"/>
      <c r="I1095" s="387"/>
      <c r="J1095" s="387"/>
      <c r="K1095" s="378">
        <v>1</v>
      </c>
      <c r="L1095" s="378"/>
      <c r="M1095" s="379">
        <f>IFERROR(MIN(MAX(0,IF(K1095="N/A",0,IF((D1095=E1095),5,5-QUOTIENT(D1095,E1095)))), MAX(0,IF(K1095="N/A",0,IF((F1095=G1095),5,5-QUOTIENT(F1095,G1095))))),0)</f>
        <v>0</v>
      </c>
      <c r="N1095" s="378">
        <f>IF(K1095="N/A", 1, 2)</f>
        <v>2</v>
      </c>
      <c r="O1095" s="379">
        <f t="shared" si="248"/>
        <v>2</v>
      </c>
      <c r="P1095" s="378" t="s">
        <v>1147</v>
      </c>
      <c r="Q1095" s="380" t="s">
        <v>1148</v>
      </c>
      <c r="R1095" s="378"/>
    </row>
    <row r="1096" spans="1:18" hidden="1" outlineLevel="1">
      <c r="A1096" s="388" t="s">
        <v>1223</v>
      </c>
      <c r="B1096" s="381"/>
      <c r="C1096" s="382"/>
      <c r="D1096" s="398"/>
      <c r="E1096" s="389"/>
      <c r="F1096" s="398"/>
      <c r="G1096" s="387"/>
      <c r="H1096" s="387"/>
      <c r="I1096" s="387"/>
      <c r="J1096" s="387"/>
      <c r="K1096" s="378"/>
      <c r="L1096" s="378"/>
      <c r="M1096" s="379">
        <f>M1097</f>
        <v>0</v>
      </c>
      <c r="N1096" s="378">
        <f>N1097</f>
        <v>2</v>
      </c>
      <c r="O1096" s="379">
        <f t="shared" si="248"/>
        <v>2</v>
      </c>
      <c r="P1096" s="378" t="s">
        <v>1147</v>
      </c>
      <c r="Q1096" s="380" t="s">
        <v>1148</v>
      </c>
      <c r="R1096" s="378"/>
    </row>
    <row r="1097" spans="1:18" hidden="1" outlineLevel="1">
      <c r="A1097" s="406"/>
      <c r="B1097" s="388" t="s">
        <v>1224</v>
      </c>
      <c r="C1097" s="382" t="s">
        <v>1222</v>
      </c>
      <c r="D1097" s="387">
        <v>0.95</v>
      </c>
      <c r="E1097" s="389"/>
      <c r="F1097" s="398">
        <v>0.9</v>
      </c>
      <c r="G1097" s="387"/>
      <c r="H1097" s="387"/>
      <c r="I1097" s="387"/>
      <c r="J1097" s="387"/>
      <c r="K1097" s="378">
        <v>1</v>
      </c>
      <c r="L1097" s="378"/>
      <c r="M1097" s="379">
        <f>IFERROR(MIN(MAX(0,IF(K1097="N/A",0,IF((D1097=E1097),5,5-QUOTIENT(D1097,E1097)))), MAX(0,IF(K1097="N/A",0,IF((F1097=G1097),5,5-QUOTIENT(F1097,G1097))))),0)</f>
        <v>0</v>
      </c>
      <c r="N1097" s="378">
        <f>IF(K1097="N/A", 1, 2)</f>
        <v>2</v>
      </c>
      <c r="O1097" s="379">
        <f t="shared" si="248"/>
        <v>2</v>
      </c>
      <c r="P1097" s="378" t="s">
        <v>1147</v>
      </c>
      <c r="Q1097" s="380" t="s">
        <v>1148</v>
      </c>
      <c r="R1097" s="378"/>
    </row>
    <row r="1098" spans="1:18" hidden="1" outlineLevel="1">
      <c r="A1098" s="388" t="s">
        <v>1225</v>
      </c>
      <c r="B1098" s="381"/>
      <c r="C1098" s="382"/>
      <c r="D1098" s="398"/>
      <c r="E1098" s="389"/>
      <c r="F1098" s="398"/>
      <c r="G1098" s="387"/>
      <c r="H1098" s="387"/>
      <c r="I1098" s="387"/>
      <c r="J1098" s="387"/>
      <c r="K1098" s="378"/>
      <c r="L1098" s="378"/>
      <c r="M1098" s="379">
        <f>M1099</f>
        <v>0</v>
      </c>
      <c r="N1098" s="378">
        <f>N1099</f>
        <v>1</v>
      </c>
      <c r="O1098" s="379">
        <f>MAX(M1098:N1098)</f>
        <v>1</v>
      </c>
      <c r="P1098" s="378" t="s">
        <v>1147</v>
      </c>
      <c r="Q1098" s="380" t="s">
        <v>1148</v>
      </c>
      <c r="R1098" s="378"/>
    </row>
    <row r="1099" spans="1:18" hidden="1" outlineLevel="1">
      <c r="A1099" s="406"/>
      <c r="B1099" s="388" t="s">
        <v>1226</v>
      </c>
      <c r="C1099" s="382" t="s">
        <v>1222</v>
      </c>
      <c r="D1099" s="387">
        <v>0.95</v>
      </c>
      <c r="E1099" s="389"/>
      <c r="F1099" s="398">
        <v>0.9</v>
      </c>
      <c r="G1099" s="387"/>
      <c r="H1099" s="387"/>
      <c r="I1099" s="387"/>
      <c r="J1099" s="387"/>
      <c r="K1099" s="378" t="s">
        <v>549</v>
      </c>
      <c r="L1099" s="378"/>
      <c r="M1099" s="379">
        <f>IFERROR(MIN(MAX(0,IF(K1099="N/A",0,IF((D1099=E1099),5,5-QUOTIENT(D1099,E1099)))), MAX(0,IF(K1099="N/A",0,IF((F1099=G1099),5,5-QUOTIENT(F1099,G1099))))),0)</f>
        <v>0</v>
      </c>
      <c r="N1099" s="378">
        <f>IF(K1099="N/A", 1, 2)</f>
        <v>1</v>
      </c>
      <c r="O1099" s="379">
        <f t="shared" ref="O1099" si="249">MAX(M1099:N1099)</f>
        <v>1</v>
      </c>
      <c r="P1099" s="378" t="s">
        <v>1147</v>
      </c>
      <c r="Q1099" s="380" t="s">
        <v>1148</v>
      </c>
      <c r="R1099" s="378"/>
    </row>
    <row r="1100" spans="1:18" hidden="1" outlineLevel="1">
      <c r="A1100" s="388" t="s">
        <v>1227</v>
      </c>
      <c r="B1100" s="381"/>
      <c r="C1100" s="382"/>
      <c r="D1100" s="398"/>
      <c r="E1100" s="389"/>
      <c r="F1100" s="398"/>
      <c r="G1100" s="387"/>
      <c r="H1100" s="387"/>
      <c r="I1100" s="387"/>
      <c r="J1100" s="387"/>
      <c r="K1100" s="378"/>
      <c r="L1100" s="378"/>
      <c r="M1100" s="379">
        <f>M1101</f>
        <v>0</v>
      </c>
      <c r="N1100" s="378">
        <f>N1101</f>
        <v>1</v>
      </c>
      <c r="O1100" s="379">
        <f>MAX(M1100:N1100)</f>
        <v>1</v>
      </c>
      <c r="P1100" s="378" t="s">
        <v>1147</v>
      </c>
      <c r="Q1100" s="380" t="s">
        <v>1148</v>
      </c>
      <c r="R1100" s="378"/>
    </row>
    <row r="1101" spans="1:18" hidden="1" outlineLevel="1">
      <c r="A1101" s="406"/>
      <c r="B1101" s="388" t="s">
        <v>1228</v>
      </c>
      <c r="C1101" s="382" t="s">
        <v>1222</v>
      </c>
      <c r="D1101" s="387">
        <v>0.95</v>
      </c>
      <c r="E1101" s="389"/>
      <c r="F1101" s="398">
        <v>0.9</v>
      </c>
      <c r="G1101" s="387"/>
      <c r="H1101" s="387"/>
      <c r="I1101" s="387"/>
      <c r="J1101" s="387"/>
      <c r="K1101" s="378" t="s">
        <v>549</v>
      </c>
      <c r="L1101" s="378"/>
      <c r="M1101" s="379">
        <f>IFERROR(MIN(MAX(0,IF(K1101="N/A",0,IF((D1101=E1101),5,5-QUOTIENT(D1101,E1101)))), MAX(0,IF(K1101="N/A",0,IF((F1101=G1101),5,5-QUOTIENT(F1101,G1101))))),0)</f>
        <v>0</v>
      </c>
      <c r="N1101" s="378">
        <f>IF(K1101="N/A", 1, 2)</f>
        <v>1</v>
      </c>
      <c r="O1101" s="379">
        <f t="shared" ref="O1101" si="250">MAX(M1101:N1101)</f>
        <v>1</v>
      </c>
      <c r="P1101" s="378" t="s">
        <v>1147</v>
      </c>
      <c r="Q1101" s="380" t="s">
        <v>1148</v>
      </c>
      <c r="R1101" s="378"/>
    </row>
    <row r="1102" spans="1:18" hidden="1" outlineLevel="1">
      <c r="A1102" s="388" t="s">
        <v>1229</v>
      </c>
      <c r="B1102" s="381"/>
      <c r="C1102" s="382"/>
      <c r="D1102" s="398"/>
      <c r="E1102" s="389"/>
      <c r="F1102" s="398"/>
      <c r="G1102" s="387"/>
      <c r="H1102" s="387"/>
      <c r="I1102" s="387"/>
      <c r="J1102" s="387"/>
      <c r="K1102" s="378"/>
      <c r="L1102" s="378"/>
      <c r="M1102" s="379">
        <f>M1103</f>
        <v>0</v>
      </c>
      <c r="N1102" s="378">
        <f>N1103</f>
        <v>2</v>
      </c>
      <c r="O1102" s="379">
        <f>MAX(M1102:N1102)</f>
        <v>2</v>
      </c>
      <c r="P1102" s="378" t="s">
        <v>1147</v>
      </c>
      <c r="Q1102" s="380" t="s">
        <v>1148</v>
      </c>
      <c r="R1102" s="378"/>
    </row>
    <row r="1103" spans="1:18" hidden="1" outlineLevel="1">
      <c r="A1103" s="406"/>
      <c r="B1103" s="388" t="s">
        <v>1230</v>
      </c>
      <c r="C1103" s="382" t="s">
        <v>1222</v>
      </c>
      <c r="D1103" s="387">
        <v>0.95</v>
      </c>
      <c r="E1103" s="389"/>
      <c r="F1103" s="398">
        <v>0.9</v>
      </c>
      <c r="G1103" s="387"/>
      <c r="H1103" s="387"/>
      <c r="I1103" s="387"/>
      <c r="J1103" s="387"/>
      <c r="K1103" s="378">
        <v>1</v>
      </c>
      <c r="L1103" s="378"/>
      <c r="M1103" s="379">
        <f>IFERROR(MIN(MAX(0,IF(K1103="N/A",0,IF((D1103=E1103),5,5-QUOTIENT(D1103,E1103)))), MAX(0,IF(K1103="N/A",0,IF((F1103=G1103),5,5-QUOTIENT(F1103,G1103))))),0)</f>
        <v>0</v>
      </c>
      <c r="N1103" s="378">
        <f>IF(K1103="N/A", 1, 2)</f>
        <v>2</v>
      </c>
      <c r="O1103" s="379">
        <f t="shared" ref="O1103" si="251">MAX(M1103:N1103)</f>
        <v>2</v>
      </c>
      <c r="P1103" s="378" t="s">
        <v>1147</v>
      </c>
      <c r="Q1103" s="380" t="s">
        <v>1148</v>
      </c>
      <c r="R1103" s="378"/>
    </row>
    <row r="1104" spans="1:18" hidden="1" outlineLevel="1">
      <c r="A1104" s="388" t="s">
        <v>1231</v>
      </c>
      <c r="B1104" s="381"/>
      <c r="C1104" s="382"/>
      <c r="D1104" s="398"/>
      <c r="E1104" s="389"/>
      <c r="F1104" s="398"/>
      <c r="G1104" s="387"/>
      <c r="H1104" s="387"/>
      <c r="I1104" s="387"/>
      <c r="J1104" s="387"/>
      <c r="K1104" s="378"/>
      <c r="L1104" s="378"/>
      <c r="M1104" s="379">
        <f>IFERROR(MIN(M1105:M1111),0)</f>
        <v>0</v>
      </c>
      <c r="N1104" s="378">
        <f>N1105</f>
        <v>2</v>
      </c>
      <c r="O1104" s="379">
        <f>MAX(M1104:N1104)</f>
        <v>2</v>
      </c>
      <c r="P1104" s="378" t="s">
        <v>1147</v>
      </c>
      <c r="Q1104" s="380" t="s">
        <v>1148</v>
      </c>
      <c r="R1104" s="378"/>
    </row>
    <row r="1105" spans="1:18" hidden="1" outlineLevel="1">
      <c r="A1105" s="394"/>
      <c r="B1105" s="636" t="s">
        <v>1179</v>
      </c>
      <c r="C1105" s="382" t="s">
        <v>1232</v>
      </c>
      <c r="D1105" s="387">
        <v>0.5</v>
      </c>
      <c r="E1105" s="399"/>
      <c r="F1105" s="387">
        <v>0.5</v>
      </c>
      <c r="G1105" s="387"/>
      <c r="H1105" s="387"/>
      <c r="I1105" s="387"/>
      <c r="J1105" s="387"/>
      <c r="K1105" s="378">
        <v>1</v>
      </c>
      <c r="L1105" s="378"/>
      <c r="M1105" s="379">
        <f t="shared" ref="M1105:M1111" si="252">IFERROR(MIN(MAX(0,IF(K1105="N/A",0,IF((D1105=E1105),5,5-QUOTIENT(D1105,E1105)))), MAX(0,IF(K1105="N/A",0,IF((F1105=G1105),5,5-QUOTIENT(F1105,G1105))))),0)</f>
        <v>0</v>
      </c>
      <c r="N1105" s="378">
        <f>IF(K1105="N/A", 1, 2)</f>
        <v>2</v>
      </c>
      <c r="O1105" s="379">
        <f t="shared" ref="O1105:O1115" si="253">MAX(M1105:N1105)</f>
        <v>2</v>
      </c>
      <c r="P1105" s="378" t="s">
        <v>1147</v>
      </c>
      <c r="Q1105" s="380" t="s">
        <v>1148</v>
      </c>
      <c r="R1105" s="378"/>
    </row>
    <row r="1106" spans="1:18" hidden="1" outlineLevel="1">
      <c r="A1106" s="394"/>
      <c r="B1106" s="637"/>
      <c r="C1106" s="382" t="s">
        <v>1233</v>
      </c>
      <c r="D1106" s="387">
        <v>0.5</v>
      </c>
      <c r="E1106" s="399"/>
      <c r="F1106" s="387">
        <v>0.5</v>
      </c>
      <c r="G1106" s="387"/>
      <c r="H1106" s="387"/>
      <c r="I1106" s="387"/>
      <c r="J1106" s="387"/>
      <c r="K1106" s="378" t="s">
        <v>549</v>
      </c>
      <c r="L1106" s="378"/>
      <c r="M1106" s="379">
        <f t="shared" si="252"/>
        <v>0</v>
      </c>
      <c r="N1106" s="378">
        <f t="shared" ref="N1106:N1111" si="254">IF(K1106="N/A", 1, 2)</f>
        <v>1</v>
      </c>
      <c r="O1106" s="379">
        <f t="shared" si="253"/>
        <v>1</v>
      </c>
      <c r="P1106" s="378" t="s">
        <v>1147</v>
      </c>
      <c r="Q1106" s="380" t="s">
        <v>1148</v>
      </c>
      <c r="R1106" s="378"/>
    </row>
    <row r="1107" spans="1:18" hidden="1" outlineLevel="1">
      <c r="A1107" s="394"/>
      <c r="B1107" s="637"/>
      <c r="C1107" s="382" t="s">
        <v>1234</v>
      </c>
      <c r="D1107" s="387">
        <v>0.5</v>
      </c>
      <c r="E1107" s="399"/>
      <c r="F1107" s="387">
        <v>0.5</v>
      </c>
      <c r="G1107" s="387"/>
      <c r="H1107" s="387"/>
      <c r="I1107" s="387"/>
      <c r="J1107" s="387"/>
      <c r="K1107" s="378" t="s">
        <v>549</v>
      </c>
      <c r="L1107" s="378"/>
      <c r="M1107" s="379">
        <f t="shared" si="252"/>
        <v>0</v>
      </c>
      <c r="N1107" s="378">
        <f t="shared" si="254"/>
        <v>1</v>
      </c>
      <c r="O1107" s="379">
        <f t="shared" si="253"/>
        <v>1</v>
      </c>
      <c r="P1107" s="378" t="s">
        <v>1147</v>
      </c>
      <c r="Q1107" s="380" t="s">
        <v>1148</v>
      </c>
      <c r="R1107" s="378"/>
    </row>
    <row r="1108" spans="1:18" hidden="1" outlineLevel="1">
      <c r="A1108" s="394"/>
      <c r="B1108" s="637"/>
      <c r="C1108" s="382" t="s">
        <v>1235</v>
      </c>
      <c r="D1108" s="387">
        <v>0.5</v>
      </c>
      <c r="E1108" s="399"/>
      <c r="F1108" s="387">
        <v>0.5</v>
      </c>
      <c r="G1108" s="387"/>
      <c r="H1108" s="387"/>
      <c r="I1108" s="387"/>
      <c r="J1108" s="387"/>
      <c r="K1108" s="378" t="s">
        <v>549</v>
      </c>
      <c r="L1108" s="378"/>
      <c r="M1108" s="379">
        <f t="shared" si="252"/>
        <v>0</v>
      </c>
      <c r="N1108" s="378">
        <f t="shared" si="254"/>
        <v>1</v>
      </c>
      <c r="O1108" s="379">
        <f t="shared" si="253"/>
        <v>1</v>
      </c>
      <c r="P1108" s="378" t="s">
        <v>1147</v>
      </c>
      <c r="Q1108" s="380" t="s">
        <v>1148</v>
      </c>
      <c r="R1108" s="378"/>
    </row>
    <row r="1109" spans="1:18" hidden="1" outlineLevel="1">
      <c r="A1109" s="394"/>
      <c r="B1109" s="637"/>
      <c r="C1109" s="382" t="s">
        <v>1236</v>
      </c>
      <c r="D1109" s="387">
        <v>0.5</v>
      </c>
      <c r="E1109" s="399"/>
      <c r="F1109" s="387">
        <v>0.5</v>
      </c>
      <c r="G1109" s="387"/>
      <c r="H1109" s="387"/>
      <c r="I1109" s="387"/>
      <c r="J1109" s="387"/>
      <c r="K1109" s="378" t="s">
        <v>549</v>
      </c>
      <c r="L1109" s="378"/>
      <c r="M1109" s="379">
        <f t="shared" si="252"/>
        <v>0</v>
      </c>
      <c r="N1109" s="378">
        <f t="shared" si="254"/>
        <v>1</v>
      </c>
      <c r="O1109" s="379">
        <f t="shared" si="253"/>
        <v>1</v>
      </c>
      <c r="P1109" s="378" t="s">
        <v>1147</v>
      </c>
      <c r="Q1109" s="380" t="s">
        <v>1148</v>
      </c>
      <c r="R1109" s="378"/>
    </row>
    <row r="1110" spans="1:18" hidden="1" outlineLevel="1">
      <c r="A1110" s="394"/>
      <c r="B1110" s="637"/>
      <c r="C1110" s="382" t="s">
        <v>1237</v>
      </c>
      <c r="D1110" s="387">
        <v>0.5</v>
      </c>
      <c r="E1110" s="399"/>
      <c r="F1110" s="387">
        <v>0.5</v>
      </c>
      <c r="G1110" s="387"/>
      <c r="H1110" s="387"/>
      <c r="I1110" s="387"/>
      <c r="J1110" s="387"/>
      <c r="K1110" s="378" t="s">
        <v>549</v>
      </c>
      <c r="L1110" s="378"/>
      <c r="M1110" s="379">
        <f t="shared" si="252"/>
        <v>0</v>
      </c>
      <c r="N1110" s="378">
        <f t="shared" si="254"/>
        <v>1</v>
      </c>
      <c r="O1110" s="379">
        <f t="shared" si="253"/>
        <v>1</v>
      </c>
      <c r="P1110" s="378" t="s">
        <v>1147</v>
      </c>
      <c r="Q1110" s="380" t="s">
        <v>1148</v>
      </c>
      <c r="R1110" s="378"/>
    </row>
    <row r="1111" spans="1:18" hidden="1" outlineLevel="1">
      <c r="A1111" s="394"/>
      <c r="B1111" s="638"/>
      <c r="C1111" s="382" t="s">
        <v>1238</v>
      </c>
      <c r="D1111" s="387">
        <v>0.5</v>
      </c>
      <c r="E1111" s="399"/>
      <c r="F1111" s="387">
        <v>0.5</v>
      </c>
      <c r="G1111" s="387"/>
      <c r="H1111" s="387"/>
      <c r="I1111" s="387"/>
      <c r="J1111" s="387"/>
      <c r="K1111" s="378" t="s">
        <v>549</v>
      </c>
      <c r="L1111" s="378"/>
      <c r="M1111" s="379">
        <f t="shared" si="252"/>
        <v>0</v>
      </c>
      <c r="N1111" s="378">
        <f t="shared" si="254"/>
        <v>1</v>
      </c>
      <c r="O1111" s="379">
        <f t="shared" si="253"/>
        <v>1</v>
      </c>
      <c r="P1111" s="378" t="s">
        <v>1147</v>
      </c>
      <c r="Q1111" s="380" t="s">
        <v>1148</v>
      </c>
      <c r="R1111" s="378"/>
    </row>
    <row r="1112" spans="1:18" hidden="1" outlineLevel="1">
      <c r="A1112" s="388" t="s">
        <v>1239</v>
      </c>
      <c r="B1112" s="381"/>
      <c r="C1112" s="382"/>
      <c r="D1112" s="398"/>
      <c r="E1112" s="389"/>
      <c r="F1112" s="398"/>
      <c r="G1112" s="387"/>
      <c r="H1112" s="387"/>
      <c r="I1112" s="387"/>
      <c r="J1112" s="387"/>
      <c r="K1112" s="378"/>
      <c r="L1112" s="378"/>
      <c r="M1112" s="379">
        <f>M1113</f>
        <v>0</v>
      </c>
      <c r="N1112" s="378">
        <f>N1113</f>
        <v>1</v>
      </c>
      <c r="O1112" s="379">
        <f t="shared" si="253"/>
        <v>1</v>
      </c>
      <c r="P1112" s="378" t="s">
        <v>1147</v>
      </c>
      <c r="Q1112" s="380" t="s">
        <v>1148</v>
      </c>
      <c r="R1112" s="378"/>
    </row>
    <row r="1113" spans="1:18" hidden="1" outlineLevel="1">
      <c r="A1113" s="406"/>
      <c r="B1113" s="388" t="s">
        <v>1240</v>
      </c>
      <c r="C1113" s="382" t="s">
        <v>1222</v>
      </c>
      <c r="D1113" s="387">
        <v>0.95</v>
      </c>
      <c r="E1113" s="389"/>
      <c r="F1113" s="398">
        <v>0.9</v>
      </c>
      <c r="G1113" s="387"/>
      <c r="H1113" s="387"/>
      <c r="I1113" s="387"/>
      <c r="J1113" s="387"/>
      <c r="K1113" s="378" t="s">
        <v>549</v>
      </c>
      <c r="L1113" s="378"/>
      <c r="M1113" s="379">
        <f>IFERROR(MIN(MAX(0,IF(K1113="N/A",0,IF((D1113=E1113),5,5-QUOTIENT(D1113,E1113)))), MAX(0,IF(K1113="N/A",0,IF((F1113=G1113),5,5-QUOTIENT(F1113,G1113))))),0)</f>
        <v>0</v>
      </c>
      <c r="N1113" s="378">
        <f>IF(K1113="N/A", 1, 2)</f>
        <v>1</v>
      </c>
      <c r="O1113" s="379">
        <f t="shared" si="253"/>
        <v>1</v>
      </c>
      <c r="P1113" s="378" t="s">
        <v>1147</v>
      </c>
      <c r="Q1113" s="380" t="s">
        <v>1148</v>
      </c>
      <c r="R1113" s="378"/>
    </row>
    <row r="1114" spans="1:18" hidden="1" outlineLevel="1">
      <c r="A1114" s="388" t="s">
        <v>1241</v>
      </c>
      <c r="B1114" s="381"/>
      <c r="C1114" s="382"/>
      <c r="D1114" s="398"/>
      <c r="E1114" s="389"/>
      <c r="F1114" s="398"/>
      <c r="G1114" s="387"/>
      <c r="H1114" s="387"/>
      <c r="I1114" s="387"/>
      <c r="J1114" s="387"/>
      <c r="K1114" s="378"/>
      <c r="L1114" s="378"/>
      <c r="M1114" s="379">
        <f>M1115</f>
        <v>0</v>
      </c>
      <c r="N1114" s="378">
        <f>N1115</f>
        <v>2</v>
      </c>
      <c r="O1114" s="379">
        <f t="shared" si="253"/>
        <v>2</v>
      </c>
      <c r="P1114" s="378" t="s">
        <v>1147</v>
      </c>
      <c r="Q1114" s="380" t="s">
        <v>1148</v>
      </c>
      <c r="R1114" s="378"/>
    </row>
    <row r="1115" spans="1:18" hidden="1" outlineLevel="1">
      <c r="A1115" s="406"/>
      <c r="B1115" s="388" t="s">
        <v>1242</v>
      </c>
      <c r="C1115" s="382" t="s">
        <v>1222</v>
      </c>
      <c r="D1115" s="387">
        <v>0.95</v>
      </c>
      <c r="E1115" s="389"/>
      <c r="F1115" s="398">
        <v>0.9</v>
      </c>
      <c r="G1115" s="387"/>
      <c r="H1115" s="387"/>
      <c r="I1115" s="387"/>
      <c r="J1115" s="387"/>
      <c r="K1115" s="378">
        <v>1</v>
      </c>
      <c r="L1115" s="378"/>
      <c r="M1115" s="379">
        <f>IFERROR(MIN(MAX(0,IF(K1115="N/A",0,IF((D1115=E1115),5,5-QUOTIENT(D1115,E1115)))), MAX(0,IF(K1115="N/A",0,IF((F1115=G1115),5,5-QUOTIENT(F1115,G1115))))),0)</f>
        <v>0</v>
      </c>
      <c r="N1115" s="378">
        <f>IF(K1115="N/A", 1, 2)</f>
        <v>2</v>
      </c>
      <c r="O1115" s="379">
        <f t="shared" si="253"/>
        <v>2</v>
      </c>
      <c r="P1115" s="378" t="s">
        <v>1147</v>
      </c>
      <c r="Q1115" s="380" t="s">
        <v>1148</v>
      </c>
      <c r="R1115" s="378"/>
    </row>
    <row r="1116" spans="1:18" hidden="1" outlineLevel="1">
      <c r="A1116" s="388" t="s">
        <v>1243</v>
      </c>
      <c r="B1116" s="381"/>
      <c r="C1116" s="382"/>
      <c r="D1116" s="398"/>
      <c r="E1116" s="389"/>
      <c r="F1116" s="398"/>
      <c r="G1116" s="387"/>
      <c r="H1116" s="387"/>
      <c r="I1116" s="387"/>
      <c r="J1116" s="387"/>
      <c r="K1116" s="378"/>
      <c r="L1116" s="378"/>
      <c r="M1116" s="379">
        <f>IFERROR(MIN(M1117:M1123),0)</f>
        <v>0</v>
      </c>
      <c r="N1116" s="378">
        <f>N1117</f>
        <v>2</v>
      </c>
      <c r="O1116" s="379">
        <f>MAX(M1116:N1116)</f>
        <v>2</v>
      </c>
      <c r="P1116" s="378" t="s">
        <v>1147</v>
      </c>
      <c r="Q1116" s="380" t="s">
        <v>1148</v>
      </c>
      <c r="R1116" s="378"/>
    </row>
    <row r="1117" spans="1:18" hidden="1" outlineLevel="1">
      <c r="A1117" s="394"/>
      <c r="B1117" s="636" t="s">
        <v>1179</v>
      </c>
      <c r="C1117" s="382" t="s">
        <v>1232</v>
      </c>
      <c r="D1117" s="387">
        <v>0.5</v>
      </c>
      <c r="E1117" s="399"/>
      <c r="F1117" s="387">
        <v>0.5</v>
      </c>
      <c r="G1117" s="387"/>
      <c r="H1117" s="387"/>
      <c r="I1117" s="387"/>
      <c r="J1117" s="387"/>
      <c r="K1117" s="378">
        <v>1</v>
      </c>
      <c r="L1117" s="378"/>
      <c r="M1117" s="379">
        <f t="shared" ref="M1117:M1123" si="255">IFERROR(MIN(MAX(0,IF(K1117="N/A",0,IF((D1117=E1117),5,5-QUOTIENT(D1117,E1117)))), MAX(0,IF(K1117="N/A",0,IF((F1117=G1117),5,5-QUOTIENT(F1117,G1117))))),0)</f>
        <v>0</v>
      </c>
      <c r="N1117" s="378">
        <f>IF(K1117="N/A", 1, 2)</f>
        <v>2</v>
      </c>
      <c r="O1117" s="379">
        <f t="shared" ref="O1117:O1135" si="256">MAX(M1117:N1117)</f>
        <v>2</v>
      </c>
      <c r="P1117" s="378" t="s">
        <v>1147</v>
      </c>
      <c r="Q1117" s="380" t="s">
        <v>1148</v>
      </c>
      <c r="R1117" s="378"/>
    </row>
    <row r="1118" spans="1:18" hidden="1" outlineLevel="1">
      <c r="A1118" s="394"/>
      <c r="B1118" s="637"/>
      <c r="C1118" s="382" t="s">
        <v>1233</v>
      </c>
      <c r="D1118" s="387">
        <v>0.5</v>
      </c>
      <c r="E1118" s="399"/>
      <c r="F1118" s="387">
        <v>0.5</v>
      </c>
      <c r="G1118" s="387"/>
      <c r="H1118" s="387"/>
      <c r="I1118" s="387"/>
      <c r="J1118" s="387"/>
      <c r="K1118" s="378">
        <v>1</v>
      </c>
      <c r="L1118" s="378"/>
      <c r="M1118" s="379">
        <f t="shared" si="255"/>
        <v>0</v>
      </c>
      <c r="N1118" s="378">
        <f t="shared" ref="N1118:N1123" si="257">IF(K1118="N/A", 1, 2)</f>
        <v>2</v>
      </c>
      <c r="O1118" s="379">
        <f t="shared" si="256"/>
        <v>2</v>
      </c>
      <c r="P1118" s="378" t="s">
        <v>1147</v>
      </c>
      <c r="Q1118" s="380" t="s">
        <v>1148</v>
      </c>
      <c r="R1118" s="378"/>
    </row>
    <row r="1119" spans="1:18" hidden="1" outlineLevel="1">
      <c r="A1119" s="394"/>
      <c r="B1119" s="637"/>
      <c r="C1119" s="382" t="s">
        <v>1234</v>
      </c>
      <c r="D1119" s="387">
        <v>0.5</v>
      </c>
      <c r="E1119" s="399"/>
      <c r="F1119" s="387">
        <v>0.5</v>
      </c>
      <c r="G1119" s="387"/>
      <c r="H1119" s="387"/>
      <c r="I1119" s="387"/>
      <c r="J1119" s="387"/>
      <c r="K1119" s="378">
        <v>1</v>
      </c>
      <c r="L1119" s="378"/>
      <c r="M1119" s="379">
        <f t="shared" si="255"/>
        <v>0</v>
      </c>
      <c r="N1119" s="378">
        <f t="shared" si="257"/>
        <v>2</v>
      </c>
      <c r="O1119" s="379">
        <f t="shared" si="256"/>
        <v>2</v>
      </c>
      <c r="P1119" s="378" t="s">
        <v>1147</v>
      </c>
      <c r="Q1119" s="380" t="s">
        <v>1148</v>
      </c>
      <c r="R1119" s="378"/>
    </row>
    <row r="1120" spans="1:18" hidden="1" outlineLevel="1">
      <c r="A1120" s="394"/>
      <c r="B1120" s="637"/>
      <c r="C1120" s="382" t="s">
        <v>1235</v>
      </c>
      <c r="D1120" s="387">
        <v>0.5</v>
      </c>
      <c r="E1120" s="399"/>
      <c r="F1120" s="387">
        <v>0.5</v>
      </c>
      <c r="G1120" s="387"/>
      <c r="H1120" s="387"/>
      <c r="I1120" s="387"/>
      <c r="J1120" s="387"/>
      <c r="K1120" s="378">
        <v>1</v>
      </c>
      <c r="L1120" s="378"/>
      <c r="M1120" s="379">
        <f t="shared" si="255"/>
        <v>0</v>
      </c>
      <c r="N1120" s="378">
        <f t="shared" si="257"/>
        <v>2</v>
      </c>
      <c r="O1120" s="379">
        <f t="shared" si="256"/>
        <v>2</v>
      </c>
      <c r="P1120" s="378" t="s">
        <v>1147</v>
      </c>
      <c r="Q1120" s="380" t="s">
        <v>1148</v>
      </c>
      <c r="R1120" s="378"/>
    </row>
    <row r="1121" spans="1:18" hidden="1" outlineLevel="1">
      <c r="A1121" s="394"/>
      <c r="B1121" s="637"/>
      <c r="C1121" s="382" t="s">
        <v>1236</v>
      </c>
      <c r="D1121" s="387">
        <v>0.5</v>
      </c>
      <c r="E1121" s="399"/>
      <c r="F1121" s="387">
        <v>0.5</v>
      </c>
      <c r="G1121" s="387"/>
      <c r="H1121" s="387"/>
      <c r="I1121" s="387"/>
      <c r="J1121" s="387"/>
      <c r="K1121" s="378" t="s">
        <v>549</v>
      </c>
      <c r="L1121" s="378"/>
      <c r="M1121" s="379">
        <f t="shared" si="255"/>
        <v>0</v>
      </c>
      <c r="N1121" s="378">
        <f t="shared" si="257"/>
        <v>1</v>
      </c>
      <c r="O1121" s="379">
        <f t="shared" si="256"/>
        <v>1</v>
      </c>
      <c r="P1121" s="378" t="s">
        <v>1147</v>
      </c>
      <c r="Q1121" s="380" t="s">
        <v>1148</v>
      </c>
      <c r="R1121" s="378"/>
    </row>
    <row r="1122" spans="1:18" hidden="1" outlineLevel="1">
      <c r="A1122" s="394"/>
      <c r="B1122" s="637"/>
      <c r="C1122" s="382" t="s">
        <v>1237</v>
      </c>
      <c r="D1122" s="387">
        <v>0.5</v>
      </c>
      <c r="E1122" s="399"/>
      <c r="F1122" s="387">
        <v>0.5</v>
      </c>
      <c r="G1122" s="387"/>
      <c r="H1122" s="387"/>
      <c r="I1122" s="387"/>
      <c r="J1122" s="387"/>
      <c r="K1122" s="378" t="s">
        <v>549</v>
      </c>
      <c r="L1122" s="378"/>
      <c r="M1122" s="379">
        <f t="shared" si="255"/>
        <v>0</v>
      </c>
      <c r="N1122" s="378">
        <f t="shared" si="257"/>
        <v>1</v>
      </c>
      <c r="O1122" s="379">
        <f t="shared" si="256"/>
        <v>1</v>
      </c>
      <c r="P1122" s="378" t="s">
        <v>1147</v>
      </c>
      <c r="Q1122" s="380" t="s">
        <v>1148</v>
      </c>
      <c r="R1122" s="378"/>
    </row>
    <row r="1123" spans="1:18" hidden="1" outlineLevel="1">
      <c r="A1123" s="394"/>
      <c r="B1123" s="638"/>
      <c r="C1123" s="382" t="s">
        <v>1238</v>
      </c>
      <c r="D1123" s="387">
        <v>0.5</v>
      </c>
      <c r="E1123" s="399"/>
      <c r="F1123" s="387">
        <v>0.5</v>
      </c>
      <c r="G1123" s="387"/>
      <c r="H1123" s="387"/>
      <c r="I1123" s="387"/>
      <c r="J1123" s="387"/>
      <c r="K1123" s="378" t="s">
        <v>549</v>
      </c>
      <c r="L1123" s="378"/>
      <c r="M1123" s="379">
        <f t="shared" si="255"/>
        <v>0</v>
      </c>
      <c r="N1123" s="378">
        <f t="shared" si="257"/>
        <v>1</v>
      </c>
      <c r="O1123" s="379">
        <f t="shared" si="256"/>
        <v>1</v>
      </c>
      <c r="P1123" s="378" t="s">
        <v>1147</v>
      </c>
      <c r="Q1123" s="380" t="s">
        <v>1148</v>
      </c>
      <c r="R1123" s="378"/>
    </row>
    <row r="1124" spans="1:18" hidden="1" outlineLevel="1">
      <c r="A1124" s="388" t="s">
        <v>1244</v>
      </c>
      <c r="B1124" s="381"/>
      <c r="C1124" s="382"/>
      <c r="D1124" s="398"/>
      <c r="E1124" s="389"/>
      <c r="F1124" s="398"/>
      <c r="G1124" s="387"/>
      <c r="H1124" s="387"/>
      <c r="I1124" s="387"/>
      <c r="J1124" s="387"/>
      <c r="K1124" s="378"/>
      <c r="L1124" s="378"/>
      <c r="M1124" s="379">
        <f>IFERROR(MIN(M1125:M1131),0)</f>
        <v>0</v>
      </c>
      <c r="N1124" s="378">
        <f>N1125</f>
        <v>1</v>
      </c>
      <c r="O1124" s="379">
        <f t="shared" si="256"/>
        <v>1</v>
      </c>
      <c r="P1124" s="378" t="s">
        <v>1147</v>
      </c>
      <c r="Q1124" s="380" t="s">
        <v>1148</v>
      </c>
      <c r="R1124" s="378"/>
    </row>
    <row r="1125" spans="1:18" hidden="1" outlineLevel="1">
      <c r="A1125" s="394"/>
      <c r="B1125" s="636" t="s">
        <v>1245</v>
      </c>
      <c r="C1125" s="382" t="s">
        <v>1246</v>
      </c>
      <c r="D1125" s="387">
        <v>0.5</v>
      </c>
      <c r="E1125" s="399"/>
      <c r="F1125" s="387">
        <v>0.5</v>
      </c>
      <c r="G1125" s="387"/>
      <c r="H1125" s="387"/>
      <c r="I1125" s="387"/>
      <c r="J1125" s="387"/>
      <c r="K1125" s="378" t="s">
        <v>549</v>
      </c>
      <c r="L1125" s="378"/>
      <c r="M1125" s="379">
        <f t="shared" ref="M1125:M1131" si="258">IFERROR(MIN(MAX(0,IF(K1125="N/A",0,IF((D1125=E1125),5,5-QUOTIENT(D1125,E1125)))), MAX(0,IF(K1125="N/A",0,IF((F1125=G1125),5,5-QUOTIENT(F1125,G1125))))),0)</f>
        <v>0</v>
      </c>
      <c r="N1125" s="378">
        <f>IF(K1125="N/A", 1, 2)</f>
        <v>1</v>
      </c>
      <c r="O1125" s="379">
        <f t="shared" si="256"/>
        <v>1</v>
      </c>
      <c r="P1125" s="378" t="s">
        <v>1147</v>
      </c>
      <c r="Q1125" s="380" t="s">
        <v>1148</v>
      </c>
      <c r="R1125" s="378"/>
    </row>
    <row r="1126" spans="1:18" hidden="1" outlineLevel="1">
      <c r="A1126" s="394"/>
      <c r="B1126" s="637"/>
      <c r="C1126" s="382" t="s">
        <v>1247</v>
      </c>
      <c r="D1126" s="387">
        <v>0.5</v>
      </c>
      <c r="E1126" s="399"/>
      <c r="F1126" s="387">
        <v>0.5</v>
      </c>
      <c r="G1126" s="387"/>
      <c r="H1126" s="387"/>
      <c r="I1126" s="387"/>
      <c r="J1126" s="387"/>
      <c r="K1126" s="378" t="s">
        <v>549</v>
      </c>
      <c r="L1126" s="378"/>
      <c r="M1126" s="379">
        <f t="shared" si="258"/>
        <v>0</v>
      </c>
      <c r="N1126" s="378">
        <f t="shared" ref="N1126:N1131" si="259">IF(K1126="N/A", 1, 2)</f>
        <v>1</v>
      </c>
      <c r="O1126" s="379">
        <f t="shared" si="256"/>
        <v>1</v>
      </c>
      <c r="P1126" s="378" t="s">
        <v>1147</v>
      </c>
      <c r="Q1126" s="380" t="s">
        <v>1148</v>
      </c>
      <c r="R1126" s="378"/>
    </row>
    <row r="1127" spans="1:18" hidden="1" outlineLevel="1">
      <c r="A1127" s="394"/>
      <c r="B1127" s="637"/>
      <c r="C1127" s="382" t="s">
        <v>1248</v>
      </c>
      <c r="D1127" s="387">
        <v>0.5</v>
      </c>
      <c r="E1127" s="399"/>
      <c r="F1127" s="387">
        <v>0.5</v>
      </c>
      <c r="G1127" s="387"/>
      <c r="H1127" s="387"/>
      <c r="I1127" s="387"/>
      <c r="J1127" s="387"/>
      <c r="K1127" s="378" t="s">
        <v>549</v>
      </c>
      <c r="L1127" s="378"/>
      <c r="M1127" s="379">
        <f t="shared" si="258"/>
        <v>0</v>
      </c>
      <c r="N1127" s="378">
        <f t="shared" si="259"/>
        <v>1</v>
      </c>
      <c r="O1127" s="379">
        <f t="shared" si="256"/>
        <v>1</v>
      </c>
      <c r="P1127" s="378" t="s">
        <v>1147</v>
      </c>
      <c r="Q1127" s="380" t="s">
        <v>1148</v>
      </c>
      <c r="R1127" s="378"/>
    </row>
    <row r="1128" spans="1:18" hidden="1" outlineLevel="1">
      <c r="A1128" s="394"/>
      <c r="B1128" s="637"/>
      <c r="C1128" s="382" t="s">
        <v>1249</v>
      </c>
      <c r="D1128" s="387">
        <v>0.5</v>
      </c>
      <c r="E1128" s="399"/>
      <c r="F1128" s="387">
        <v>0.5</v>
      </c>
      <c r="G1128" s="387"/>
      <c r="H1128" s="387"/>
      <c r="I1128" s="387"/>
      <c r="J1128" s="387"/>
      <c r="K1128" s="378" t="s">
        <v>549</v>
      </c>
      <c r="L1128" s="378"/>
      <c r="M1128" s="379">
        <f t="shared" si="258"/>
        <v>0</v>
      </c>
      <c r="N1128" s="378">
        <f t="shared" si="259"/>
        <v>1</v>
      </c>
      <c r="O1128" s="379">
        <f t="shared" si="256"/>
        <v>1</v>
      </c>
      <c r="P1128" s="378" t="s">
        <v>1147</v>
      </c>
      <c r="Q1128" s="380" t="s">
        <v>1148</v>
      </c>
      <c r="R1128" s="378"/>
    </row>
    <row r="1129" spans="1:18" hidden="1" outlineLevel="1">
      <c r="A1129" s="394"/>
      <c r="B1129" s="637"/>
      <c r="C1129" s="382" t="s">
        <v>1250</v>
      </c>
      <c r="D1129" s="387">
        <v>0.5</v>
      </c>
      <c r="E1129" s="399"/>
      <c r="F1129" s="387">
        <v>0.5</v>
      </c>
      <c r="G1129" s="387"/>
      <c r="H1129" s="387"/>
      <c r="I1129" s="387"/>
      <c r="J1129" s="387"/>
      <c r="K1129" s="378" t="s">
        <v>549</v>
      </c>
      <c r="L1129" s="378"/>
      <c r="M1129" s="379">
        <f t="shared" si="258"/>
        <v>0</v>
      </c>
      <c r="N1129" s="378">
        <f t="shared" si="259"/>
        <v>1</v>
      </c>
      <c r="O1129" s="379">
        <f t="shared" si="256"/>
        <v>1</v>
      </c>
      <c r="P1129" s="378" t="s">
        <v>1147</v>
      </c>
      <c r="Q1129" s="380" t="s">
        <v>1148</v>
      </c>
      <c r="R1129" s="378"/>
    </row>
    <row r="1130" spans="1:18" hidden="1" outlineLevel="1">
      <c r="A1130" s="394"/>
      <c r="B1130" s="637"/>
      <c r="C1130" s="382" t="s">
        <v>1251</v>
      </c>
      <c r="D1130" s="387">
        <v>0.5</v>
      </c>
      <c r="E1130" s="399"/>
      <c r="F1130" s="387">
        <v>0.5</v>
      </c>
      <c r="G1130" s="387"/>
      <c r="H1130" s="387"/>
      <c r="I1130" s="387"/>
      <c r="J1130" s="387"/>
      <c r="K1130" s="378" t="s">
        <v>549</v>
      </c>
      <c r="L1130" s="378"/>
      <c r="M1130" s="379">
        <f t="shared" si="258"/>
        <v>0</v>
      </c>
      <c r="N1130" s="378">
        <f t="shared" si="259"/>
        <v>1</v>
      </c>
      <c r="O1130" s="379">
        <f t="shared" si="256"/>
        <v>1</v>
      </c>
      <c r="P1130" s="378" t="s">
        <v>1147</v>
      </c>
      <c r="Q1130" s="380" t="s">
        <v>1148</v>
      </c>
      <c r="R1130" s="378"/>
    </row>
    <row r="1131" spans="1:18" hidden="1" outlineLevel="1">
      <c r="A1131" s="394"/>
      <c r="B1131" s="638"/>
      <c r="C1131" s="382" t="s">
        <v>1252</v>
      </c>
      <c r="D1131" s="387">
        <v>0.5</v>
      </c>
      <c r="E1131" s="399"/>
      <c r="F1131" s="387">
        <v>0.5</v>
      </c>
      <c r="G1131" s="387"/>
      <c r="H1131" s="387"/>
      <c r="I1131" s="387"/>
      <c r="J1131" s="387"/>
      <c r="K1131" s="378" t="s">
        <v>549</v>
      </c>
      <c r="L1131" s="378"/>
      <c r="M1131" s="379">
        <f t="shared" si="258"/>
        <v>0</v>
      </c>
      <c r="N1131" s="378">
        <f t="shared" si="259"/>
        <v>1</v>
      </c>
      <c r="O1131" s="379">
        <f t="shared" si="256"/>
        <v>1</v>
      </c>
      <c r="P1131" s="378" t="s">
        <v>1147</v>
      </c>
      <c r="Q1131" s="380" t="s">
        <v>1148</v>
      </c>
      <c r="R1131" s="378"/>
    </row>
    <row r="1132" spans="1:18" hidden="1" outlineLevel="1">
      <c r="A1132" s="388" t="s">
        <v>1253</v>
      </c>
      <c r="B1132" s="381"/>
      <c r="C1132" s="382"/>
      <c r="D1132" s="398"/>
      <c r="E1132" s="389"/>
      <c r="F1132" s="398"/>
      <c r="G1132" s="387"/>
      <c r="H1132" s="387"/>
      <c r="I1132" s="387"/>
      <c r="J1132" s="387"/>
      <c r="K1132" s="378"/>
      <c r="L1132" s="378"/>
      <c r="M1132" s="379">
        <f>M1133</f>
        <v>0</v>
      </c>
      <c r="N1132" s="378">
        <f>N1133</f>
        <v>2</v>
      </c>
      <c r="O1132" s="379">
        <f t="shared" si="256"/>
        <v>2</v>
      </c>
      <c r="P1132" s="378" t="s">
        <v>1147</v>
      </c>
      <c r="Q1132" s="380" t="s">
        <v>1148</v>
      </c>
      <c r="R1132" s="378"/>
    </row>
    <row r="1133" spans="1:18" hidden="1" outlineLevel="1">
      <c r="A1133" s="406"/>
      <c r="B1133" s="388" t="s">
        <v>1254</v>
      </c>
      <c r="C1133" s="382" t="s">
        <v>1222</v>
      </c>
      <c r="D1133" s="387">
        <v>0.5</v>
      </c>
      <c r="E1133" s="389"/>
      <c r="F1133" s="398">
        <v>0.5</v>
      </c>
      <c r="G1133" s="387"/>
      <c r="H1133" s="387"/>
      <c r="I1133" s="387"/>
      <c r="J1133" s="387"/>
      <c r="K1133" s="378">
        <v>1</v>
      </c>
      <c r="L1133" s="378"/>
      <c r="M1133" s="379">
        <f>IFERROR(MIN(MAX(0,IF(K1133="N/A",0,IF((D1133=E1133),5,5-QUOTIENT(D1133,E1133)))), MAX(0,IF(K1133="N/A",0,IF((F1133=G1133),5,5-QUOTIENT(F1133,G1133))))),0)</f>
        <v>0</v>
      </c>
      <c r="N1133" s="378">
        <f>IF(K1133="N/A", 1, 2)</f>
        <v>2</v>
      </c>
      <c r="O1133" s="379">
        <f t="shared" si="256"/>
        <v>2</v>
      </c>
      <c r="P1133" s="378" t="s">
        <v>1147</v>
      </c>
      <c r="Q1133" s="380" t="s">
        <v>1148</v>
      </c>
      <c r="R1133" s="378"/>
    </row>
    <row r="1134" spans="1:18" hidden="1" outlineLevel="1">
      <c r="A1134" s="388" t="s">
        <v>1255</v>
      </c>
      <c r="B1134" s="381"/>
      <c r="C1134" s="382"/>
      <c r="D1134" s="398"/>
      <c r="E1134" s="389"/>
      <c r="F1134" s="398"/>
      <c r="G1134" s="387"/>
      <c r="H1134" s="387"/>
      <c r="I1134" s="387"/>
      <c r="J1134" s="387"/>
      <c r="K1134" s="378"/>
      <c r="L1134" s="378"/>
      <c r="M1134" s="379">
        <f>M1135</f>
        <v>0</v>
      </c>
      <c r="N1134" s="378">
        <f>N1135</f>
        <v>2</v>
      </c>
      <c r="O1134" s="379">
        <f t="shared" si="256"/>
        <v>2</v>
      </c>
      <c r="P1134" s="378" t="s">
        <v>1147</v>
      </c>
      <c r="Q1134" s="380" t="s">
        <v>1148</v>
      </c>
      <c r="R1134" s="378"/>
    </row>
    <row r="1135" spans="1:18" hidden="1" outlineLevel="1">
      <c r="A1135" s="406"/>
      <c r="B1135" s="388" t="s">
        <v>1256</v>
      </c>
      <c r="C1135" s="382" t="s">
        <v>1222</v>
      </c>
      <c r="D1135" s="387">
        <v>0.5</v>
      </c>
      <c r="E1135" s="389"/>
      <c r="F1135" s="398">
        <v>0.5</v>
      </c>
      <c r="G1135" s="387"/>
      <c r="H1135" s="387"/>
      <c r="I1135" s="387"/>
      <c r="J1135" s="387"/>
      <c r="K1135" s="378">
        <v>1</v>
      </c>
      <c r="L1135" s="378"/>
      <c r="M1135" s="379">
        <f>IFERROR(MIN(MAX(0,IF(K1135="N/A",0,IF((D1135=E1135),5,5-QUOTIENT(D1135,E1135)))), MAX(0,IF(K1135="N/A",0,IF((F1135=G1135),5,5-QUOTIENT(F1135,G1135))))),0)</f>
        <v>0</v>
      </c>
      <c r="N1135" s="378">
        <f>IF(K1135="N/A", 1, 2)</f>
        <v>2</v>
      </c>
      <c r="O1135" s="379">
        <f t="shared" si="256"/>
        <v>2</v>
      </c>
      <c r="P1135" s="378" t="s">
        <v>1147</v>
      </c>
      <c r="Q1135" s="380" t="s">
        <v>1148</v>
      </c>
      <c r="R1135" s="378"/>
    </row>
    <row r="1136" spans="1:18" hidden="1" outlineLevel="1">
      <c r="A1136" s="388" t="s">
        <v>1257</v>
      </c>
      <c r="B1136" s="381"/>
      <c r="C1136" s="399"/>
      <c r="D1136" s="398"/>
      <c r="E1136" s="389"/>
      <c r="F1136" s="398"/>
      <c r="G1136" s="387"/>
      <c r="H1136" s="387"/>
      <c r="I1136" s="387"/>
      <c r="J1136" s="387"/>
      <c r="K1136" s="378"/>
      <c r="L1136" s="378"/>
      <c r="M1136" s="379">
        <f>M1137</f>
        <v>0</v>
      </c>
      <c r="N1136" s="378">
        <f>N1137</f>
        <v>2</v>
      </c>
      <c r="O1136" s="379">
        <f>MAX(M1136:N1136)</f>
        <v>2</v>
      </c>
      <c r="P1136" s="378" t="s">
        <v>1147</v>
      </c>
      <c r="Q1136" s="380" t="s">
        <v>1148</v>
      </c>
      <c r="R1136" s="378"/>
    </row>
    <row r="1137" spans="1:18" hidden="1" outlineLevel="1">
      <c r="A1137" s="406"/>
      <c r="B1137" s="388" t="s">
        <v>673</v>
      </c>
      <c r="C1137" s="382" t="s">
        <v>1222</v>
      </c>
      <c r="D1137" s="387">
        <v>0.5</v>
      </c>
      <c r="E1137" s="389"/>
      <c r="F1137" s="398">
        <v>0.5</v>
      </c>
      <c r="G1137" s="387"/>
      <c r="H1137" s="387"/>
      <c r="I1137" s="387"/>
      <c r="J1137" s="387"/>
      <c r="K1137" s="378">
        <v>1</v>
      </c>
      <c r="L1137" s="378"/>
      <c r="M1137" s="379">
        <f>IFERROR(MIN(MAX(0,IF(K1137="N/A",0,IF((D1137=E1137),5,5-QUOTIENT(D1137,E1137)))), MAX(0,IF(K1137="N/A",0,IF((F1137=G1137),5,5-QUOTIENT(F1137,G1137))))),0)</f>
        <v>0</v>
      </c>
      <c r="N1137" s="378">
        <f>IF(K1137="N/A", 1, 2)</f>
        <v>2</v>
      </c>
      <c r="O1137" s="379">
        <f t="shared" ref="O1137" si="260">MAX(M1137:N1137)</f>
        <v>2</v>
      </c>
      <c r="P1137" s="378" t="s">
        <v>1147</v>
      </c>
      <c r="Q1137" s="380" t="s">
        <v>1148</v>
      </c>
      <c r="R1137" s="378"/>
    </row>
    <row r="1138" spans="1:18" hidden="1" outlineLevel="1">
      <c r="A1138" s="388" t="s">
        <v>1258</v>
      </c>
      <c r="B1138" s="381"/>
      <c r="C1138" s="399"/>
      <c r="D1138" s="398"/>
      <c r="E1138" s="389"/>
      <c r="F1138" s="398"/>
      <c r="G1138" s="387"/>
      <c r="H1138" s="387"/>
      <c r="I1138" s="387"/>
      <c r="J1138" s="387"/>
      <c r="K1138" s="378"/>
      <c r="L1138" s="378"/>
      <c r="M1138" s="379">
        <f>M1139</f>
        <v>0</v>
      </c>
      <c r="N1138" s="378">
        <f>N1139</f>
        <v>2</v>
      </c>
      <c r="O1138" s="379">
        <f>MAX(M1138:N1138)</f>
        <v>2</v>
      </c>
      <c r="P1138" s="378" t="s">
        <v>1147</v>
      </c>
      <c r="Q1138" s="380" t="s">
        <v>1148</v>
      </c>
      <c r="R1138" s="378"/>
    </row>
    <row r="1139" spans="1:18" hidden="1" outlineLevel="1">
      <c r="A1139" s="406"/>
      <c r="B1139" s="388" t="s">
        <v>1259</v>
      </c>
      <c r="C1139" s="382" t="s">
        <v>1222</v>
      </c>
      <c r="D1139" s="387">
        <v>0.5</v>
      </c>
      <c r="E1139" s="389"/>
      <c r="F1139" s="398">
        <v>0.5</v>
      </c>
      <c r="G1139" s="387"/>
      <c r="H1139" s="387"/>
      <c r="I1139" s="387"/>
      <c r="J1139" s="387"/>
      <c r="K1139" s="378">
        <v>1</v>
      </c>
      <c r="L1139" s="378"/>
      <c r="M1139" s="379">
        <f>IFERROR(MIN(MAX(0,IF(K1139="N/A",0,IF((D1139=E1139),5,5-QUOTIENT(D1139,E1139)))), MAX(0,IF(K1139="N/A",0,IF((F1139=G1139),5,5-QUOTIENT(F1139,G1139))))),0)</f>
        <v>0</v>
      </c>
      <c r="N1139" s="378">
        <f>IF(K1139="N/A", 1, 2)</f>
        <v>2</v>
      </c>
      <c r="O1139" s="379">
        <f t="shared" ref="O1139" si="261">MAX(M1139:N1139)</f>
        <v>2</v>
      </c>
      <c r="P1139" s="378" t="s">
        <v>1147</v>
      </c>
      <c r="Q1139" s="380" t="s">
        <v>1148</v>
      </c>
      <c r="R1139" s="378"/>
    </row>
    <row r="1140" spans="1:18" hidden="1" outlineLevel="1">
      <c r="A1140" s="388" t="s">
        <v>1260</v>
      </c>
      <c r="B1140" s="381"/>
      <c r="C1140" s="399"/>
      <c r="D1140" s="398"/>
      <c r="E1140" s="389"/>
      <c r="F1140" s="398"/>
      <c r="G1140" s="387"/>
      <c r="H1140" s="387"/>
      <c r="I1140" s="387"/>
      <c r="J1140" s="387"/>
      <c r="K1140" s="378"/>
      <c r="L1140" s="378"/>
      <c r="M1140" s="379">
        <f>M1141</f>
        <v>2</v>
      </c>
      <c r="N1140" s="378">
        <f>N1141</f>
        <v>2</v>
      </c>
      <c r="O1140" s="379">
        <f>MAX(M1140:N1140)</f>
        <v>2</v>
      </c>
      <c r="P1140" s="410" t="s">
        <v>1261</v>
      </c>
      <c r="Q1140" s="411" t="s">
        <v>1262</v>
      </c>
      <c r="R1140" s="378"/>
    </row>
    <row r="1141" spans="1:18" hidden="1" outlineLevel="1">
      <c r="A1141" s="412"/>
      <c r="B1141" s="388" t="s">
        <v>1263</v>
      </c>
      <c r="C1141" s="413" t="s">
        <v>1264</v>
      </c>
      <c r="D1141" s="414">
        <v>5</v>
      </c>
      <c r="E1141" s="414">
        <v>2</v>
      </c>
      <c r="F1141" s="414">
        <v>5</v>
      </c>
      <c r="G1141" s="391">
        <v>2</v>
      </c>
      <c r="H1141" s="391"/>
      <c r="I1141" s="391"/>
      <c r="J1141" s="391"/>
      <c r="K1141" s="378">
        <v>2</v>
      </c>
      <c r="L1141" s="378"/>
      <c r="M1141" s="379">
        <f>IFERROR(MIN(MAX(0,IF(K1141="N/A",0,IF((D1141=E1141),5,5-QUOTIENT(D1141,E1141)-1))), MAX(0,IF(K1141="N/A",0,IF((F1141=G1141),5,5-QUOTIENT(F1141,G1141)-1)))),0)</f>
        <v>2</v>
      </c>
      <c r="N1141" s="378">
        <f>IF(K1141="N/A", 1, 2)</f>
        <v>2</v>
      </c>
      <c r="O1141" s="379">
        <f t="shared" ref="O1141:O1142" si="262">MAX(M1141:N1141)</f>
        <v>2</v>
      </c>
      <c r="P1141" s="410" t="s">
        <v>1261</v>
      </c>
      <c r="Q1141" s="411" t="s">
        <v>1262</v>
      </c>
      <c r="R1141" s="378"/>
    </row>
    <row r="1142" spans="1:18" hidden="1" outlineLevel="1">
      <c r="A1142" s="415" t="s">
        <v>1265</v>
      </c>
      <c r="B1142" s="416" t="s">
        <v>767</v>
      </c>
      <c r="C1142" s="413" t="s">
        <v>1264</v>
      </c>
      <c r="D1142" s="414">
        <v>5</v>
      </c>
      <c r="E1142" s="414">
        <v>2</v>
      </c>
      <c r="F1142" s="414">
        <v>5</v>
      </c>
      <c r="G1142" s="391">
        <v>2</v>
      </c>
      <c r="H1142" s="391"/>
      <c r="I1142" s="391"/>
      <c r="J1142" s="391"/>
      <c r="K1142" s="378">
        <v>2</v>
      </c>
      <c r="L1142" s="378"/>
      <c r="M1142" s="379">
        <f>IFERROR(MIN(MAX(0,IF(K1142="N/A",0,IF((D1142=E1142),5,5-QUOTIENT(D1142,E1142)-1))), MAX(0,IF(K1142="N/A",0,IF((F1142=G1142),5,5-QUOTIENT(F1142,G1142)-1)))),0)</f>
        <v>2</v>
      </c>
      <c r="N1142" s="378">
        <f>IF(K1142="N/A", 1, 2)</f>
        <v>2</v>
      </c>
      <c r="O1142" s="379">
        <f t="shared" si="262"/>
        <v>2</v>
      </c>
      <c r="P1142" s="410" t="s">
        <v>1261</v>
      </c>
      <c r="Q1142" s="411" t="s">
        <v>1262</v>
      </c>
      <c r="R1142" s="378"/>
    </row>
    <row r="1143" spans="1:18" collapsed="1">
      <c r="A1143" s="362" t="s">
        <v>1277</v>
      </c>
      <c r="B1143" s="646"/>
      <c r="D1143" s="364"/>
      <c r="E1143" s="364"/>
      <c r="F1143" s="371"/>
      <c r="G1143" s="364"/>
      <c r="H1143" s="364"/>
      <c r="I1143" s="364"/>
      <c r="J1143" s="364"/>
      <c r="K1143" s="364"/>
      <c r="L1143" s="364"/>
      <c r="M1143" s="371"/>
      <c r="N1143" s="364"/>
      <c r="O1143" s="371"/>
      <c r="P1143" s="364"/>
      <c r="Q1143" s="364"/>
    </row>
    <row r="1144" spans="1:18">
      <c r="B1144" s="646"/>
      <c r="D1144" s="364"/>
      <c r="E1144" s="417"/>
      <c r="F1144" s="418"/>
      <c r="G1144" s="364"/>
      <c r="H1144" s="364"/>
      <c r="I1144" s="364"/>
      <c r="J1144" s="364"/>
      <c r="K1144" s="364"/>
      <c r="L1144" s="364"/>
      <c r="M1144" s="371"/>
      <c r="N1144" s="364"/>
      <c r="O1144" s="371"/>
      <c r="P1144" s="364"/>
      <c r="Q1144" s="364"/>
      <c r="R1144" s="364"/>
    </row>
    <row r="1145" spans="1:18">
      <c r="B1145" s="646"/>
      <c r="D1145" s="364"/>
      <c r="E1145" s="417"/>
      <c r="F1145" s="418"/>
      <c r="G1145" s="364"/>
      <c r="H1145" s="364"/>
      <c r="I1145" s="364"/>
      <c r="J1145" s="364"/>
      <c r="K1145" s="364"/>
      <c r="L1145" s="364"/>
      <c r="M1145" s="371"/>
      <c r="N1145" s="364"/>
      <c r="O1145" s="371"/>
      <c r="P1145" s="364"/>
      <c r="Q1145" s="364"/>
      <c r="R1145" s="364"/>
    </row>
    <row r="1146" spans="1:18" hidden="1" outlineLevel="1">
      <c r="A1146" s="362"/>
      <c r="C1146" s="363"/>
      <c r="D1146" s="628" t="s">
        <v>1132</v>
      </c>
      <c r="E1146" s="629"/>
      <c r="F1146" s="628" t="s">
        <v>1133</v>
      </c>
      <c r="G1146" s="629"/>
      <c r="H1146" s="370"/>
      <c r="I1146" s="370"/>
      <c r="J1146" s="370"/>
      <c r="K1146" s="364"/>
      <c r="L1146" s="364"/>
      <c r="M1146" s="371"/>
      <c r="N1146" s="364"/>
      <c r="O1146" s="371"/>
      <c r="P1146" s="364"/>
      <c r="Q1146" s="364"/>
    </row>
    <row r="1147" spans="1:18" hidden="1" outlineLevel="1">
      <c r="A1147" s="372" t="s">
        <v>1134</v>
      </c>
      <c r="B1147" s="373" t="s">
        <v>1135</v>
      </c>
      <c r="C1147" s="373" t="s">
        <v>1136</v>
      </c>
      <c r="D1147" s="373" t="s">
        <v>1137</v>
      </c>
      <c r="E1147" s="373" t="s">
        <v>1138</v>
      </c>
      <c r="F1147" s="374" t="s">
        <v>1137</v>
      </c>
      <c r="G1147" s="373" t="s">
        <v>1138</v>
      </c>
      <c r="H1147" s="373" t="s">
        <v>1268</v>
      </c>
      <c r="I1147" s="373" t="s">
        <v>1269</v>
      </c>
      <c r="J1147" s="373" t="s">
        <v>1270</v>
      </c>
      <c r="K1147" s="375" t="s">
        <v>1139</v>
      </c>
      <c r="L1147" s="375" t="s">
        <v>1271</v>
      </c>
      <c r="M1147" s="374" t="s">
        <v>1140</v>
      </c>
      <c r="N1147" s="373" t="s">
        <v>1141</v>
      </c>
      <c r="O1147" s="374" t="s">
        <v>1142</v>
      </c>
      <c r="P1147" s="373" t="s">
        <v>1143</v>
      </c>
      <c r="Q1147" s="373" t="s">
        <v>1144</v>
      </c>
      <c r="R1147" s="373" t="s">
        <v>1145</v>
      </c>
    </row>
    <row r="1148" spans="1:18" hidden="1" outlineLevel="1">
      <c r="A1148" s="376" t="s">
        <v>1146</v>
      </c>
      <c r="B1148" s="630"/>
      <c r="C1148" s="631"/>
      <c r="D1148" s="631"/>
      <c r="E1148" s="631"/>
      <c r="F1148" s="631"/>
      <c r="G1148" s="632"/>
      <c r="H1148" s="377"/>
      <c r="I1148" s="377"/>
      <c r="J1148" s="377"/>
      <c r="K1148" s="378"/>
      <c r="L1148" s="378"/>
      <c r="M1148" s="379">
        <f>IFERROR(MIN(M1149:M1167),0)</f>
        <v>0</v>
      </c>
      <c r="N1148" s="378">
        <f>N1149</f>
        <v>2</v>
      </c>
      <c r="O1148" s="379">
        <f>MAX(M1148:N1148)</f>
        <v>2</v>
      </c>
      <c r="P1148" s="378" t="s">
        <v>1147</v>
      </c>
      <c r="Q1148" s="380" t="s">
        <v>1148</v>
      </c>
      <c r="R1148" s="378"/>
    </row>
    <row r="1149" spans="1:18" hidden="1" outlineLevel="1">
      <c r="A1149" s="376"/>
      <c r="B1149" s="381" t="s">
        <v>1149</v>
      </c>
      <c r="C1149" s="382" t="s">
        <v>1150</v>
      </c>
      <c r="D1149" s="378">
        <v>99</v>
      </c>
      <c r="E1149" s="383"/>
      <c r="F1149" s="384">
        <v>90</v>
      </c>
      <c r="G1149" s="378"/>
      <c r="H1149" s="378"/>
      <c r="I1149" s="378"/>
      <c r="J1149" s="378"/>
      <c r="K1149" s="378">
        <v>1</v>
      </c>
      <c r="L1149" s="378"/>
      <c r="M1149" s="379">
        <f t="shared" ref="M1149:M1167" si="263">IFERROR(MIN(MAX(0,IF(K1149="N/A",0,IF((D1149=E1149),5,5-QUOTIENT(D1149,E1149)))), MAX(0,IF(K1149="N/A",0,IF((F1149=G1149),5,5-QUOTIENT(F1149,G1149))))),0)</f>
        <v>0</v>
      </c>
      <c r="N1149" s="378">
        <f>IF(K1149="N/A", 1, 2)</f>
        <v>2</v>
      </c>
      <c r="O1149" s="379">
        <f>MAX(M1149:N1149)</f>
        <v>2</v>
      </c>
      <c r="P1149" s="378" t="s">
        <v>1147</v>
      </c>
      <c r="Q1149" s="380" t="s">
        <v>1148</v>
      </c>
      <c r="R1149" s="378"/>
    </row>
    <row r="1150" spans="1:18" hidden="1" outlineLevel="1">
      <c r="A1150" s="376"/>
      <c r="B1150" s="633" t="s">
        <v>1151</v>
      </c>
      <c r="C1150" s="382" t="s">
        <v>1152</v>
      </c>
      <c r="D1150" s="378">
        <v>5</v>
      </c>
      <c r="E1150" s="383"/>
      <c r="F1150" s="384">
        <v>5</v>
      </c>
      <c r="G1150" s="378"/>
      <c r="H1150" s="378"/>
      <c r="I1150" s="378"/>
      <c r="J1150" s="378"/>
      <c r="K1150" s="378">
        <v>1</v>
      </c>
      <c r="L1150" s="378"/>
      <c r="M1150" s="379">
        <f t="shared" si="263"/>
        <v>0</v>
      </c>
      <c r="N1150" s="378">
        <f t="shared" ref="N1150:N1167" si="264">IF(K1150="N/A", 1, 2)</f>
        <v>2</v>
      </c>
      <c r="O1150" s="379">
        <f t="shared" ref="O1150:O1195" si="265">MAX(M1150:N1150)</f>
        <v>2</v>
      </c>
      <c r="P1150" s="378" t="s">
        <v>1147</v>
      </c>
      <c r="Q1150" s="380" t="s">
        <v>1148</v>
      </c>
      <c r="R1150" s="378"/>
    </row>
    <row r="1151" spans="1:18" hidden="1" outlineLevel="1">
      <c r="A1151" s="376"/>
      <c r="B1151" s="634"/>
      <c r="C1151" s="382" t="s">
        <v>1153</v>
      </c>
      <c r="D1151" s="378">
        <v>5</v>
      </c>
      <c r="E1151" s="383"/>
      <c r="F1151" s="384">
        <v>5</v>
      </c>
      <c r="G1151" s="378"/>
      <c r="H1151" s="378"/>
      <c r="I1151" s="378"/>
      <c r="J1151" s="378"/>
      <c r="K1151" s="378">
        <v>1</v>
      </c>
      <c r="L1151" s="378"/>
      <c r="M1151" s="379">
        <f t="shared" si="263"/>
        <v>0</v>
      </c>
      <c r="N1151" s="378">
        <f t="shared" si="264"/>
        <v>2</v>
      </c>
      <c r="O1151" s="379">
        <f t="shared" si="265"/>
        <v>2</v>
      </c>
      <c r="P1151" s="378" t="s">
        <v>1147</v>
      </c>
      <c r="Q1151" s="380" t="s">
        <v>1148</v>
      </c>
      <c r="R1151" s="378"/>
    </row>
    <row r="1152" spans="1:18" hidden="1" outlineLevel="1">
      <c r="A1152" s="376"/>
      <c r="B1152" s="635"/>
      <c r="C1152" s="382" t="s">
        <v>1154</v>
      </c>
      <c r="D1152" s="378">
        <v>0.5</v>
      </c>
      <c r="E1152" s="383"/>
      <c r="F1152" s="384">
        <v>0.5</v>
      </c>
      <c r="G1152" s="378"/>
      <c r="H1152" s="378"/>
      <c r="I1152" s="378"/>
      <c r="J1152" s="378"/>
      <c r="K1152" s="378">
        <v>1</v>
      </c>
      <c r="L1152" s="378"/>
      <c r="M1152" s="379">
        <f t="shared" si="263"/>
        <v>0</v>
      </c>
      <c r="N1152" s="378">
        <f t="shared" si="264"/>
        <v>2</v>
      </c>
      <c r="O1152" s="379">
        <f t="shared" si="265"/>
        <v>2</v>
      </c>
      <c r="P1152" s="378" t="s">
        <v>1147</v>
      </c>
      <c r="Q1152" s="380" t="s">
        <v>1148</v>
      </c>
      <c r="R1152" s="378"/>
    </row>
    <row r="1153" spans="1:18" hidden="1" outlineLevel="1">
      <c r="A1153" s="376"/>
      <c r="B1153" s="633" t="s">
        <v>1155</v>
      </c>
      <c r="C1153" s="382" t="s">
        <v>1152</v>
      </c>
      <c r="D1153" s="378">
        <v>10</v>
      </c>
      <c r="E1153" s="383"/>
      <c r="F1153" s="384">
        <v>15</v>
      </c>
      <c r="G1153" s="378"/>
      <c r="H1153" s="378"/>
      <c r="I1153" s="378"/>
      <c r="J1153" s="378"/>
      <c r="K1153" s="378">
        <v>1</v>
      </c>
      <c r="L1153" s="378"/>
      <c r="M1153" s="379">
        <f t="shared" si="263"/>
        <v>0</v>
      </c>
      <c r="N1153" s="378">
        <f t="shared" si="264"/>
        <v>2</v>
      </c>
      <c r="O1153" s="379">
        <f t="shared" si="265"/>
        <v>2</v>
      </c>
      <c r="P1153" s="378" t="s">
        <v>1147</v>
      </c>
      <c r="Q1153" s="380" t="s">
        <v>1148</v>
      </c>
      <c r="R1153" s="378"/>
    </row>
    <row r="1154" spans="1:18" hidden="1" outlineLevel="1">
      <c r="A1154" s="376"/>
      <c r="B1154" s="634"/>
      <c r="C1154" s="382" t="s">
        <v>1153</v>
      </c>
      <c r="D1154" s="378">
        <v>10</v>
      </c>
      <c r="E1154" s="383"/>
      <c r="F1154" s="384">
        <v>15</v>
      </c>
      <c r="G1154" s="378"/>
      <c r="H1154" s="378"/>
      <c r="I1154" s="378"/>
      <c r="J1154" s="378"/>
      <c r="K1154" s="378">
        <v>1</v>
      </c>
      <c r="L1154" s="378"/>
      <c r="M1154" s="379">
        <f t="shared" si="263"/>
        <v>0</v>
      </c>
      <c r="N1154" s="378">
        <f t="shared" si="264"/>
        <v>2</v>
      </c>
      <c r="O1154" s="379">
        <f t="shared" si="265"/>
        <v>2</v>
      </c>
      <c r="P1154" s="378" t="s">
        <v>1147</v>
      </c>
      <c r="Q1154" s="380" t="s">
        <v>1148</v>
      </c>
      <c r="R1154" s="378"/>
    </row>
    <row r="1155" spans="1:18" hidden="1" outlineLevel="1">
      <c r="A1155" s="376"/>
      <c r="B1155" s="635"/>
      <c r="C1155" s="382" t="s">
        <v>1154</v>
      </c>
      <c r="D1155" s="378">
        <v>0.5</v>
      </c>
      <c r="E1155" s="383"/>
      <c r="F1155" s="384">
        <v>0.5</v>
      </c>
      <c r="G1155" s="378"/>
      <c r="H1155" s="378"/>
      <c r="I1155" s="378"/>
      <c r="J1155" s="378"/>
      <c r="K1155" s="378">
        <v>1</v>
      </c>
      <c r="L1155" s="378"/>
      <c r="M1155" s="379">
        <f t="shared" si="263"/>
        <v>0</v>
      </c>
      <c r="N1155" s="378">
        <f t="shared" si="264"/>
        <v>2</v>
      </c>
      <c r="O1155" s="379">
        <f t="shared" si="265"/>
        <v>2</v>
      </c>
      <c r="P1155" s="378" t="s">
        <v>1147</v>
      </c>
      <c r="Q1155" s="380" t="s">
        <v>1148</v>
      </c>
      <c r="R1155" s="378"/>
    </row>
    <row r="1156" spans="1:18" hidden="1" outlineLevel="1">
      <c r="A1156" s="376"/>
      <c r="B1156" s="633" t="s">
        <v>1156</v>
      </c>
      <c r="C1156" s="382" t="s">
        <v>1152</v>
      </c>
      <c r="D1156" s="378">
        <v>25</v>
      </c>
      <c r="E1156" s="383"/>
      <c r="F1156" s="384">
        <v>40</v>
      </c>
      <c r="G1156" s="378"/>
      <c r="H1156" s="378"/>
      <c r="I1156" s="378"/>
      <c r="J1156" s="378"/>
      <c r="K1156" s="378">
        <v>1</v>
      </c>
      <c r="L1156" s="378"/>
      <c r="M1156" s="379">
        <f t="shared" si="263"/>
        <v>0</v>
      </c>
      <c r="N1156" s="378">
        <f t="shared" si="264"/>
        <v>2</v>
      </c>
      <c r="O1156" s="379">
        <f t="shared" si="265"/>
        <v>2</v>
      </c>
      <c r="P1156" s="378" t="s">
        <v>1147</v>
      </c>
      <c r="Q1156" s="380" t="s">
        <v>1148</v>
      </c>
      <c r="R1156" s="378"/>
    </row>
    <row r="1157" spans="1:18" hidden="1" outlineLevel="1">
      <c r="A1157" s="376"/>
      <c r="B1157" s="634"/>
      <c r="C1157" s="382" t="s">
        <v>1153</v>
      </c>
      <c r="D1157" s="378">
        <v>25</v>
      </c>
      <c r="E1157" s="383"/>
      <c r="F1157" s="384">
        <v>40</v>
      </c>
      <c r="G1157" s="378"/>
      <c r="H1157" s="378"/>
      <c r="I1157" s="378"/>
      <c r="J1157" s="378"/>
      <c r="K1157" s="378">
        <v>1</v>
      </c>
      <c r="L1157" s="378"/>
      <c r="M1157" s="379">
        <f t="shared" si="263"/>
        <v>0</v>
      </c>
      <c r="N1157" s="378">
        <f t="shared" si="264"/>
        <v>2</v>
      </c>
      <c r="O1157" s="379">
        <f t="shared" si="265"/>
        <v>2</v>
      </c>
      <c r="P1157" s="378" t="s">
        <v>1147</v>
      </c>
      <c r="Q1157" s="380" t="s">
        <v>1148</v>
      </c>
      <c r="R1157" s="378"/>
    </row>
    <row r="1158" spans="1:18" hidden="1" outlineLevel="1">
      <c r="A1158" s="376"/>
      <c r="B1158" s="635"/>
      <c r="C1158" s="382" t="s">
        <v>1154</v>
      </c>
      <c r="D1158" s="378">
        <v>0.5</v>
      </c>
      <c r="E1158" s="383"/>
      <c r="F1158" s="384">
        <v>0.5</v>
      </c>
      <c r="G1158" s="378"/>
      <c r="H1158" s="378"/>
      <c r="I1158" s="378"/>
      <c r="J1158" s="378"/>
      <c r="K1158" s="378">
        <v>1</v>
      </c>
      <c r="L1158" s="378"/>
      <c r="M1158" s="379">
        <f t="shared" si="263"/>
        <v>0</v>
      </c>
      <c r="N1158" s="378">
        <f t="shared" si="264"/>
        <v>2</v>
      </c>
      <c r="O1158" s="379">
        <f t="shared" si="265"/>
        <v>2</v>
      </c>
      <c r="P1158" s="378" t="s">
        <v>1147</v>
      </c>
      <c r="Q1158" s="380" t="s">
        <v>1148</v>
      </c>
      <c r="R1158" s="378"/>
    </row>
    <row r="1159" spans="1:18" hidden="1" outlineLevel="1">
      <c r="A1159" s="376"/>
      <c r="B1159" s="633" t="s">
        <v>1157</v>
      </c>
      <c r="C1159" s="382" t="s">
        <v>1158</v>
      </c>
      <c r="D1159" s="378">
        <v>5</v>
      </c>
      <c r="E1159" s="383"/>
      <c r="F1159" s="384">
        <v>10</v>
      </c>
      <c r="G1159" s="378"/>
      <c r="H1159" s="378"/>
      <c r="I1159" s="378"/>
      <c r="J1159" s="378"/>
      <c r="K1159" s="378">
        <v>1</v>
      </c>
      <c r="L1159" s="378"/>
      <c r="M1159" s="379">
        <f t="shared" si="263"/>
        <v>0</v>
      </c>
      <c r="N1159" s="378">
        <f t="shared" si="264"/>
        <v>2</v>
      </c>
      <c r="O1159" s="379">
        <f t="shared" si="265"/>
        <v>2</v>
      </c>
      <c r="P1159" s="378" t="s">
        <v>1147</v>
      </c>
      <c r="Q1159" s="380" t="s">
        <v>1148</v>
      </c>
      <c r="R1159" s="378"/>
    </row>
    <row r="1160" spans="1:18" hidden="1" outlineLevel="1">
      <c r="A1160" s="376"/>
      <c r="B1160" s="634"/>
      <c r="C1160" s="382" t="s">
        <v>1159</v>
      </c>
      <c r="D1160" s="378">
        <v>5</v>
      </c>
      <c r="E1160" s="383"/>
      <c r="F1160" s="384">
        <v>10</v>
      </c>
      <c r="G1160" s="378"/>
      <c r="H1160" s="378"/>
      <c r="I1160" s="378"/>
      <c r="J1160" s="378"/>
      <c r="K1160" s="378">
        <v>1</v>
      </c>
      <c r="L1160" s="378"/>
      <c r="M1160" s="379">
        <f t="shared" si="263"/>
        <v>0</v>
      </c>
      <c r="N1160" s="378">
        <f t="shared" si="264"/>
        <v>2</v>
      </c>
      <c r="O1160" s="379">
        <f t="shared" si="265"/>
        <v>2</v>
      </c>
      <c r="P1160" s="378" t="s">
        <v>1147</v>
      </c>
      <c r="Q1160" s="380" t="s">
        <v>1148</v>
      </c>
      <c r="R1160" s="378"/>
    </row>
    <row r="1161" spans="1:18" hidden="1" outlineLevel="1">
      <c r="A1161" s="376"/>
      <c r="B1161" s="635"/>
      <c r="C1161" s="382" t="s">
        <v>1160</v>
      </c>
      <c r="D1161" s="378">
        <v>0.5</v>
      </c>
      <c r="E1161" s="383"/>
      <c r="F1161" s="384">
        <v>0.5</v>
      </c>
      <c r="G1161" s="378"/>
      <c r="H1161" s="378"/>
      <c r="I1161" s="378"/>
      <c r="J1161" s="378"/>
      <c r="K1161" s="378">
        <v>1</v>
      </c>
      <c r="L1161" s="378"/>
      <c r="M1161" s="379">
        <f t="shared" si="263"/>
        <v>0</v>
      </c>
      <c r="N1161" s="378">
        <f t="shared" si="264"/>
        <v>2</v>
      </c>
      <c r="O1161" s="379">
        <f t="shared" si="265"/>
        <v>2</v>
      </c>
      <c r="P1161" s="378" t="s">
        <v>1147</v>
      </c>
      <c r="Q1161" s="380" t="s">
        <v>1148</v>
      </c>
      <c r="R1161" s="378"/>
    </row>
    <row r="1162" spans="1:18" hidden="1" outlineLevel="1">
      <c r="A1162" s="376"/>
      <c r="B1162" s="633" t="s">
        <v>1161</v>
      </c>
      <c r="C1162" s="382" t="s">
        <v>1158</v>
      </c>
      <c r="D1162" s="378">
        <v>5</v>
      </c>
      <c r="E1162" s="383"/>
      <c r="F1162" s="384">
        <v>10</v>
      </c>
      <c r="G1162" s="378"/>
      <c r="H1162" s="378"/>
      <c r="I1162" s="378"/>
      <c r="J1162" s="378"/>
      <c r="K1162" s="378">
        <v>1</v>
      </c>
      <c r="L1162" s="378"/>
      <c r="M1162" s="379">
        <f t="shared" si="263"/>
        <v>0</v>
      </c>
      <c r="N1162" s="378">
        <f t="shared" si="264"/>
        <v>2</v>
      </c>
      <c r="O1162" s="379">
        <f t="shared" si="265"/>
        <v>2</v>
      </c>
      <c r="P1162" s="378" t="s">
        <v>1147</v>
      </c>
      <c r="Q1162" s="380" t="s">
        <v>1148</v>
      </c>
      <c r="R1162" s="378"/>
    </row>
    <row r="1163" spans="1:18" hidden="1" outlineLevel="1">
      <c r="A1163" s="376"/>
      <c r="B1163" s="634"/>
      <c r="C1163" s="382" t="s">
        <v>1159</v>
      </c>
      <c r="D1163" s="378">
        <v>5</v>
      </c>
      <c r="E1163" s="383"/>
      <c r="F1163" s="384">
        <v>10</v>
      </c>
      <c r="G1163" s="378"/>
      <c r="H1163" s="378"/>
      <c r="I1163" s="378"/>
      <c r="J1163" s="378"/>
      <c r="K1163" s="378">
        <v>1</v>
      </c>
      <c r="L1163" s="378"/>
      <c r="M1163" s="379">
        <f t="shared" si="263"/>
        <v>0</v>
      </c>
      <c r="N1163" s="378">
        <f t="shared" si="264"/>
        <v>2</v>
      </c>
      <c r="O1163" s="379">
        <f t="shared" si="265"/>
        <v>2</v>
      </c>
      <c r="P1163" s="378" t="s">
        <v>1147</v>
      </c>
      <c r="Q1163" s="380" t="s">
        <v>1148</v>
      </c>
      <c r="R1163" s="378"/>
    </row>
    <row r="1164" spans="1:18" hidden="1" outlineLevel="1">
      <c r="A1164" s="376"/>
      <c r="B1164" s="635"/>
      <c r="C1164" s="382" t="s">
        <v>1160</v>
      </c>
      <c r="D1164" s="378">
        <v>0.5</v>
      </c>
      <c r="E1164" s="383"/>
      <c r="F1164" s="384">
        <v>0.5</v>
      </c>
      <c r="G1164" s="378"/>
      <c r="H1164" s="378"/>
      <c r="I1164" s="378"/>
      <c r="J1164" s="378"/>
      <c r="K1164" s="378">
        <v>1</v>
      </c>
      <c r="L1164" s="378"/>
      <c r="M1164" s="379">
        <f t="shared" si="263"/>
        <v>0</v>
      </c>
      <c r="N1164" s="378">
        <f t="shared" si="264"/>
        <v>2</v>
      </c>
      <c r="O1164" s="379">
        <f t="shared" si="265"/>
        <v>2</v>
      </c>
      <c r="P1164" s="378" t="s">
        <v>1147</v>
      </c>
      <c r="Q1164" s="380" t="s">
        <v>1148</v>
      </c>
      <c r="R1164" s="378"/>
    </row>
    <row r="1165" spans="1:18" hidden="1" outlineLevel="1">
      <c r="A1165" s="376"/>
      <c r="B1165" s="633" t="s">
        <v>1162</v>
      </c>
      <c r="C1165" s="382" t="s">
        <v>1158</v>
      </c>
      <c r="D1165" s="378">
        <v>3</v>
      </c>
      <c r="E1165" s="383"/>
      <c r="F1165" s="384">
        <v>7</v>
      </c>
      <c r="G1165" s="378"/>
      <c r="H1165" s="378"/>
      <c r="I1165" s="378"/>
      <c r="J1165" s="378"/>
      <c r="K1165" s="378">
        <v>1</v>
      </c>
      <c r="L1165" s="378"/>
      <c r="M1165" s="379">
        <f t="shared" si="263"/>
        <v>0</v>
      </c>
      <c r="N1165" s="378">
        <f t="shared" si="264"/>
        <v>2</v>
      </c>
      <c r="O1165" s="379">
        <f t="shared" si="265"/>
        <v>2</v>
      </c>
      <c r="P1165" s="378" t="s">
        <v>1147</v>
      </c>
      <c r="Q1165" s="380" t="s">
        <v>1148</v>
      </c>
      <c r="R1165" s="378"/>
    </row>
    <row r="1166" spans="1:18" hidden="1" outlineLevel="1">
      <c r="A1166" s="376"/>
      <c r="B1166" s="634"/>
      <c r="C1166" s="382" t="s">
        <v>1159</v>
      </c>
      <c r="D1166" s="378">
        <v>3</v>
      </c>
      <c r="E1166" s="383"/>
      <c r="F1166" s="384">
        <v>7</v>
      </c>
      <c r="G1166" s="378"/>
      <c r="H1166" s="378"/>
      <c r="I1166" s="378"/>
      <c r="J1166" s="378"/>
      <c r="K1166" s="378">
        <v>1</v>
      </c>
      <c r="L1166" s="378"/>
      <c r="M1166" s="379">
        <f t="shared" si="263"/>
        <v>0</v>
      </c>
      <c r="N1166" s="378">
        <f t="shared" si="264"/>
        <v>2</v>
      </c>
      <c r="O1166" s="379">
        <f t="shared" si="265"/>
        <v>2</v>
      </c>
      <c r="P1166" s="378" t="s">
        <v>1147</v>
      </c>
      <c r="Q1166" s="380" t="s">
        <v>1148</v>
      </c>
      <c r="R1166" s="378"/>
    </row>
    <row r="1167" spans="1:18" hidden="1" outlineLevel="1">
      <c r="A1167" s="376"/>
      <c r="B1167" s="635"/>
      <c r="C1167" s="382" t="s">
        <v>1160</v>
      </c>
      <c r="D1167" s="385">
        <v>0.5</v>
      </c>
      <c r="E1167" s="386"/>
      <c r="F1167" s="385">
        <v>0.5</v>
      </c>
      <c r="G1167" s="387"/>
      <c r="H1167" s="387"/>
      <c r="I1167" s="387"/>
      <c r="J1167" s="387"/>
      <c r="K1167" s="378">
        <v>1</v>
      </c>
      <c r="L1167" s="378"/>
      <c r="M1167" s="379">
        <f t="shared" si="263"/>
        <v>0</v>
      </c>
      <c r="N1167" s="378">
        <f t="shared" si="264"/>
        <v>2</v>
      </c>
      <c r="O1167" s="379">
        <f t="shared" si="265"/>
        <v>2</v>
      </c>
      <c r="P1167" s="378" t="s">
        <v>1147</v>
      </c>
      <c r="Q1167" s="380" t="s">
        <v>1148</v>
      </c>
      <c r="R1167" s="378"/>
    </row>
    <row r="1168" spans="1:18" hidden="1" outlineLevel="1">
      <c r="A1168" s="388" t="s">
        <v>1163</v>
      </c>
      <c r="B1168" s="630"/>
      <c r="C1168" s="631"/>
      <c r="D1168" s="631"/>
      <c r="E1168" s="631"/>
      <c r="F1168" s="631"/>
      <c r="G1168" s="632"/>
      <c r="H1168" s="377"/>
      <c r="I1168" s="377"/>
      <c r="J1168" s="377"/>
      <c r="K1168" s="378"/>
      <c r="L1168" s="378"/>
      <c r="M1168" s="379">
        <f>IFERROR(MIN(M1169:M1171),0)</f>
        <v>0</v>
      </c>
      <c r="N1168" s="378">
        <f>N1169</f>
        <v>2</v>
      </c>
      <c r="O1168" s="379">
        <f t="shared" si="265"/>
        <v>2</v>
      </c>
      <c r="P1168" s="378" t="s">
        <v>1147</v>
      </c>
      <c r="Q1168" s="380" t="s">
        <v>1148</v>
      </c>
      <c r="R1168" s="378"/>
    </row>
    <row r="1169" spans="1:18" hidden="1" outlineLevel="1">
      <c r="A1169" s="388"/>
      <c r="B1169" s="642" t="s">
        <v>1164</v>
      </c>
      <c r="C1169" s="382" t="s">
        <v>1149</v>
      </c>
      <c r="D1169" s="387">
        <v>0.98</v>
      </c>
      <c r="E1169" s="389"/>
      <c r="F1169" s="387">
        <v>0.9</v>
      </c>
      <c r="G1169" s="387"/>
      <c r="H1169" s="387"/>
      <c r="I1169" s="387"/>
      <c r="J1169" s="387"/>
      <c r="K1169" s="378">
        <v>1</v>
      </c>
      <c r="L1169" s="378"/>
      <c r="M1169" s="379">
        <f>IFERROR(MIN(MAX(0,IF(K1169="N/A",0,IF((D1169=E1169),5,5-QUOTIENT(D1169,E1169)))), MAX(0,IF(K1169="N/A",0,IF((F1169=G1169),5,5-QUOTIENT(F1169,G1169))))),0)</f>
        <v>0</v>
      </c>
      <c r="N1169" s="378">
        <f>IF(K1169="N/A", 1, 2)</f>
        <v>2</v>
      </c>
      <c r="O1169" s="379">
        <f t="shared" si="265"/>
        <v>2</v>
      </c>
      <c r="P1169" s="378" t="s">
        <v>1147</v>
      </c>
      <c r="Q1169" s="380" t="s">
        <v>1148</v>
      </c>
      <c r="R1169" s="378"/>
    </row>
    <row r="1170" spans="1:18" hidden="1" outlineLevel="1">
      <c r="A1170" s="388"/>
      <c r="B1170" s="642"/>
      <c r="C1170" s="382" t="s">
        <v>1165</v>
      </c>
      <c r="D1170" s="378">
        <v>2</v>
      </c>
      <c r="E1170" s="390"/>
      <c r="F1170" s="378">
        <v>4</v>
      </c>
      <c r="G1170" s="387"/>
      <c r="H1170" s="387"/>
      <c r="I1170" s="387"/>
      <c r="J1170" s="387"/>
      <c r="K1170" s="378">
        <v>1</v>
      </c>
      <c r="L1170" s="378"/>
      <c r="M1170" s="379">
        <f>IFERROR(MIN(MAX(0,IF(K1170="N/A",0,IF((D1170=E1170),5,5-QUOTIENT(D1170,E1170)))), MAX(0,IF(K1170="N/A",0,IF((F1170=G1170),5,5-QUOTIENT(F1170,G1170))))),0)</f>
        <v>0</v>
      </c>
      <c r="N1170" s="378">
        <f t="shared" ref="N1170:N1171" si="266">IF(K1170="N/A", 1, 2)</f>
        <v>2</v>
      </c>
      <c r="O1170" s="379">
        <f t="shared" si="265"/>
        <v>2</v>
      </c>
      <c r="P1170" s="378" t="s">
        <v>1147</v>
      </c>
      <c r="Q1170" s="380" t="s">
        <v>1148</v>
      </c>
      <c r="R1170" s="378"/>
    </row>
    <row r="1171" spans="1:18" hidden="1" outlineLevel="1">
      <c r="A1171" s="388"/>
      <c r="B1171" s="642"/>
      <c r="C1171" s="382" t="s">
        <v>1153</v>
      </c>
      <c r="D1171" s="378">
        <v>2</v>
      </c>
      <c r="E1171" s="390"/>
      <c r="F1171" s="378">
        <v>4</v>
      </c>
      <c r="G1171" s="391"/>
      <c r="H1171" s="391"/>
      <c r="I1171" s="391"/>
      <c r="J1171" s="391"/>
      <c r="K1171" s="378">
        <v>1</v>
      </c>
      <c r="L1171" s="378"/>
      <c r="M1171" s="379">
        <f>IFERROR(MIN(MAX(0,IF(K1171="N/A",0,IF((D1171=E1171),5,5-QUOTIENT(D1171,E1171)))), MAX(0,IF(K1171="N/A",0,IF((F1171=G1171),5,5-QUOTIENT(F1171,G1171))))),0)</f>
        <v>0</v>
      </c>
      <c r="N1171" s="378">
        <f t="shared" si="266"/>
        <v>2</v>
      </c>
      <c r="O1171" s="379">
        <f t="shared" si="265"/>
        <v>2</v>
      </c>
      <c r="P1171" s="378" t="s">
        <v>1147</v>
      </c>
      <c r="Q1171" s="380" t="s">
        <v>1148</v>
      </c>
      <c r="R1171" s="378"/>
    </row>
    <row r="1172" spans="1:18" hidden="1" outlineLevel="1">
      <c r="A1172" s="392" t="s">
        <v>1166</v>
      </c>
      <c r="B1172" s="393"/>
      <c r="C1172" s="382"/>
      <c r="D1172" s="378"/>
      <c r="E1172" s="390"/>
      <c r="F1172" s="378"/>
      <c r="G1172" s="391"/>
      <c r="H1172" s="391"/>
      <c r="I1172" s="391"/>
      <c r="J1172" s="391"/>
      <c r="K1172" s="378"/>
      <c r="L1172" s="378"/>
      <c r="M1172" s="379">
        <f>IFERROR(MIN(M1173:M1176),0)</f>
        <v>0</v>
      </c>
      <c r="N1172" s="378">
        <f>N1173</f>
        <v>2</v>
      </c>
      <c r="O1172" s="379">
        <f t="shared" si="265"/>
        <v>2</v>
      </c>
      <c r="P1172" s="378" t="s">
        <v>1147</v>
      </c>
      <c r="Q1172" s="380" t="s">
        <v>1148</v>
      </c>
      <c r="R1172" s="378"/>
    </row>
    <row r="1173" spans="1:18" hidden="1" outlineLevel="1">
      <c r="A1173" s="394"/>
      <c r="B1173" s="643" t="s">
        <v>1167</v>
      </c>
      <c r="C1173" s="382" t="s">
        <v>1168</v>
      </c>
      <c r="D1173" s="387">
        <v>0.45</v>
      </c>
      <c r="E1173" s="389"/>
      <c r="F1173" s="387">
        <v>0.45</v>
      </c>
      <c r="G1173" s="387"/>
      <c r="H1173" s="387"/>
      <c r="I1173" s="387"/>
      <c r="J1173" s="387"/>
      <c r="K1173" s="378">
        <v>1</v>
      </c>
      <c r="L1173" s="378"/>
      <c r="M1173" s="379">
        <f>IFERROR(MIN(MAX(0,IF(K1173="N/A",0,IF((D1173=E1173),5,5-QUOTIENT(D1173,E1173)))), MAX(0,IF(K1173="N/A",0,IF((F1173=G1173),5,5-QUOTIENT(F1173,G1173))))),0)</f>
        <v>0</v>
      </c>
      <c r="N1173" s="378">
        <f>IF(K1173="N/A", 1, 2)</f>
        <v>2</v>
      </c>
      <c r="O1173" s="379">
        <f t="shared" si="265"/>
        <v>2</v>
      </c>
      <c r="P1173" s="378" t="s">
        <v>1147</v>
      </c>
      <c r="Q1173" s="380" t="s">
        <v>1148</v>
      </c>
      <c r="R1173" s="378"/>
    </row>
    <row r="1174" spans="1:18" hidden="1" outlineLevel="1">
      <c r="A1174" s="394"/>
      <c r="B1174" s="637"/>
      <c r="C1174" s="382" t="s">
        <v>1169</v>
      </c>
      <c r="D1174" s="387">
        <v>0.05</v>
      </c>
      <c r="E1174" s="389"/>
      <c r="F1174" s="387">
        <v>0.05</v>
      </c>
      <c r="G1174" s="387"/>
      <c r="H1174" s="387"/>
      <c r="I1174" s="387"/>
      <c r="J1174" s="387"/>
      <c r="K1174" s="378">
        <v>1</v>
      </c>
      <c r="L1174" s="378"/>
      <c r="M1174" s="379">
        <f>IFERROR(MIN(MAX(0,IF(K1174="N/A",0,IF((D1174=E1174),5,5-QUOTIENT(D1174,E1174)))), MAX(0,IF(K1174="N/A",0,IF((F1174=G1174),5,5-QUOTIENT(F1174,G1174))))),0)</f>
        <v>0</v>
      </c>
      <c r="N1174" s="378">
        <f t="shared" ref="N1174:N1176" si="267">IF(K1174="N/A", 1, 2)</f>
        <v>2</v>
      </c>
      <c r="O1174" s="379">
        <f t="shared" si="265"/>
        <v>2</v>
      </c>
      <c r="P1174" s="378" t="s">
        <v>1147</v>
      </c>
      <c r="Q1174" s="380" t="s">
        <v>1148</v>
      </c>
      <c r="R1174" s="378"/>
    </row>
    <row r="1175" spans="1:18" hidden="1" outlineLevel="1">
      <c r="A1175" s="394"/>
      <c r="B1175" s="637"/>
      <c r="C1175" s="382" t="s">
        <v>1170</v>
      </c>
      <c r="D1175" s="391">
        <v>1</v>
      </c>
      <c r="E1175" s="389"/>
      <c r="F1175" s="391">
        <v>1</v>
      </c>
      <c r="G1175" s="387"/>
      <c r="H1175" s="387"/>
      <c r="I1175" s="387"/>
      <c r="J1175" s="387"/>
      <c r="K1175" s="378">
        <v>1</v>
      </c>
      <c r="L1175" s="378"/>
      <c r="M1175" s="379">
        <f>IFERROR(MIN(MAX(0,IF(K1175="N/A",0,IF((D1175=E1175),5,5-QUOTIENT(D1175,E1175)))), MAX(0,IF(K1175="N/A",0,IF((F1175=G1175),5,5-QUOTIENT(F1175,G1175))))),0)</f>
        <v>0</v>
      </c>
      <c r="N1175" s="378">
        <f t="shared" si="267"/>
        <v>2</v>
      </c>
      <c r="O1175" s="379">
        <f t="shared" si="265"/>
        <v>2</v>
      </c>
      <c r="P1175" s="378" t="s">
        <v>1147</v>
      </c>
      <c r="Q1175" s="380" t="s">
        <v>1148</v>
      </c>
      <c r="R1175" s="378"/>
    </row>
    <row r="1176" spans="1:18" hidden="1" outlineLevel="1">
      <c r="A1176" s="394"/>
      <c r="B1176" s="638"/>
      <c r="C1176" s="382" t="s">
        <v>1171</v>
      </c>
      <c r="D1176" s="391">
        <v>10</v>
      </c>
      <c r="E1176" s="389"/>
      <c r="F1176" s="391">
        <v>10</v>
      </c>
      <c r="G1176" s="387"/>
      <c r="H1176" s="387"/>
      <c r="I1176" s="387"/>
      <c r="J1176" s="387"/>
      <c r="K1176" s="378">
        <v>1</v>
      </c>
      <c r="L1176" s="378"/>
      <c r="M1176" s="379">
        <f>IFERROR(MIN(MAX(0,IF(K1176="N/A",0,IF((D1176=E1176),5,5-QUOTIENT(D1176,E1176)))), MAX(0,IF(K1176="N/A",0,IF((F1176=G1176),5,5-QUOTIENT(F1176,G1176))))),0)</f>
        <v>0</v>
      </c>
      <c r="N1176" s="378">
        <f t="shared" si="267"/>
        <v>2</v>
      </c>
      <c r="O1176" s="379">
        <f t="shared" si="265"/>
        <v>2</v>
      </c>
      <c r="P1176" s="378" t="s">
        <v>1147</v>
      </c>
      <c r="Q1176" s="380" t="s">
        <v>1148</v>
      </c>
      <c r="R1176" s="378"/>
    </row>
    <row r="1177" spans="1:18" hidden="1" outlineLevel="1">
      <c r="A1177" s="394" t="s">
        <v>1172</v>
      </c>
      <c r="B1177" s="395"/>
      <c r="C1177" s="382"/>
      <c r="D1177" s="391"/>
      <c r="E1177" s="389"/>
      <c r="F1177" s="391"/>
      <c r="G1177" s="387"/>
      <c r="H1177" s="387"/>
      <c r="I1177" s="387"/>
      <c r="J1177" s="387"/>
      <c r="K1177" s="378"/>
      <c r="L1177" s="378"/>
      <c r="M1177" s="379">
        <f>IFERROR(MIN(M1178:M1180),0)</f>
        <v>0</v>
      </c>
      <c r="N1177" s="378">
        <f>N1178</f>
        <v>2</v>
      </c>
      <c r="O1177" s="379">
        <f t="shared" si="265"/>
        <v>2</v>
      </c>
      <c r="P1177" s="378" t="s">
        <v>1147</v>
      </c>
      <c r="Q1177" s="380" t="s">
        <v>1148</v>
      </c>
      <c r="R1177" s="378"/>
    </row>
    <row r="1178" spans="1:18" hidden="1" outlineLevel="1">
      <c r="A1178" s="394"/>
      <c r="B1178" s="636" t="s">
        <v>568</v>
      </c>
      <c r="C1178" s="382" t="s">
        <v>1168</v>
      </c>
      <c r="D1178" s="387">
        <v>0.8</v>
      </c>
      <c r="E1178" s="389"/>
      <c r="F1178" s="387">
        <v>0.8</v>
      </c>
      <c r="G1178" s="387"/>
      <c r="H1178" s="387"/>
      <c r="I1178" s="387"/>
      <c r="J1178" s="387"/>
      <c r="K1178" s="378">
        <v>1</v>
      </c>
      <c r="L1178" s="378"/>
      <c r="M1178" s="379">
        <f>IFERROR(MIN(MAX(0,IF(K1178="N/A",0,IF((D1178=E1178),5,5-QUOTIENT(D1178,E1178)))), MAX(0,IF(K1178="N/A",0,IF((F1178=G1178),5,5-QUOTIENT(F1178,G1178))))),0)</f>
        <v>0</v>
      </c>
      <c r="N1178" s="378">
        <f>IF(K1178="N/A", 1, 2)</f>
        <v>2</v>
      </c>
      <c r="O1178" s="379">
        <f t="shared" si="265"/>
        <v>2</v>
      </c>
      <c r="P1178" s="378" t="s">
        <v>1147</v>
      </c>
      <c r="Q1178" s="380" t="s">
        <v>1148</v>
      </c>
      <c r="R1178" s="378"/>
    </row>
    <row r="1179" spans="1:18" hidden="1" outlineLevel="1">
      <c r="A1179" s="394"/>
      <c r="B1179" s="637"/>
      <c r="C1179" s="382" t="s">
        <v>1170</v>
      </c>
      <c r="D1179" s="390">
        <v>0.05</v>
      </c>
      <c r="E1179" s="389"/>
      <c r="F1179" s="390">
        <v>0.05</v>
      </c>
      <c r="G1179" s="387"/>
      <c r="H1179" s="387"/>
      <c r="I1179" s="387"/>
      <c r="J1179" s="387"/>
      <c r="K1179" s="378">
        <v>1</v>
      </c>
      <c r="L1179" s="378"/>
      <c r="M1179" s="379">
        <f>IFERROR(MIN(MAX(0,IF(K1179="N/A",0,IF((D1179=E1179),5,5-QUOTIENT(D1179,E1179)))), MAX(0,IF(K1179="N/A",0,IF((F1179=G1179),5,5-QUOTIENT(F1179,G1179))))),0)</f>
        <v>0</v>
      </c>
      <c r="N1179" s="378">
        <f t="shared" ref="N1179:N1180" si="268">IF(K1179="N/A", 1, 2)</f>
        <v>2</v>
      </c>
      <c r="O1179" s="379">
        <f t="shared" si="265"/>
        <v>2</v>
      </c>
      <c r="P1179" s="378" t="s">
        <v>1147</v>
      </c>
      <c r="Q1179" s="380" t="s">
        <v>1148</v>
      </c>
      <c r="R1179" s="378"/>
    </row>
    <row r="1180" spans="1:18" hidden="1" outlineLevel="1">
      <c r="A1180" s="394"/>
      <c r="B1180" s="638"/>
      <c r="C1180" s="382" t="s">
        <v>1173</v>
      </c>
      <c r="D1180" s="391">
        <v>10</v>
      </c>
      <c r="E1180" s="389"/>
      <c r="F1180" s="391">
        <v>10</v>
      </c>
      <c r="G1180" s="387"/>
      <c r="H1180" s="387"/>
      <c r="I1180" s="387"/>
      <c r="J1180" s="387"/>
      <c r="K1180" s="378">
        <v>1</v>
      </c>
      <c r="L1180" s="378"/>
      <c r="M1180" s="379">
        <f>IFERROR(MIN(MAX(0,IF(K1180="N/A",0,IF((D1180=E1180),5,5-QUOTIENT(D1180,E1180)))), MAX(0,IF(K1180="N/A",0,IF((F1180=G1180),5,5-QUOTIENT(F1180,G1180))))),0)</f>
        <v>0</v>
      </c>
      <c r="N1180" s="378">
        <f t="shared" si="268"/>
        <v>2</v>
      </c>
      <c r="O1180" s="379">
        <f t="shared" si="265"/>
        <v>2</v>
      </c>
      <c r="P1180" s="378" t="s">
        <v>1147</v>
      </c>
      <c r="Q1180" s="380" t="s">
        <v>1148</v>
      </c>
      <c r="R1180" s="378"/>
    </row>
    <row r="1181" spans="1:18" hidden="1" outlineLevel="1">
      <c r="A1181" s="394" t="s">
        <v>1174</v>
      </c>
      <c r="B1181" s="395"/>
      <c r="C1181" s="382"/>
      <c r="D1181" s="391"/>
      <c r="E1181" s="389"/>
      <c r="F1181" s="391"/>
      <c r="G1181" s="387"/>
      <c r="H1181" s="387"/>
      <c r="I1181" s="387"/>
      <c r="J1181" s="387"/>
      <c r="K1181" s="378"/>
      <c r="L1181" s="378"/>
      <c r="M1181" s="379">
        <f>IFERROR(MIN(M1182:M1184),0)</f>
        <v>0</v>
      </c>
      <c r="N1181" s="378">
        <f>N1182</f>
        <v>2</v>
      </c>
      <c r="O1181" s="379">
        <f t="shared" si="265"/>
        <v>2</v>
      </c>
      <c r="P1181" s="378" t="s">
        <v>1147</v>
      </c>
      <c r="Q1181" s="380" t="s">
        <v>1148</v>
      </c>
      <c r="R1181" s="378"/>
    </row>
    <row r="1182" spans="1:18" hidden="1" outlineLevel="1">
      <c r="A1182" s="394"/>
      <c r="B1182" s="636" t="s">
        <v>571</v>
      </c>
      <c r="C1182" s="382" t="s">
        <v>1168</v>
      </c>
      <c r="D1182" s="387">
        <v>0.95</v>
      </c>
      <c r="E1182" s="389"/>
      <c r="F1182" s="387">
        <v>0.95</v>
      </c>
      <c r="G1182" s="387"/>
      <c r="H1182" s="387"/>
      <c r="I1182" s="387"/>
      <c r="J1182" s="387"/>
      <c r="K1182" s="378">
        <v>1</v>
      </c>
      <c r="L1182" s="378"/>
      <c r="M1182" s="379">
        <f>IFERROR(MIN(MAX(0,IF(K1182="N/A",0,IF((D1182=E1182),5,5-QUOTIENT(D1182,E1182)))), MAX(0,IF(K1182="N/A",0,IF((F1182=G1182),5,5-QUOTIENT(F1182,G1182))))),0)</f>
        <v>0</v>
      </c>
      <c r="N1182" s="378">
        <f t="shared" ref="N1182:N1184" si="269">IF(K1182="N/A", 0, 2)</f>
        <v>2</v>
      </c>
      <c r="O1182" s="379">
        <f t="shared" si="265"/>
        <v>2</v>
      </c>
      <c r="P1182" s="378" t="s">
        <v>1147</v>
      </c>
      <c r="Q1182" s="380" t="s">
        <v>1148</v>
      </c>
      <c r="R1182" s="378"/>
    </row>
    <row r="1183" spans="1:18" hidden="1" outlineLevel="1">
      <c r="A1183" s="394"/>
      <c r="B1183" s="637"/>
      <c r="C1183" s="382" t="s">
        <v>1170</v>
      </c>
      <c r="D1183" s="390">
        <v>0.01</v>
      </c>
      <c r="E1183" s="389"/>
      <c r="F1183" s="390">
        <v>0.01</v>
      </c>
      <c r="G1183" s="387"/>
      <c r="H1183" s="387"/>
      <c r="I1183" s="387"/>
      <c r="J1183" s="387"/>
      <c r="K1183" s="378">
        <v>1</v>
      </c>
      <c r="L1183" s="378"/>
      <c r="M1183" s="379">
        <f>IFERROR(MIN(MAX(0,IF(K1183="N/A",0,IF((D1183=E1183),5,5-QUOTIENT(D1183,E1183)))), MAX(0,IF(K1183="N/A",0,IF((F1183=G1183),5,5-QUOTIENT(F1183,G1183))))),0)</f>
        <v>0</v>
      </c>
      <c r="N1183" s="378">
        <f t="shared" si="269"/>
        <v>2</v>
      </c>
      <c r="O1183" s="379">
        <f t="shared" si="265"/>
        <v>2</v>
      </c>
      <c r="P1183" s="378" t="s">
        <v>1147</v>
      </c>
      <c r="Q1183" s="380" t="s">
        <v>1148</v>
      </c>
      <c r="R1183" s="378"/>
    </row>
    <row r="1184" spans="1:18" hidden="1" outlineLevel="1">
      <c r="A1184" s="394"/>
      <c r="B1184" s="638"/>
      <c r="C1184" s="382" t="s">
        <v>1173</v>
      </c>
      <c r="D1184" s="391">
        <v>6</v>
      </c>
      <c r="E1184" s="389"/>
      <c r="F1184" s="391">
        <v>6</v>
      </c>
      <c r="G1184" s="387"/>
      <c r="H1184" s="387"/>
      <c r="I1184" s="387"/>
      <c r="J1184" s="387"/>
      <c r="K1184" s="378">
        <v>1</v>
      </c>
      <c r="L1184" s="378"/>
      <c r="M1184" s="379">
        <f>IFERROR(MIN(MAX(0,IF(K1184="N/A",0,IF((D1184=E1184),5,5-QUOTIENT(D1184,E1184)))), MAX(0,IF(K1184="N/A",0,IF((F1184=G1184),5,5-QUOTIENT(F1184,G1184))))),0)</f>
        <v>0</v>
      </c>
      <c r="N1184" s="378">
        <f t="shared" si="269"/>
        <v>2</v>
      </c>
      <c r="O1184" s="379">
        <f t="shared" si="265"/>
        <v>2</v>
      </c>
      <c r="P1184" s="378" t="s">
        <v>1147</v>
      </c>
      <c r="Q1184" s="380" t="s">
        <v>1148</v>
      </c>
      <c r="R1184" s="378"/>
    </row>
    <row r="1185" spans="1:18" hidden="1" outlineLevel="1">
      <c r="A1185" s="394" t="s">
        <v>1175</v>
      </c>
      <c r="B1185" s="396"/>
      <c r="C1185" s="382"/>
      <c r="D1185" s="391"/>
      <c r="E1185" s="389"/>
      <c r="F1185" s="391"/>
      <c r="G1185" s="387"/>
      <c r="H1185" s="387"/>
      <c r="I1185" s="387"/>
      <c r="J1185" s="387"/>
      <c r="K1185" s="378"/>
      <c r="L1185" s="378"/>
      <c r="M1185" s="379">
        <f>IFERROR(MIN(M1186:M1195),0)</f>
        <v>0</v>
      </c>
      <c r="N1185" s="378">
        <f>N1186</f>
        <v>2</v>
      </c>
      <c r="O1185" s="379">
        <f t="shared" si="265"/>
        <v>2</v>
      </c>
      <c r="P1185" s="378" t="s">
        <v>1147</v>
      </c>
      <c r="Q1185" s="380" t="s">
        <v>1148</v>
      </c>
      <c r="R1185" s="378"/>
    </row>
    <row r="1186" spans="1:18" hidden="1" outlineLevel="1">
      <c r="A1186" s="394"/>
      <c r="B1186" s="397" t="s">
        <v>1149</v>
      </c>
      <c r="C1186" s="382" t="s">
        <v>1150</v>
      </c>
      <c r="D1186" s="387">
        <v>0.99</v>
      </c>
      <c r="E1186" s="389"/>
      <c r="F1186" s="398">
        <v>0.99</v>
      </c>
      <c r="G1186" s="387"/>
      <c r="H1186" s="387"/>
      <c r="I1186" s="387"/>
      <c r="J1186" s="387"/>
      <c r="K1186" s="378">
        <v>1</v>
      </c>
      <c r="L1186" s="378"/>
      <c r="M1186" s="379">
        <f t="shared" ref="M1186:M1195" si="270">IFERROR(MIN(MAX(0,IF(K1186="N/A",0,IF((D1186=E1186),5,5-QUOTIENT(D1186,E1186)))), MAX(0,IF(K1186="N/A",0,IF((F1186=G1186),5,5-QUOTIENT(F1186,G1186))))),0)</f>
        <v>0</v>
      </c>
      <c r="N1186" s="378">
        <f>IF(K1186="N/A", 1, 2)</f>
        <v>2</v>
      </c>
      <c r="O1186" s="379">
        <f t="shared" si="265"/>
        <v>2</v>
      </c>
      <c r="P1186" s="378" t="s">
        <v>1147</v>
      </c>
      <c r="Q1186" s="380" t="s">
        <v>1148</v>
      </c>
      <c r="R1186" s="378"/>
    </row>
    <row r="1187" spans="1:18" hidden="1" outlineLevel="1">
      <c r="A1187" s="394"/>
      <c r="B1187" s="636" t="s">
        <v>1176</v>
      </c>
      <c r="C1187" s="382" t="s">
        <v>1177</v>
      </c>
      <c r="D1187" s="387">
        <v>0.98</v>
      </c>
      <c r="E1187" s="389"/>
      <c r="F1187" s="398">
        <v>0.95</v>
      </c>
      <c r="G1187" s="387"/>
      <c r="H1187" s="387"/>
      <c r="I1187" s="387"/>
      <c r="J1187" s="387"/>
      <c r="K1187" s="378">
        <v>1</v>
      </c>
      <c r="L1187" s="378"/>
      <c r="M1187" s="379">
        <f t="shared" si="270"/>
        <v>0</v>
      </c>
      <c r="N1187" s="378">
        <f t="shared" ref="N1187:N1195" si="271">IF(K1187="N/A", 1, 2)</f>
        <v>2</v>
      </c>
      <c r="O1187" s="379">
        <f t="shared" si="265"/>
        <v>2</v>
      </c>
      <c r="P1187" s="378" t="s">
        <v>1147</v>
      </c>
      <c r="Q1187" s="380" t="s">
        <v>1148</v>
      </c>
      <c r="R1187" s="378"/>
    </row>
    <row r="1188" spans="1:18" hidden="1" outlineLevel="1">
      <c r="A1188" s="394"/>
      <c r="B1188" s="638"/>
      <c r="C1188" s="382" t="s">
        <v>1178</v>
      </c>
      <c r="D1188" s="387">
        <v>0.95</v>
      </c>
      <c r="E1188" s="399"/>
      <c r="F1188" s="398">
        <v>0.9</v>
      </c>
      <c r="G1188" s="387"/>
      <c r="H1188" s="387"/>
      <c r="I1188" s="387"/>
      <c r="J1188" s="387"/>
      <c r="K1188" s="378">
        <v>1</v>
      </c>
      <c r="L1188" s="378"/>
      <c r="M1188" s="379">
        <f t="shared" si="270"/>
        <v>0</v>
      </c>
      <c r="N1188" s="378">
        <f t="shared" si="271"/>
        <v>2</v>
      </c>
      <c r="O1188" s="379">
        <f t="shared" si="265"/>
        <v>2</v>
      </c>
      <c r="P1188" s="378" t="s">
        <v>1147</v>
      </c>
      <c r="Q1188" s="380" t="s">
        <v>1148</v>
      </c>
      <c r="R1188" s="378"/>
    </row>
    <row r="1189" spans="1:18" hidden="1" outlineLevel="1">
      <c r="A1189" s="394"/>
      <c r="B1189" s="636" t="s">
        <v>1179</v>
      </c>
      <c r="C1189" s="382" t="s">
        <v>1177</v>
      </c>
      <c r="D1189" s="387">
        <v>0.95</v>
      </c>
      <c r="E1189" s="399"/>
      <c r="F1189" s="387">
        <v>0.95</v>
      </c>
      <c r="G1189" s="387"/>
      <c r="H1189" s="387"/>
      <c r="I1189" s="387"/>
      <c r="J1189" s="387"/>
      <c r="K1189" s="378">
        <v>1</v>
      </c>
      <c r="L1189" s="378"/>
      <c r="M1189" s="379">
        <f t="shared" si="270"/>
        <v>0</v>
      </c>
      <c r="N1189" s="378">
        <f t="shared" si="271"/>
        <v>2</v>
      </c>
      <c r="O1189" s="379">
        <f t="shared" si="265"/>
        <v>2</v>
      </c>
      <c r="P1189" s="378" t="s">
        <v>1147</v>
      </c>
      <c r="Q1189" s="380" t="s">
        <v>1148</v>
      </c>
      <c r="R1189" s="378"/>
    </row>
    <row r="1190" spans="1:18" hidden="1" outlineLevel="1">
      <c r="A1190" s="394"/>
      <c r="B1190" s="637"/>
      <c r="C1190" s="382" t="s">
        <v>1180</v>
      </c>
      <c r="D1190" s="387">
        <v>0.85</v>
      </c>
      <c r="E1190" s="399"/>
      <c r="F1190" s="387">
        <v>0.85</v>
      </c>
      <c r="G1190" s="387"/>
      <c r="H1190" s="387"/>
      <c r="I1190" s="387"/>
      <c r="J1190" s="387"/>
      <c r="K1190" s="378">
        <v>1</v>
      </c>
      <c r="L1190" s="378"/>
      <c r="M1190" s="379">
        <f t="shared" si="270"/>
        <v>0</v>
      </c>
      <c r="N1190" s="378">
        <f t="shared" si="271"/>
        <v>2</v>
      </c>
      <c r="O1190" s="379">
        <f t="shared" si="265"/>
        <v>2</v>
      </c>
      <c r="P1190" s="378" t="s">
        <v>1147</v>
      </c>
      <c r="Q1190" s="380" t="s">
        <v>1148</v>
      </c>
      <c r="R1190" s="378"/>
    </row>
    <row r="1191" spans="1:18" hidden="1" outlineLevel="1">
      <c r="A1191" s="394"/>
      <c r="B1191" s="637"/>
      <c r="C1191" s="382" t="s">
        <v>1181</v>
      </c>
      <c r="D1191" s="387">
        <v>0.9</v>
      </c>
      <c r="E1191" s="399"/>
      <c r="F1191" s="387">
        <v>0.9</v>
      </c>
      <c r="G1191" s="387"/>
      <c r="H1191" s="387"/>
      <c r="I1191" s="387"/>
      <c r="J1191" s="387"/>
      <c r="K1191" s="378">
        <v>1</v>
      </c>
      <c r="L1191" s="378"/>
      <c r="M1191" s="379">
        <f t="shared" si="270"/>
        <v>0</v>
      </c>
      <c r="N1191" s="378">
        <f t="shared" si="271"/>
        <v>2</v>
      </c>
      <c r="O1191" s="379">
        <f t="shared" si="265"/>
        <v>2</v>
      </c>
      <c r="P1191" s="378" t="s">
        <v>1147</v>
      </c>
      <c r="Q1191" s="380" t="s">
        <v>1148</v>
      </c>
      <c r="R1191" s="378"/>
    </row>
    <row r="1192" spans="1:18" hidden="1" outlineLevel="1">
      <c r="A1192" s="394"/>
      <c r="B1192" s="637"/>
      <c r="C1192" s="382" t="s">
        <v>1182</v>
      </c>
      <c r="D1192" s="387">
        <v>0.9</v>
      </c>
      <c r="E1192" s="399"/>
      <c r="F1192" s="387">
        <v>0.9</v>
      </c>
      <c r="G1192" s="387"/>
      <c r="H1192" s="387"/>
      <c r="I1192" s="387"/>
      <c r="J1192" s="387"/>
      <c r="K1192" s="378">
        <v>1</v>
      </c>
      <c r="L1192" s="378"/>
      <c r="M1192" s="379">
        <f t="shared" si="270"/>
        <v>0</v>
      </c>
      <c r="N1192" s="378">
        <f t="shared" si="271"/>
        <v>2</v>
      </c>
      <c r="O1192" s="379">
        <f t="shared" si="265"/>
        <v>2</v>
      </c>
      <c r="P1192" s="378" t="s">
        <v>1147</v>
      </c>
      <c r="Q1192" s="380" t="s">
        <v>1148</v>
      </c>
      <c r="R1192" s="378"/>
    </row>
    <row r="1193" spans="1:18" hidden="1" outlineLevel="1">
      <c r="A1193" s="394"/>
      <c r="B1193" s="637"/>
      <c r="C1193" s="382" t="s">
        <v>1183</v>
      </c>
      <c r="D1193" s="387">
        <v>0.9</v>
      </c>
      <c r="E1193" s="399"/>
      <c r="F1193" s="387">
        <v>0.9</v>
      </c>
      <c r="G1193" s="387"/>
      <c r="H1193" s="387"/>
      <c r="I1193" s="387"/>
      <c r="J1193" s="387"/>
      <c r="K1193" s="378">
        <v>1</v>
      </c>
      <c r="L1193" s="378"/>
      <c r="M1193" s="379">
        <f t="shared" si="270"/>
        <v>0</v>
      </c>
      <c r="N1193" s="378">
        <f t="shared" si="271"/>
        <v>2</v>
      </c>
      <c r="O1193" s="379">
        <f t="shared" si="265"/>
        <v>2</v>
      </c>
      <c r="P1193" s="378" t="s">
        <v>1147</v>
      </c>
      <c r="Q1193" s="380" t="s">
        <v>1148</v>
      </c>
      <c r="R1193" s="378"/>
    </row>
    <row r="1194" spans="1:18" hidden="1" outlineLevel="1">
      <c r="A1194" s="394"/>
      <c r="B1194" s="637"/>
      <c r="C1194" s="382" t="s">
        <v>1178</v>
      </c>
      <c r="D1194" s="387">
        <v>0.9</v>
      </c>
      <c r="E1194" s="399"/>
      <c r="F1194" s="387">
        <v>0.9</v>
      </c>
      <c r="G1194" s="387"/>
      <c r="H1194" s="387"/>
      <c r="I1194" s="387"/>
      <c r="J1194" s="387"/>
      <c r="K1194" s="378">
        <v>1</v>
      </c>
      <c r="L1194" s="378"/>
      <c r="M1194" s="379">
        <f t="shared" si="270"/>
        <v>0</v>
      </c>
      <c r="N1194" s="378">
        <f t="shared" si="271"/>
        <v>2</v>
      </c>
      <c r="O1194" s="379">
        <f t="shared" si="265"/>
        <v>2</v>
      </c>
      <c r="P1194" s="378" t="s">
        <v>1147</v>
      </c>
      <c r="Q1194" s="380" t="s">
        <v>1148</v>
      </c>
      <c r="R1194" s="378"/>
    </row>
    <row r="1195" spans="1:18" hidden="1" outlineLevel="1">
      <c r="A1195" s="394"/>
      <c r="B1195" s="638"/>
      <c r="C1195" s="382" t="s">
        <v>1184</v>
      </c>
      <c r="D1195" s="387">
        <v>0.85</v>
      </c>
      <c r="E1195" s="399"/>
      <c r="F1195" s="387">
        <v>0.85</v>
      </c>
      <c r="G1195" s="387"/>
      <c r="H1195" s="387"/>
      <c r="I1195" s="387"/>
      <c r="J1195" s="387"/>
      <c r="K1195" s="378">
        <v>1</v>
      </c>
      <c r="L1195" s="378"/>
      <c r="M1195" s="379">
        <f t="shared" si="270"/>
        <v>0</v>
      </c>
      <c r="N1195" s="378">
        <f t="shared" si="271"/>
        <v>2</v>
      </c>
      <c r="O1195" s="379">
        <f t="shared" si="265"/>
        <v>2</v>
      </c>
      <c r="P1195" s="378" t="s">
        <v>1147</v>
      </c>
      <c r="Q1195" s="380" t="s">
        <v>1148</v>
      </c>
      <c r="R1195" s="378"/>
    </row>
    <row r="1196" spans="1:18" hidden="1" outlineLevel="1">
      <c r="A1196" s="394" t="s">
        <v>1185</v>
      </c>
      <c r="B1196" s="395"/>
      <c r="C1196" s="382"/>
      <c r="D1196" s="387"/>
      <c r="E1196" s="399"/>
      <c r="F1196" s="387"/>
      <c r="G1196" s="387"/>
      <c r="H1196" s="387"/>
      <c r="I1196" s="387"/>
      <c r="J1196" s="387"/>
      <c r="K1196" s="378"/>
      <c r="L1196" s="378"/>
      <c r="M1196" s="379">
        <f>IFERROR(MIN(M1197:M1200),0)</f>
        <v>0</v>
      </c>
      <c r="N1196" s="378">
        <f>N1197</f>
        <v>2</v>
      </c>
      <c r="O1196" s="379">
        <f>MAX(M1196:N1196)</f>
        <v>2</v>
      </c>
      <c r="P1196" s="378" t="s">
        <v>1147</v>
      </c>
      <c r="Q1196" s="380" t="s">
        <v>1148</v>
      </c>
      <c r="R1196" s="378"/>
    </row>
    <row r="1197" spans="1:18" hidden="1" outlineLevel="1">
      <c r="A1197" s="394"/>
      <c r="B1197" s="636" t="s">
        <v>1186</v>
      </c>
      <c r="C1197" s="382" t="s">
        <v>1187</v>
      </c>
      <c r="D1197" s="387">
        <v>0.95</v>
      </c>
      <c r="E1197" s="389"/>
      <c r="F1197" s="398">
        <v>0.45</v>
      </c>
      <c r="G1197" s="387"/>
      <c r="H1197" s="387"/>
      <c r="I1197" s="387"/>
      <c r="J1197" s="387"/>
      <c r="K1197" s="378">
        <v>1</v>
      </c>
      <c r="L1197" s="378"/>
      <c r="M1197" s="379">
        <f>IFERROR(MIN(MAX(0,IF(K1197="N/A",0,IF((D1197=E1197),5,5-QUOTIENT(D1197,E1197)))), MAX(0,IF(K1197="N/A",0,IF((F1197=G1197),5,5-QUOTIENT(F1197,G1197))))),0)</f>
        <v>0</v>
      </c>
      <c r="N1197" s="378">
        <f>IF(K1197="N/A", 1, 2)</f>
        <v>2</v>
      </c>
      <c r="O1197" s="379">
        <f t="shared" ref="O1197:O1223" si="272">MAX(M1197:N1197)</f>
        <v>2</v>
      </c>
      <c r="P1197" s="378" t="s">
        <v>1147</v>
      </c>
      <c r="Q1197" s="380" t="s">
        <v>1148</v>
      </c>
      <c r="R1197" s="378"/>
    </row>
    <row r="1198" spans="1:18" hidden="1" outlineLevel="1">
      <c r="A1198" s="394"/>
      <c r="B1198" s="637"/>
      <c r="C1198" s="382" t="s">
        <v>1188</v>
      </c>
      <c r="D1198" s="387">
        <v>0.9</v>
      </c>
      <c r="E1198" s="389"/>
      <c r="F1198" s="398">
        <v>0.4</v>
      </c>
      <c r="G1198" s="387"/>
      <c r="H1198" s="387"/>
      <c r="I1198" s="387"/>
      <c r="J1198" s="387"/>
      <c r="K1198" s="378">
        <v>1</v>
      </c>
      <c r="L1198" s="378"/>
      <c r="M1198" s="379">
        <f>IFERROR(MIN(MAX(0,IF(K1198="N/A",0,IF((D1198=E1198),5,5-QUOTIENT(D1198,E1198)))), MAX(0,IF(K1198="N/A",0,IF((F1198=G1198),5,5-QUOTIENT(F1198,G1198))))),0)</f>
        <v>0</v>
      </c>
      <c r="N1198" s="378">
        <f t="shared" ref="N1198:N1200" si="273">IF(K1198="N/A", 1, 2)</f>
        <v>2</v>
      </c>
      <c r="O1198" s="379">
        <f t="shared" si="272"/>
        <v>2</v>
      </c>
      <c r="P1198" s="378" t="s">
        <v>1147</v>
      </c>
      <c r="Q1198" s="380" t="s">
        <v>1148</v>
      </c>
      <c r="R1198" s="378"/>
    </row>
    <row r="1199" spans="1:18" hidden="1" outlineLevel="1">
      <c r="A1199" s="394"/>
      <c r="B1199" s="637"/>
      <c r="C1199" s="382" t="s">
        <v>1170</v>
      </c>
      <c r="D1199" s="390">
        <v>0.05</v>
      </c>
      <c r="E1199" s="389"/>
      <c r="F1199" s="390">
        <v>0.05</v>
      </c>
      <c r="G1199" s="387"/>
      <c r="H1199" s="387"/>
      <c r="I1199" s="387"/>
      <c r="J1199" s="387"/>
      <c r="K1199" s="378">
        <v>1</v>
      </c>
      <c r="L1199" s="378"/>
      <c r="M1199" s="379">
        <f>IFERROR(MIN(MAX(0,IF(K1199="N/A",0,IF((D1199=E1199),5,5-QUOTIENT(D1199,E1199)))), MAX(0,IF(K1199="N/A",0,IF((F1199=G1199),5,5-QUOTIENT(F1199,G1199))))),0)</f>
        <v>0</v>
      </c>
      <c r="N1199" s="378">
        <f t="shared" si="273"/>
        <v>2</v>
      </c>
      <c r="O1199" s="379">
        <f t="shared" si="272"/>
        <v>2</v>
      </c>
      <c r="P1199" s="378" t="s">
        <v>1147</v>
      </c>
      <c r="Q1199" s="380" t="s">
        <v>1148</v>
      </c>
      <c r="R1199" s="378"/>
    </row>
    <row r="1200" spans="1:18" hidden="1" outlineLevel="1">
      <c r="A1200" s="394"/>
      <c r="B1200" s="638"/>
      <c r="C1200" s="382" t="s">
        <v>1189</v>
      </c>
      <c r="D1200" s="391">
        <v>100</v>
      </c>
      <c r="E1200" s="389"/>
      <c r="F1200" s="391">
        <v>100</v>
      </c>
      <c r="G1200" s="387"/>
      <c r="H1200" s="387"/>
      <c r="I1200" s="387"/>
      <c r="J1200" s="387"/>
      <c r="K1200" s="378">
        <v>1</v>
      </c>
      <c r="L1200" s="378"/>
      <c r="M1200" s="379">
        <f>IFERROR(MIN(MAX(0,IF(K1200="N/A",0,IF((D1200=E1200),5,5-QUOTIENT(D1200,E1200)))), MAX(0,IF(K1200="N/A",0,IF((F1200=G1200),5,5-QUOTIENT(F1200,G1200))))),0)</f>
        <v>0</v>
      </c>
      <c r="N1200" s="378">
        <f t="shared" si="273"/>
        <v>2</v>
      </c>
      <c r="O1200" s="379">
        <f t="shared" si="272"/>
        <v>2</v>
      </c>
      <c r="P1200" s="378" t="s">
        <v>1147</v>
      </c>
      <c r="Q1200" s="380" t="s">
        <v>1148</v>
      </c>
      <c r="R1200" s="378"/>
    </row>
    <row r="1201" spans="1:18" hidden="1" outlineLevel="1">
      <c r="A1201" s="394" t="s">
        <v>1190</v>
      </c>
      <c r="B1201" s="396"/>
      <c r="C1201" s="382"/>
      <c r="D1201" s="391"/>
      <c r="E1201" s="389"/>
      <c r="F1201" s="391"/>
      <c r="G1201" s="387"/>
      <c r="H1201" s="387"/>
      <c r="I1201" s="387"/>
      <c r="J1201" s="387"/>
      <c r="K1201" s="378"/>
      <c r="L1201" s="378"/>
      <c r="M1201" s="379">
        <f>IFERROR(MIN(M1202:M1205),0)</f>
        <v>0</v>
      </c>
      <c r="N1201" s="378">
        <f>N1202</f>
        <v>2</v>
      </c>
      <c r="O1201" s="379">
        <f t="shared" si="272"/>
        <v>2</v>
      </c>
      <c r="P1201" s="378" t="s">
        <v>1147</v>
      </c>
      <c r="Q1201" s="380" t="s">
        <v>1148</v>
      </c>
      <c r="R1201" s="378"/>
    </row>
    <row r="1202" spans="1:18" hidden="1" outlineLevel="1">
      <c r="A1202" s="394"/>
      <c r="B1202" s="397" t="s">
        <v>752</v>
      </c>
      <c r="C1202" s="382" t="s">
        <v>1191</v>
      </c>
      <c r="D1202" s="387">
        <v>0.85</v>
      </c>
      <c r="E1202" s="389"/>
      <c r="F1202" s="398">
        <v>0.85</v>
      </c>
      <c r="G1202" s="387"/>
      <c r="H1202" s="387"/>
      <c r="I1202" s="387"/>
      <c r="J1202" s="387"/>
      <c r="K1202" s="378">
        <v>1</v>
      </c>
      <c r="L1202" s="378"/>
      <c r="M1202" s="379">
        <f>IFERROR(MIN(MAX(0,IF(K1202="N/A",0,IF((D1202=E1202),5,5-QUOTIENT(D1202,E1202)))), MAX(0,IF(K1202="N/A",0,IF((F1202=G1202),5,5-QUOTIENT(F1202,G1202))))),0)</f>
        <v>0</v>
      </c>
      <c r="N1202" s="378">
        <f>IF(K1202="N/A", 1, 2)</f>
        <v>2</v>
      </c>
      <c r="O1202" s="379">
        <f t="shared" si="272"/>
        <v>2</v>
      </c>
      <c r="P1202" s="378" t="s">
        <v>1147</v>
      </c>
      <c r="Q1202" s="380" t="s">
        <v>1148</v>
      </c>
      <c r="R1202" s="378"/>
    </row>
    <row r="1203" spans="1:18" hidden="1" outlineLevel="1">
      <c r="A1203" s="394"/>
      <c r="B1203" s="397" t="s">
        <v>752</v>
      </c>
      <c r="C1203" s="400" t="s">
        <v>1170</v>
      </c>
      <c r="D1203" s="401">
        <v>1</v>
      </c>
      <c r="E1203" s="389"/>
      <c r="F1203" s="401">
        <v>1</v>
      </c>
      <c r="G1203" s="387"/>
      <c r="H1203" s="387"/>
      <c r="I1203" s="387"/>
      <c r="J1203" s="387"/>
      <c r="K1203" s="378">
        <v>1</v>
      </c>
      <c r="L1203" s="378"/>
      <c r="M1203" s="379">
        <f>IFERROR(MIN(MAX(0,IF(K1203="N/A",0,IF((D1203=E1203),5,5-QUOTIENT(D1203,E1203)))), MAX(0,IF(K1203="N/A",0,IF((F1203=G1203),5,5-QUOTIENT(F1203,G1203))))),0)</f>
        <v>0</v>
      </c>
      <c r="N1203" s="378">
        <f t="shared" ref="N1203:N1205" si="274">IF(K1203="N/A", 1, 2)</f>
        <v>2</v>
      </c>
      <c r="O1203" s="379">
        <f t="shared" si="272"/>
        <v>2</v>
      </c>
      <c r="P1203" s="378" t="s">
        <v>1147</v>
      </c>
      <c r="Q1203" s="380" t="s">
        <v>1148</v>
      </c>
      <c r="R1203" s="378"/>
    </row>
    <row r="1204" spans="1:18" hidden="1" outlineLevel="1">
      <c r="A1204" s="394"/>
      <c r="B1204" s="402" t="s">
        <v>1192</v>
      </c>
      <c r="C1204" s="400" t="s">
        <v>1193</v>
      </c>
      <c r="D1204" s="403">
        <v>0.999</v>
      </c>
      <c r="E1204" s="389"/>
      <c r="F1204" s="403">
        <v>0.999</v>
      </c>
      <c r="G1204" s="387"/>
      <c r="H1204" s="387"/>
      <c r="I1204" s="387"/>
      <c r="J1204" s="387"/>
      <c r="K1204" s="378">
        <v>1</v>
      </c>
      <c r="L1204" s="378"/>
      <c r="M1204" s="379">
        <f>IFERROR(MIN(MAX(0,IF(K1204="N/A",0,IF((D1204=E1204),5,5-QUOTIENT(D1204,E1204)))), MAX(0,IF(K1204="N/A",0,IF((F1204=G1204),5,5-QUOTIENT(F1204,G1204))))),0)</f>
        <v>0</v>
      </c>
      <c r="N1204" s="378">
        <f t="shared" si="274"/>
        <v>2</v>
      </c>
      <c r="O1204" s="379">
        <f t="shared" si="272"/>
        <v>2</v>
      </c>
      <c r="P1204" s="378" t="s">
        <v>1147</v>
      </c>
      <c r="Q1204" s="380" t="s">
        <v>1148</v>
      </c>
      <c r="R1204" s="378"/>
    </row>
    <row r="1205" spans="1:18" hidden="1" outlineLevel="1">
      <c r="A1205" s="394"/>
      <c r="B1205" s="402" t="s">
        <v>1192</v>
      </c>
      <c r="C1205" s="400" t="s">
        <v>1194</v>
      </c>
      <c r="D1205" s="403">
        <v>0.999</v>
      </c>
      <c r="E1205" s="389"/>
      <c r="F1205" s="403">
        <v>0.999</v>
      </c>
      <c r="G1205" s="387"/>
      <c r="H1205" s="387"/>
      <c r="I1205" s="387"/>
      <c r="J1205" s="387"/>
      <c r="K1205" s="378">
        <v>1</v>
      </c>
      <c r="L1205" s="378"/>
      <c r="M1205" s="379">
        <f>IFERROR(MIN(MAX(0,IF(K1205="N/A",0,IF((D1205=E1205),5,5-QUOTIENT(D1205,E1205)))), MAX(0,IF(K1205="N/A",0,IF((F1205=G1205),5,5-QUOTIENT(F1205,G1205))))),0)</f>
        <v>0</v>
      </c>
      <c r="N1205" s="378">
        <f t="shared" si="274"/>
        <v>2</v>
      </c>
      <c r="O1205" s="379">
        <f t="shared" si="272"/>
        <v>2</v>
      </c>
      <c r="P1205" s="378" t="s">
        <v>1147</v>
      </c>
      <c r="Q1205" s="380" t="s">
        <v>1148</v>
      </c>
      <c r="R1205" s="378"/>
    </row>
    <row r="1206" spans="1:18" hidden="1" outlineLevel="1">
      <c r="A1206" s="404" t="s">
        <v>1195</v>
      </c>
      <c r="B1206" s="405"/>
      <c r="C1206" s="400"/>
      <c r="D1206" s="403"/>
      <c r="E1206" s="389"/>
      <c r="F1206" s="403"/>
      <c r="G1206" s="387"/>
      <c r="H1206" s="387"/>
      <c r="I1206" s="387"/>
      <c r="J1206" s="387"/>
      <c r="K1206" s="378"/>
      <c r="L1206" s="378"/>
      <c r="M1206" s="379">
        <f>IFERROR(MIN(M1207:M1218),0)</f>
        <v>0</v>
      </c>
      <c r="N1206" s="378">
        <f>N1209</f>
        <v>2</v>
      </c>
      <c r="O1206" s="379">
        <f t="shared" si="272"/>
        <v>2</v>
      </c>
      <c r="P1206" s="378" t="s">
        <v>1147</v>
      </c>
      <c r="Q1206" s="380" t="s">
        <v>1148</v>
      </c>
      <c r="R1206" s="378"/>
    </row>
    <row r="1207" spans="1:18" hidden="1" outlineLevel="1">
      <c r="A1207" s="406"/>
      <c r="B1207" s="639" t="s">
        <v>1196</v>
      </c>
      <c r="C1207" s="382" t="s">
        <v>1197</v>
      </c>
      <c r="D1207" s="387">
        <v>0.99</v>
      </c>
      <c r="E1207" s="389"/>
      <c r="F1207" s="398">
        <v>0.95</v>
      </c>
      <c r="G1207" s="387"/>
      <c r="H1207" s="387"/>
      <c r="I1207" s="387"/>
      <c r="J1207" s="387"/>
      <c r="K1207" s="378">
        <v>1</v>
      </c>
      <c r="L1207" s="378"/>
      <c r="M1207" s="379">
        <f t="shared" ref="M1207:M1218" si="275">IFERROR(MIN(MAX(0,IF(K1207="N/A",0,IF((D1207=E1207),5,5-QUOTIENT(D1207,E1207)))), MAX(0,IF(K1207="N/A",0,IF((F1207=G1207),5,5-QUOTIENT(F1207,G1207))))),0)</f>
        <v>0</v>
      </c>
      <c r="N1207" s="378">
        <f>IF(K1207="N/A", 1, 2)</f>
        <v>2</v>
      </c>
      <c r="O1207" s="379">
        <f t="shared" si="272"/>
        <v>2</v>
      </c>
      <c r="P1207" s="378" t="s">
        <v>1147</v>
      </c>
      <c r="Q1207" s="380" t="s">
        <v>1148</v>
      </c>
      <c r="R1207" s="378"/>
    </row>
    <row r="1208" spans="1:18" hidden="1" outlineLevel="1">
      <c r="A1208" s="406"/>
      <c r="B1208" s="640"/>
      <c r="C1208" s="382" t="s">
        <v>1198</v>
      </c>
      <c r="D1208" s="387">
        <v>0.85</v>
      </c>
      <c r="E1208" s="389"/>
      <c r="F1208" s="398">
        <v>0.8</v>
      </c>
      <c r="G1208" s="387"/>
      <c r="H1208" s="387"/>
      <c r="I1208" s="387"/>
      <c r="J1208" s="387"/>
      <c r="K1208" s="378">
        <v>1</v>
      </c>
      <c r="L1208" s="378"/>
      <c r="M1208" s="379">
        <f t="shared" si="275"/>
        <v>0</v>
      </c>
      <c r="N1208" s="378">
        <f t="shared" ref="N1208:N1209" si="276">IF(K1208="N/A", 1, 2)</f>
        <v>2</v>
      </c>
      <c r="O1208" s="379">
        <f t="shared" si="272"/>
        <v>2</v>
      </c>
      <c r="P1208" s="378" t="s">
        <v>1147</v>
      </c>
      <c r="Q1208" s="380" t="s">
        <v>1148</v>
      </c>
      <c r="R1208" s="378"/>
    </row>
    <row r="1209" spans="1:18" ht="15" hidden="1" customHeight="1" outlineLevel="1">
      <c r="A1209" s="406"/>
      <c r="B1209" s="641"/>
      <c r="C1209" s="382" t="s">
        <v>1193</v>
      </c>
      <c r="D1209" s="387">
        <v>0.99</v>
      </c>
      <c r="E1209" s="389"/>
      <c r="F1209" s="398">
        <v>0.95</v>
      </c>
      <c r="G1209" s="387"/>
      <c r="H1209" s="387"/>
      <c r="I1209" s="387"/>
      <c r="J1209" s="387"/>
      <c r="K1209" s="378">
        <v>1</v>
      </c>
      <c r="L1209" s="378"/>
      <c r="M1209" s="379">
        <f t="shared" si="275"/>
        <v>0</v>
      </c>
      <c r="N1209" s="378">
        <f t="shared" si="276"/>
        <v>2</v>
      </c>
      <c r="O1209" s="379">
        <f t="shared" si="272"/>
        <v>2</v>
      </c>
      <c r="P1209" s="378" t="s">
        <v>1147</v>
      </c>
      <c r="Q1209" s="380" t="s">
        <v>1148</v>
      </c>
      <c r="R1209" s="378"/>
    </row>
    <row r="1210" spans="1:18" hidden="1" outlineLevel="1">
      <c r="A1210" s="406"/>
      <c r="B1210" s="639" t="s">
        <v>1199</v>
      </c>
      <c r="C1210" s="382" t="s">
        <v>1197</v>
      </c>
      <c r="D1210" s="387">
        <v>0.99</v>
      </c>
      <c r="E1210" s="389"/>
      <c r="F1210" s="398">
        <v>0.95</v>
      </c>
      <c r="G1210" s="387"/>
      <c r="H1210" s="387"/>
      <c r="I1210" s="387"/>
      <c r="J1210" s="387"/>
      <c r="K1210" s="378" t="s">
        <v>549</v>
      </c>
      <c r="L1210" s="378"/>
      <c r="M1210" s="379">
        <f t="shared" si="275"/>
        <v>0</v>
      </c>
      <c r="N1210" s="378">
        <f>IF(K1210="N/A", 1, 2)</f>
        <v>1</v>
      </c>
      <c r="O1210" s="379">
        <f t="shared" si="272"/>
        <v>1</v>
      </c>
      <c r="P1210" s="378" t="s">
        <v>1147</v>
      </c>
      <c r="Q1210" s="380" t="s">
        <v>1148</v>
      </c>
      <c r="R1210" s="378"/>
    </row>
    <row r="1211" spans="1:18" hidden="1" outlineLevel="1">
      <c r="A1211" s="406"/>
      <c r="B1211" s="640"/>
      <c r="C1211" s="382" t="s">
        <v>1198</v>
      </c>
      <c r="D1211" s="387">
        <v>0.85</v>
      </c>
      <c r="E1211" s="389"/>
      <c r="F1211" s="398">
        <v>0.8</v>
      </c>
      <c r="G1211" s="387"/>
      <c r="H1211" s="387"/>
      <c r="I1211" s="387"/>
      <c r="J1211" s="387"/>
      <c r="K1211" s="378" t="s">
        <v>549</v>
      </c>
      <c r="L1211" s="378"/>
      <c r="M1211" s="379">
        <f t="shared" si="275"/>
        <v>0</v>
      </c>
      <c r="N1211" s="378">
        <f t="shared" ref="N1211:N1218" si="277">IF(K1211="N/A", 1, 2)</f>
        <v>1</v>
      </c>
      <c r="O1211" s="379">
        <f t="shared" si="272"/>
        <v>1</v>
      </c>
      <c r="P1211" s="378" t="s">
        <v>1147</v>
      </c>
      <c r="Q1211" s="380" t="s">
        <v>1148</v>
      </c>
      <c r="R1211" s="378"/>
    </row>
    <row r="1212" spans="1:18" hidden="1" outlineLevel="1">
      <c r="A1212" s="406"/>
      <c r="B1212" s="641"/>
      <c r="C1212" s="382" t="s">
        <v>1193</v>
      </c>
      <c r="D1212" s="387">
        <v>0.99</v>
      </c>
      <c r="E1212" s="389"/>
      <c r="F1212" s="398">
        <v>0.95</v>
      </c>
      <c r="G1212" s="387"/>
      <c r="H1212" s="387"/>
      <c r="I1212" s="387"/>
      <c r="J1212" s="387"/>
      <c r="K1212" s="378" t="s">
        <v>549</v>
      </c>
      <c r="L1212" s="378"/>
      <c r="M1212" s="379">
        <f t="shared" si="275"/>
        <v>0</v>
      </c>
      <c r="N1212" s="378">
        <f t="shared" si="277"/>
        <v>1</v>
      </c>
      <c r="O1212" s="379">
        <f t="shared" si="272"/>
        <v>1</v>
      </c>
      <c r="P1212" s="378" t="s">
        <v>1147</v>
      </c>
      <c r="Q1212" s="380" t="s">
        <v>1148</v>
      </c>
      <c r="R1212" s="378"/>
    </row>
    <row r="1213" spans="1:18" hidden="1" outlineLevel="1">
      <c r="A1213" s="406"/>
      <c r="B1213" s="639" t="s">
        <v>1200</v>
      </c>
      <c r="C1213" s="382" t="s">
        <v>1197</v>
      </c>
      <c r="D1213" s="387">
        <v>0.99</v>
      </c>
      <c r="E1213" s="389"/>
      <c r="F1213" s="398">
        <v>0.95</v>
      </c>
      <c r="G1213" s="387"/>
      <c r="H1213" s="387"/>
      <c r="I1213" s="387"/>
      <c r="J1213" s="387"/>
      <c r="K1213" s="378" t="s">
        <v>549</v>
      </c>
      <c r="L1213" s="378"/>
      <c r="M1213" s="379">
        <f t="shared" si="275"/>
        <v>0</v>
      </c>
      <c r="N1213" s="378">
        <f t="shared" si="277"/>
        <v>1</v>
      </c>
      <c r="O1213" s="379">
        <f t="shared" si="272"/>
        <v>1</v>
      </c>
      <c r="P1213" s="378" t="s">
        <v>1147</v>
      </c>
      <c r="Q1213" s="380" t="s">
        <v>1148</v>
      </c>
      <c r="R1213" s="378"/>
    </row>
    <row r="1214" spans="1:18" hidden="1" outlineLevel="1">
      <c r="A1214" s="406"/>
      <c r="B1214" s="640"/>
      <c r="C1214" s="382" t="s">
        <v>1198</v>
      </c>
      <c r="D1214" s="387">
        <v>0.85</v>
      </c>
      <c r="E1214" s="389"/>
      <c r="F1214" s="398">
        <v>0.8</v>
      </c>
      <c r="G1214" s="387"/>
      <c r="H1214" s="387"/>
      <c r="I1214" s="387"/>
      <c r="J1214" s="387"/>
      <c r="K1214" s="378" t="s">
        <v>549</v>
      </c>
      <c r="L1214" s="378"/>
      <c r="M1214" s="379">
        <f t="shared" si="275"/>
        <v>0</v>
      </c>
      <c r="N1214" s="378">
        <f t="shared" si="277"/>
        <v>1</v>
      </c>
      <c r="O1214" s="379">
        <f t="shared" si="272"/>
        <v>1</v>
      </c>
      <c r="P1214" s="378" t="s">
        <v>1147</v>
      </c>
      <c r="Q1214" s="380" t="s">
        <v>1148</v>
      </c>
      <c r="R1214" s="378"/>
    </row>
    <row r="1215" spans="1:18" hidden="1" outlineLevel="1">
      <c r="A1215" s="406"/>
      <c r="B1215" s="641"/>
      <c r="C1215" s="382" t="s">
        <v>1193</v>
      </c>
      <c r="D1215" s="387">
        <v>0.99</v>
      </c>
      <c r="E1215" s="389"/>
      <c r="F1215" s="398">
        <v>0.95</v>
      </c>
      <c r="G1215" s="387"/>
      <c r="H1215" s="387"/>
      <c r="I1215" s="387"/>
      <c r="J1215" s="387"/>
      <c r="K1215" s="378" t="s">
        <v>549</v>
      </c>
      <c r="L1215" s="378"/>
      <c r="M1215" s="379">
        <f t="shared" si="275"/>
        <v>0</v>
      </c>
      <c r="N1215" s="378">
        <f t="shared" si="277"/>
        <v>1</v>
      </c>
      <c r="O1215" s="379">
        <f t="shared" si="272"/>
        <v>1</v>
      </c>
      <c r="P1215" s="378" t="s">
        <v>1147</v>
      </c>
      <c r="Q1215" s="380" t="s">
        <v>1148</v>
      </c>
      <c r="R1215" s="378"/>
    </row>
    <row r="1216" spans="1:18" hidden="1" outlineLevel="1">
      <c r="A1216" s="406"/>
      <c r="B1216" s="639" t="s">
        <v>1201</v>
      </c>
      <c r="C1216" s="382" t="s">
        <v>1197</v>
      </c>
      <c r="D1216" s="387">
        <v>0.99</v>
      </c>
      <c r="E1216" s="389"/>
      <c r="F1216" s="398">
        <v>0.95</v>
      </c>
      <c r="G1216" s="387"/>
      <c r="H1216" s="387"/>
      <c r="I1216" s="387"/>
      <c r="J1216" s="387"/>
      <c r="K1216" s="378" t="s">
        <v>549</v>
      </c>
      <c r="L1216" s="378"/>
      <c r="M1216" s="379">
        <f t="shared" si="275"/>
        <v>0</v>
      </c>
      <c r="N1216" s="378">
        <f t="shared" si="277"/>
        <v>1</v>
      </c>
      <c r="O1216" s="379">
        <f t="shared" si="272"/>
        <v>1</v>
      </c>
      <c r="P1216" s="378" t="s">
        <v>1147</v>
      </c>
      <c r="Q1216" s="380" t="s">
        <v>1148</v>
      </c>
      <c r="R1216" s="378"/>
    </row>
    <row r="1217" spans="1:18" hidden="1" outlineLevel="1">
      <c r="A1217" s="406"/>
      <c r="B1217" s="640"/>
      <c r="C1217" s="382" t="s">
        <v>1198</v>
      </c>
      <c r="D1217" s="387">
        <v>0.85</v>
      </c>
      <c r="E1217" s="389"/>
      <c r="F1217" s="398">
        <v>0.8</v>
      </c>
      <c r="G1217" s="387"/>
      <c r="H1217" s="387"/>
      <c r="I1217" s="387"/>
      <c r="J1217" s="387"/>
      <c r="K1217" s="378" t="s">
        <v>549</v>
      </c>
      <c r="L1217" s="378"/>
      <c r="M1217" s="379">
        <f t="shared" si="275"/>
        <v>0</v>
      </c>
      <c r="N1217" s="378">
        <f t="shared" si="277"/>
        <v>1</v>
      </c>
      <c r="O1217" s="379">
        <f t="shared" si="272"/>
        <v>1</v>
      </c>
      <c r="P1217" s="378" t="s">
        <v>1147</v>
      </c>
      <c r="Q1217" s="380" t="s">
        <v>1148</v>
      </c>
      <c r="R1217" s="378"/>
    </row>
    <row r="1218" spans="1:18" hidden="1" outlineLevel="1">
      <c r="A1218" s="406"/>
      <c r="B1218" s="641"/>
      <c r="C1218" s="382" t="s">
        <v>1193</v>
      </c>
      <c r="D1218" s="387">
        <v>0.99</v>
      </c>
      <c r="E1218" s="389"/>
      <c r="F1218" s="398">
        <v>0.95</v>
      </c>
      <c r="G1218" s="387"/>
      <c r="H1218" s="387"/>
      <c r="I1218" s="387"/>
      <c r="J1218" s="387"/>
      <c r="K1218" s="378" t="s">
        <v>549</v>
      </c>
      <c r="L1218" s="378"/>
      <c r="M1218" s="379">
        <f t="shared" si="275"/>
        <v>0</v>
      </c>
      <c r="N1218" s="378">
        <f t="shared" si="277"/>
        <v>1</v>
      </c>
      <c r="O1218" s="379">
        <f t="shared" si="272"/>
        <v>1</v>
      </c>
      <c r="P1218" s="378" t="s">
        <v>1147</v>
      </c>
      <c r="Q1218" s="380" t="s">
        <v>1148</v>
      </c>
      <c r="R1218" s="378"/>
    </row>
    <row r="1219" spans="1:18" hidden="1" outlineLevel="1">
      <c r="A1219" s="404" t="s">
        <v>1202</v>
      </c>
      <c r="B1219" s="407"/>
      <c r="C1219" s="382"/>
      <c r="D1219" s="387"/>
      <c r="E1219" s="389"/>
      <c r="F1219" s="398"/>
      <c r="G1219" s="387"/>
      <c r="H1219" s="387"/>
      <c r="I1219" s="387"/>
      <c r="J1219" s="387"/>
      <c r="K1219" s="378"/>
      <c r="L1219" s="378"/>
      <c r="M1219" s="379">
        <f>M1220</f>
        <v>0</v>
      </c>
      <c r="N1219" s="378">
        <f>N1220</f>
        <v>1</v>
      </c>
      <c r="O1219" s="379">
        <f t="shared" si="272"/>
        <v>1</v>
      </c>
      <c r="P1219" s="378" t="s">
        <v>1147</v>
      </c>
      <c r="Q1219" s="380" t="s">
        <v>1148</v>
      </c>
      <c r="R1219" s="378"/>
    </row>
    <row r="1220" spans="1:18" hidden="1" outlineLevel="1">
      <c r="A1220" s="406"/>
      <c r="B1220" s="388" t="s">
        <v>1192</v>
      </c>
      <c r="C1220" s="382" t="s">
        <v>1203</v>
      </c>
      <c r="D1220" s="387">
        <v>0.95</v>
      </c>
      <c r="E1220" s="389"/>
      <c r="F1220" s="398">
        <v>0.9</v>
      </c>
      <c r="G1220" s="387"/>
      <c r="H1220" s="387"/>
      <c r="I1220" s="387"/>
      <c r="J1220" s="387"/>
      <c r="K1220" s="378" t="s">
        <v>549</v>
      </c>
      <c r="L1220" s="378"/>
      <c r="M1220" s="379">
        <f>IFERROR(MIN(MAX(0,IF(K1220="N/A",0,IF((D1220=E1220),5,5-QUOTIENT(D1220,E1220)))), MAX(0,IF(K1220="N/A",0,IF((F1220=G1220),5,5-QUOTIENT(F1220,G1220))))),0)</f>
        <v>0</v>
      </c>
      <c r="N1220" s="378">
        <f>IF(K1220="N/A", 1, 2)</f>
        <v>1</v>
      </c>
      <c r="O1220" s="379">
        <f t="shared" si="272"/>
        <v>1</v>
      </c>
      <c r="P1220" s="378" t="s">
        <v>1147</v>
      </c>
      <c r="Q1220" s="380" t="s">
        <v>1148</v>
      </c>
      <c r="R1220" s="378"/>
    </row>
    <row r="1221" spans="1:18" hidden="1" outlineLevel="1">
      <c r="A1221" s="404" t="s">
        <v>1204</v>
      </c>
      <c r="B1221" s="408"/>
      <c r="C1221" s="382"/>
      <c r="D1221" s="387"/>
      <c r="E1221" s="389"/>
      <c r="F1221" s="398"/>
      <c r="G1221" s="387"/>
      <c r="H1221" s="387"/>
      <c r="I1221" s="387"/>
      <c r="J1221" s="387"/>
      <c r="K1221" s="378"/>
      <c r="L1221" s="378"/>
      <c r="M1221" s="379">
        <f>IFERROR(MIN(M1222:M1223),0)</f>
        <v>0</v>
      </c>
      <c r="N1221" s="378">
        <f>N1222</f>
        <v>1</v>
      </c>
      <c r="O1221" s="379">
        <f t="shared" si="272"/>
        <v>1</v>
      </c>
      <c r="P1221" s="378" t="s">
        <v>1147</v>
      </c>
      <c r="Q1221" s="380" t="s">
        <v>1148</v>
      </c>
      <c r="R1221" s="378"/>
    </row>
    <row r="1222" spans="1:18" hidden="1" outlineLevel="1">
      <c r="A1222" s="404"/>
      <c r="B1222" s="644" t="s">
        <v>1205</v>
      </c>
      <c r="C1222" s="382" t="s">
        <v>1206</v>
      </c>
      <c r="D1222" s="387">
        <v>0.9</v>
      </c>
      <c r="E1222" s="389"/>
      <c r="F1222" s="398" t="s">
        <v>549</v>
      </c>
      <c r="G1222" s="387"/>
      <c r="H1222" s="387"/>
      <c r="I1222" s="387"/>
      <c r="J1222" s="387"/>
      <c r="K1222" s="378" t="s">
        <v>549</v>
      </c>
      <c r="L1222" s="378"/>
      <c r="M1222" s="379">
        <f>IFERROR(MIN(MAX(0,IF(K1222="N/A",0,IF((D1222=E1222),5,5-QUOTIENT(D1222,E1222)))), MAX(0,IF(K1222="N/A",0,IF((F1222=G1222),5,5-QUOTIENT(F1222,G1222))))),0)</f>
        <v>0</v>
      </c>
      <c r="N1222" s="378">
        <f>IF(K1222="N/A", 1, 2)</f>
        <v>1</v>
      </c>
      <c r="O1222" s="379">
        <f t="shared" si="272"/>
        <v>1</v>
      </c>
      <c r="P1222" s="378" t="s">
        <v>1147</v>
      </c>
      <c r="Q1222" s="380" t="s">
        <v>1148</v>
      </c>
      <c r="R1222" s="378"/>
    </row>
    <row r="1223" spans="1:18" hidden="1" outlineLevel="1">
      <c r="A1223" s="404"/>
      <c r="B1223" s="645"/>
      <c r="C1223" s="382" t="s">
        <v>1207</v>
      </c>
      <c r="D1223" s="387">
        <v>0.9</v>
      </c>
      <c r="E1223" s="389"/>
      <c r="F1223" s="398" t="s">
        <v>549</v>
      </c>
      <c r="G1223" s="387"/>
      <c r="H1223" s="387"/>
      <c r="I1223" s="387"/>
      <c r="J1223" s="387"/>
      <c r="K1223" s="378" t="s">
        <v>549</v>
      </c>
      <c r="L1223" s="378"/>
      <c r="M1223" s="379">
        <f>IFERROR(MIN(MAX(0,IF(K1223="N/A",0,IF((D1223=E1223),5,5-QUOTIENT(D1223,E1223)))), MAX(0,IF(K1223="N/A",0,IF((F1223=G1223),5,5-QUOTIENT(F1223,G1223))))),0)</f>
        <v>0</v>
      </c>
      <c r="N1223" s="378">
        <f>IF(K1223="N/A", 1, 2)</f>
        <v>1</v>
      </c>
      <c r="O1223" s="379">
        <f t="shared" si="272"/>
        <v>1</v>
      </c>
      <c r="P1223" s="378" t="s">
        <v>1147</v>
      </c>
      <c r="Q1223" s="380" t="s">
        <v>1148</v>
      </c>
      <c r="R1223" s="378"/>
    </row>
    <row r="1224" spans="1:18" hidden="1" outlineLevel="1">
      <c r="A1224" s="404" t="s">
        <v>1208</v>
      </c>
      <c r="B1224" s="408"/>
      <c r="C1224" s="382"/>
      <c r="D1224" s="387"/>
      <c r="E1224" s="389"/>
      <c r="F1224" s="398"/>
      <c r="G1224" s="387"/>
      <c r="H1224" s="387"/>
      <c r="I1224" s="387"/>
      <c r="J1224" s="387"/>
      <c r="K1224" s="378"/>
      <c r="L1224" s="378"/>
      <c r="M1224" s="379">
        <f>IFERROR(MIN(M1225:M1226),0)</f>
        <v>0</v>
      </c>
      <c r="N1224" s="378">
        <f>N1225</f>
        <v>2</v>
      </c>
      <c r="O1224" s="379">
        <f>MAX(M1224:N1224)</f>
        <v>2</v>
      </c>
      <c r="P1224" s="378" t="s">
        <v>1147</v>
      </c>
      <c r="Q1224" s="380" t="s">
        <v>1148</v>
      </c>
      <c r="R1224" s="378"/>
    </row>
    <row r="1225" spans="1:18" hidden="1" outlineLevel="1">
      <c r="A1225" s="404"/>
      <c r="B1225" s="644" t="s">
        <v>1209</v>
      </c>
      <c r="C1225" s="382" t="s">
        <v>1210</v>
      </c>
      <c r="D1225" s="387">
        <v>0.9</v>
      </c>
      <c r="E1225" s="389"/>
      <c r="F1225" s="398" t="s">
        <v>549</v>
      </c>
      <c r="G1225" s="387"/>
      <c r="H1225" s="387"/>
      <c r="I1225" s="387"/>
      <c r="J1225" s="387"/>
      <c r="K1225" s="378">
        <v>1</v>
      </c>
      <c r="L1225" s="378"/>
      <c r="M1225" s="379">
        <f>IFERROR(MIN(MAX(0,IF(K1225="N/A",0,IF((D1225=E1225),5,5-QUOTIENT(D1225,E1225)))), MAX(0,IF(K1225="N/A",0,IF((F1225=G1225),5,5-QUOTIENT(F1225,G1225))))),0)</f>
        <v>0</v>
      </c>
      <c r="N1225" s="378">
        <f>IF(K1225="N/A", 1, 2)</f>
        <v>2</v>
      </c>
      <c r="O1225" s="379">
        <f t="shared" ref="O1225:O1229" si="278">MAX(M1225:N1225)</f>
        <v>2</v>
      </c>
      <c r="P1225" s="378" t="s">
        <v>1147</v>
      </c>
      <c r="Q1225" s="380" t="s">
        <v>1148</v>
      </c>
      <c r="R1225" s="378"/>
    </row>
    <row r="1226" spans="1:18" hidden="1" outlineLevel="1">
      <c r="A1226" s="404"/>
      <c r="B1226" s="645"/>
      <c r="C1226" s="382" t="s">
        <v>1211</v>
      </c>
      <c r="D1226" s="387">
        <v>0.9</v>
      </c>
      <c r="E1226" s="389"/>
      <c r="F1226" s="398" t="s">
        <v>549</v>
      </c>
      <c r="G1226" s="387"/>
      <c r="H1226" s="387"/>
      <c r="I1226" s="387"/>
      <c r="J1226" s="387"/>
      <c r="K1226" s="378">
        <v>1</v>
      </c>
      <c r="L1226" s="378"/>
      <c r="M1226" s="379">
        <f>IFERROR(MIN(MAX(0,IF(K1226="N/A",0,IF((D1226=E1226),5,5-QUOTIENT(D1226,E1226)))), MAX(0,IF(K1226="N/A",0,IF((F1226=G1226),5,5-QUOTIENT(F1226,G1226))))),0)</f>
        <v>0</v>
      </c>
      <c r="N1226" s="378">
        <f>IF(K1226="N/A", 1, 2)</f>
        <v>2</v>
      </c>
      <c r="O1226" s="379">
        <f t="shared" si="278"/>
        <v>2</v>
      </c>
      <c r="P1226" s="378" t="s">
        <v>1147</v>
      </c>
      <c r="Q1226" s="380" t="s">
        <v>1148</v>
      </c>
      <c r="R1226" s="378"/>
    </row>
    <row r="1227" spans="1:18" hidden="1" outlineLevel="1">
      <c r="A1227" s="404" t="s">
        <v>1212</v>
      </c>
      <c r="B1227" s="408"/>
      <c r="C1227" s="382"/>
      <c r="D1227" s="387"/>
      <c r="E1227" s="389"/>
      <c r="F1227" s="398"/>
      <c r="G1227" s="387"/>
      <c r="H1227" s="387"/>
      <c r="I1227" s="387"/>
      <c r="J1227" s="387"/>
      <c r="K1227" s="378"/>
      <c r="L1227" s="378"/>
      <c r="M1227" s="379">
        <f>IFERROR(MIN(M1228:M1229),0)</f>
        <v>0</v>
      </c>
      <c r="N1227" s="378">
        <f>N1228</f>
        <v>2</v>
      </c>
      <c r="O1227" s="379">
        <f t="shared" si="278"/>
        <v>2</v>
      </c>
      <c r="P1227" s="378" t="s">
        <v>1147</v>
      </c>
      <c r="Q1227" s="380" t="s">
        <v>1148</v>
      </c>
      <c r="R1227" s="378"/>
    </row>
    <row r="1228" spans="1:18" hidden="1" outlineLevel="1">
      <c r="A1228" s="404"/>
      <c r="B1228" s="644" t="s">
        <v>1213</v>
      </c>
      <c r="C1228" s="382" t="s">
        <v>1214</v>
      </c>
      <c r="D1228" s="387">
        <v>0.9</v>
      </c>
      <c r="E1228" s="389"/>
      <c r="F1228" s="398" t="s">
        <v>549</v>
      </c>
      <c r="G1228" s="387"/>
      <c r="H1228" s="387"/>
      <c r="I1228" s="387"/>
      <c r="J1228" s="387"/>
      <c r="K1228" s="378">
        <v>1</v>
      </c>
      <c r="L1228" s="378"/>
      <c r="M1228" s="379">
        <f>IFERROR(MIN(MAX(0,IF(K1228="N/A",0,IF((D1228=E1228),5,5-QUOTIENT(D1228,E1228)))), MAX(0,IF(K1228="N/A",0,IF((F1228=G1228),5,5-QUOTIENT(F1228,G1228))))),0)</f>
        <v>0</v>
      </c>
      <c r="N1228" s="378">
        <f>IF(K1228="N/A", 1, 2)</f>
        <v>2</v>
      </c>
      <c r="O1228" s="379">
        <f t="shared" si="278"/>
        <v>2</v>
      </c>
      <c r="P1228" s="378" t="s">
        <v>1147</v>
      </c>
      <c r="Q1228" s="380" t="s">
        <v>1148</v>
      </c>
      <c r="R1228" s="378"/>
    </row>
    <row r="1229" spans="1:18" hidden="1" outlineLevel="1">
      <c r="A1229" s="404"/>
      <c r="B1229" s="645"/>
      <c r="C1229" s="382" t="s">
        <v>1215</v>
      </c>
      <c r="D1229" s="387">
        <v>0.9</v>
      </c>
      <c r="E1229" s="389"/>
      <c r="F1229" s="398" t="s">
        <v>549</v>
      </c>
      <c r="G1229" s="387"/>
      <c r="H1229" s="387"/>
      <c r="I1229" s="387"/>
      <c r="J1229" s="387"/>
      <c r="K1229" s="378">
        <v>1</v>
      </c>
      <c r="L1229" s="378"/>
      <c r="M1229" s="379">
        <f>IFERROR(MIN(MAX(0,IF(K1229="N/A",0,IF((D1229=E1229),5,5-QUOTIENT(D1229,E1229)))), MAX(0,IF(K1229="N/A",0,IF((F1229=G1229),5,5-QUOTIENT(F1229,G1229))))),0)</f>
        <v>0</v>
      </c>
      <c r="N1229" s="378">
        <f>IF(K1229="N/A", 1, 2)</f>
        <v>2</v>
      </c>
      <c r="O1229" s="379">
        <f t="shared" si="278"/>
        <v>2</v>
      </c>
      <c r="P1229" s="378" t="s">
        <v>1147</v>
      </c>
      <c r="Q1229" s="380" t="s">
        <v>1148</v>
      </c>
      <c r="R1229" s="378"/>
    </row>
    <row r="1230" spans="1:18" hidden="1" outlineLevel="1">
      <c r="A1230" s="388" t="s">
        <v>1216</v>
      </c>
      <c r="B1230" s="409"/>
      <c r="C1230" s="382"/>
      <c r="D1230" s="387"/>
      <c r="E1230" s="389"/>
      <c r="F1230" s="398"/>
      <c r="G1230" s="387"/>
      <c r="H1230" s="387"/>
      <c r="I1230" s="387"/>
      <c r="J1230" s="387"/>
      <c r="K1230" s="378"/>
      <c r="L1230" s="378"/>
      <c r="M1230" s="379"/>
      <c r="N1230" s="378"/>
      <c r="O1230" s="379"/>
      <c r="P1230" s="378" t="s">
        <v>1147</v>
      </c>
      <c r="Q1230" s="380" t="s">
        <v>1148</v>
      </c>
      <c r="R1230" s="378"/>
    </row>
    <row r="1231" spans="1:18" hidden="1" outlineLevel="1">
      <c r="A1231" s="388"/>
      <c r="B1231" s="633" t="s">
        <v>1217</v>
      </c>
      <c r="C1231" s="382" t="s">
        <v>1168</v>
      </c>
      <c r="D1231" s="398" t="s">
        <v>549</v>
      </c>
      <c r="E1231" s="389"/>
      <c r="F1231" s="398" t="s">
        <v>549</v>
      </c>
      <c r="G1231" s="387"/>
      <c r="H1231" s="387"/>
      <c r="I1231" s="387"/>
      <c r="J1231" s="387"/>
      <c r="K1231" s="378" t="s">
        <v>549</v>
      </c>
      <c r="L1231" s="378"/>
      <c r="M1231" s="379">
        <f t="shared" ref="M1231:M1236" si="279">IFERROR(MIN(MAX(0,IF(K1231="N/A",0,IF((D1231=E1231),5,5-QUOTIENT(D1231,E1231)))), MAX(0,IF(K1231="N/A",0,IF((F1231=G1231),5,5-QUOTIENT(F1231,G1231))))),0)</f>
        <v>0</v>
      </c>
      <c r="N1231" s="378">
        <f t="shared" ref="N1231:N1236" si="280">IF(K1231="N/A", 0, 2)</f>
        <v>0</v>
      </c>
      <c r="O1231" s="379">
        <f t="shared" ref="O1231:O1240" si="281">MAX(M1231:N1231)</f>
        <v>0</v>
      </c>
      <c r="P1231" s="378" t="s">
        <v>1147</v>
      </c>
      <c r="Q1231" s="380" t="s">
        <v>1148</v>
      </c>
      <c r="R1231" s="378"/>
    </row>
    <row r="1232" spans="1:18" hidden="1" outlineLevel="1">
      <c r="A1232" s="388"/>
      <c r="B1232" s="634"/>
      <c r="C1232" s="382" t="s">
        <v>1169</v>
      </c>
      <c r="D1232" s="398" t="s">
        <v>549</v>
      </c>
      <c r="E1232" s="389"/>
      <c r="F1232" s="398" t="s">
        <v>549</v>
      </c>
      <c r="G1232" s="387"/>
      <c r="H1232" s="387"/>
      <c r="I1232" s="387"/>
      <c r="J1232" s="387"/>
      <c r="K1232" s="378" t="s">
        <v>549</v>
      </c>
      <c r="L1232" s="378"/>
      <c r="M1232" s="379">
        <f t="shared" si="279"/>
        <v>0</v>
      </c>
      <c r="N1232" s="378">
        <f t="shared" si="280"/>
        <v>0</v>
      </c>
      <c r="O1232" s="379">
        <f t="shared" si="281"/>
        <v>0</v>
      </c>
      <c r="P1232" s="378" t="s">
        <v>1147</v>
      </c>
      <c r="Q1232" s="380" t="s">
        <v>1148</v>
      </c>
      <c r="R1232" s="378"/>
    </row>
    <row r="1233" spans="1:18" hidden="1" outlineLevel="1">
      <c r="A1233" s="388"/>
      <c r="B1233" s="642" t="s">
        <v>1218</v>
      </c>
      <c r="C1233" s="382" t="s">
        <v>1168</v>
      </c>
      <c r="D1233" s="398" t="s">
        <v>549</v>
      </c>
      <c r="E1233" s="389"/>
      <c r="F1233" s="398" t="s">
        <v>549</v>
      </c>
      <c r="G1233" s="387"/>
      <c r="H1233" s="387"/>
      <c r="I1233" s="387"/>
      <c r="J1233" s="387"/>
      <c r="K1233" s="378" t="s">
        <v>549</v>
      </c>
      <c r="L1233" s="378"/>
      <c r="M1233" s="379">
        <f t="shared" si="279"/>
        <v>0</v>
      </c>
      <c r="N1233" s="378">
        <f t="shared" si="280"/>
        <v>0</v>
      </c>
      <c r="O1233" s="379">
        <f t="shared" si="281"/>
        <v>0</v>
      </c>
      <c r="P1233" s="378" t="s">
        <v>1147</v>
      </c>
      <c r="Q1233" s="380" t="s">
        <v>1148</v>
      </c>
      <c r="R1233" s="378"/>
    </row>
    <row r="1234" spans="1:18" hidden="1" outlineLevel="1">
      <c r="A1234" s="388"/>
      <c r="B1234" s="642"/>
      <c r="C1234" s="382" t="s">
        <v>1169</v>
      </c>
      <c r="D1234" s="398" t="s">
        <v>549</v>
      </c>
      <c r="E1234" s="389"/>
      <c r="F1234" s="398" t="s">
        <v>549</v>
      </c>
      <c r="G1234" s="387"/>
      <c r="H1234" s="387"/>
      <c r="I1234" s="387"/>
      <c r="J1234" s="387"/>
      <c r="K1234" s="378" t="s">
        <v>549</v>
      </c>
      <c r="L1234" s="378"/>
      <c r="M1234" s="379">
        <f t="shared" si="279"/>
        <v>0</v>
      </c>
      <c r="N1234" s="378">
        <f t="shared" si="280"/>
        <v>0</v>
      </c>
      <c r="O1234" s="379">
        <f t="shared" si="281"/>
        <v>0</v>
      </c>
      <c r="P1234" s="378" t="s">
        <v>1147</v>
      </c>
      <c r="Q1234" s="380" t="s">
        <v>1148</v>
      </c>
      <c r="R1234" s="378"/>
    </row>
    <row r="1235" spans="1:18" hidden="1" outlineLevel="1">
      <c r="A1235" s="388"/>
      <c r="B1235" s="642" t="s">
        <v>1219</v>
      </c>
      <c r="C1235" s="382" t="s">
        <v>1168</v>
      </c>
      <c r="D1235" s="398" t="s">
        <v>549</v>
      </c>
      <c r="E1235" s="389"/>
      <c r="F1235" s="398" t="s">
        <v>549</v>
      </c>
      <c r="G1235" s="387"/>
      <c r="H1235" s="387"/>
      <c r="I1235" s="387"/>
      <c r="J1235" s="387"/>
      <c r="K1235" s="378" t="s">
        <v>549</v>
      </c>
      <c r="L1235" s="378"/>
      <c r="M1235" s="379">
        <f t="shared" si="279"/>
        <v>0</v>
      </c>
      <c r="N1235" s="378">
        <f t="shared" si="280"/>
        <v>0</v>
      </c>
      <c r="O1235" s="379">
        <f t="shared" si="281"/>
        <v>0</v>
      </c>
      <c r="P1235" s="378" t="s">
        <v>1147</v>
      </c>
      <c r="Q1235" s="380" t="s">
        <v>1148</v>
      </c>
      <c r="R1235" s="378"/>
    </row>
    <row r="1236" spans="1:18" hidden="1" outlineLevel="1">
      <c r="A1236" s="388"/>
      <c r="B1236" s="642"/>
      <c r="C1236" s="382" t="s">
        <v>1169</v>
      </c>
      <c r="D1236" s="398" t="s">
        <v>549</v>
      </c>
      <c r="E1236" s="389"/>
      <c r="F1236" s="398" t="s">
        <v>549</v>
      </c>
      <c r="G1236" s="387"/>
      <c r="H1236" s="387"/>
      <c r="I1236" s="387"/>
      <c r="J1236" s="387"/>
      <c r="K1236" s="378" t="s">
        <v>549</v>
      </c>
      <c r="L1236" s="378"/>
      <c r="M1236" s="379">
        <f t="shared" si="279"/>
        <v>0</v>
      </c>
      <c r="N1236" s="378">
        <f t="shared" si="280"/>
        <v>0</v>
      </c>
      <c r="O1236" s="379">
        <f t="shared" si="281"/>
        <v>0</v>
      </c>
      <c r="P1236" s="378" t="s">
        <v>1147</v>
      </c>
      <c r="Q1236" s="380" t="s">
        <v>1148</v>
      </c>
      <c r="R1236" s="378"/>
    </row>
    <row r="1237" spans="1:18" hidden="1" outlineLevel="1">
      <c r="A1237" s="388" t="s">
        <v>1220</v>
      </c>
      <c r="B1237" s="381"/>
      <c r="C1237" s="382"/>
      <c r="D1237" s="398"/>
      <c r="E1237" s="389"/>
      <c r="F1237" s="398"/>
      <c r="G1237" s="387"/>
      <c r="H1237" s="387"/>
      <c r="I1237" s="387"/>
      <c r="J1237" s="387"/>
      <c r="K1237" s="378"/>
      <c r="L1237" s="378"/>
      <c r="M1237" s="379">
        <f>M1238</f>
        <v>0</v>
      </c>
      <c r="N1237" s="378">
        <f>N1238</f>
        <v>2</v>
      </c>
      <c r="O1237" s="379">
        <f t="shared" si="281"/>
        <v>2</v>
      </c>
      <c r="P1237" s="378" t="s">
        <v>1147</v>
      </c>
      <c r="Q1237" s="380" t="s">
        <v>1148</v>
      </c>
      <c r="R1237" s="378"/>
    </row>
    <row r="1238" spans="1:18" hidden="1" outlineLevel="1">
      <c r="A1238" s="406"/>
      <c r="B1238" s="388" t="s">
        <v>1221</v>
      </c>
      <c r="C1238" s="382" t="s">
        <v>1222</v>
      </c>
      <c r="D1238" s="387">
        <v>0.95</v>
      </c>
      <c r="E1238" s="389"/>
      <c r="F1238" s="398">
        <v>0.9</v>
      </c>
      <c r="G1238" s="387"/>
      <c r="H1238" s="387"/>
      <c r="I1238" s="387"/>
      <c r="J1238" s="387"/>
      <c r="K1238" s="378">
        <v>1</v>
      </c>
      <c r="L1238" s="378"/>
      <c r="M1238" s="379">
        <f>IFERROR(MIN(MAX(0,IF(K1238="N/A",0,IF((D1238=E1238),5,5-QUOTIENT(D1238,E1238)))), MAX(0,IF(K1238="N/A",0,IF((F1238=G1238),5,5-QUOTIENT(F1238,G1238))))),0)</f>
        <v>0</v>
      </c>
      <c r="N1238" s="378">
        <f>IF(K1238="N/A", 1, 2)</f>
        <v>2</v>
      </c>
      <c r="O1238" s="379">
        <f t="shared" si="281"/>
        <v>2</v>
      </c>
      <c r="P1238" s="378" t="s">
        <v>1147</v>
      </c>
      <c r="Q1238" s="380" t="s">
        <v>1148</v>
      </c>
      <c r="R1238" s="378"/>
    </row>
    <row r="1239" spans="1:18" hidden="1" outlineLevel="1">
      <c r="A1239" s="388" t="s">
        <v>1223</v>
      </c>
      <c r="B1239" s="381"/>
      <c r="C1239" s="382"/>
      <c r="D1239" s="398"/>
      <c r="E1239" s="389"/>
      <c r="F1239" s="398"/>
      <c r="G1239" s="387"/>
      <c r="H1239" s="387"/>
      <c r="I1239" s="387"/>
      <c r="J1239" s="387"/>
      <c r="K1239" s="378"/>
      <c r="L1239" s="378"/>
      <c r="M1239" s="379">
        <f>M1240</f>
        <v>0</v>
      </c>
      <c r="N1239" s="378">
        <f>N1240</f>
        <v>2</v>
      </c>
      <c r="O1239" s="379">
        <f t="shared" si="281"/>
        <v>2</v>
      </c>
      <c r="P1239" s="378" t="s">
        <v>1147</v>
      </c>
      <c r="Q1239" s="380" t="s">
        <v>1148</v>
      </c>
      <c r="R1239" s="378"/>
    </row>
    <row r="1240" spans="1:18" hidden="1" outlineLevel="1">
      <c r="A1240" s="406"/>
      <c r="B1240" s="388" t="s">
        <v>1224</v>
      </c>
      <c r="C1240" s="382" t="s">
        <v>1222</v>
      </c>
      <c r="D1240" s="387">
        <v>0.95</v>
      </c>
      <c r="E1240" s="389"/>
      <c r="F1240" s="398">
        <v>0.9</v>
      </c>
      <c r="G1240" s="387"/>
      <c r="H1240" s="387"/>
      <c r="I1240" s="387"/>
      <c r="J1240" s="387"/>
      <c r="K1240" s="378">
        <v>1</v>
      </c>
      <c r="L1240" s="378"/>
      <c r="M1240" s="379">
        <f>IFERROR(MIN(MAX(0,IF(K1240="N/A",0,IF((D1240=E1240),5,5-QUOTIENT(D1240,E1240)))), MAX(0,IF(K1240="N/A",0,IF((F1240=G1240),5,5-QUOTIENT(F1240,G1240))))),0)</f>
        <v>0</v>
      </c>
      <c r="N1240" s="378">
        <f>IF(K1240="N/A", 1, 2)</f>
        <v>2</v>
      </c>
      <c r="O1240" s="379">
        <f t="shared" si="281"/>
        <v>2</v>
      </c>
      <c r="P1240" s="378" t="s">
        <v>1147</v>
      </c>
      <c r="Q1240" s="380" t="s">
        <v>1148</v>
      </c>
      <c r="R1240" s="378"/>
    </row>
    <row r="1241" spans="1:18" hidden="1" outlineLevel="1">
      <c r="A1241" s="388" t="s">
        <v>1225</v>
      </c>
      <c r="B1241" s="381"/>
      <c r="C1241" s="382"/>
      <c r="D1241" s="398"/>
      <c r="E1241" s="389"/>
      <c r="F1241" s="398"/>
      <c r="G1241" s="387"/>
      <c r="H1241" s="387"/>
      <c r="I1241" s="387"/>
      <c r="J1241" s="387"/>
      <c r="K1241" s="378"/>
      <c r="L1241" s="378"/>
      <c r="M1241" s="379">
        <f>M1242</f>
        <v>0</v>
      </c>
      <c r="N1241" s="378">
        <f>N1242</f>
        <v>1</v>
      </c>
      <c r="O1241" s="379">
        <f>MAX(M1241:N1241)</f>
        <v>1</v>
      </c>
      <c r="P1241" s="378" t="s">
        <v>1147</v>
      </c>
      <c r="Q1241" s="380" t="s">
        <v>1148</v>
      </c>
      <c r="R1241" s="378"/>
    </row>
    <row r="1242" spans="1:18" hidden="1" outlineLevel="1">
      <c r="A1242" s="406"/>
      <c r="B1242" s="388" t="s">
        <v>1226</v>
      </c>
      <c r="C1242" s="382" t="s">
        <v>1222</v>
      </c>
      <c r="D1242" s="387">
        <v>0.95</v>
      </c>
      <c r="E1242" s="389"/>
      <c r="F1242" s="398">
        <v>0.9</v>
      </c>
      <c r="G1242" s="387"/>
      <c r="H1242" s="387"/>
      <c r="I1242" s="387"/>
      <c r="J1242" s="387"/>
      <c r="K1242" s="378" t="s">
        <v>549</v>
      </c>
      <c r="L1242" s="378"/>
      <c r="M1242" s="379">
        <f>IFERROR(MIN(MAX(0,IF(K1242="N/A",0,IF((D1242=E1242),5,5-QUOTIENT(D1242,E1242)))), MAX(0,IF(K1242="N/A",0,IF((F1242=G1242),5,5-QUOTIENT(F1242,G1242))))),0)</f>
        <v>0</v>
      </c>
      <c r="N1242" s="378">
        <f>IF(K1242="N/A", 1, 2)</f>
        <v>1</v>
      </c>
      <c r="O1242" s="379">
        <f t="shared" ref="O1242" si="282">MAX(M1242:N1242)</f>
        <v>1</v>
      </c>
      <c r="P1242" s="378" t="s">
        <v>1147</v>
      </c>
      <c r="Q1242" s="380" t="s">
        <v>1148</v>
      </c>
      <c r="R1242" s="378"/>
    </row>
    <row r="1243" spans="1:18" hidden="1" outlineLevel="1">
      <c r="A1243" s="388" t="s">
        <v>1227</v>
      </c>
      <c r="B1243" s="381"/>
      <c r="C1243" s="382"/>
      <c r="D1243" s="398"/>
      <c r="E1243" s="389"/>
      <c r="F1243" s="398"/>
      <c r="G1243" s="387"/>
      <c r="H1243" s="387"/>
      <c r="I1243" s="387"/>
      <c r="J1243" s="387"/>
      <c r="K1243" s="378"/>
      <c r="L1243" s="378"/>
      <c r="M1243" s="379">
        <f>M1244</f>
        <v>0</v>
      </c>
      <c r="N1243" s="378">
        <f>N1244</f>
        <v>1</v>
      </c>
      <c r="O1243" s="379">
        <f>MAX(M1243:N1243)</f>
        <v>1</v>
      </c>
      <c r="P1243" s="378" t="s">
        <v>1147</v>
      </c>
      <c r="Q1243" s="380" t="s">
        <v>1148</v>
      </c>
      <c r="R1243" s="378"/>
    </row>
    <row r="1244" spans="1:18" hidden="1" outlineLevel="1">
      <c r="A1244" s="406"/>
      <c r="B1244" s="388" t="s">
        <v>1228</v>
      </c>
      <c r="C1244" s="382" t="s">
        <v>1222</v>
      </c>
      <c r="D1244" s="387">
        <v>0.95</v>
      </c>
      <c r="E1244" s="389"/>
      <c r="F1244" s="398">
        <v>0.9</v>
      </c>
      <c r="G1244" s="387"/>
      <c r="H1244" s="387"/>
      <c r="I1244" s="387"/>
      <c r="J1244" s="387"/>
      <c r="K1244" s="378" t="s">
        <v>549</v>
      </c>
      <c r="L1244" s="378"/>
      <c r="M1244" s="379">
        <f>IFERROR(MIN(MAX(0,IF(K1244="N/A",0,IF((D1244=E1244),5,5-QUOTIENT(D1244,E1244)))), MAX(0,IF(K1244="N/A",0,IF((F1244=G1244),5,5-QUOTIENT(F1244,G1244))))),0)</f>
        <v>0</v>
      </c>
      <c r="N1244" s="378">
        <f>IF(K1244="N/A", 1, 2)</f>
        <v>1</v>
      </c>
      <c r="O1244" s="379">
        <f t="shared" ref="O1244" si="283">MAX(M1244:N1244)</f>
        <v>1</v>
      </c>
      <c r="P1244" s="378" t="s">
        <v>1147</v>
      </c>
      <c r="Q1244" s="380" t="s">
        <v>1148</v>
      </c>
      <c r="R1244" s="378"/>
    </row>
    <row r="1245" spans="1:18" hidden="1" outlineLevel="1">
      <c r="A1245" s="388" t="s">
        <v>1229</v>
      </c>
      <c r="B1245" s="381"/>
      <c r="C1245" s="382"/>
      <c r="D1245" s="398"/>
      <c r="E1245" s="389"/>
      <c r="F1245" s="398"/>
      <c r="G1245" s="387"/>
      <c r="H1245" s="387"/>
      <c r="I1245" s="387"/>
      <c r="J1245" s="387"/>
      <c r="K1245" s="378"/>
      <c r="L1245" s="378"/>
      <c r="M1245" s="379">
        <f>M1246</f>
        <v>0</v>
      </c>
      <c r="N1245" s="378">
        <f>N1246</f>
        <v>2</v>
      </c>
      <c r="O1245" s="379">
        <f>MAX(M1245:N1245)</f>
        <v>2</v>
      </c>
      <c r="P1245" s="378" t="s">
        <v>1147</v>
      </c>
      <c r="Q1245" s="380" t="s">
        <v>1148</v>
      </c>
      <c r="R1245" s="378"/>
    </row>
    <row r="1246" spans="1:18" hidden="1" outlineLevel="1">
      <c r="A1246" s="406"/>
      <c r="B1246" s="388" t="s">
        <v>1230</v>
      </c>
      <c r="C1246" s="382" t="s">
        <v>1222</v>
      </c>
      <c r="D1246" s="387">
        <v>0.95</v>
      </c>
      <c r="E1246" s="389"/>
      <c r="F1246" s="398">
        <v>0.9</v>
      </c>
      <c r="G1246" s="387"/>
      <c r="H1246" s="387"/>
      <c r="I1246" s="387"/>
      <c r="J1246" s="387"/>
      <c r="K1246" s="378">
        <v>1</v>
      </c>
      <c r="L1246" s="378"/>
      <c r="M1246" s="379">
        <f>IFERROR(MIN(MAX(0,IF(K1246="N/A",0,IF((D1246=E1246),5,5-QUOTIENT(D1246,E1246)))), MAX(0,IF(K1246="N/A",0,IF((F1246=G1246),5,5-QUOTIENT(F1246,G1246))))),0)</f>
        <v>0</v>
      </c>
      <c r="N1246" s="378">
        <f>IF(K1246="N/A", 1, 2)</f>
        <v>2</v>
      </c>
      <c r="O1246" s="379">
        <f t="shared" ref="O1246" si="284">MAX(M1246:N1246)</f>
        <v>2</v>
      </c>
      <c r="P1246" s="378" t="s">
        <v>1147</v>
      </c>
      <c r="Q1246" s="380" t="s">
        <v>1148</v>
      </c>
      <c r="R1246" s="378"/>
    </row>
    <row r="1247" spans="1:18" hidden="1" outlineLevel="1">
      <c r="A1247" s="388" t="s">
        <v>1231</v>
      </c>
      <c r="B1247" s="381"/>
      <c r="C1247" s="382"/>
      <c r="D1247" s="398"/>
      <c r="E1247" s="389"/>
      <c r="F1247" s="398"/>
      <c r="G1247" s="387"/>
      <c r="H1247" s="387"/>
      <c r="I1247" s="387"/>
      <c r="J1247" s="387"/>
      <c r="K1247" s="378"/>
      <c r="L1247" s="378"/>
      <c r="M1247" s="379">
        <f>IFERROR(MIN(M1248:M1254),0)</f>
        <v>0</v>
      </c>
      <c r="N1247" s="378">
        <f>N1248</f>
        <v>1</v>
      </c>
      <c r="O1247" s="379">
        <f>MAX(M1247:N1247)</f>
        <v>1</v>
      </c>
      <c r="P1247" s="378" t="s">
        <v>1147</v>
      </c>
      <c r="Q1247" s="380" t="s">
        <v>1148</v>
      </c>
      <c r="R1247" s="378"/>
    </row>
    <row r="1248" spans="1:18" hidden="1" outlineLevel="1">
      <c r="A1248" s="394"/>
      <c r="B1248" s="636" t="s">
        <v>1179</v>
      </c>
      <c r="C1248" s="382" t="s">
        <v>1232</v>
      </c>
      <c r="D1248" s="387">
        <v>0.5</v>
      </c>
      <c r="E1248" s="399"/>
      <c r="F1248" s="387">
        <v>0.5</v>
      </c>
      <c r="G1248" s="387"/>
      <c r="H1248" s="387"/>
      <c r="I1248" s="387"/>
      <c r="J1248" s="387"/>
      <c r="K1248" s="378" t="s">
        <v>549</v>
      </c>
      <c r="L1248" s="378"/>
      <c r="M1248" s="379">
        <f t="shared" ref="M1248:M1254" si="285">IFERROR(MIN(MAX(0,IF(K1248="N/A",0,IF((D1248=E1248),5,5-QUOTIENT(D1248,E1248)))), MAX(0,IF(K1248="N/A",0,IF((F1248=G1248),5,5-QUOTIENT(F1248,G1248))))),0)</f>
        <v>0</v>
      </c>
      <c r="N1248" s="378">
        <f>IF(K1248="N/A", 1, 2)</f>
        <v>1</v>
      </c>
      <c r="O1248" s="379">
        <f t="shared" ref="O1248:O1258" si="286">MAX(M1248:N1248)</f>
        <v>1</v>
      </c>
      <c r="P1248" s="378" t="s">
        <v>1147</v>
      </c>
      <c r="Q1248" s="380" t="s">
        <v>1148</v>
      </c>
      <c r="R1248" s="378"/>
    </row>
    <row r="1249" spans="1:18" hidden="1" outlineLevel="1">
      <c r="A1249" s="394"/>
      <c r="B1249" s="637"/>
      <c r="C1249" s="382" t="s">
        <v>1233</v>
      </c>
      <c r="D1249" s="387">
        <v>0.5</v>
      </c>
      <c r="E1249" s="399"/>
      <c r="F1249" s="387">
        <v>0.5</v>
      </c>
      <c r="G1249" s="387"/>
      <c r="H1249" s="387"/>
      <c r="I1249" s="387"/>
      <c r="J1249" s="387"/>
      <c r="K1249" s="378" t="s">
        <v>549</v>
      </c>
      <c r="L1249" s="378"/>
      <c r="M1249" s="379">
        <f t="shared" si="285"/>
        <v>0</v>
      </c>
      <c r="N1249" s="378">
        <f t="shared" ref="N1249:N1254" si="287">IF(K1249="N/A", 1, 2)</f>
        <v>1</v>
      </c>
      <c r="O1249" s="379">
        <f t="shared" si="286"/>
        <v>1</v>
      </c>
      <c r="P1249" s="378" t="s">
        <v>1147</v>
      </c>
      <c r="Q1249" s="380" t="s">
        <v>1148</v>
      </c>
      <c r="R1249" s="378"/>
    </row>
    <row r="1250" spans="1:18" hidden="1" outlineLevel="1">
      <c r="A1250" s="394"/>
      <c r="B1250" s="637"/>
      <c r="C1250" s="382" t="s">
        <v>1234</v>
      </c>
      <c r="D1250" s="387">
        <v>0.5</v>
      </c>
      <c r="E1250" s="399"/>
      <c r="F1250" s="387">
        <v>0.5</v>
      </c>
      <c r="G1250" s="387"/>
      <c r="H1250" s="387"/>
      <c r="I1250" s="387"/>
      <c r="J1250" s="387"/>
      <c r="K1250" s="378" t="s">
        <v>549</v>
      </c>
      <c r="L1250" s="378"/>
      <c r="M1250" s="379">
        <f t="shared" si="285"/>
        <v>0</v>
      </c>
      <c r="N1250" s="378">
        <f t="shared" si="287"/>
        <v>1</v>
      </c>
      <c r="O1250" s="379">
        <f t="shared" si="286"/>
        <v>1</v>
      </c>
      <c r="P1250" s="378" t="s">
        <v>1147</v>
      </c>
      <c r="Q1250" s="380" t="s">
        <v>1148</v>
      </c>
      <c r="R1250" s="378"/>
    </row>
    <row r="1251" spans="1:18" hidden="1" outlineLevel="1">
      <c r="A1251" s="394"/>
      <c r="B1251" s="637"/>
      <c r="C1251" s="382" t="s">
        <v>1235</v>
      </c>
      <c r="D1251" s="387">
        <v>0.5</v>
      </c>
      <c r="E1251" s="399"/>
      <c r="F1251" s="387">
        <v>0.5</v>
      </c>
      <c r="G1251" s="387"/>
      <c r="H1251" s="387"/>
      <c r="I1251" s="387"/>
      <c r="J1251" s="387"/>
      <c r="K1251" s="378" t="s">
        <v>549</v>
      </c>
      <c r="L1251" s="378"/>
      <c r="M1251" s="379">
        <f t="shared" si="285"/>
        <v>0</v>
      </c>
      <c r="N1251" s="378">
        <f t="shared" si="287"/>
        <v>1</v>
      </c>
      <c r="O1251" s="379">
        <f t="shared" si="286"/>
        <v>1</v>
      </c>
      <c r="P1251" s="378" t="s">
        <v>1147</v>
      </c>
      <c r="Q1251" s="380" t="s">
        <v>1148</v>
      </c>
      <c r="R1251" s="378"/>
    </row>
    <row r="1252" spans="1:18" hidden="1" outlineLevel="1">
      <c r="A1252" s="394"/>
      <c r="B1252" s="637"/>
      <c r="C1252" s="382" t="s">
        <v>1236</v>
      </c>
      <c r="D1252" s="387">
        <v>0.5</v>
      </c>
      <c r="E1252" s="399"/>
      <c r="F1252" s="387">
        <v>0.5</v>
      </c>
      <c r="G1252" s="387"/>
      <c r="H1252" s="387"/>
      <c r="I1252" s="387"/>
      <c r="J1252" s="387"/>
      <c r="K1252" s="378" t="s">
        <v>549</v>
      </c>
      <c r="L1252" s="378"/>
      <c r="M1252" s="379">
        <f t="shared" si="285"/>
        <v>0</v>
      </c>
      <c r="N1252" s="378">
        <f t="shared" si="287"/>
        <v>1</v>
      </c>
      <c r="O1252" s="379">
        <f t="shared" si="286"/>
        <v>1</v>
      </c>
      <c r="P1252" s="378" t="s">
        <v>1147</v>
      </c>
      <c r="Q1252" s="380" t="s">
        <v>1148</v>
      </c>
      <c r="R1252" s="378"/>
    </row>
    <row r="1253" spans="1:18" hidden="1" outlineLevel="1">
      <c r="A1253" s="394"/>
      <c r="B1253" s="637"/>
      <c r="C1253" s="382" t="s">
        <v>1237</v>
      </c>
      <c r="D1253" s="387">
        <v>0.5</v>
      </c>
      <c r="E1253" s="399"/>
      <c r="F1253" s="387">
        <v>0.5</v>
      </c>
      <c r="G1253" s="387"/>
      <c r="H1253" s="387"/>
      <c r="I1253" s="387"/>
      <c r="J1253" s="387"/>
      <c r="K1253" s="378" t="s">
        <v>549</v>
      </c>
      <c r="L1253" s="378"/>
      <c r="M1253" s="379">
        <f t="shared" si="285"/>
        <v>0</v>
      </c>
      <c r="N1253" s="378">
        <f t="shared" si="287"/>
        <v>1</v>
      </c>
      <c r="O1253" s="379">
        <f t="shared" si="286"/>
        <v>1</v>
      </c>
      <c r="P1253" s="378" t="s">
        <v>1147</v>
      </c>
      <c r="Q1253" s="380" t="s">
        <v>1148</v>
      </c>
      <c r="R1253" s="378"/>
    </row>
    <row r="1254" spans="1:18" hidden="1" outlineLevel="1">
      <c r="A1254" s="394"/>
      <c r="B1254" s="638"/>
      <c r="C1254" s="382" t="s">
        <v>1238</v>
      </c>
      <c r="D1254" s="387">
        <v>0.5</v>
      </c>
      <c r="E1254" s="399"/>
      <c r="F1254" s="387">
        <v>0.5</v>
      </c>
      <c r="G1254" s="387"/>
      <c r="H1254" s="387"/>
      <c r="I1254" s="387"/>
      <c r="J1254" s="387"/>
      <c r="K1254" s="378" t="s">
        <v>549</v>
      </c>
      <c r="L1254" s="378"/>
      <c r="M1254" s="379">
        <f t="shared" si="285"/>
        <v>0</v>
      </c>
      <c r="N1254" s="378">
        <f t="shared" si="287"/>
        <v>1</v>
      </c>
      <c r="O1254" s="379">
        <f t="shared" si="286"/>
        <v>1</v>
      </c>
      <c r="P1254" s="378" t="s">
        <v>1147</v>
      </c>
      <c r="Q1254" s="380" t="s">
        <v>1148</v>
      </c>
      <c r="R1254" s="378"/>
    </row>
    <row r="1255" spans="1:18" hidden="1" outlineLevel="1">
      <c r="A1255" s="388" t="s">
        <v>1239</v>
      </c>
      <c r="B1255" s="381"/>
      <c r="C1255" s="382"/>
      <c r="D1255" s="398"/>
      <c r="E1255" s="389"/>
      <c r="F1255" s="398"/>
      <c r="G1255" s="387"/>
      <c r="H1255" s="387"/>
      <c r="I1255" s="387"/>
      <c r="J1255" s="387"/>
      <c r="K1255" s="378"/>
      <c r="L1255" s="378"/>
      <c r="M1255" s="379">
        <f>M1256</f>
        <v>0</v>
      </c>
      <c r="N1255" s="378">
        <f>N1256</f>
        <v>1</v>
      </c>
      <c r="O1255" s="379">
        <f t="shared" si="286"/>
        <v>1</v>
      </c>
      <c r="P1255" s="378" t="s">
        <v>1147</v>
      </c>
      <c r="Q1255" s="380" t="s">
        <v>1148</v>
      </c>
      <c r="R1255" s="378"/>
    </row>
    <row r="1256" spans="1:18" hidden="1" outlineLevel="1">
      <c r="A1256" s="406"/>
      <c r="B1256" s="388" t="s">
        <v>1240</v>
      </c>
      <c r="C1256" s="382" t="s">
        <v>1222</v>
      </c>
      <c r="D1256" s="387">
        <v>0.95</v>
      </c>
      <c r="E1256" s="389"/>
      <c r="F1256" s="398">
        <v>0.9</v>
      </c>
      <c r="G1256" s="387"/>
      <c r="H1256" s="387"/>
      <c r="I1256" s="387"/>
      <c r="J1256" s="387"/>
      <c r="K1256" s="378" t="s">
        <v>549</v>
      </c>
      <c r="L1256" s="378"/>
      <c r="M1256" s="379">
        <f>IFERROR(MIN(MAX(0,IF(K1256="N/A",0,IF((D1256=E1256),5,5-QUOTIENT(D1256,E1256)))), MAX(0,IF(K1256="N/A",0,IF((F1256=G1256),5,5-QUOTIENT(F1256,G1256))))),0)</f>
        <v>0</v>
      </c>
      <c r="N1256" s="378">
        <f>IF(K1256="N/A", 1, 2)</f>
        <v>1</v>
      </c>
      <c r="O1256" s="379">
        <f t="shared" si="286"/>
        <v>1</v>
      </c>
      <c r="P1256" s="378" t="s">
        <v>1147</v>
      </c>
      <c r="Q1256" s="380" t="s">
        <v>1148</v>
      </c>
      <c r="R1256" s="378"/>
    </row>
    <row r="1257" spans="1:18" hidden="1" outlineLevel="1">
      <c r="A1257" s="388" t="s">
        <v>1241</v>
      </c>
      <c r="B1257" s="381"/>
      <c r="C1257" s="382"/>
      <c r="D1257" s="398"/>
      <c r="E1257" s="389"/>
      <c r="F1257" s="398"/>
      <c r="G1257" s="387"/>
      <c r="H1257" s="387"/>
      <c r="I1257" s="387"/>
      <c r="J1257" s="387"/>
      <c r="K1257" s="378"/>
      <c r="L1257" s="378"/>
      <c r="M1257" s="379">
        <f>M1258</f>
        <v>0</v>
      </c>
      <c r="N1257" s="378">
        <f>N1258</f>
        <v>1</v>
      </c>
      <c r="O1257" s="379">
        <f t="shared" si="286"/>
        <v>1</v>
      </c>
      <c r="P1257" s="378" t="s">
        <v>1147</v>
      </c>
      <c r="Q1257" s="380" t="s">
        <v>1148</v>
      </c>
      <c r="R1257" s="378"/>
    </row>
    <row r="1258" spans="1:18" hidden="1" outlineLevel="1">
      <c r="A1258" s="406"/>
      <c r="B1258" s="388" t="s">
        <v>1242</v>
      </c>
      <c r="C1258" s="382" t="s">
        <v>1222</v>
      </c>
      <c r="D1258" s="387">
        <v>0.95</v>
      </c>
      <c r="E1258" s="389"/>
      <c r="F1258" s="398">
        <v>0.9</v>
      </c>
      <c r="G1258" s="387"/>
      <c r="H1258" s="387"/>
      <c r="I1258" s="387"/>
      <c r="J1258" s="387"/>
      <c r="K1258" s="378" t="s">
        <v>549</v>
      </c>
      <c r="L1258" s="378"/>
      <c r="M1258" s="379">
        <f>IFERROR(MIN(MAX(0,IF(K1258="N/A",0,IF((D1258=E1258),5,5-QUOTIENT(D1258,E1258)))), MAX(0,IF(K1258="N/A",0,IF((F1258=G1258),5,5-QUOTIENT(F1258,G1258))))),0)</f>
        <v>0</v>
      </c>
      <c r="N1258" s="378">
        <f>IF(K1258="N/A", 1, 2)</f>
        <v>1</v>
      </c>
      <c r="O1258" s="379">
        <f t="shared" si="286"/>
        <v>1</v>
      </c>
      <c r="P1258" s="378" t="s">
        <v>1147</v>
      </c>
      <c r="Q1258" s="380" t="s">
        <v>1148</v>
      </c>
      <c r="R1258" s="378"/>
    </row>
    <row r="1259" spans="1:18" hidden="1" outlineLevel="1">
      <c r="A1259" s="388" t="s">
        <v>1243</v>
      </c>
      <c r="B1259" s="381"/>
      <c r="C1259" s="382"/>
      <c r="D1259" s="398"/>
      <c r="E1259" s="389"/>
      <c r="F1259" s="398"/>
      <c r="G1259" s="387"/>
      <c r="H1259" s="387"/>
      <c r="I1259" s="387"/>
      <c r="J1259" s="387"/>
      <c r="K1259" s="378"/>
      <c r="L1259" s="378"/>
      <c r="M1259" s="379">
        <f>IFERROR(MIN(M1260:M1266),0)</f>
        <v>0</v>
      </c>
      <c r="N1259" s="378">
        <f>N1260</f>
        <v>1</v>
      </c>
      <c r="O1259" s="379">
        <f>MAX(M1259:N1259)</f>
        <v>1</v>
      </c>
      <c r="P1259" s="378" t="s">
        <v>1147</v>
      </c>
      <c r="Q1259" s="380" t="s">
        <v>1148</v>
      </c>
      <c r="R1259" s="378"/>
    </row>
    <row r="1260" spans="1:18" hidden="1" outlineLevel="1">
      <c r="A1260" s="394"/>
      <c r="B1260" s="636" t="s">
        <v>1179</v>
      </c>
      <c r="C1260" s="382" t="s">
        <v>1232</v>
      </c>
      <c r="D1260" s="387">
        <v>0.5</v>
      </c>
      <c r="E1260" s="399"/>
      <c r="F1260" s="387">
        <v>0.5</v>
      </c>
      <c r="G1260" s="387"/>
      <c r="H1260" s="387"/>
      <c r="I1260" s="387"/>
      <c r="J1260" s="387"/>
      <c r="K1260" s="378" t="s">
        <v>549</v>
      </c>
      <c r="L1260" s="378"/>
      <c r="M1260" s="379">
        <f t="shared" ref="M1260:M1266" si="288">IFERROR(MIN(MAX(0,IF(K1260="N/A",0,IF((D1260=E1260),5,5-QUOTIENT(D1260,E1260)))), MAX(0,IF(K1260="N/A",0,IF((F1260=G1260),5,5-QUOTIENT(F1260,G1260))))),0)</f>
        <v>0</v>
      </c>
      <c r="N1260" s="378">
        <f>IF(K1260="N/A", 1, 2)</f>
        <v>1</v>
      </c>
      <c r="O1260" s="379">
        <f t="shared" ref="O1260:O1278" si="289">MAX(M1260:N1260)</f>
        <v>1</v>
      </c>
      <c r="P1260" s="378" t="s">
        <v>1147</v>
      </c>
      <c r="Q1260" s="380" t="s">
        <v>1148</v>
      </c>
      <c r="R1260" s="378"/>
    </row>
    <row r="1261" spans="1:18" hidden="1" outlineLevel="1">
      <c r="A1261" s="394"/>
      <c r="B1261" s="637"/>
      <c r="C1261" s="382" t="s">
        <v>1233</v>
      </c>
      <c r="D1261" s="387">
        <v>0.5</v>
      </c>
      <c r="E1261" s="399"/>
      <c r="F1261" s="387">
        <v>0.5</v>
      </c>
      <c r="G1261" s="387"/>
      <c r="H1261" s="387"/>
      <c r="I1261" s="387"/>
      <c r="J1261" s="387"/>
      <c r="K1261" s="378" t="s">
        <v>549</v>
      </c>
      <c r="L1261" s="378"/>
      <c r="M1261" s="379">
        <f t="shared" si="288"/>
        <v>0</v>
      </c>
      <c r="N1261" s="378">
        <f t="shared" ref="N1261:N1266" si="290">IF(K1261="N/A", 1, 2)</f>
        <v>1</v>
      </c>
      <c r="O1261" s="379">
        <f t="shared" si="289"/>
        <v>1</v>
      </c>
      <c r="P1261" s="378" t="s">
        <v>1147</v>
      </c>
      <c r="Q1261" s="380" t="s">
        <v>1148</v>
      </c>
      <c r="R1261" s="378"/>
    </row>
    <row r="1262" spans="1:18" hidden="1" outlineLevel="1">
      <c r="A1262" s="394"/>
      <c r="B1262" s="637"/>
      <c r="C1262" s="382" t="s">
        <v>1234</v>
      </c>
      <c r="D1262" s="387">
        <v>0.5</v>
      </c>
      <c r="E1262" s="399"/>
      <c r="F1262" s="387">
        <v>0.5</v>
      </c>
      <c r="G1262" s="387"/>
      <c r="H1262" s="387"/>
      <c r="I1262" s="387"/>
      <c r="J1262" s="387"/>
      <c r="K1262" s="378" t="s">
        <v>549</v>
      </c>
      <c r="L1262" s="378"/>
      <c r="M1262" s="379">
        <f t="shared" si="288"/>
        <v>0</v>
      </c>
      <c r="N1262" s="378">
        <f t="shared" si="290"/>
        <v>1</v>
      </c>
      <c r="O1262" s="379">
        <f t="shared" si="289"/>
        <v>1</v>
      </c>
      <c r="P1262" s="378" t="s">
        <v>1147</v>
      </c>
      <c r="Q1262" s="380" t="s">
        <v>1148</v>
      </c>
      <c r="R1262" s="378"/>
    </row>
    <row r="1263" spans="1:18" hidden="1" outlineLevel="1">
      <c r="A1263" s="394"/>
      <c r="B1263" s="637"/>
      <c r="C1263" s="382" t="s">
        <v>1235</v>
      </c>
      <c r="D1263" s="387">
        <v>0.5</v>
      </c>
      <c r="E1263" s="399"/>
      <c r="F1263" s="387">
        <v>0.5</v>
      </c>
      <c r="G1263" s="387"/>
      <c r="H1263" s="387"/>
      <c r="I1263" s="387"/>
      <c r="J1263" s="387"/>
      <c r="K1263" s="378" t="s">
        <v>549</v>
      </c>
      <c r="L1263" s="378"/>
      <c r="M1263" s="379">
        <f t="shared" si="288"/>
        <v>0</v>
      </c>
      <c r="N1263" s="378">
        <f t="shared" si="290"/>
        <v>1</v>
      </c>
      <c r="O1263" s="379">
        <f t="shared" si="289"/>
        <v>1</v>
      </c>
      <c r="P1263" s="378" t="s">
        <v>1147</v>
      </c>
      <c r="Q1263" s="380" t="s">
        <v>1148</v>
      </c>
      <c r="R1263" s="378"/>
    </row>
    <row r="1264" spans="1:18" hidden="1" outlineLevel="1">
      <c r="A1264" s="394"/>
      <c r="B1264" s="637"/>
      <c r="C1264" s="382" t="s">
        <v>1236</v>
      </c>
      <c r="D1264" s="387">
        <v>0.5</v>
      </c>
      <c r="E1264" s="399"/>
      <c r="F1264" s="387">
        <v>0.5</v>
      </c>
      <c r="G1264" s="387"/>
      <c r="H1264" s="387"/>
      <c r="I1264" s="387"/>
      <c r="J1264" s="387"/>
      <c r="K1264" s="378" t="s">
        <v>549</v>
      </c>
      <c r="L1264" s="378"/>
      <c r="M1264" s="379">
        <f t="shared" si="288"/>
        <v>0</v>
      </c>
      <c r="N1264" s="378">
        <f t="shared" si="290"/>
        <v>1</v>
      </c>
      <c r="O1264" s="379">
        <f t="shared" si="289"/>
        <v>1</v>
      </c>
      <c r="P1264" s="378" t="s">
        <v>1147</v>
      </c>
      <c r="Q1264" s="380" t="s">
        <v>1148</v>
      </c>
      <c r="R1264" s="378"/>
    </row>
    <row r="1265" spans="1:18" hidden="1" outlineLevel="1">
      <c r="A1265" s="394"/>
      <c r="B1265" s="637"/>
      <c r="C1265" s="382" t="s">
        <v>1237</v>
      </c>
      <c r="D1265" s="387">
        <v>0.5</v>
      </c>
      <c r="E1265" s="399"/>
      <c r="F1265" s="387">
        <v>0.5</v>
      </c>
      <c r="G1265" s="387"/>
      <c r="H1265" s="387"/>
      <c r="I1265" s="387"/>
      <c r="J1265" s="387"/>
      <c r="K1265" s="378" t="s">
        <v>549</v>
      </c>
      <c r="L1265" s="378"/>
      <c r="M1265" s="379">
        <f t="shared" si="288"/>
        <v>0</v>
      </c>
      <c r="N1265" s="378">
        <f t="shared" si="290"/>
        <v>1</v>
      </c>
      <c r="O1265" s="379">
        <f t="shared" si="289"/>
        <v>1</v>
      </c>
      <c r="P1265" s="378" t="s">
        <v>1147</v>
      </c>
      <c r="Q1265" s="380" t="s">
        <v>1148</v>
      </c>
      <c r="R1265" s="378"/>
    </row>
    <row r="1266" spans="1:18" hidden="1" outlineLevel="1">
      <c r="A1266" s="394"/>
      <c r="B1266" s="638"/>
      <c r="C1266" s="382" t="s">
        <v>1238</v>
      </c>
      <c r="D1266" s="387">
        <v>0.5</v>
      </c>
      <c r="E1266" s="399"/>
      <c r="F1266" s="387">
        <v>0.5</v>
      </c>
      <c r="G1266" s="387"/>
      <c r="H1266" s="387"/>
      <c r="I1266" s="387"/>
      <c r="J1266" s="387"/>
      <c r="K1266" s="378" t="s">
        <v>549</v>
      </c>
      <c r="L1266" s="378"/>
      <c r="M1266" s="379">
        <f t="shared" si="288"/>
        <v>0</v>
      </c>
      <c r="N1266" s="378">
        <f t="shared" si="290"/>
        <v>1</v>
      </c>
      <c r="O1266" s="379">
        <f t="shared" si="289"/>
        <v>1</v>
      </c>
      <c r="P1266" s="378" t="s">
        <v>1147</v>
      </c>
      <c r="Q1266" s="380" t="s">
        <v>1148</v>
      </c>
      <c r="R1266" s="378"/>
    </row>
    <row r="1267" spans="1:18" hidden="1" outlineLevel="1">
      <c r="A1267" s="388" t="s">
        <v>1244</v>
      </c>
      <c r="B1267" s="381"/>
      <c r="C1267" s="382"/>
      <c r="D1267" s="398"/>
      <c r="E1267" s="389"/>
      <c r="F1267" s="398"/>
      <c r="G1267" s="387"/>
      <c r="H1267" s="387"/>
      <c r="I1267" s="387"/>
      <c r="J1267" s="387"/>
      <c r="K1267" s="378"/>
      <c r="L1267" s="378"/>
      <c r="M1267" s="379">
        <f>IFERROR(MIN(M1268:M1274),0)</f>
        <v>0</v>
      </c>
      <c r="N1267" s="378">
        <f>N1268</f>
        <v>1</v>
      </c>
      <c r="O1267" s="379">
        <f t="shared" si="289"/>
        <v>1</v>
      </c>
      <c r="P1267" s="378" t="s">
        <v>1147</v>
      </c>
      <c r="Q1267" s="380" t="s">
        <v>1148</v>
      </c>
      <c r="R1267" s="378"/>
    </row>
    <row r="1268" spans="1:18" hidden="1" outlineLevel="1">
      <c r="A1268" s="394"/>
      <c r="B1268" s="636" t="s">
        <v>1245</v>
      </c>
      <c r="C1268" s="382" t="s">
        <v>1246</v>
      </c>
      <c r="D1268" s="387">
        <v>0.5</v>
      </c>
      <c r="E1268" s="399"/>
      <c r="F1268" s="387">
        <v>0.5</v>
      </c>
      <c r="G1268" s="387"/>
      <c r="H1268" s="387"/>
      <c r="I1268" s="387"/>
      <c r="J1268" s="387"/>
      <c r="K1268" s="378" t="s">
        <v>549</v>
      </c>
      <c r="L1268" s="378"/>
      <c r="M1268" s="379">
        <f t="shared" ref="M1268:M1274" si="291">IFERROR(MIN(MAX(0,IF(K1268="N/A",0,IF((D1268=E1268),5,5-QUOTIENT(D1268,E1268)))), MAX(0,IF(K1268="N/A",0,IF((F1268=G1268),5,5-QUOTIENT(F1268,G1268))))),0)</f>
        <v>0</v>
      </c>
      <c r="N1268" s="378">
        <f>IF(K1268="N/A", 1, 2)</f>
        <v>1</v>
      </c>
      <c r="O1268" s="379">
        <f t="shared" si="289"/>
        <v>1</v>
      </c>
      <c r="P1268" s="378" t="s">
        <v>1147</v>
      </c>
      <c r="Q1268" s="380" t="s">
        <v>1148</v>
      </c>
      <c r="R1268" s="378"/>
    </row>
    <row r="1269" spans="1:18" hidden="1" outlineLevel="1">
      <c r="A1269" s="394"/>
      <c r="B1269" s="637"/>
      <c r="C1269" s="382" t="s">
        <v>1247</v>
      </c>
      <c r="D1269" s="387">
        <v>0.5</v>
      </c>
      <c r="E1269" s="399"/>
      <c r="F1269" s="387">
        <v>0.5</v>
      </c>
      <c r="G1269" s="387"/>
      <c r="H1269" s="387"/>
      <c r="I1269" s="387"/>
      <c r="J1269" s="387"/>
      <c r="K1269" s="378" t="s">
        <v>549</v>
      </c>
      <c r="L1269" s="378"/>
      <c r="M1269" s="379">
        <f t="shared" si="291"/>
        <v>0</v>
      </c>
      <c r="N1269" s="378">
        <f t="shared" ref="N1269:N1274" si="292">IF(K1269="N/A", 1, 2)</f>
        <v>1</v>
      </c>
      <c r="O1269" s="379">
        <f t="shared" si="289"/>
        <v>1</v>
      </c>
      <c r="P1269" s="378" t="s">
        <v>1147</v>
      </c>
      <c r="Q1269" s="380" t="s">
        <v>1148</v>
      </c>
      <c r="R1269" s="378"/>
    </row>
    <row r="1270" spans="1:18" hidden="1" outlineLevel="1">
      <c r="A1270" s="394"/>
      <c r="B1270" s="637"/>
      <c r="C1270" s="382" t="s">
        <v>1248</v>
      </c>
      <c r="D1270" s="387">
        <v>0.5</v>
      </c>
      <c r="E1270" s="399"/>
      <c r="F1270" s="387">
        <v>0.5</v>
      </c>
      <c r="G1270" s="387"/>
      <c r="H1270" s="387"/>
      <c r="I1270" s="387"/>
      <c r="J1270" s="387"/>
      <c r="K1270" s="378" t="s">
        <v>549</v>
      </c>
      <c r="L1270" s="378"/>
      <c r="M1270" s="379">
        <f t="shared" si="291"/>
        <v>0</v>
      </c>
      <c r="N1270" s="378">
        <f t="shared" si="292"/>
        <v>1</v>
      </c>
      <c r="O1270" s="379">
        <f t="shared" si="289"/>
        <v>1</v>
      </c>
      <c r="P1270" s="378" t="s">
        <v>1147</v>
      </c>
      <c r="Q1270" s="380" t="s">
        <v>1148</v>
      </c>
      <c r="R1270" s="378"/>
    </row>
    <row r="1271" spans="1:18" hidden="1" outlineLevel="1">
      <c r="A1271" s="394"/>
      <c r="B1271" s="637"/>
      <c r="C1271" s="382" t="s">
        <v>1249</v>
      </c>
      <c r="D1271" s="387">
        <v>0.5</v>
      </c>
      <c r="E1271" s="399"/>
      <c r="F1271" s="387">
        <v>0.5</v>
      </c>
      <c r="G1271" s="387"/>
      <c r="H1271" s="387"/>
      <c r="I1271" s="387"/>
      <c r="J1271" s="387"/>
      <c r="K1271" s="378" t="s">
        <v>549</v>
      </c>
      <c r="L1271" s="378"/>
      <c r="M1271" s="379">
        <f t="shared" si="291"/>
        <v>0</v>
      </c>
      <c r="N1271" s="378">
        <f t="shared" si="292"/>
        <v>1</v>
      </c>
      <c r="O1271" s="379">
        <f t="shared" si="289"/>
        <v>1</v>
      </c>
      <c r="P1271" s="378" t="s">
        <v>1147</v>
      </c>
      <c r="Q1271" s="380" t="s">
        <v>1148</v>
      </c>
      <c r="R1271" s="378"/>
    </row>
    <row r="1272" spans="1:18" hidden="1" outlineLevel="1">
      <c r="A1272" s="394"/>
      <c r="B1272" s="637"/>
      <c r="C1272" s="382" t="s">
        <v>1250</v>
      </c>
      <c r="D1272" s="387">
        <v>0.5</v>
      </c>
      <c r="E1272" s="399"/>
      <c r="F1272" s="387">
        <v>0.5</v>
      </c>
      <c r="G1272" s="387"/>
      <c r="H1272" s="387"/>
      <c r="I1272" s="387"/>
      <c r="J1272" s="387"/>
      <c r="K1272" s="378" t="s">
        <v>549</v>
      </c>
      <c r="L1272" s="378"/>
      <c r="M1272" s="379">
        <f t="shared" si="291"/>
        <v>0</v>
      </c>
      <c r="N1272" s="378">
        <f t="shared" si="292"/>
        <v>1</v>
      </c>
      <c r="O1272" s="379">
        <f t="shared" si="289"/>
        <v>1</v>
      </c>
      <c r="P1272" s="378" t="s">
        <v>1147</v>
      </c>
      <c r="Q1272" s="380" t="s">
        <v>1148</v>
      </c>
      <c r="R1272" s="378"/>
    </row>
    <row r="1273" spans="1:18" hidden="1" outlineLevel="1">
      <c r="A1273" s="394"/>
      <c r="B1273" s="637"/>
      <c r="C1273" s="382" t="s">
        <v>1251</v>
      </c>
      <c r="D1273" s="387">
        <v>0.5</v>
      </c>
      <c r="E1273" s="399"/>
      <c r="F1273" s="387">
        <v>0.5</v>
      </c>
      <c r="G1273" s="387"/>
      <c r="H1273" s="387"/>
      <c r="I1273" s="387"/>
      <c r="J1273" s="387"/>
      <c r="K1273" s="378" t="s">
        <v>549</v>
      </c>
      <c r="L1273" s="378"/>
      <c r="M1273" s="379">
        <f t="shared" si="291"/>
        <v>0</v>
      </c>
      <c r="N1273" s="378">
        <f t="shared" si="292"/>
        <v>1</v>
      </c>
      <c r="O1273" s="379">
        <f t="shared" si="289"/>
        <v>1</v>
      </c>
      <c r="P1273" s="378" t="s">
        <v>1147</v>
      </c>
      <c r="Q1273" s="380" t="s">
        <v>1148</v>
      </c>
      <c r="R1273" s="378"/>
    </row>
    <row r="1274" spans="1:18" hidden="1" outlineLevel="1">
      <c r="A1274" s="394"/>
      <c r="B1274" s="638"/>
      <c r="C1274" s="382" t="s">
        <v>1252</v>
      </c>
      <c r="D1274" s="387">
        <v>0.5</v>
      </c>
      <c r="E1274" s="399"/>
      <c r="F1274" s="387">
        <v>0.5</v>
      </c>
      <c r="G1274" s="387"/>
      <c r="H1274" s="387"/>
      <c r="I1274" s="387"/>
      <c r="J1274" s="387"/>
      <c r="K1274" s="378" t="s">
        <v>549</v>
      </c>
      <c r="L1274" s="378"/>
      <c r="M1274" s="379">
        <f t="shared" si="291"/>
        <v>0</v>
      </c>
      <c r="N1274" s="378">
        <f t="shared" si="292"/>
        <v>1</v>
      </c>
      <c r="O1274" s="379">
        <f t="shared" si="289"/>
        <v>1</v>
      </c>
      <c r="P1274" s="378" t="s">
        <v>1147</v>
      </c>
      <c r="Q1274" s="380" t="s">
        <v>1148</v>
      </c>
      <c r="R1274" s="378"/>
    </row>
    <row r="1275" spans="1:18" hidden="1" outlineLevel="1">
      <c r="A1275" s="388" t="s">
        <v>1253</v>
      </c>
      <c r="B1275" s="381"/>
      <c r="C1275" s="382"/>
      <c r="D1275" s="398"/>
      <c r="E1275" s="389"/>
      <c r="F1275" s="398"/>
      <c r="G1275" s="387"/>
      <c r="H1275" s="387"/>
      <c r="I1275" s="387"/>
      <c r="J1275" s="387"/>
      <c r="K1275" s="378"/>
      <c r="L1275" s="378"/>
      <c r="M1275" s="379">
        <f>M1276</f>
        <v>0</v>
      </c>
      <c r="N1275" s="378">
        <f>N1276</f>
        <v>2</v>
      </c>
      <c r="O1275" s="379">
        <f t="shared" si="289"/>
        <v>2</v>
      </c>
      <c r="P1275" s="378" t="s">
        <v>1147</v>
      </c>
      <c r="Q1275" s="380" t="s">
        <v>1148</v>
      </c>
      <c r="R1275" s="378"/>
    </row>
    <row r="1276" spans="1:18" hidden="1" outlineLevel="1">
      <c r="A1276" s="406"/>
      <c r="B1276" s="388" t="s">
        <v>1254</v>
      </c>
      <c r="C1276" s="382" t="s">
        <v>1222</v>
      </c>
      <c r="D1276" s="387">
        <v>0.5</v>
      </c>
      <c r="E1276" s="389"/>
      <c r="F1276" s="398">
        <v>0.5</v>
      </c>
      <c r="G1276" s="387"/>
      <c r="H1276" s="387"/>
      <c r="I1276" s="387"/>
      <c r="J1276" s="387"/>
      <c r="K1276" s="378">
        <v>1</v>
      </c>
      <c r="L1276" s="378"/>
      <c r="M1276" s="379">
        <f>IFERROR(MIN(MAX(0,IF(K1276="N/A",0,IF((D1276=E1276),5,5-QUOTIENT(D1276,E1276)))), MAX(0,IF(K1276="N/A",0,IF((F1276=G1276),5,5-QUOTIENT(F1276,G1276))))),0)</f>
        <v>0</v>
      </c>
      <c r="N1276" s="378">
        <f>IF(K1276="N/A", 1, 2)</f>
        <v>2</v>
      </c>
      <c r="O1276" s="379">
        <f t="shared" si="289"/>
        <v>2</v>
      </c>
      <c r="P1276" s="378" t="s">
        <v>1147</v>
      </c>
      <c r="Q1276" s="380" t="s">
        <v>1148</v>
      </c>
      <c r="R1276" s="378"/>
    </row>
    <row r="1277" spans="1:18" hidden="1" outlineLevel="1">
      <c r="A1277" s="388" t="s">
        <v>1255</v>
      </c>
      <c r="B1277" s="381"/>
      <c r="C1277" s="382"/>
      <c r="D1277" s="398"/>
      <c r="E1277" s="389"/>
      <c r="F1277" s="398"/>
      <c r="G1277" s="387"/>
      <c r="H1277" s="387"/>
      <c r="I1277" s="387"/>
      <c r="J1277" s="387"/>
      <c r="K1277" s="378"/>
      <c r="L1277" s="378"/>
      <c r="M1277" s="379">
        <f>M1278</f>
        <v>0</v>
      </c>
      <c r="N1277" s="378">
        <f>N1278</f>
        <v>1</v>
      </c>
      <c r="O1277" s="379">
        <f t="shared" si="289"/>
        <v>1</v>
      </c>
      <c r="P1277" s="378" t="s">
        <v>1147</v>
      </c>
      <c r="Q1277" s="380" t="s">
        <v>1148</v>
      </c>
      <c r="R1277" s="378"/>
    </row>
    <row r="1278" spans="1:18" hidden="1" outlineLevel="1">
      <c r="A1278" s="406"/>
      <c r="B1278" s="388" t="s">
        <v>1256</v>
      </c>
      <c r="C1278" s="382" t="s">
        <v>1222</v>
      </c>
      <c r="D1278" s="387">
        <v>0.5</v>
      </c>
      <c r="E1278" s="389"/>
      <c r="F1278" s="398">
        <v>0.5</v>
      </c>
      <c r="G1278" s="387"/>
      <c r="H1278" s="387"/>
      <c r="I1278" s="387"/>
      <c r="J1278" s="387"/>
      <c r="K1278" s="378" t="s">
        <v>549</v>
      </c>
      <c r="L1278" s="378"/>
      <c r="M1278" s="379">
        <f>IFERROR(MIN(MAX(0,IF(K1278="N/A",0,IF((D1278=E1278),5,5-QUOTIENT(D1278,E1278)))), MAX(0,IF(K1278="N/A",0,IF((F1278=G1278),5,5-QUOTIENT(F1278,G1278))))),0)</f>
        <v>0</v>
      </c>
      <c r="N1278" s="378">
        <f>IF(K1278="N/A", 1, 2)</f>
        <v>1</v>
      </c>
      <c r="O1278" s="379">
        <f t="shared" si="289"/>
        <v>1</v>
      </c>
      <c r="P1278" s="378" t="s">
        <v>1147</v>
      </c>
      <c r="Q1278" s="380" t="s">
        <v>1148</v>
      </c>
      <c r="R1278" s="378"/>
    </row>
    <row r="1279" spans="1:18" hidden="1" outlineLevel="1">
      <c r="A1279" s="388" t="s">
        <v>1257</v>
      </c>
      <c r="B1279" s="381"/>
      <c r="C1279" s="399"/>
      <c r="D1279" s="398"/>
      <c r="E1279" s="389"/>
      <c r="F1279" s="398"/>
      <c r="G1279" s="387"/>
      <c r="H1279" s="387"/>
      <c r="I1279" s="387"/>
      <c r="J1279" s="387"/>
      <c r="K1279" s="378"/>
      <c r="L1279" s="378"/>
      <c r="M1279" s="379">
        <f>M1280</f>
        <v>0</v>
      </c>
      <c r="N1279" s="378">
        <f>N1280</f>
        <v>2</v>
      </c>
      <c r="O1279" s="379">
        <f>MAX(M1279:N1279)</f>
        <v>2</v>
      </c>
      <c r="P1279" s="378" t="s">
        <v>1147</v>
      </c>
      <c r="Q1279" s="380" t="s">
        <v>1148</v>
      </c>
      <c r="R1279" s="378"/>
    </row>
    <row r="1280" spans="1:18" hidden="1" outlineLevel="1">
      <c r="A1280" s="406"/>
      <c r="B1280" s="388" t="s">
        <v>673</v>
      </c>
      <c r="C1280" s="382" t="s">
        <v>1222</v>
      </c>
      <c r="D1280" s="387">
        <v>0.5</v>
      </c>
      <c r="E1280" s="389"/>
      <c r="F1280" s="398">
        <v>0.5</v>
      </c>
      <c r="G1280" s="387"/>
      <c r="H1280" s="387"/>
      <c r="I1280" s="387"/>
      <c r="J1280" s="387"/>
      <c r="K1280" s="378">
        <v>1</v>
      </c>
      <c r="L1280" s="378"/>
      <c r="M1280" s="379">
        <f>IFERROR(MIN(MAX(0,IF(K1280="N/A",0,IF((D1280=E1280),5,5-QUOTIENT(D1280,E1280)))), MAX(0,IF(K1280="N/A",0,IF((F1280=G1280),5,5-QUOTIENT(F1280,G1280))))),0)</f>
        <v>0</v>
      </c>
      <c r="N1280" s="378">
        <f>IF(K1280="N/A", 1, 2)</f>
        <v>2</v>
      </c>
      <c r="O1280" s="379">
        <f t="shared" ref="O1280" si="293">MAX(M1280:N1280)</f>
        <v>2</v>
      </c>
      <c r="P1280" s="378" t="s">
        <v>1147</v>
      </c>
      <c r="Q1280" s="380" t="s">
        <v>1148</v>
      </c>
      <c r="R1280" s="378"/>
    </row>
    <row r="1281" spans="1:18" hidden="1" outlineLevel="1">
      <c r="A1281" s="388" t="s">
        <v>1258</v>
      </c>
      <c r="B1281" s="381"/>
      <c r="C1281" s="399"/>
      <c r="D1281" s="398"/>
      <c r="E1281" s="389"/>
      <c r="F1281" s="398"/>
      <c r="G1281" s="387"/>
      <c r="H1281" s="387"/>
      <c r="I1281" s="387"/>
      <c r="J1281" s="387"/>
      <c r="K1281" s="378"/>
      <c r="L1281" s="378"/>
      <c r="M1281" s="379">
        <f>M1282</f>
        <v>0</v>
      </c>
      <c r="N1281" s="378">
        <f>N1282</f>
        <v>2</v>
      </c>
      <c r="O1281" s="379">
        <f>MAX(M1281:N1281)</f>
        <v>2</v>
      </c>
      <c r="P1281" s="378" t="s">
        <v>1147</v>
      </c>
      <c r="Q1281" s="380" t="s">
        <v>1148</v>
      </c>
      <c r="R1281" s="378"/>
    </row>
    <row r="1282" spans="1:18" hidden="1" outlineLevel="1">
      <c r="A1282" s="406"/>
      <c r="B1282" s="388" t="s">
        <v>1259</v>
      </c>
      <c r="C1282" s="382" t="s">
        <v>1222</v>
      </c>
      <c r="D1282" s="387">
        <v>0.5</v>
      </c>
      <c r="E1282" s="389"/>
      <c r="F1282" s="398">
        <v>0.5</v>
      </c>
      <c r="G1282" s="387"/>
      <c r="H1282" s="387"/>
      <c r="I1282" s="387"/>
      <c r="J1282" s="387"/>
      <c r="K1282" s="378">
        <v>1</v>
      </c>
      <c r="L1282" s="378"/>
      <c r="M1282" s="379">
        <f>IFERROR(MIN(MAX(0,IF(K1282="N/A",0,IF((D1282=E1282),5,5-QUOTIENT(D1282,E1282)))), MAX(0,IF(K1282="N/A",0,IF((F1282=G1282),5,5-QUOTIENT(F1282,G1282))))),0)</f>
        <v>0</v>
      </c>
      <c r="N1282" s="378">
        <f>IF(K1282="N/A", 1, 2)</f>
        <v>2</v>
      </c>
      <c r="O1282" s="379">
        <f t="shared" ref="O1282" si="294">MAX(M1282:N1282)</f>
        <v>2</v>
      </c>
      <c r="P1282" s="378" t="s">
        <v>1147</v>
      </c>
      <c r="Q1282" s="380" t="s">
        <v>1148</v>
      </c>
      <c r="R1282" s="378"/>
    </row>
    <row r="1283" spans="1:18" hidden="1" outlineLevel="1">
      <c r="A1283" s="388" t="s">
        <v>1260</v>
      </c>
      <c r="B1283" s="381"/>
      <c r="C1283" s="399"/>
      <c r="D1283" s="398"/>
      <c r="E1283" s="389"/>
      <c r="F1283" s="398"/>
      <c r="G1283" s="387"/>
      <c r="H1283" s="387"/>
      <c r="I1283" s="387"/>
      <c r="J1283" s="387"/>
      <c r="K1283" s="378"/>
      <c r="L1283" s="378"/>
      <c r="M1283" s="379">
        <f>M1284</f>
        <v>3</v>
      </c>
      <c r="N1283" s="378">
        <f>N1284</f>
        <v>2</v>
      </c>
      <c r="O1283" s="379">
        <f>MAX(M1283:N1283)</f>
        <v>3</v>
      </c>
      <c r="P1283" s="410" t="s">
        <v>1261</v>
      </c>
      <c r="Q1283" s="411" t="s">
        <v>1262</v>
      </c>
      <c r="R1283" s="378"/>
    </row>
    <row r="1284" spans="1:18" hidden="1" outlineLevel="1">
      <c r="A1284" s="412"/>
      <c r="B1284" s="388" t="s">
        <v>1263</v>
      </c>
      <c r="C1284" s="413" t="s">
        <v>1264</v>
      </c>
      <c r="D1284" s="414">
        <v>5</v>
      </c>
      <c r="E1284" s="414">
        <v>2</v>
      </c>
      <c r="F1284" s="414">
        <v>5</v>
      </c>
      <c r="G1284" s="391">
        <v>2</v>
      </c>
      <c r="H1284" s="391"/>
      <c r="I1284" s="391"/>
      <c r="J1284" s="391"/>
      <c r="K1284" s="378">
        <v>2</v>
      </c>
      <c r="L1284" s="378"/>
      <c r="M1284" s="379">
        <f>IFERROR(MIN(MAX(0,IF(K1284="N/A",0,IF((D1284=E1284),5,5-QUOTIENT(D1284,E1284)))), MAX(0,IF(K1284="N/A",0,IF((F1284=G1284),5,5-QUOTIENT(F1284,G1284))))),0)</f>
        <v>3</v>
      </c>
      <c r="N1284" s="378">
        <f>IF(K1284="N/A", 1, 2)</f>
        <v>2</v>
      </c>
      <c r="O1284" s="379">
        <f t="shared" ref="O1284:O1285" si="295">MAX(M1284:N1284)</f>
        <v>3</v>
      </c>
      <c r="P1284" s="410" t="s">
        <v>1261</v>
      </c>
      <c r="Q1284" s="411" t="s">
        <v>1262</v>
      </c>
      <c r="R1284" s="378"/>
    </row>
    <row r="1285" spans="1:18" hidden="1" outlineLevel="1">
      <c r="A1285" s="415" t="s">
        <v>1265</v>
      </c>
      <c r="B1285" s="416" t="s">
        <v>767</v>
      </c>
      <c r="C1285" s="413" t="s">
        <v>1264</v>
      </c>
      <c r="D1285" s="414">
        <v>5</v>
      </c>
      <c r="E1285" s="414">
        <v>2</v>
      </c>
      <c r="F1285" s="414">
        <v>5</v>
      </c>
      <c r="G1285" s="391">
        <v>2</v>
      </c>
      <c r="H1285" s="391"/>
      <c r="I1285" s="391"/>
      <c r="J1285" s="391"/>
      <c r="K1285" s="378">
        <v>2</v>
      </c>
      <c r="L1285" s="378"/>
      <c r="M1285" s="379">
        <f>IFERROR(MIN(MAX(0,IF(K1285="N/A",0,IF((D1285=E1285),5,5-QUOTIENT(D1285,E1285)))), MAX(0,IF(K1285="N/A",0,IF((F1285=G1285),5,5-QUOTIENT(F1285,G1285))))),0)</f>
        <v>3</v>
      </c>
      <c r="N1285" s="378">
        <f>IF(K1285="N/A", 1, 2)</f>
        <v>2</v>
      </c>
      <c r="O1285" s="379">
        <f t="shared" si="295"/>
        <v>3</v>
      </c>
      <c r="P1285" s="410" t="s">
        <v>1261</v>
      </c>
      <c r="Q1285" s="411" t="s">
        <v>1262</v>
      </c>
      <c r="R1285" s="378"/>
    </row>
    <row r="1286" spans="1:18" collapsed="1">
      <c r="A1286" s="362" t="s">
        <v>1278</v>
      </c>
      <c r="B1286" s="646"/>
      <c r="D1286" s="364"/>
      <c r="E1286" s="364"/>
      <c r="F1286" s="371"/>
      <c r="G1286" s="364"/>
      <c r="H1286" s="364"/>
      <c r="I1286" s="364"/>
      <c r="J1286" s="364"/>
      <c r="K1286" s="364"/>
      <c r="L1286" s="364"/>
      <c r="M1286" s="371"/>
      <c r="N1286" s="364"/>
      <c r="O1286" s="371"/>
      <c r="P1286" s="364"/>
      <c r="Q1286" s="364"/>
    </row>
    <row r="1287" spans="1:18" hidden="1">
      <c r="B1287" s="646"/>
      <c r="D1287" s="364"/>
      <c r="E1287" s="417"/>
      <c r="F1287" s="418"/>
      <c r="G1287" s="364"/>
      <c r="H1287" s="364"/>
      <c r="I1287" s="364"/>
      <c r="J1287" s="364"/>
      <c r="K1287" s="364"/>
      <c r="L1287" s="364"/>
      <c r="M1287" s="371"/>
      <c r="N1287" s="364"/>
      <c r="O1287" s="371"/>
      <c r="P1287" s="364"/>
      <c r="Q1287" s="364"/>
      <c r="R1287" s="364"/>
    </row>
    <row r="1288" spans="1:18" hidden="1">
      <c r="B1288" s="646"/>
      <c r="D1288" s="364"/>
      <c r="E1288" s="417"/>
      <c r="F1288" s="418"/>
      <c r="G1288" s="364"/>
      <c r="H1288" s="364"/>
      <c r="I1288" s="364"/>
      <c r="J1288" s="364"/>
      <c r="K1288" s="364"/>
      <c r="L1288" s="364"/>
      <c r="M1288" s="371"/>
      <c r="N1288" s="364"/>
      <c r="O1288" s="371"/>
      <c r="P1288" s="364"/>
      <c r="Q1288" s="364"/>
      <c r="R1288" s="364"/>
    </row>
  </sheetData>
  <sheetProtection selectLockedCells="1"/>
  <mergeCells count="278">
    <mergeCell ref="B1268:B1274"/>
    <mergeCell ref="B1286:B1288"/>
    <mergeCell ref="B1228:B1229"/>
    <mergeCell ref="B1231:B1232"/>
    <mergeCell ref="B1233:B1234"/>
    <mergeCell ref="B1235:B1236"/>
    <mergeCell ref="B1248:B1254"/>
    <mergeCell ref="B1260:B1266"/>
    <mergeCell ref="B1207:B1209"/>
    <mergeCell ref="B1210:B1212"/>
    <mergeCell ref="B1213:B1215"/>
    <mergeCell ref="B1216:B1218"/>
    <mergeCell ref="B1222:B1223"/>
    <mergeCell ref="B1225:B1226"/>
    <mergeCell ref="B1173:B1176"/>
    <mergeCell ref="B1178:B1180"/>
    <mergeCell ref="B1182:B1184"/>
    <mergeCell ref="B1187:B1188"/>
    <mergeCell ref="B1189:B1195"/>
    <mergeCell ref="B1197:B1200"/>
    <mergeCell ref="B1156:B1158"/>
    <mergeCell ref="B1159:B1161"/>
    <mergeCell ref="B1162:B1164"/>
    <mergeCell ref="B1165:B1167"/>
    <mergeCell ref="B1168:G1168"/>
    <mergeCell ref="B1169:B1171"/>
    <mergeCell ref="B1143:B1145"/>
    <mergeCell ref="D1146:E1146"/>
    <mergeCell ref="F1146:G1146"/>
    <mergeCell ref="B1148:G1148"/>
    <mergeCell ref="B1150:B1152"/>
    <mergeCell ref="B1153:B1155"/>
    <mergeCell ref="B1088:B1089"/>
    <mergeCell ref="B1090:B1091"/>
    <mergeCell ref="B1092:B1093"/>
    <mergeCell ref="B1105:B1111"/>
    <mergeCell ref="B1117:B1123"/>
    <mergeCell ref="B1125:B1131"/>
    <mergeCell ref="B1067:B1069"/>
    <mergeCell ref="B1070:B1072"/>
    <mergeCell ref="B1073:B1075"/>
    <mergeCell ref="B1079:B1080"/>
    <mergeCell ref="B1082:B1083"/>
    <mergeCell ref="B1085:B1086"/>
    <mergeCell ref="B1035:B1037"/>
    <mergeCell ref="B1039:B1041"/>
    <mergeCell ref="B1044:B1045"/>
    <mergeCell ref="B1046:B1052"/>
    <mergeCell ref="B1054:B1057"/>
    <mergeCell ref="B1064:B1066"/>
    <mergeCell ref="B1016:B1018"/>
    <mergeCell ref="B1019:B1021"/>
    <mergeCell ref="B1022:B1024"/>
    <mergeCell ref="B1025:G1025"/>
    <mergeCell ref="B1026:B1028"/>
    <mergeCell ref="B1030:B1033"/>
    <mergeCell ref="D1003:E1003"/>
    <mergeCell ref="F1003:G1003"/>
    <mergeCell ref="B1005:G1005"/>
    <mergeCell ref="B1007:B1009"/>
    <mergeCell ref="B1010:B1012"/>
    <mergeCell ref="B1013:B1015"/>
    <mergeCell ref="B947:B948"/>
    <mergeCell ref="B949:B950"/>
    <mergeCell ref="B962:B968"/>
    <mergeCell ref="B974:B980"/>
    <mergeCell ref="B982:B988"/>
    <mergeCell ref="B1000:B1002"/>
    <mergeCell ref="B927:B929"/>
    <mergeCell ref="B930:B932"/>
    <mergeCell ref="B936:B937"/>
    <mergeCell ref="B939:B940"/>
    <mergeCell ref="B942:B943"/>
    <mergeCell ref="B945:B946"/>
    <mergeCell ref="B896:B898"/>
    <mergeCell ref="B901:B902"/>
    <mergeCell ref="B903:B909"/>
    <mergeCell ref="B911:B914"/>
    <mergeCell ref="B921:B923"/>
    <mergeCell ref="B924:B926"/>
    <mergeCell ref="B876:B878"/>
    <mergeCell ref="B879:B881"/>
    <mergeCell ref="B882:G882"/>
    <mergeCell ref="B883:B885"/>
    <mergeCell ref="B887:B890"/>
    <mergeCell ref="B892:B894"/>
    <mergeCell ref="F860:G860"/>
    <mergeCell ref="B862:G862"/>
    <mergeCell ref="B864:B866"/>
    <mergeCell ref="B867:B869"/>
    <mergeCell ref="B870:B872"/>
    <mergeCell ref="B873:B875"/>
    <mergeCell ref="B806:B807"/>
    <mergeCell ref="B819:B825"/>
    <mergeCell ref="B831:B837"/>
    <mergeCell ref="B839:B845"/>
    <mergeCell ref="B857:B859"/>
    <mergeCell ref="D860:E860"/>
    <mergeCell ref="B787:B789"/>
    <mergeCell ref="B793:B794"/>
    <mergeCell ref="B796:B797"/>
    <mergeCell ref="B799:B800"/>
    <mergeCell ref="B802:B803"/>
    <mergeCell ref="B804:B805"/>
    <mergeCell ref="B758:B759"/>
    <mergeCell ref="B760:B766"/>
    <mergeCell ref="B768:B771"/>
    <mergeCell ref="B778:B780"/>
    <mergeCell ref="B781:B783"/>
    <mergeCell ref="B784:B786"/>
    <mergeCell ref="B736:B738"/>
    <mergeCell ref="B739:G739"/>
    <mergeCell ref="B740:B742"/>
    <mergeCell ref="B744:B747"/>
    <mergeCell ref="B749:B751"/>
    <mergeCell ref="B753:B755"/>
    <mergeCell ref="B719:G719"/>
    <mergeCell ref="B721:B723"/>
    <mergeCell ref="B724:B726"/>
    <mergeCell ref="B727:B729"/>
    <mergeCell ref="B730:B732"/>
    <mergeCell ref="B733:B735"/>
    <mergeCell ref="B676:B682"/>
    <mergeCell ref="B688:B694"/>
    <mergeCell ref="B696:B702"/>
    <mergeCell ref="B714:B716"/>
    <mergeCell ref="D717:E717"/>
    <mergeCell ref="F717:G717"/>
    <mergeCell ref="B650:B651"/>
    <mergeCell ref="B653:B654"/>
    <mergeCell ref="B656:B657"/>
    <mergeCell ref="B659:B660"/>
    <mergeCell ref="B661:B662"/>
    <mergeCell ref="B663:B664"/>
    <mergeCell ref="B617:B623"/>
    <mergeCell ref="B625:B628"/>
    <mergeCell ref="B635:B637"/>
    <mergeCell ref="B638:B640"/>
    <mergeCell ref="B641:B643"/>
    <mergeCell ref="B644:B646"/>
    <mergeCell ref="B596:G596"/>
    <mergeCell ref="B597:B599"/>
    <mergeCell ref="B601:B604"/>
    <mergeCell ref="B606:B608"/>
    <mergeCell ref="B610:B612"/>
    <mergeCell ref="B615:B616"/>
    <mergeCell ref="B578:B580"/>
    <mergeCell ref="B581:B583"/>
    <mergeCell ref="B584:B586"/>
    <mergeCell ref="B587:B589"/>
    <mergeCell ref="B590:B592"/>
    <mergeCell ref="B593:B595"/>
    <mergeCell ref="B545:B551"/>
    <mergeCell ref="B553:B559"/>
    <mergeCell ref="B571:B573"/>
    <mergeCell ref="D574:E574"/>
    <mergeCell ref="F574:G574"/>
    <mergeCell ref="B576:G576"/>
    <mergeCell ref="B510:B511"/>
    <mergeCell ref="B513:B514"/>
    <mergeCell ref="B516:B517"/>
    <mergeCell ref="B518:B519"/>
    <mergeCell ref="B520:B521"/>
    <mergeCell ref="B533:B539"/>
    <mergeCell ref="B482:B485"/>
    <mergeCell ref="B492:B494"/>
    <mergeCell ref="B495:B497"/>
    <mergeCell ref="B498:B500"/>
    <mergeCell ref="B501:B503"/>
    <mergeCell ref="B507:B508"/>
    <mergeCell ref="B454:B456"/>
    <mergeCell ref="B458:B461"/>
    <mergeCell ref="B463:B465"/>
    <mergeCell ref="B467:B469"/>
    <mergeCell ref="B472:B473"/>
    <mergeCell ref="B474:B480"/>
    <mergeCell ref="B438:B440"/>
    <mergeCell ref="B441:B443"/>
    <mergeCell ref="B444:B446"/>
    <mergeCell ref="B447:B449"/>
    <mergeCell ref="B450:B452"/>
    <mergeCell ref="B453:G453"/>
    <mergeCell ref="B410:B416"/>
    <mergeCell ref="B428:B430"/>
    <mergeCell ref="D431:E431"/>
    <mergeCell ref="F431:G431"/>
    <mergeCell ref="B433:G433"/>
    <mergeCell ref="B435:B437"/>
    <mergeCell ref="B370:B371"/>
    <mergeCell ref="B373:B374"/>
    <mergeCell ref="B375:B376"/>
    <mergeCell ref="B377:B378"/>
    <mergeCell ref="B390:B396"/>
    <mergeCell ref="B402:B408"/>
    <mergeCell ref="B349:B351"/>
    <mergeCell ref="B352:B354"/>
    <mergeCell ref="B355:B357"/>
    <mergeCell ref="B358:B360"/>
    <mergeCell ref="B364:B365"/>
    <mergeCell ref="B367:B368"/>
    <mergeCell ref="B315:B318"/>
    <mergeCell ref="B320:B322"/>
    <mergeCell ref="B324:B326"/>
    <mergeCell ref="B329:B330"/>
    <mergeCell ref="B331:B337"/>
    <mergeCell ref="B339:B342"/>
    <mergeCell ref="B298:B300"/>
    <mergeCell ref="B301:B303"/>
    <mergeCell ref="B304:B306"/>
    <mergeCell ref="B307:B309"/>
    <mergeCell ref="B310:G310"/>
    <mergeCell ref="B311:B313"/>
    <mergeCell ref="B286:B288"/>
    <mergeCell ref="D288:E288"/>
    <mergeCell ref="F288:G288"/>
    <mergeCell ref="B290:G290"/>
    <mergeCell ref="B292:B294"/>
    <mergeCell ref="B295:B297"/>
    <mergeCell ref="B230:B231"/>
    <mergeCell ref="B232:B233"/>
    <mergeCell ref="B234:B235"/>
    <mergeCell ref="B247:B253"/>
    <mergeCell ref="B259:B265"/>
    <mergeCell ref="B267:B273"/>
    <mergeCell ref="B209:B211"/>
    <mergeCell ref="B212:B214"/>
    <mergeCell ref="B215:B217"/>
    <mergeCell ref="B221:B222"/>
    <mergeCell ref="B224:B225"/>
    <mergeCell ref="B227:B228"/>
    <mergeCell ref="B177:B179"/>
    <mergeCell ref="B181:B183"/>
    <mergeCell ref="B186:B187"/>
    <mergeCell ref="B188:B194"/>
    <mergeCell ref="B196:B199"/>
    <mergeCell ref="B206:B208"/>
    <mergeCell ref="B158:B160"/>
    <mergeCell ref="B161:B163"/>
    <mergeCell ref="B164:B166"/>
    <mergeCell ref="B167:G167"/>
    <mergeCell ref="B168:B170"/>
    <mergeCell ref="B172:B175"/>
    <mergeCell ref="D145:E145"/>
    <mergeCell ref="F145:G145"/>
    <mergeCell ref="B147:G147"/>
    <mergeCell ref="B149:B151"/>
    <mergeCell ref="B152:B154"/>
    <mergeCell ref="B155:B157"/>
    <mergeCell ref="B87:B88"/>
    <mergeCell ref="B89:B90"/>
    <mergeCell ref="B91:B92"/>
    <mergeCell ref="B104:B110"/>
    <mergeCell ref="B116:B122"/>
    <mergeCell ref="B124:B130"/>
    <mergeCell ref="B66:B68"/>
    <mergeCell ref="B69:B71"/>
    <mergeCell ref="B72:B74"/>
    <mergeCell ref="B78:B79"/>
    <mergeCell ref="B81:B82"/>
    <mergeCell ref="B84:B85"/>
    <mergeCell ref="B45:B51"/>
    <mergeCell ref="B53:B56"/>
    <mergeCell ref="B63:B65"/>
    <mergeCell ref="B15:B17"/>
    <mergeCell ref="B18:B20"/>
    <mergeCell ref="B21:B23"/>
    <mergeCell ref="B24:G24"/>
    <mergeCell ref="B25:B27"/>
    <mergeCell ref="B29:B32"/>
    <mergeCell ref="D2:E2"/>
    <mergeCell ref="F2:G2"/>
    <mergeCell ref="B4:G4"/>
    <mergeCell ref="B6:B8"/>
    <mergeCell ref="B9:B11"/>
    <mergeCell ref="B12:B14"/>
    <mergeCell ref="B34:B36"/>
    <mergeCell ref="B38:B40"/>
    <mergeCell ref="B43:B44"/>
  </mergeCells>
  <conditionalFormatting sqref="M4:M65 M95 M97 M99 M101 M103 M113 M133 M137 M139 M141 M115 M123 M131 M135 M75:M93 M111">
    <cfRule type="colorScale" priority="518">
      <colorScale>
        <cfvo type="min"/>
        <cfvo type="max"/>
        <color theme="6" tint="0.79995117038483843"/>
        <color theme="6" tint="0.39997558519241921"/>
      </colorScale>
    </cfRule>
  </conditionalFormatting>
  <conditionalFormatting sqref="M66:M68">
    <cfRule type="colorScale" priority="470">
      <colorScale>
        <cfvo type="min"/>
        <cfvo type="max"/>
        <color theme="6" tint="0.79995117038483843"/>
        <color theme="6" tint="0.39997558519241921"/>
      </colorScale>
    </cfRule>
  </conditionalFormatting>
  <conditionalFormatting sqref="M69:M71">
    <cfRule type="colorScale" priority="467">
      <colorScale>
        <cfvo type="min"/>
        <cfvo type="max"/>
        <color theme="6" tint="0.79995117038483843"/>
        <color theme="6" tint="0.39997558519241921"/>
      </colorScale>
    </cfRule>
  </conditionalFormatting>
  <conditionalFormatting sqref="M72:M74">
    <cfRule type="colorScale" priority="465">
      <colorScale>
        <cfvo type="min"/>
        <cfvo type="max"/>
        <color theme="6" tint="0.79995117038483843"/>
        <color theme="6" tint="0.39997558519241921"/>
      </colorScale>
    </cfRule>
  </conditionalFormatting>
  <conditionalFormatting sqref="M94">
    <cfRule type="colorScale" priority="512">
      <colorScale>
        <cfvo type="min"/>
        <cfvo type="max"/>
        <color theme="6" tint="0.79995117038483843"/>
        <color theme="6" tint="0.39997558519241921"/>
      </colorScale>
    </cfRule>
  </conditionalFormatting>
  <conditionalFormatting sqref="M96">
    <cfRule type="colorScale" priority="509">
      <colorScale>
        <cfvo type="min"/>
        <cfvo type="max"/>
        <color theme="6" tint="0.79995117038483843"/>
        <color theme="6" tint="0.39997558519241921"/>
      </colorScale>
    </cfRule>
  </conditionalFormatting>
  <conditionalFormatting sqref="M98">
    <cfRule type="colorScale" priority="506">
      <colorScale>
        <cfvo type="min"/>
        <cfvo type="max"/>
        <color theme="6" tint="0.79995117038483843"/>
        <color theme="6" tint="0.39997558519241921"/>
      </colorScale>
    </cfRule>
  </conditionalFormatting>
  <conditionalFormatting sqref="M100">
    <cfRule type="colorScale" priority="503">
      <colorScale>
        <cfvo type="min"/>
        <cfvo type="max"/>
        <color theme="6" tint="0.79995117038483843"/>
        <color theme="6" tint="0.39997558519241921"/>
      </colorScale>
    </cfRule>
  </conditionalFormatting>
  <conditionalFormatting sqref="M102">
    <cfRule type="colorScale" priority="500">
      <colorScale>
        <cfvo type="min"/>
        <cfvo type="max"/>
        <color theme="6" tint="0.79995117038483843"/>
        <color theme="6" tint="0.39997558519241921"/>
      </colorScale>
    </cfRule>
  </conditionalFormatting>
  <conditionalFormatting sqref="M104:M110">
    <cfRule type="colorScale" priority="463">
      <colorScale>
        <cfvo type="min"/>
        <cfvo type="max"/>
        <color theme="6" tint="0.79995117038483843"/>
        <color theme="6" tint="0.39997558519241921"/>
      </colorScale>
    </cfRule>
  </conditionalFormatting>
  <conditionalFormatting sqref="M112">
    <cfRule type="colorScale" priority="497">
      <colorScale>
        <cfvo type="min"/>
        <cfvo type="max"/>
        <color theme="6" tint="0.79995117038483843"/>
        <color theme="6" tint="0.39997558519241921"/>
      </colorScale>
    </cfRule>
  </conditionalFormatting>
  <conditionalFormatting sqref="M114">
    <cfRule type="colorScale" priority="482">
      <colorScale>
        <cfvo type="min"/>
        <cfvo type="max"/>
        <color theme="6" tint="0.79995117038483843"/>
        <color theme="6" tint="0.39997558519241921"/>
      </colorScale>
    </cfRule>
  </conditionalFormatting>
  <conditionalFormatting sqref="M116:M122">
    <cfRule type="colorScale" priority="479">
      <colorScale>
        <cfvo type="min"/>
        <cfvo type="max"/>
        <color theme="6" tint="0.79995117038483843"/>
        <color theme="6" tint="0.39997558519241921"/>
      </colorScale>
    </cfRule>
  </conditionalFormatting>
  <conditionalFormatting sqref="M124:M130">
    <cfRule type="colorScale" priority="476">
      <colorScale>
        <cfvo type="min"/>
        <cfvo type="max"/>
        <color theme="6" tint="0.79995117038483843"/>
        <color theme="6" tint="0.39997558519241921"/>
      </colorScale>
    </cfRule>
  </conditionalFormatting>
  <conditionalFormatting sqref="M132">
    <cfRule type="colorScale" priority="494">
      <colorScale>
        <cfvo type="min"/>
        <cfvo type="max"/>
        <color theme="6" tint="0.79995117038483843"/>
        <color theme="6" tint="0.39997558519241921"/>
      </colorScale>
    </cfRule>
  </conditionalFormatting>
  <conditionalFormatting sqref="M134">
    <cfRule type="colorScale" priority="473">
      <colorScale>
        <cfvo type="min"/>
        <cfvo type="max"/>
        <color theme="6" tint="0.79995117038483843"/>
        <color theme="6" tint="0.39997558519241921"/>
      </colorScale>
    </cfRule>
  </conditionalFormatting>
  <conditionalFormatting sqref="M136">
    <cfRule type="colorScale" priority="491">
      <colorScale>
        <cfvo type="min"/>
        <cfvo type="max"/>
        <color theme="6" tint="0.79995117038483843"/>
        <color theme="6" tint="0.39997558519241921"/>
      </colorScale>
    </cfRule>
  </conditionalFormatting>
  <conditionalFormatting sqref="M138">
    <cfRule type="colorScale" priority="488">
      <colorScale>
        <cfvo type="min"/>
        <cfvo type="max"/>
        <color theme="6" tint="0.79995117038483843"/>
        <color theme="6" tint="0.39997558519241921"/>
      </colorScale>
    </cfRule>
  </conditionalFormatting>
  <conditionalFormatting sqref="M140">
    <cfRule type="colorScale" priority="485">
      <colorScale>
        <cfvo type="min"/>
        <cfvo type="max"/>
        <color theme="6" tint="0.79995117038483843"/>
        <color theme="6" tint="0.39997558519241921"/>
      </colorScale>
    </cfRule>
  </conditionalFormatting>
  <conditionalFormatting sqref="M147:M208 M238 M240 M242 M244 M246 M256 M276 M280 M282 M284 M258 M266 M274 M278 M218:M236 M254">
    <cfRule type="colorScale" priority="460">
      <colorScale>
        <cfvo type="min"/>
        <cfvo type="max"/>
        <color theme="6" tint="0.79995117038483843"/>
        <color theme="6" tint="0.39997558519241921"/>
      </colorScale>
    </cfRule>
  </conditionalFormatting>
  <conditionalFormatting sqref="M209:M211">
    <cfRule type="colorScale" priority="415">
      <colorScale>
        <cfvo type="min"/>
        <cfvo type="max"/>
        <color theme="6" tint="0.79995117038483843"/>
        <color theme="6" tint="0.39997558519241921"/>
      </colorScale>
    </cfRule>
  </conditionalFormatting>
  <conditionalFormatting sqref="M212:M214">
    <cfRule type="colorScale" priority="412">
      <colorScale>
        <cfvo type="min"/>
        <cfvo type="max"/>
        <color theme="6" tint="0.79995117038483843"/>
        <color theme="6" tint="0.39997558519241921"/>
      </colorScale>
    </cfRule>
  </conditionalFormatting>
  <conditionalFormatting sqref="M215:M217">
    <cfRule type="colorScale" priority="410">
      <colorScale>
        <cfvo type="min"/>
        <cfvo type="max"/>
        <color theme="6" tint="0.79995117038483843"/>
        <color theme="6" tint="0.39997558519241921"/>
      </colorScale>
    </cfRule>
  </conditionalFormatting>
  <conditionalFormatting sqref="M237">
    <cfRule type="colorScale" priority="457">
      <colorScale>
        <cfvo type="min"/>
        <cfvo type="max"/>
        <color theme="6" tint="0.79995117038483843"/>
        <color theme="6" tint="0.39997558519241921"/>
      </colorScale>
    </cfRule>
  </conditionalFormatting>
  <conditionalFormatting sqref="M239">
    <cfRule type="colorScale" priority="454">
      <colorScale>
        <cfvo type="min"/>
        <cfvo type="max"/>
        <color theme="6" tint="0.79995117038483843"/>
        <color theme="6" tint="0.39997558519241921"/>
      </colorScale>
    </cfRule>
  </conditionalFormatting>
  <conditionalFormatting sqref="M241">
    <cfRule type="colorScale" priority="451">
      <colorScale>
        <cfvo type="min"/>
        <cfvo type="max"/>
        <color theme="6" tint="0.79995117038483843"/>
        <color theme="6" tint="0.39997558519241921"/>
      </colorScale>
    </cfRule>
  </conditionalFormatting>
  <conditionalFormatting sqref="M243">
    <cfRule type="colorScale" priority="448">
      <colorScale>
        <cfvo type="min"/>
        <cfvo type="max"/>
        <color theme="6" tint="0.79995117038483843"/>
        <color theme="6" tint="0.39997558519241921"/>
      </colorScale>
    </cfRule>
  </conditionalFormatting>
  <conditionalFormatting sqref="M245">
    <cfRule type="colorScale" priority="445">
      <colorScale>
        <cfvo type="min"/>
        <cfvo type="max"/>
        <color theme="6" tint="0.79995117038483843"/>
        <color theme="6" tint="0.39997558519241921"/>
      </colorScale>
    </cfRule>
  </conditionalFormatting>
  <conditionalFormatting sqref="M247:M253">
    <cfRule type="colorScale" priority="408">
      <colorScale>
        <cfvo type="min"/>
        <cfvo type="max"/>
        <color theme="6" tint="0.79995117038483843"/>
        <color theme="6" tint="0.39997558519241921"/>
      </colorScale>
    </cfRule>
  </conditionalFormatting>
  <conditionalFormatting sqref="M255">
    <cfRule type="colorScale" priority="442">
      <colorScale>
        <cfvo type="min"/>
        <cfvo type="max"/>
        <color theme="6" tint="0.79995117038483843"/>
        <color theme="6" tint="0.39997558519241921"/>
      </colorScale>
    </cfRule>
  </conditionalFormatting>
  <conditionalFormatting sqref="M257">
    <cfRule type="colorScale" priority="427">
      <colorScale>
        <cfvo type="min"/>
        <cfvo type="max"/>
        <color theme="6" tint="0.79995117038483843"/>
        <color theme="6" tint="0.39997558519241921"/>
      </colorScale>
    </cfRule>
  </conditionalFormatting>
  <conditionalFormatting sqref="M259:M265">
    <cfRule type="colorScale" priority="424">
      <colorScale>
        <cfvo type="min"/>
        <cfvo type="max"/>
        <color theme="6" tint="0.79995117038483843"/>
        <color theme="6" tint="0.39997558519241921"/>
      </colorScale>
    </cfRule>
  </conditionalFormatting>
  <conditionalFormatting sqref="M267:M273">
    <cfRule type="colorScale" priority="421">
      <colorScale>
        <cfvo type="min"/>
        <cfvo type="max"/>
        <color theme="6" tint="0.79995117038483843"/>
        <color theme="6" tint="0.39997558519241921"/>
      </colorScale>
    </cfRule>
  </conditionalFormatting>
  <conditionalFormatting sqref="M275">
    <cfRule type="colorScale" priority="439">
      <colorScale>
        <cfvo type="min"/>
        <cfvo type="max"/>
        <color theme="6" tint="0.79995117038483843"/>
        <color theme="6" tint="0.39997558519241921"/>
      </colorScale>
    </cfRule>
  </conditionalFormatting>
  <conditionalFormatting sqref="M277">
    <cfRule type="colorScale" priority="418">
      <colorScale>
        <cfvo type="min"/>
        <cfvo type="max"/>
        <color theme="6" tint="0.79995117038483843"/>
        <color theme="6" tint="0.39997558519241921"/>
      </colorScale>
    </cfRule>
  </conditionalFormatting>
  <conditionalFormatting sqref="M279">
    <cfRule type="colorScale" priority="436">
      <colorScale>
        <cfvo type="min"/>
        <cfvo type="max"/>
        <color theme="6" tint="0.79995117038483843"/>
        <color theme="6" tint="0.39997558519241921"/>
      </colorScale>
    </cfRule>
  </conditionalFormatting>
  <conditionalFormatting sqref="M281">
    <cfRule type="colorScale" priority="433">
      <colorScale>
        <cfvo type="min"/>
        <cfvo type="max"/>
        <color theme="6" tint="0.79995117038483843"/>
        <color theme="6" tint="0.39997558519241921"/>
      </colorScale>
    </cfRule>
  </conditionalFormatting>
  <conditionalFormatting sqref="M283">
    <cfRule type="colorScale" priority="430">
      <colorScale>
        <cfvo type="min"/>
        <cfvo type="max"/>
        <color theme="6" tint="0.79995117038483843"/>
        <color theme="6" tint="0.39997558519241921"/>
      </colorScale>
    </cfRule>
  </conditionalFormatting>
  <conditionalFormatting sqref="M286:M287">
    <cfRule type="colorScale" priority="515">
      <colorScale>
        <cfvo type="min"/>
        <cfvo type="max"/>
        <color theme="6" tint="0.79995117038483843"/>
        <color theme="6" tint="0.39997558519241921"/>
      </colorScale>
    </cfRule>
  </conditionalFormatting>
  <conditionalFormatting sqref="M290:M351 M381 M383 M385 M387 M389 M399 M419 M423 M401 M409 M417 M421 M361:M379 M397 M425:M427">
    <cfRule type="colorScale" priority="405">
      <colorScale>
        <cfvo type="min"/>
        <cfvo type="max"/>
        <color theme="6" tint="0.79995117038483843"/>
        <color theme="6" tint="0.39997558519241921"/>
      </colorScale>
    </cfRule>
  </conditionalFormatting>
  <conditionalFormatting sqref="M352:M354">
    <cfRule type="colorScale" priority="361">
      <colorScale>
        <cfvo type="min"/>
        <cfvo type="max"/>
        <color theme="6" tint="0.79995117038483843"/>
        <color theme="6" tint="0.39997558519241921"/>
      </colorScale>
    </cfRule>
  </conditionalFormatting>
  <conditionalFormatting sqref="M355:M357">
    <cfRule type="colorScale" priority="358">
      <colorScale>
        <cfvo type="min"/>
        <cfvo type="max"/>
        <color theme="6" tint="0.79995117038483843"/>
        <color theme="6" tint="0.39997558519241921"/>
      </colorScale>
    </cfRule>
  </conditionalFormatting>
  <conditionalFormatting sqref="M358:M360">
    <cfRule type="colorScale" priority="356">
      <colorScale>
        <cfvo type="min"/>
        <cfvo type="max"/>
        <color theme="6" tint="0.79995117038483843"/>
        <color theme="6" tint="0.39997558519241921"/>
      </colorScale>
    </cfRule>
  </conditionalFormatting>
  <conditionalFormatting sqref="M380">
    <cfRule type="colorScale" priority="402">
      <colorScale>
        <cfvo type="min"/>
        <cfvo type="max"/>
        <color theme="6" tint="0.79995117038483843"/>
        <color theme="6" tint="0.39997558519241921"/>
      </colorScale>
    </cfRule>
  </conditionalFormatting>
  <conditionalFormatting sqref="M382">
    <cfRule type="colorScale" priority="399">
      <colorScale>
        <cfvo type="min"/>
        <cfvo type="max"/>
        <color theme="6" tint="0.79995117038483843"/>
        <color theme="6" tint="0.39997558519241921"/>
      </colorScale>
    </cfRule>
  </conditionalFormatting>
  <conditionalFormatting sqref="M384">
    <cfRule type="colorScale" priority="396">
      <colorScale>
        <cfvo type="min"/>
        <cfvo type="max"/>
        <color theme="6" tint="0.79995117038483843"/>
        <color theme="6" tint="0.39997558519241921"/>
      </colorScale>
    </cfRule>
  </conditionalFormatting>
  <conditionalFormatting sqref="M386">
    <cfRule type="colorScale" priority="393">
      <colorScale>
        <cfvo type="min"/>
        <cfvo type="max"/>
        <color theme="6" tint="0.79995117038483843"/>
        <color theme="6" tint="0.39997558519241921"/>
      </colorScale>
    </cfRule>
  </conditionalFormatting>
  <conditionalFormatting sqref="M388">
    <cfRule type="colorScale" priority="390">
      <colorScale>
        <cfvo type="min"/>
        <cfvo type="max"/>
        <color theme="6" tint="0.79995117038483843"/>
        <color theme="6" tint="0.39997558519241921"/>
      </colorScale>
    </cfRule>
  </conditionalFormatting>
  <conditionalFormatting sqref="M390:M396">
    <cfRule type="colorScale" priority="354">
      <colorScale>
        <cfvo type="min"/>
        <cfvo type="max"/>
        <color theme="6" tint="0.79995117038483843"/>
        <color theme="6" tint="0.39997558519241921"/>
      </colorScale>
    </cfRule>
  </conditionalFormatting>
  <conditionalFormatting sqref="M398">
    <cfRule type="colorScale" priority="387">
      <colorScale>
        <cfvo type="min"/>
        <cfvo type="max"/>
        <color theme="6" tint="0.79995117038483843"/>
        <color theme="6" tint="0.39997558519241921"/>
      </colorScale>
    </cfRule>
  </conditionalFormatting>
  <conditionalFormatting sqref="M400">
    <cfRule type="colorScale" priority="373">
      <colorScale>
        <cfvo type="min"/>
        <cfvo type="max"/>
        <color theme="6" tint="0.79995117038483843"/>
        <color theme="6" tint="0.39997558519241921"/>
      </colorScale>
    </cfRule>
  </conditionalFormatting>
  <conditionalFormatting sqref="M402:M408">
    <cfRule type="colorScale" priority="370">
      <colorScale>
        <cfvo type="min"/>
        <cfvo type="max"/>
        <color theme="6" tint="0.79995117038483843"/>
        <color theme="6" tint="0.39997558519241921"/>
      </colorScale>
    </cfRule>
  </conditionalFormatting>
  <conditionalFormatting sqref="M410:M416">
    <cfRule type="colorScale" priority="367">
      <colorScale>
        <cfvo type="min"/>
        <cfvo type="max"/>
        <color theme="6" tint="0.79995117038483843"/>
        <color theme="6" tint="0.39997558519241921"/>
      </colorScale>
    </cfRule>
  </conditionalFormatting>
  <conditionalFormatting sqref="M418">
    <cfRule type="colorScale" priority="384">
      <colorScale>
        <cfvo type="min"/>
        <cfvo type="max"/>
        <color theme="6" tint="0.79995117038483843"/>
        <color theme="6" tint="0.39997558519241921"/>
      </colorScale>
    </cfRule>
  </conditionalFormatting>
  <conditionalFormatting sqref="M420">
    <cfRule type="colorScale" priority="364">
      <colorScale>
        <cfvo type="min"/>
        <cfvo type="max"/>
        <color theme="6" tint="0.79995117038483843"/>
        <color theme="6" tint="0.39997558519241921"/>
      </colorScale>
    </cfRule>
  </conditionalFormatting>
  <conditionalFormatting sqref="M422">
    <cfRule type="colorScale" priority="381">
      <colorScale>
        <cfvo type="min"/>
        <cfvo type="max"/>
        <color theme="6" tint="0.79995117038483843"/>
        <color theme="6" tint="0.39997558519241921"/>
      </colorScale>
    </cfRule>
  </conditionalFormatting>
  <conditionalFormatting sqref="M424">
    <cfRule type="colorScale" priority="378">
      <colorScale>
        <cfvo type="min"/>
        <cfvo type="max"/>
        <color theme="6" tint="0.79995117038483843"/>
        <color theme="6" tint="0.39997558519241921"/>
      </colorScale>
    </cfRule>
  </conditionalFormatting>
  <conditionalFormatting sqref="M429:M430">
    <cfRule type="colorScale" priority="520">
      <colorScale>
        <cfvo type="min"/>
        <cfvo type="max"/>
        <color theme="6" tint="0.79995117038483843"/>
        <color theme="6" tint="0.39997558519241921"/>
      </colorScale>
    </cfRule>
  </conditionalFormatting>
  <conditionalFormatting sqref="M433:M494 M524 M526 M528 M530 M532 M542 M562 M566 M568 M544 M552 M560 M564 M504:M522 M540">
    <cfRule type="colorScale" priority="348">
      <colorScale>
        <cfvo type="min"/>
        <cfvo type="max"/>
        <color theme="6" tint="0.79995117038483843"/>
        <color theme="6" tint="0.39997558519241921"/>
      </colorScale>
    </cfRule>
  </conditionalFormatting>
  <conditionalFormatting sqref="M495:M497">
    <cfRule type="colorScale" priority="304">
      <colorScale>
        <cfvo type="min"/>
        <cfvo type="max"/>
        <color theme="6" tint="0.79995117038483843"/>
        <color theme="6" tint="0.39997558519241921"/>
      </colorScale>
    </cfRule>
  </conditionalFormatting>
  <conditionalFormatting sqref="M498:M500">
    <cfRule type="colorScale" priority="301">
      <colorScale>
        <cfvo type="min"/>
        <cfvo type="max"/>
        <color theme="6" tint="0.79995117038483843"/>
        <color theme="6" tint="0.39997558519241921"/>
      </colorScale>
    </cfRule>
  </conditionalFormatting>
  <conditionalFormatting sqref="M501:M503">
    <cfRule type="colorScale" priority="299">
      <colorScale>
        <cfvo type="min"/>
        <cfvo type="max"/>
        <color theme="6" tint="0.79995117038483843"/>
        <color theme="6" tint="0.39997558519241921"/>
      </colorScale>
    </cfRule>
  </conditionalFormatting>
  <conditionalFormatting sqref="M523">
    <cfRule type="colorScale" priority="345">
      <colorScale>
        <cfvo type="min"/>
        <cfvo type="max"/>
        <color theme="6" tint="0.79995117038483843"/>
        <color theme="6" tint="0.39997558519241921"/>
      </colorScale>
    </cfRule>
  </conditionalFormatting>
  <conditionalFormatting sqref="M525">
    <cfRule type="colorScale" priority="342">
      <colorScale>
        <cfvo type="min"/>
        <cfvo type="max"/>
        <color theme="6" tint="0.79995117038483843"/>
        <color theme="6" tint="0.39997558519241921"/>
      </colorScale>
    </cfRule>
  </conditionalFormatting>
  <conditionalFormatting sqref="M527">
    <cfRule type="colorScale" priority="339">
      <colorScale>
        <cfvo type="min"/>
        <cfvo type="max"/>
        <color theme="6" tint="0.79995117038483843"/>
        <color theme="6" tint="0.39997558519241921"/>
      </colorScale>
    </cfRule>
  </conditionalFormatting>
  <conditionalFormatting sqref="M529">
    <cfRule type="colorScale" priority="336">
      <colorScale>
        <cfvo type="min"/>
        <cfvo type="max"/>
        <color theme="6" tint="0.79995117038483843"/>
        <color theme="6" tint="0.39997558519241921"/>
      </colorScale>
    </cfRule>
  </conditionalFormatting>
  <conditionalFormatting sqref="M531">
    <cfRule type="colorScale" priority="333">
      <colorScale>
        <cfvo type="min"/>
        <cfvo type="max"/>
        <color theme="6" tint="0.79995117038483843"/>
        <color theme="6" tint="0.39997558519241921"/>
      </colorScale>
    </cfRule>
  </conditionalFormatting>
  <conditionalFormatting sqref="M533:M539">
    <cfRule type="colorScale" priority="297">
      <colorScale>
        <cfvo type="min"/>
        <cfvo type="max"/>
        <color theme="6" tint="0.79995117038483843"/>
        <color theme="6" tint="0.39997558519241921"/>
      </colorScale>
    </cfRule>
  </conditionalFormatting>
  <conditionalFormatting sqref="M541">
    <cfRule type="colorScale" priority="330">
      <colorScale>
        <cfvo type="min"/>
        <cfvo type="max"/>
        <color theme="6" tint="0.79995117038483843"/>
        <color theme="6" tint="0.39997558519241921"/>
      </colorScale>
    </cfRule>
  </conditionalFormatting>
  <conditionalFormatting sqref="M543">
    <cfRule type="colorScale" priority="316">
      <colorScale>
        <cfvo type="min"/>
        <cfvo type="max"/>
        <color theme="6" tint="0.79995117038483843"/>
        <color theme="6" tint="0.39997558519241921"/>
      </colorScale>
    </cfRule>
  </conditionalFormatting>
  <conditionalFormatting sqref="M545:M551">
    <cfRule type="colorScale" priority="313">
      <colorScale>
        <cfvo type="min"/>
        <cfvo type="max"/>
        <color theme="6" tint="0.79995117038483843"/>
        <color theme="6" tint="0.39997558519241921"/>
      </colorScale>
    </cfRule>
  </conditionalFormatting>
  <conditionalFormatting sqref="M553:M559">
    <cfRule type="colorScale" priority="310">
      <colorScale>
        <cfvo type="min"/>
        <cfvo type="max"/>
        <color theme="6" tint="0.79995117038483843"/>
        <color theme="6" tint="0.39997558519241921"/>
      </colorScale>
    </cfRule>
  </conditionalFormatting>
  <conditionalFormatting sqref="M561">
    <cfRule type="colorScale" priority="327">
      <colorScale>
        <cfvo type="min"/>
        <cfvo type="max"/>
        <color theme="6" tint="0.79995117038483843"/>
        <color theme="6" tint="0.39997558519241921"/>
      </colorScale>
    </cfRule>
  </conditionalFormatting>
  <conditionalFormatting sqref="M563">
    <cfRule type="colorScale" priority="307">
      <colorScale>
        <cfvo type="min"/>
        <cfvo type="max"/>
        <color theme="6" tint="0.79995117038483843"/>
        <color theme="6" tint="0.39997558519241921"/>
      </colorScale>
    </cfRule>
  </conditionalFormatting>
  <conditionalFormatting sqref="M565">
    <cfRule type="colorScale" priority="324">
      <colorScale>
        <cfvo type="min"/>
        <cfvo type="max"/>
        <color theme="6" tint="0.79995117038483843"/>
        <color theme="6" tint="0.39997558519241921"/>
      </colorScale>
    </cfRule>
  </conditionalFormatting>
  <conditionalFormatting sqref="M567">
    <cfRule type="colorScale" priority="321">
      <colorScale>
        <cfvo type="min"/>
        <cfvo type="max"/>
        <color theme="6" tint="0.79995117038483843"/>
        <color theme="6" tint="0.39997558519241921"/>
      </colorScale>
    </cfRule>
  </conditionalFormatting>
  <conditionalFormatting sqref="M569">
    <cfRule type="colorScale" priority="7">
      <colorScale>
        <cfvo type="min"/>
        <cfvo type="max"/>
        <color theme="6" tint="0.79995117038483843"/>
        <color theme="6" tint="0.39997558519241921"/>
      </colorScale>
    </cfRule>
  </conditionalFormatting>
  <conditionalFormatting sqref="M570">
    <cfRule type="colorScale" priority="8">
      <colorScale>
        <cfvo type="min"/>
        <cfvo type="max"/>
        <color theme="6" tint="0.79995117038483843"/>
        <color theme="6" tint="0.39997558519241921"/>
      </colorScale>
    </cfRule>
  </conditionalFormatting>
  <conditionalFormatting sqref="M572:M573">
    <cfRule type="colorScale" priority="351">
      <colorScale>
        <cfvo type="min"/>
        <cfvo type="max"/>
        <color theme="6" tint="0.79995117038483843"/>
        <color theme="6" tint="0.39997558519241921"/>
      </colorScale>
    </cfRule>
  </conditionalFormatting>
  <conditionalFormatting sqref="M576:M637 M667 M669 M671 M673 M675 M685 M705 M709 M711 M687 M695 M703 M707 M647:M665 M683">
    <cfRule type="colorScale" priority="291">
      <colorScale>
        <cfvo type="min"/>
        <cfvo type="max"/>
        <color theme="6" tint="0.79995117038483843"/>
        <color theme="6" tint="0.39997558519241921"/>
      </colorScale>
    </cfRule>
  </conditionalFormatting>
  <conditionalFormatting sqref="M638:M640">
    <cfRule type="colorScale" priority="247">
      <colorScale>
        <cfvo type="min"/>
        <cfvo type="max"/>
        <color theme="6" tint="0.79995117038483843"/>
        <color theme="6" tint="0.39997558519241921"/>
      </colorScale>
    </cfRule>
  </conditionalFormatting>
  <conditionalFormatting sqref="M641:M643">
    <cfRule type="colorScale" priority="244">
      <colorScale>
        <cfvo type="min"/>
        <cfvo type="max"/>
        <color theme="6" tint="0.79995117038483843"/>
        <color theme="6" tint="0.39997558519241921"/>
      </colorScale>
    </cfRule>
  </conditionalFormatting>
  <conditionalFormatting sqref="M644:M646">
    <cfRule type="colorScale" priority="242">
      <colorScale>
        <cfvo type="min"/>
        <cfvo type="max"/>
        <color theme="6" tint="0.79995117038483843"/>
        <color theme="6" tint="0.39997558519241921"/>
      </colorScale>
    </cfRule>
  </conditionalFormatting>
  <conditionalFormatting sqref="M666">
    <cfRule type="colorScale" priority="288">
      <colorScale>
        <cfvo type="min"/>
        <cfvo type="max"/>
        <color theme="6" tint="0.79995117038483843"/>
        <color theme="6" tint="0.39997558519241921"/>
      </colorScale>
    </cfRule>
  </conditionalFormatting>
  <conditionalFormatting sqref="M668">
    <cfRule type="colorScale" priority="285">
      <colorScale>
        <cfvo type="min"/>
        <cfvo type="max"/>
        <color theme="6" tint="0.79995117038483843"/>
        <color theme="6" tint="0.39997558519241921"/>
      </colorScale>
    </cfRule>
  </conditionalFormatting>
  <conditionalFormatting sqref="M670">
    <cfRule type="colorScale" priority="282">
      <colorScale>
        <cfvo type="min"/>
        <cfvo type="max"/>
        <color theme="6" tint="0.79995117038483843"/>
        <color theme="6" tint="0.39997558519241921"/>
      </colorScale>
    </cfRule>
  </conditionalFormatting>
  <conditionalFormatting sqref="M672">
    <cfRule type="colorScale" priority="279">
      <colorScale>
        <cfvo type="min"/>
        <cfvo type="max"/>
        <color theme="6" tint="0.79995117038483843"/>
        <color theme="6" tint="0.39997558519241921"/>
      </colorScale>
    </cfRule>
  </conditionalFormatting>
  <conditionalFormatting sqref="M674">
    <cfRule type="colorScale" priority="276">
      <colorScale>
        <cfvo type="min"/>
        <cfvo type="max"/>
        <color theme="6" tint="0.79995117038483843"/>
        <color theme="6" tint="0.39997558519241921"/>
      </colorScale>
    </cfRule>
  </conditionalFormatting>
  <conditionalFormatting sqref="M676:M682">
    <cfRule type="colorScale" priority="240">
      <colorScale>
        <cfvo type="min"/>
        <cfvo type="max"/>
        <color theme="6" tint="0.79995117038483843"/>
        <color theme="6" tint="0.39997558519241921"/>
      </colorScale>
    </cfRule>
  </conditionalFormatting>
  <conditionalFormatting sqref="M684">
    <cfRule type="colorScale" priority="273">
      <colorScale>
        <cfvo type="min"/>
        <cfvo type="max"/>
        <color theme="6" tint="0.79995117038483843"/>
        <color theme="6" tint="0.39997558519241921"/>
      </colorScale>
    </cfRule>
  </conditionalFormatting>
  <conditionalFormatting sqref="M686">
    <cfRule type="colorScale" priority="259">
      <colorScale>
        <cfvo type="min"/>
        <cfvo type="max"/>
        <color theme="6" tint="0.79995117038483843"/>
        <color theme="6" tint="0.39997558519241921"/>
      </colorScale>
    </cfRule>
  </conditionalFormatting>
  <conditionalFormatting sqref="M688:M694">
    <cfRule type="colorScale" priority="256">
      <colorScale>
        <cfvo type="min"/>
        <cfvo type="max"/>
        <color theme="6" tint="0.79995117038483843"/>
        <color theme="6" tint="0.39997558519241921"/>
      </colorScale>
    </cfRule>
  </conditionalFormatting>
  <conditionalFormatting sqref="M696:M702">
    <cfRule type="colorScale" priority="253">
      <colorScale>
        <cfvo type="min"/>
        <cfvo type="max"/>
        <color theme="6" tint="0.79995117038483843"/>
        <color theme="6" tint="0.39997558519241921"/>
      </colorScale>
    </cfRule>
  </conditionalFormatting>
  <conditionalFormatting sqref="M704">
    <cfRule type="colorScale" priority="270">
      <colorScale>
        <cfvo type="min"/>
        <cfvo type="max"/>
        <color theme="6" tint="0.79995117038483843"/>
        <color theme="6" tint="0.39997558519241921"/>
      </colorScale>
    </cfRule>
  </conditionalFormatting>
  <conditionalFormatting sqref="M706">
    <cfRule type="colorScale" priority="250">
      <colorScale>
        <cfvo type="min"/>
        <cfvo type="max"/>
        <color theme="6" tint="0.79995117038483843"/>
        <color theme="6" tint="0.39997558519241921"/>
      </colorScale>
    </cfRule>
  </conditionalFormatting>
  <conditionalFormatting sqref="M708">
    <cfRule type="colorScale" priority="267">
      <colorScale>
        <cfvo type="min"/>
        <cfvo type="max"/>
        <color theme="6" tint="0.79995117038483843"/>
        <color theme="6" tint="0.39997558519241921"/>
      </colorScale>
    </cfRule>
  </conditionalFormatting>
  <conditionalFormatting sqref="M710">
    <cfRule type="colorScale" priority="264">
      <colorScale>
        <cfvo type="min"/>
        <cfvo type="max"/>
        <color theme="6" tint="0.79995117038483843"/>
        <color theme="6" tint="0.39997558519241921"/>
      </colorScale>
    </cfRule>
  </conditionalFormatting>
  <conditionalFormatting sqref="M712">
    <cfRule type="colorScale" priority="5">
      <colorScale>
        <cfvo type="min"/>
        <cfvo type="max"/>
        <color theme="6" tint="0.79995117038483843"/>
        <color theme="6" tint="0.39997558519241921"/>
      </colorScale>
    </cfRule>
  </conditionalFormatting>
  <conditionalFormatting sqref="M713">
    <cfRule type="colorScale" priority="6">
      <colorScale>
        <cfvo type="min"/>
        <cfvo type="max"/>
        <color theme="6" tint="0.79995117038483843"/>
        <color theme="6" tint="0.39997558519241921"/>
      </colorScale>
    </cfRule>
  </conditionalFormatting>
  <conditionalFormatting sqref="M715:M716">
    <cfRule type="colorScale" priority="294">
      <colorScale>
        <cfvo type="min"/>
        <cfvo type="max"/>
        <color theme="6" tint="0.79995117038483843"/>
        <color theme="6" tint="0.39997558519241921"/>
      </colorScale>
    </cfRule>
  </conditionalFormatting>
  <conditionalFormatting sqref="M719:M780 M810 M812 M814 M816 M818 M828 M848 M852 M854 M830 M838 M846 M850 M790:M808 M826">
    <cfRule type="colorScale" priority="234">
      <colorScale>
        <cfvo type="min"/>
        <cfvo type="max"/>
        <color theme="6" tint="0.79995117038483843"/>
        <color theme="6" tint="0.39997558519241921"/>
      </colorScale>
    </cfRule>
  </conditionalFormatting>
  <conditionalFormatting sqref="M781:M783">
    <cfRule type="colorScale" priority="190">
      <colorScale>
        <cfvo type="min"/>
        <cfvo type="max"/>
        <color theme="6" tint="0.79995117038483843"/>
        <color theme="6" tint="0.39997558519241921"/>
      </colorScale>
    </cfRule>
  </conditionalFormatting>
  <conditionalFormatting sqref="M784:M786">
    <cfRule type="colorScale" priority="187">
      <colorScale>
        <cfvo type="min"/>
        <cfvo type="max"/>
        <color theme="6" tint="0.79995117038483843"/>
        <color theme="6" tint="0.39997558519241921"/>
      </colorScale>
    </cfRule>
  </conditionalFormatting>
  <conditionalFormatting sqref="M787:M789">
    <cfRule type="colorScale" priority="185">
      <colorScale>
        <cfvo type="min"/>
        <cfvo type="max"/>
        <color theme="6" tint="0.79995117038483843"/>
        <color theme="6" tint="0.39997558519241921"/>
      </colorScale>
    </cfRule>
  </conditionalFormatting>
  <conditionalFormatting sqref="M809">
    <cfRule type="colorScale" priority="231">
      <colorScale>
        <cfvo type="min"/>
        <cfvo type="max"/>
        <color theme="6" tint="0.79995117038483843"/>
        <color theme="6" tint="0.39997558519241921"/>
      </colorScale>
    </cfRule>
  </conditionalFormatting>
  <conditionalFormatting sqref="M811">
    <cfRule type="colorScale" priority="228">
      <colorScale>
        <cfvo type="min"/>
        <cfvo type="max"/>
        <color theme="6" tint="0.79995117038483843"/>
        <color theme="6" tint="0.39997558519241921"/>
      </colorScale>
    </cfRule>
  </conditionalFormatting>
  <conditionalFormatting sqref="M813">
    <cfRule type="colorScale" priority="225">
      <colorScale>
        <cfvo type="min"/>
        <cfvo type="max"/>
        <color theme="6" tint="0.79995117038483843"/>
        <color theme="6" tint="0.39997558519241921"/>
      </colorScale>
    </cfRule>
  </conditionalFormatting>
  <conditionalFormatting sqref="M815">
    <cfRule type="colorScale" priority="222">
      <colorScale>
        <cfvo type="min"/>
        <cfvo type="max"/>
        <color theme="6" tint="0.79995117038483843"/>
        <color theme="6" tint="0.39997558519241921"/>
      </colorScale>
    </cfRule>
  </conditionalFormatting>
  <conditionalFormatting sqref="M817">
    <cfRule type="colorScale" priority="219">
      <colorScale>
        <cfvo type="min"/>
        <cfvo type="max"/>
        <color theme="6" tint="0.79995117038483843"/>
        <color theme="6" tint="0.39997558519241921"/>
      </colorScale>
    </cfRule>
  </conditionalFormatting>
  <conditionalFormatting sqref="M819:M825">
    <cfRule type="colorScale" priority="183">
      <colorScale>
        <cfvo type="min"/>
        <cfvo type="max"/>
        <color theme="6" tint="0.79995117038483843"/>
        <color theme="6" tint="0.39997558519241921"/>
      </colorScale>
    </cfRule>
  </conditionalFormatting>
  <conditionalFormatting sqref="M827">
    <cfRule type="colorScale" priority="216">
      <colorScale>
        <cfvo type="min"/>
        <cfvo type="max"/>
        <color theme="6" tint="0.79995117038483843"/>
        <color theme="6" tint="0.39997558519241921"/>
      </colorScale>
    </cfRule>
  </conditionalFormatting>
  <conditionalFormatting sqref="M829">
    <cfRule type="colorScale" priority="202">
      <colorScale>
        <cfvo type="min"/>
        <cfvo type="max"/>
        <color theme="6" tint="0.79995117038483843"/>
        <color theme="6" tint="0.39997558519241921"/>
      </colorScale>
    </cfRule>
  </conditionalFormatting>
  <conditionalFormatting sqref="M831:M837">
    <cfRule type="colorScale" priority="199">
      <colorScale>
        <cfvo type="min"/>
        <cfvo type="max"/>
        <color theme="6" tint="0.79995117038483843"/>
        <color theme="6" tint="0.39997558519241921"/>
      </colorScale>
    </cfRule>
  </conditionalFormatting>
  <conditionalFormatting sqref="M839:M845">
    <cfRule type="colorScale" priority="196">
      <colorScale>
        <cfvo type="min"/>
        <cfvo type="max"/>
        <color theme="6" tint="0.79995117038483843"/>
        <color theme="6" tint="0.39997558519241921"/>
      </colorScale>
    </cfRule>
  </conditionalFormatting>
  <conditionalFormatting sqref="M847">
    <cfRule type="colorScale" priority="213">
      <colorScale>
        <cfvo type="min"/>
        <cfvo type="max"/>
        <color theme="6" tint="0.79995117038483843"/>
        <color theme="6" tint="0.39997558519241921"/>
      </colorScale>
    </cfRule>
  </conditionalFormatting>
  <conditionalFormatting sqref="M849">
    <cfRule type="colorScale" priority="193">
      <colorScale>
        <cfvo type="min"/>
        <cfvo type="max"/>
        <color theme="6" tint="0.79995117038483843"/>
        <color theme="6" tint="0.39997558519241921"/>
      </colorScale>
    </cfRule>
  </conditionalFormatting>
  <conditionalFormatting sqref="M851">
    <cfRule type="colorScale" priority="210">
      <colorScale>
        <cfvo type="min"/>
        <cfvo type="max"/>
        <color theme="6" tint="0.79995117038483843"/>
        <color theme="6" tint="0.39997558519241921"/>
      </colorScale>
    </cfRule>
  </conditionalFormatting>
  <conditionalFormatting sqref="M853">
    <cfRule type="colorScale" priority="207">
      <colorScale>
        <cfvo type="min"/>
        <cfvo type="max"/>
        <color theme="6" tint="0.79995117038483843"/>
        <color theme="6" tint="0.39997558519241921"/>
      </colorScale>
    </cfRule>
  </conditionalFormatting>
  <conditionalFormatting sqref="M855">
    <cfRule type="colorScale" priority="3">
      <colorScale>
        <cfvo type="min"/>
        <cfvo type="max"/>
        <color theme="6" tint="0.79995117038483843"/>
        <color theme="6" tint="0.39997558519241921"/>
      </colorScale>
    </cfRule>
  </conditionalFormatting>
  <conditionalFormatting sqref="M856">
    <cfRule type="colorScale" priority="4">
      <colorScale>
        <cfvo type="min"/>
        <cfvo type="max"/>
        <color theme="6" tint="0.79995117038483843"/>
        <color theme="6" tint="0.39997558519241921"/>
      </colorScale>
    </cfRule>
  </conditionalFormatting>
  <conditionalFormatting sqref="M858:M859">
    <cfRule type="colorScale" priority="237">
      <colorScale>
        <cfvo type="min"/>
        <cfvo type="max"/>
        <color theme="6" tint="0.79995117038483843"/>
        <color theme="6" tint="0.39997558519241921"/>
      </colorScale>
    </cfRule>
  </conditionalFormatting>
  <conditionalFormatting sqref="M862:M923 M953 M955 M957 M959 M961 M971 M991 M995 M997 M973 M981 M989 M993 M933:M951 M969">
    <cfRule type="colorScale" priority="177">
      <colorScale>
        <cfvo type="min"/>
        <cfvo type="max"/>
        <color theme="6" tint="0.79995117038483843"/>
        <color theme="6" tint="0.39997558519241921"/>
      </colorScale>
    </cfRule>
  </conditionalFormatting>
  <conditionalFormatting sqref="M924:M926">
    <cfRule type="colorScale" priority="133">
      <colorScale>
        <cfvo type="min"/>
        <cfvo type="max"/>
        <color theme="6" tint="0.79995117038483843"/>
        <color theme="6" tint="0.39997558519241921"/>
      </colorScale>
    </cfRule>
  </conditionalFormatting>
  <conditionalFormatting sqref="M927:M929">
    <cfRule type="colorScale" priority="130">
      <colorScale>
        <cfvo type="min"/>
        <cfvo type="max"/>
        <color theme="6" tint="0.79995117038483843"/>
        <color theme="6" tint="0.39997558519241921"/>
      </colorScale>
    </cfRule>
  </conditionalFormatting>
  <conditionalFormatting sqref="M930:M932">
    <cfRule type="colorScale" priority="128">
      <colorScale>
        <cfvo type="min"/>
        <cfvo type="max"/>
        <color theme="6" tint="0.79995117038483843"/>
        <color theme="6" tint="0.39997558519241921"/>
      </colorScale>
    </cfRule>
  </conditionalFormatting>
  <conditionalFormatting sqref="M952">
    <cfRule type="colorScale" priority="174">
      <colorScale>
        <cfvo type="min"/>
        <cfvo type="max"/>
        <color theme="6" tint="0.79995117038483843"/>
        <color theme="6" tint="0.39997558519241921"/>
      </colorScale>
    </cfRule>
  </conditionalFormatting>
  <conditionalFormatting sqref="M954">
    <cfRule type="colorScale" priority="171">
      <colorScale>
        <cfvo type="min"/>
        <cfvo type="max"/>
        <color theme="6" tint="0.79995117038483843"/>
        <color theme="6" tint="0.39997558519241921"/>
      </colorScale>
    </cfRule>
  </conditionalFormatting>
  <conditionalFormatting sqref="M956">
    <cfRule type="colorScale" priority="168">
      <colorScale>
        <cfvo type="min"/>
        <cfvo type="max"/>
        <color theme="6" tint="0.79995117038483843"/>
        <color theme="6" tint="0.39997558519241921"/>
      </colorScale>
    </cfRule>
  </conditionalFormatting>
  <conditionalFormatting sqref="M958">
    <cfRule type="colorScale" priority="165">
      <colorScale>
        <cfvo type="min"/>
        <cfvo type="max"/>
        <color theme="6" tint="0.79995117038483843"/>
        <color theme="6" tint="0.39997558519241921"/>
      </colorScale>
    </cfRule>
  </conditionalFormatting>
  <conditionalFormatting sqref="M960">
    <cfRule type="colorScale" priority="162">
      <colorScale>
        <cfvo type="min"/>
        <cfvo type="max"/>
        <color theme="6" tint="0.79995117038483843"/>
        <color theme="6" tint="0.39997558519241921"/>
      </colorScale>
    </cfRule>
  </conditionalFormatting>
  <conditionalFormatting sqref="M962:M968">
    <cfRule type="colorScale" priority="126">
      <colorScale>
        <cfvo type="min"/>
        <cfvo type="max"/>
        <color theme="6" tint="0.79995117038483843"/>
        <color theme="6" tint="0.39997558519241921"/>
      </colorScale>
    </cfRule>
  </conditionalFormatting>
  <conditionalFormatting sqref="M970">
    <cfRule type="colorScale" priority="159">
      <colorScale>
        <cfvo type="min"/>
        <cfvo type="max"/>
        <color theme="6" tint="0.79995117038483843"/>
        <color theme="6" tint="0.39997558519241921"/>
      </colorScale>
    </cfRule>
  </conditionalFormatting>
  <conditionalFormatting sqref="M972">
    <cfRule type="colorScale" priority="145">
      <colorScale>
        <cfvo type="min"/>
        <cfvo type="max"/>
        <color theme="6" tint="0.79995117038483843"/>
        <color theme="6" tint="0.39997558519241921"/>
      </colorScale>
    </cfRule>
  </conditionalFormatting>
  <conditionalFormatting sqref="M974:M980">
    <cfRule type="colorScale" priority="142">
      <colorScale>
        <cfvo type="min"/>
        <cfvo type="max"/>
        <color theme="6" tint="0.79995117038483843"/>
        <color theme="6" tint="0.39997558519241921"/>
      </colorScale>
    </cfRule>
  </conditionalFormatting>
  <conditionalFormatting sqref="M982:M988">
    <cfRule type="colorScale" priority="139">
      <colorScale>
        <cfvo type="min"/>
        <cfvo type="max"/>
        <color theme="6" tint="0.79995117038483843"/>
        <color theme="6" tint="0.39997558519241921"/>
      </colorScale>
    </cfRule>
  </conditionalFormatting>
  <conditionalFormatting sqref="M990">
    <cfRule type="colorScale" priority="156">
      <colorScale>
        <cfvo type="min"/>
        <cfvo type="max"/>
        <color theme="6" tint="0.79995117038483843"/>
        <color theme="6" tint="0.39997558519241921"/>
      </colorScale>
    </cfRule>
  </conditionalFormatting>
  <conditionalFormatting sqref="M992">
    <cfRule type="colorScale" priority="136">
      <colorScale>
        <cfvo type="min"/>
        <cfvo type="max"/>
        <color theme="6" tint="0.79995117038483843"/>
        <color theme="6" tint="0.39997558519241921"/>
      </colorScale>
    </cfRule>
  </conditionalFormatting>
  <conditionalFormatting sqref="M994">
    <cfRule type="colorScale" priority="153">
      <colorScale>
        <cfvo type="min"/>
        <cfvo type="max"/>
        <color theme="6" tint="0.79995117038483843"/>
        <color theme="6" tint="0.39997558519241921"/>
      </colorScale>
    </cfRule>
  </conditionalFormatting>
  <conditionalFormatting sqref="M996">
    <cfRule type="colorScale" priority="150">
      <colorScale>
        <cfvo type="min"/>
        <cfvo type="max"/>
        <color theme="6" tint="0.79995117038483843"/>
        <color theme="6" tint="0.39997558519241921"/>
      </colorScale>
    </cfRule>
  </conditionalFormatting>
  <conditionalFormatting sqref="M998">
    <cfRule type="colorScale" priority="1">
      <colorScale>
        <cfvo type="min"/>
        <cfvo type="max"/>
        <color theme="6" tint="0.79995117038483843"/>
        <color theme="6" tint="0.39997558519241921"/>
      </colorScale>
    </cfRule>
  </conditionalFormatting>
  <conditionalFormatting sqref="M999">
    <cfRule type="colorScale" priority="2">
      <colorScale>
        <cfvo type="min"/>
        <cfvo type="max"/>
        <color theme="6" tint="0.79995117038483843"/>
        <color theme="6" tint="0.39997558519241921"/>
      </colorScale>
    </cfRule>
  </conditionalFormatting>
  <conditionalFormatting sqref="M1001:M1002">
    <cfRule type="colorScale" priority="180">
      <colorScale>
        <cfvo type="min"/>
        <cfvo type="max"/>
        <color theme="6" tint="0.79995117038483843"/>
        <color theme="6" tint="0.39997558519241921"/>
      </colorScale>
    </cfRule>
  </conditionalFormatting>
  <conditionalFormatting sqref="M1005:M1066 M1096 M1098 M1100 M1102 M1104 M1114 M1134 M1138 M1140 M1142 M1116 M1124 M1132 M1136 M1076:M1094 M1112">
    <cfRule type="colorScale" priority="120">
      <colorScale>
        <cfvo type="min"/>
        <cfvo type="max"/>
        <color theme="6" tint="0.79995117038483843"/>
        <color theme="6" tint="0.39997558519241921"/>
      </colorScale>
    </cfRule>
  </conditionalFormatting>
  <conditionalFormatting sqref="M1067:M1069">
    <cfRule type="colorScale" priority="75">
      <colorScale>
        <cfvo type="min"/>
        <cfvo type="max"/>
        <color theme="6" tint="0.79995117038483843"/>
        <color theme="6" tint="0.39997558519241921"/>
      </colorScale>
    </cfRule>
  </conditionalFormatting>
  <conditionalFormatting sqref="M1070:M1072">
    <cfRule type="colorScale" priority="72">
      <colorScale>
        <cfvo type="min"/>
        <cfvo type="max"/>
        <color theme="6" tint="0.79995117038483843"/>
        <color theme="6" tint="0.39997558519241921"/>
      </colorScale>
    </cfRule>
  </conditionalFormatting>
  <conditionalFormatting sqref="M1073:M1075">
    <cfRule type="colorScale" priority="70">
      <colorScale>
        <cfvo type="min"/>
        <cfvo type="max"/>
        <color theme="6" tint="0.79995117038483843"/>
        <color theme="6" tint="0.39997558519241921"/>
      </colorScale>
    </cfRule>
  </conditionalFormatting>
  <conditionalFormatting sqref="M1095">
    <cfRule type="colorScale" priority="117">
      <colorScale>
        <cfvo type="min"/>
        <cfvo type="max"/>
        <color theme="6" tint="0.79995117038483843"/>
        <color theme="6" tint="0.39997558519241921"/>
      </colorScale>
    </cfRule>
  </conditionalFormatting>
  <conditionalFormatting sqref="M1097">
    <cfRule type="colorScale" priority="114">
      <colorScale>
        <cfvo type="min"/>
        <cfvo type="max"/>
        <color theme="6" tint="0.79995117038483843"/>
        <color theme="6" tint="0.39997558519241921"/>
      </colorScale>
    </cfRule>
  </conditionalFormatting>
  <conditionalFormatting sqref="M1099">
    <cfRule type="colorScale" priority="111">
      <colorScale>
        <cfvo type="min"/>
        <cfvo type="max"/>
        <color theme="6" tint="0.79995117038483843"/>
        <color theme="6" tint="0.39997558519241921"/>
      </colorScale>
    </cfRule>
  </conditionalFormatting>
  <conditionalFormatting sqref="M1101">
    <cfRule type="colorScale" priority="108">
      <colorScale>
        <cfvo type="min"/>
        <cfvo type="max"/>
        <color theme="6" tint="0.79995117038483843"/>
        <color theme="6" tint="0.39997558519241921"/>
      </colorScale>
    </cfRule>
  </conditionalFormatting>
  <conditionalFormatting sqref="M1103">
    <cfRule type="colorScale" priority="105">
      <colorScale>
        <cfvo type="min"/>
        <cfvo type="max"/>
        <color theme="6" tint="0.79995117038483843"/>
        <color theme="6" tint="0.39997558519241921"/>
      </colorScale>
    </cfRule>
  </conditionalFormatting>
  <conditionalFormatting sqref="M1105:M1111">
    <cfRule type="colorScale" priority="68">
      <colorScale>
        <cfvo type="min"/>
        <cfvo type="max"/>
        <color theme="6" tint="0.79995117038483843"/>
        <color theme="6" tint="0.39997558519241921"/>
      </colorScale>
    </cfRule>
  </conditionalFormatting>
  <conditionalFormatting sqref="M1113">
    <cfRule type="colorScale" priority="102">
      <colorScale>
        <cfvo type="min"/>
        <cfvo type="max"/>
        <color theme="6" tint="0.79995117038483843"/>
        <color theme="6" tint="0.39997558519241921"/>
      </colorScale>
    </cfRule>
  </conditionalFormatting>
  <conditionalFormatting sqref="M1115">
    <cfRule type="colorScale" priority="87">
      <colorScale>
        <cfvo type="min"/>
        <cfvo type="max"/>
        <color theme="6" tint="0.79995117038483843"/>
        <color theme="6" tint="0.39997558519241921"/>
      </colorScale>
    </cfRule>
  </conditionalFormatting>
  <conditionalFormatting sqref="M1117:M1123">
    <cfRule type="colorScale" priority="84">
      <colorScale>
        <cfvo type="min"/>
        <cfvo type="max"/>
        <color theme="6" tint="0.79995117038483843"/>
        <color theme="6" tint="0.39997558519241921"/>
      </colorScale>
    </cfRule>
  </conditionalFormatting>
  <conditionalFormatting sqref="M1125:M1131">
    <cfRule type="colorScale" priority="81">
      <colorScale>
        <cfvo type="min"/>
        <cfvo type="max"/>
        <color theme="6" tint="0.79995117038483843"/>
        <color theme="6" tint="0.39997558519241921"/>
      </colorScale>
    </cfRule>
  </conditionalFormatting>
  <conditionalFormatting sqref="M1133">
    <cfRule type="colorScale" priority="99">
      <colorScale>
        <cfvo type="min"/>
        <cfvo type="max"/>
        <color theme="6" tint="0.79995117038483843"/>
        <color theme="6" tint="0.39997558519241921"/>
      </colorScale>
    </cfRule>
  </conditionalFormatting>
  <conditionalFormatting sqref="M1135">
    <cfRule type="colorScale" priority="78">
      <colorScale>
        <cfvo type="min"/>
        <cfvo type="max"/>
        <color theme="6" tint="0.79995117038483843"/>
        <color theme="6" tint="0.39997558519241921"/>
      </colorScale>
    </cfRule>
  </conditionalFormatting>
  <conditionalFormatting sqref="M1137">
    <cfRule type="colorScale" priority="96">
      <colorScale>
        <cfvo type="min"/>
        <cfvo type="max"/>
        <color theme="6" tint="0.79995117038483843"/>
        <color theme="6" tint="0.39997558519241921"/>
      </colorScale>
    </cfRule>
  </conditionalFormatting>
  <conditionalFormatting sqref="M1139">
    <cfRule type="colorScale" priority="93">
      <colorScale>
        <cfvo type="min"/>
        <cfvo type="max"/>
        <color theme="6" tint="0.79995117038483843"/>
        <color theme="6" tint="0.39997558519241921"/>
      </colorScale>
    </cfRule>
  </conditionalFormatting>
  <conditionalFormatting sqref="M1141">
    <cfRule type="colorScale" priority="90">
      <colorScale>
        <cfvo type="min"/>
        <cfvo type="max"/>
        <color theme="6" tint="0.79995117038483843"/>
        <color theme="6" tint="0.39997558519241921"/>
      </colorScale>
    </cfRule>
  </conditionalFormatting>
  <conditionalFormatting sqref="M1144:M1145">
    <cfRule type="colorScale" priority="123">
      <colorScale>
        <cfvo type="min"/>
        <cfvo type="max"/>
        <color theme="6" tint="0.79995117038483843"/>
        <color theme="6" tint="0.39997558519241921"/>
      </colorScale>
    </cfRule>
  </conditionalFormatting>
  <conditionalFormatting sqref="M1148:M1209 M1239 M1241 M1243 M1245 M1247 M1257 M1277 M1281 M1283 M1285 M1259 M1267 M1275 M1279 M1219:M1237 M1255">
    <cfRule type="colorScale" priority="62">
      <colorScale>
        <cfvo type="min"/>
        <cfvo type="max"/>
        <color theme="6" tint="0.79995117038483843"/>
        <color theme="6" tint="0.39997558519241921"/>
      </colorScale>
    </cfRule>
  </conditionalFormatting>
  <conditionalFormatting sqref="M1210:M1212">
    <cfRule type="colorScale" priority="17">
      <colorScale>
        <cfvo type="min"/>
        <cfvo type="max"/>
        <color theme="6" tint="0.79995117038483843"/>
        <color theme="6" tint="0.39997558519241921"/>
      </colorScale>
    </cfRule>
  </conditionalFormatting>
  <conditionalFormatting sqref="M1213:M1215">
    <cfRule type="colorScale" priority="14">
      <colorScale>
        <cfvo type="min"/>
        <cfvo type="max"/>
        <color theme="6" tint="0.79995117038483843"/>
        <color theme="6" tint="0.39997558519241921"/>
      </colorScale>
    </cfRule>
  </conditionalFormatting>
  <conditionalFormatting sqref="M1216:M1218">
    <cfRule type="colorScale" priority="12">
      <colorScale>
        <cfvo type="min"/>
        <cfvo type="max"/>
        <color theme="6" tint="0.79995117038483843"/>
        <color theme="6" tint="0.39997558519241921"/>
      </colorScale>
    </cfRule>
  </conditionalFormatting>
  <conditionalFormatting sqref="M1238">
    <cfRule type="colorScale" priority="59">
      <colorScale>
        <cfvo type="min"/>
        <cfvo type="max"/>
        <color theme="6" tint="0.79995117038483843"/>
        <color theme="6" tint="0.39997558519241921"/>
      </colorScale>
    </cfRule>
  </conditionalFormatting>
  <conditionalFormatting sqref="M1240">
    <cfRule type="colorScale" priority="56">
      <colorScale>
        <cfvo type="min"/>
        <cfvo type="max"/>
        <color theme="6" tint="0.79995117038483843"/>
        <color theme="6" tint="0.39997558519241921"/>
      </colorScale>
    </cfRule>
  </conditionalFormatting>
  <conditionalFormatting sqref="M1242">
    <cfRule type="colorScale" priority="53">
      <colorScale>
        <cfvo type="min"/>
        <cfvo type="max"/>
        <color theme="6" tint="0.79995117038483843"/>
        <color theme="6" tint="0.39997558519241921"/>
      </colorScale>
    </cfRule>
  </conditionalFormatting>
  <conditionalFormatting sqref="M1244">
    <cfRule type="colorScale" priority="50">
      <colorScale>
        <cfvo type="min"/>
        <cfvo type="max"/>
        <color theme="6" tint="0.79995117038483843"/>
        <color theme="6" tint="0.39997558519241921"/>
      </colorScale>
    </cfRule>
  </conditionalFormatting>
  <conditionalFormatting sqref="M1246">
    <cfRule type="colorScale" priority="47">
      <colorScale>
        <cfvo type="min"/>
        <cfvo type="max"/>
        <color theme="6" tint="0.79995117038483843"/>
        <color theme="6" tint="0.39997558519241921"/>
      </colorScale>
    </cfRule>
  </conditionalFormatting>
  <conditionalFormatting sqref="M1248:M1254">
    <cfRule type="colorScale" priority="10">
      <colorScale>
        <cfvo type="min"/>
        <cfvo type="max"/>
        <color theme="6" tint="0.79995117038483843"/>
        <color theme="6" tint="0.39997558519241921"/>
      </colorScale>
    </cfRule>
  </conditionalFormatting>
  <conditionalFormatting sqref="M1256">
    <cfRule type="colorScale" priority="44">
      <colorScale>
        <cfvo type="min"/>
        <cfvo type="max"/>
        <color theme="6" tint="0.79995117038483843"/>
        <color theme="6" tint="0.39997558519241921"/>
      </colorScale>
    </cfRule>
  </conditionalFormatting>
  <conditionalFormatting sqref="M1258">
    <cfRule type="colorScale" priority="29">
      <colorScale>
        <cfvo type="min"/>
        <cfvo type="max"/>
        <color theme="6" tint="0.79995117038483843"/>
        <color theme="6" tint="0.39997558519241921"/>
      </colorScale>
    </cfRule>
  </conditionalFormatting>
  <conditionalFormatting sqref="M1260:M1266">
    <cfRule type="colorScale" priority="26">
      <colorScale>
        <cfvo type="min"/>
        <cfvo type="max"/>
        <color theme="6" tint="0.79995117038483843"/>
        <color theme="6" tint="0.39997558519241921"/>
      </colorScale>
    </cfRule>
  </conditionalFormatting>
  <conditionalFormatting sqref="M1268:M1274">
    <cfRule type="colorScale" priority="23">
      <colorScale>
        <cfvo type="min"/>
        <cfvo type="max"/>
        <color theme="6" tint="0.79995117038483843"/>
        <color theme="6" tint="0.39997558519241921"/>
      </colorScale>
    </cfRule>
  </conditionalFormatting>
  <conditionalFormatting sqref="M1276">
    <cfRule type="colorScale" priority="41">
      <colorScale>
        <cfvo type="min"/>
        <cfvo type="max"/>
        <color theme="6" tint="0.79995117038483843"/>
        <color theme="6" tint="0.39997558519241921"/>
      </colorScale>
    </cfRule>
  </conditionalFormatting>
  <conditionalFormatting sqref="M1278">
    <cfRule type="colorScale" priority="20">
      <colorScale>
        <cfvo type="min"/>
        <cfvo type="max"/>
        <color theme="6" tint="0.79995117038483843"/>
        <color theme="6" tint="0.39997558519241921"/>
      </colorScale>
    </cfRule>
  </conditionalFormatting>
  <conditionalFormatting sqref="M1280">
    <cfRule type="colorScale" priority="38">
      <colorScale>
        <cfvo type="min"/>
        <cfvo type="max"/>
        <color theme="6" tint="0.79995117038483843"/>
        <color theme="6" tint="0.39997558519241921"/>
      </colorScale>
    </cfRule>
  </conditionalFormatting>
  <conditionalFormatting sqref="M1282">
    <cfRule type="colorScale" priority="35">
      <colorScale>
        <cfvo type="min"/>
        <cfvo type="max"/>
        <color theme="6" tint="0.79995117038483843"/>
        <color theme="6" tint="0.39997558519241921"/>
      </colorScale>
    </cfRule>
  </conditionalFormatting>
  <conditionalFormatting sqref="M1284">
    <cfRule type="colorScale" priority="32">
      <colorScale>
        <cfvo type="min"/>
        <cfvo type="max"/>
        <color theme="6" tint="0.79995117038483843"/>
        <color theme="6" tint="0.39997558519241921"/>
      </colorScale>
    </cfRule>
  </conditionalFormatting>
  <conditionalFormatting sqref="M1287:M1288">
    <cfRule type="colorScale" priority="65">
      <colorScale>
        <cfvo type="min"/>
        <cfvo type="max"/>
        <color theme="6" tint="0.79995117038483843"/>
        <color theme="6" tint="0.39997558519241921"/>
      </colorScale>
    </cfRule>
  </conditionalFormatting>
  <conditionalFormatting sqref="N66:N74">
    <cfRule type="colorScale" priority="469">
      <colorScale>
        <cfvo type="min"/>
        <cfvo type="max"/>
        <color theme="8" tint="0.79995117038483843"/>
        <color theme="8" tint="0.39997558519241921"/>
      </colorScale>
    </cfRule>
  </conditionalFormatting>
  <conditionalFormatting sqref="N94">
    <cfRule type="colorScale" priority="511">
      <colorScale>
        <cfvo type="min"/>
        <cfvo type="max"/>
        <color theme="8" tint="0.79995117038483843"/>
        <color theme="8" tint="0.39997558519241921"/>
      </colorScale>
    </cfRule>
  </conditionalFormatting>
  <conditionalFormatting sqref="N95 N97 N99 N101 N103 N113 N133 N137 N139 N141 N115 N123 N131 N135 N111 N4:N65 N75:N93">
    <cfRule type="colorScale" priority="517">
      <colorScale>
        <cfvo type="min"/>
        <cfvo type="max"/>
        <color theme="8" tint="0.79995117038483843"/>
        <color theme="8" tint="0.39997558519241921"/>
      </colorScale>
    </cfRule>
  </conditionalFormatting>
  <conditionalFormatting sqref="N96">
    <cfRule type="colorScale" priority="508">
      <colorScale>
        <cfvo type="min"/>
        <cfvo type="max"/>
        <color theme="8" tint="0.79995117038483843"/>
        <color theme="8" tint="0.39997558519241921"/>
      </colorScale>
    </cfRule>
  </conditionalFormatting>
  <conditionalFormatting sqref="N98">
    <cfRule type="colorScale" priority="505">
      <colorScale>
        <cfvo type="min"/>
        <cfvo type="max"/>
        <color theme="8" tint="0.79995117038483843"/>
        <color theme="8" tint="0.39997558519241921"/>
      </colorScale>
    </cfRule>
  </conditionalFormatting>
  <conditionalFormatting sqref="N100">
    <cfRule type="colorScale" priority="502">
      <colorScale>
        <cfvo type="min"/>
        <cfvo type="max"/>
        <color theme="8" tint="0.79995117038483843"/>
        <color theme="8" tint="0.39997558519241921"/>
      </colorScale>
    </cfRule>
  </conditionalFormatting>
  <conditionalFormatting sqref="N102">
    <cfRule type="colorScale" priority="499">
      <colorScale>
        <cfvo type="min"/>
        <cfvo type="max"/>
        <color theme="8" tint="0.79995117038483843"/>
        <color theme="8" tint="0.39997558519241921"/>
      </colorScale>
    </cfRule>
  </conditionalFormatting>
  <conditionalFormatting sqref="N104:N110">
    <cfRule type="colorScale" priority="462">
      <colorScale>
        <cfvo type="min"/>
        <cfvo type="max"/>
        <color theme="8" tint="0.79995117038483843"/>
        <color theme="8" tint="0.39997558519241921"/>
      </colorScale>
    </cfRule>
  </conditionalFormatting>
  <conditionalFormatting sqref="N112">
    <cfRule type="colorScale" priority="496">
      <colorScale>
        <cfvo type="min"/>
        <cfvo type="max"/>
        <color theme="8" tint="0.79995117038483843"/>
        <color theme="8" tint="0.39997558519241921"/>
      </colorScale>
    </cfRule>
  </conditionalFormatting>
  <conditionalFormatting sqref="N114">
    <cfRule type="colorScale" priority="481">
      <colorScale>
        <cfvo type="min"/>
        <cfvo type="max"/>
        <color theme="8" tint="0.79995117038483843"/>
        <color theme="8" tint="0.39997558519241921"/>
      </colorScale>
    </cfRule>
  </conditionalFormatting>
  <conditionalFormatting sqref="N116:N122">
    <cfRule type="colorScale" priority="478">
      <colorScale>
        <cfvo type="min"/>
        <cfvo type="max"/>
        <color theme="8" tint="0.79995117038483843"/>
        <color theme="8" tint="0.39997558519241921"/>
      </colorScale>
    </cfRule>
  </conditionalFormatting>
  <conditionalFormatting sqref="N124:N130">
    <cfRule type="colorScale" priority="475">
      <colorScale>
        <cfvo type="min"/>
        <cfvo type="max"/>
        <color theme="8" tint="0.79995117038483843"/>
        <color theme="8" tint="0.39997558519241921"/>
      </colorScale>
    </cfRule>
  </conditionalFormatting>
  <conditionalFormatting sqref="N132">
    <cfRule type="colorScale" priority="493">
      <colorScale>
        <cfvo type="min"/>
        <cfvo type="max"/>
        <color theme="8" tint="0.79995117038483843"/>
        <color theme="8" tint="0.39997558519241921"/>
      </colorScale>
    </cfRule>
  </conditionalFormatting>
  <conditionalFormatting sqref="N134">
    <cfRule type="colorScale" priority="472">
      <colorScale>
        <cfvo type="min"/>
        <cfvo type="max"/>
        <color theme="8" tint="0.79995117038483843"/>
        <color theme="8" tint="0.39997558519241921"/>
      </colorScale>
    </cfRule>
  </conditionalFormatting>
  <conditionalFormatting sqref="N136">
    <cfRule type="colorScale" priority="490">
      <colorScale>
        <cfvo type="min"/>
        <cfvo type="max"/>
        <color theme="8" tint="0.79995117038483843"/>
        <color theme="8" tint="0.39997558519241921"/>
      </colorScale>
    </cfRule>
  </conditionalFormatting>
  <conditionalFormatting sqref="N138">
    <cfRule type="colorScale" priority="487">
      <colorScale>
        <cfvo type="min"/>
        <cfvo type="max"/>
        <color theme="8" tint="0.79995117038483843"/>
        <color theme="8" tint="0.39997558519241921"/>
      </colorScale>
    </cfRule>
  </conditionalFormatting>
  <conditionalFormatting sqref="N140">
    <cfRule type="colorScale" priority="484">
      <colorScale>
        <cfvo type="min"/>
        <cfvo type="max"/>
        <color theme="8" tint="0.79995117038483843"/>
        <color theme="8" tint="0.39997558519241921"/>
      </colorScale>
    </cfRule>
  </conditionalFormatting>
  <conditionalFormatting sqref="N209:N217">
    <cfRule type="colorScale" priority="414">
      <colorScale>
        <cfvo type="min"/>
        <cfvo type="max"/>
        <color theme="8" tint="0.79995117038483843"/>
        <color theme="8" tint="0.39997558519241921"/>
      </colorScale>
    </cfRule>
  </conditionalFormatting>
  <conditionalFormatting sqref="N237">
    <cfRule type="colorScale" priority="456">
      <colorScale>
        <cfvo type="min"/>
        <cfvo type="max"/>
        <color theme="8" tint="0.79995117038483843"/>
        <color theme="8" tint="0.39997558519241921"/>
      </colorScale>
    </cfRule>
  </conditionalFormatting>
  <conditionalFormatting sqref="N238 N240 N242 N244 N246 N256 N276 N280 N282 N284 N258 N266 N274 N278 N254 N147:N208 N218:N236">
    <cfRule type="colorScale" priority="459">
      <colorScale>
        <cfvo type="min"/>
        <cfvo type="max"/>
        <color theme="8" tint="0.79995117038483843"/>
        <color theme="8" tint="0.39997558519241921"/>
      </colorScale>
    </cfRule>
  </conditionalFormatting>
  <conditionalFormatting sqref="N239">
    <cfRule type="colorScale" priority="453">
      <colorScale>
        <cfvo type="min"/>
        <cfvo type="max"/>
        <color theme="8" tint="0.79995117038483843"/>
        <color theme="8" tint="0.39997558519241921"/>
      </colorScale>
    </cfRule>
  </conditionalFormatting>
  <conditionalFormatting sqref="N241">
    <cfRule type="colorScale" priority="450">
      <colorScale>
        <cfvo type="min"/>
        <cfvo type="max"/>
        <color theme="8" tint="0.79995117038483843"/>
        <color theme="8" tint="0.39997558519241921"/>
      </colorScale>
    </cfRule>
  </conditionalFormatting>
  <conditionalFormatting sqref="N243">
    <cfRule type="colorScale" priority="447">
      <colorScale>
        <cfvo type="min"/>
        <cfvo type="max"/>
        <color theme="8" tint="0.79995117038483843"/>
        <color theme="8" tint="0.39997558519241921"/>
      </colorScale>
    </cfRule>
  </conditionalFormatting>
  <conditionalFormatting sqref="N245">
    <cfRule type="colorScale" priority="444">
      <colorScale>
        <cfvo type="min"/>
        <cfvo type="max"/>
        <color theme="8" tint="0.79995117038483843"/>
        <color theme="8" tint="0.39997558519241921"/>
      </colorScale>
    </cfRule>
  </conditionalFormatting>
  <conditionalFormatting sqref="N247:N253">
    <cfRule type="colorScale" priority="407">
      <colorScale>
        <cfvo type="min"/>
        <cfvo type="max"/>
        <color theme="8" tint="0.79995117038483843"/>
        <color theme="8" tint="0.39997558519241921"/>
      </colorScale>
    </cfRule>
  </conditionalFormatting>
  <conditionalFormatting sqref="N255">
    <cfRule type="colorScale" priority="441">
      <colorScale>
        <cfvo type="min"/>
        <cfvo type="max"/>
        <color theme="8" tint="0.79995117038483843"/>
        <color theme="8" tint="0.39997558519241921"/>
      </colorScale>
    </cfRule>
  </conditionalFormatting>
  <conditionalFormatting sqref="N257">
    <cfRule type="colorScale" priority="426">
      <colorScale>
        <cfvo type="min"/>
        <cfvo type="max"/>
        <color theme="8" tint="0.79995117038483843"/>
        <color theme="8" tint="0.39997558519241921"/>
      </colorScale>
    </cfRule>
  </conditionalFormatting>
  <conditionalFormatting sqref="N259:N265">
    <cfRule type="colorScale" priority="423">
      <colorScale>
        <cfvo type="min"/>
        <cfvo type="max"/>
        <color theme="8" tint="0.79995117038483843"/>
        <color theme="8" tint="0.39997558519241921"/>
      </colorScale>
    </cfRule>
  </conditionalFormatting>
  <conditionalFormatting sqref="N267:N273">
    <cfRule type="colorScale" priority="420">
      <colorScale>
        <cfvo type="min"/>
        <cfvo type="max"/>
        <color theme="8" tint="0.79995117038483843"/>
        <color theme="8" tint="0.39997558519241921"/>
      </colorScale>
    </cfRule>
  </conditionalFormatting>
  <conditionalFormatting sqref="N275">
    <cfRule type="colorScale" priority="438">
      <colorScale>
        <cfvo type="min"/>
        <cfvo type="max"/>
        <color theme="8" tint="0.79995117038483843"/>
        <color theme="8" tint="0.39997558519241921"/>
      </colorScale>
    </cfRule>
  </conditionalFormatting>
  <conditionalFormatting sqref="N277">
    <cfRule type="colorScale" priority="417">
      <colorScale>
        <cfvo type="min"/>
        <cfvo type="max"/>
        <color theme="8" tint="0.79995117038483843"/>
        <color theme="8" tint="0.39997558519241921"/>
      </colorScale>
    </cfRule>
  </conditionalFormatting>
  <conditionalFormatting sqref="N279">
    <cfRule type="colorScale" priority="435">
      <colorScale>
        <cfvo type="min"/>
        <cfvo type="max"/>
        <color theme="8" tint="0.79995117038483843"/>
        <color theme="8" tint="0.39997558519241921"/>
      </colorScale>
    </cfRule>
  </conditionalFormatting>
  <conditionalFormatting sqref="N281">
    <cfRule type="colorScale" priority="432">
      <colorScale>
        <cfvo type="min"/>
        <cfvo type="max"/>
        <color theme="8" tint="0.79995117038483843"/>
        <color theme="8" tint="0.39997558519241921"/>
      </colorScale>
    </cfRule>
  </conditionalFormatting>
  <conditionalFormatting sqref="N283">
    <cfRule type="colorScale" priority="429">
      <colorScale>
        <cfvo type="min"/>
        <cfvo type="max"/>
        <color theme="8" tint="0.79995117038483843"/>
        <color theme="8" tint="0.39997558519241921"/>
      </colorScale>
    </cfRule>
  </conditionalFormatting>
  <conditionalFormatting sqref="N286:N287">
    <cfRule type="colorScale" priority="514">
      <colorScale>
        <cfvo type="min"/>
        <cfvo type="max"/>
        <color theme="8" tint="0.79995117038483843"/>
        <color theme="8" tint="0.39997558519241921"/>
      </colorScale>
    </cfRule>
  </conditionalFormatting>
  <conditionalFormatting sqref="N352:N360">
    <cfRule type="colorScale" priority="360">
      <colorScale>
        <cfvo type="min"/>
        <cfvo type="max"/>
        <color theme="8" tint="0.79995117038483843"/>
        <color theme="8" tint="0.39997558519241921"/>
      </colorScale>
    </cfRule>
  </conditionalFormatting>
  <conditionalFormatting sqref="N380">
    <cfRule type="colorScale" priority="401">
      <colorScale>
        <cfvo type="min"/>
        <cfvo type="max"/>
        <color theme="8" tint="0.79995117038483843"/>
        <color theme="8" tint="0.39997558519241921"/>
      </colorScale>
    </cfRule>
  </conditionalFormatting>
  <conditionalFormatting sqref="N381 N383 N385 N387 N389 N399 N419 N423 N425 N427 N401 N409 N417 N421 N397 N290:N351 N361:N379">
    <cfRule type="colorScale" priority="404">
      <colorScale>
        <cfvo type="min"/>
        <cfvo type="max"/>
        <color theme="8" tint="0.79995117038483843"/>
        <color theme="8" tint="0.39997558519241921"/>
      </colorScale>
    </cfRule>
  </conditionalFormatting>
  <conditionalFormatting sqref="N382">
    <cfRule type="colorScale" priority="398">
      <colorScale>
        <cfvo type="min"/>
        <cfvo type="max"/>
        <color theme="8" tint="0.79995117038483843"/>
        <color theme="8" tint="0.39997558519241921"/>
      </colorScale>
    </cfRule>
  </conditionalFormatting>
  <conditionalFormatting sqref="N384">
    <cfRule type="colorScale" priority="395">
      <colorScale>
        <cfvo type="min"/>
        <cfvo type="max"/>
        <color theme="8" tint="0.79995117038483843"/>
        <color theme="8" tint="0.39997558519241921"/>
      </colorScale>
    </cfRule>
  </conditionalFormatting>
  <conditionalFormatting sqref="N386">
    <cfRule type="colorScale" priority="392">
      <colorScale>
        <cfvo type="min"/>
        <cfvo type="max"/>
        <color theme="8" tint="0.79995117038483843"/>
        <color theme="8" tint="0.39997558519241921"/>
      </colorScale>
    </cfRule>
  </conditionalFormatting>
  <conditionalFormatting sqref="N388">
    <cfRule type="colorScale" priority="389">
      <colorScale>
        <cfvo type="min"/>
        <cfvo type="max"/>
        <color theme="8" tint="0.79995117038483843"/>
        <color theme="8" tint="0.39997558519241921"/>
      </colorScale>
    </cfRule>
  </conditionalFormatting>
  <conditionalFormatting sqref="N390:N396">
    <cfRule type="colorScale" priority="353">
      <colorScale>
        <cfvo type="min"/>
        <cfvo type="max"/>
        <color theme="8" tint="0.79995117038483843"/>
        <color theme="8" tint="0.39997558519241921"/>
      </colorScale>
    </cfRule>
  </conditionalFormatting>
  <conditionalFormatting sqref="N398">
    <cfRule type="colorScale" priority="386">
      <colorScale>
        <cfvo type="min"/>
        <cfvo type="max"/>
        <color theme="8" tint="0.79995117038483843"/>
        <color theme="8" tint="0.39997558519241921"/>
      </colorScale>
    </cfRule>
  </conditionalFormatting>
  <conditionalFormatting sqref="N400">
    <cfRule type="colorScale" priority="372">
      <colorScale>
        <cfvo type="min"/>
        <cfvo type="max"/>
        <color theme="8" tint="0.79995117038483843"/>
        <color theme="8" tint="0.39997558519241921"/>
      </colorScale>
    </cfRule>
  </conditionalFormatting>
  <conditionalFormatting sqref="N402:N408">
    <cfRule type="colorScale" priority="369">
      <colorScale>
        <cfvo type="min"/>
        <cfvo type="max"/>
        <color theme="8" tint="0.79995117038483843"/>
        <color theme="8" tint="0.39997558519241921"/>
      </colorScale>
    </cfRule>
  </conditionalFormatting>
  <conditionalFormatting sqref="N410:N416">
    <cfRule type="colorScale" priority="366">
      <colorScale>
        <cfvo type="min"/>
        <cfvo type="max"/>
        <color theme="8" tint="0.79995117038483843"/>
        <color theme="8" tint="0.39997558519241921"/>
      </colorScale>
    </cfRule>
  </conditionalFormatting>
  <conditionalFormatting sqref="N418">
    <cfRule type="colorScale" priority="383">
      <colorScale>
        <cfvo type="min"/>
        <cfvo type="max"/>
        <color theme="8" tint="0.79995117038483843"/>
        <color theme="8" tint="0.39997558519241921"/>
      </colorScale>
    </cfRule>
  </conditionalFormatting>
  <conditionalFormatting sqref="N420">
    <cfRule type="colorScale" priority="363">
      <colorScale>
        <cfvo type="min"/>
        <cfvo type="max"/>
        <color theme="8" tint="0.79995117038483843"/>
        <color theme="8" tint="0.39997558519241921"/>
      </colorScale>
    </cfRule>
  </conditionalFormatting>
  <conditionalFormatting sqref="N422">
    <cfRule type="colorScale" priority="380">
      <colorScale>
        <cfvo type="min"/>
        <cfvo type="max"/>
        <color theme="8" tint="0.79995117038483843"/>
        <color theme="8" tint="0.39997558519241921"/>
      </colorScale>
    </cfRule>
  </conditionalFormatting>
  <conditionalFormatting sqref="N424">
    <cfRule type="colorScale" priority="377">
      <colorScale>
        <cfvo type="min"/>
        <cfvo type="max"/>
        <color theme="8" tint="0.79995117038483843"/>
        <color theme="8" tint="0.39997558519241921"/>
      </colorScale>
    </cfRule>
  </conditionalFormatting>
  <conditionalFormatting sqref="N426">
    <cfRule type="colorScale" priority="375">
      <colorScale>
        <cfvo type="min"/>
        <cfvo type="max"/>
        <color theme="8" tint="0.79995117038483843"/>
        <color theme="8" tint="0.39997558519241921"/>
      </colorScale>
    </cfRule>
  </conditionalFormatting>
  <conditionalFormatting sqref="N429:N430">
    <cfRule type="colorScale" priority="521">
      <colorScale>
        <cfvo type="min"/>
        <cfvo type="max"/>
        <color theme="8" tint="0.79995117038483843"/>
        <color theme="8" tint="0.39997558519241921"/>
      </colorScale>
    </cfRule>
  </conditionalFormatting>
  <conditionalFormatting sqref="N495:N503">
    <cfRule type="colorScale" priority="303">
      <colorScale>
        <cfvo type="min"/>
        <cfvo type="max"/>
        <color theme="8" tint="0.79995117038483843"/>
        <color theme="8" tint="0.39997558519241921"/>
      </colorScale>
    </cfRule>
  </conditionalFormatting>
  <conditionalFormatting sqref="N523">
    <cfRule type="colorScale" priority="344">
      <colorScale>
        <cfvo type="min"/>
        <cfvo type="max"/>
        <color theme="8" tint="0.79995117038483843"/>
        <color theme="8" tint="0.39997558519241921"/>
      </colorScale>
    </cfRule>
  </conditionalFormatting>
  <conditionalFormatting sqref="N524 N526 N528 N530 N532 N542 N562 N566 N568 N570 N544 N552 N560 N564 N540 N433:N494 N504:N522">
    <cfRule type="colorScale" priority="347">
      <colorScale>
        <cfvo type="min"/>
        <cfvo type="max"/>
        <color theme="8" tint="0.79995117038483843"/>
        <color theme="8" tint="0.39997558519241921"/>
      </colorScale>
    </cfRule>
  </conditionalFormatting>
  <conditionalFormatting sqref="N525">
    <cfRule type="colorScale" priority="341">
      <colorScale>
        <cfvo type="min"/>
        <cfvo type="max"/>
        <color theme="8" tint="0.79995117038483843"/>
        <color theme="8" tint="0.39997558519241921"/>
      </colorScale>
    </cfRule>
  </conditionalFormatting>
  <conditionalFormatting sqref="N527">
    <cfRule type="colorScale" priority="338">
      <colorScale>
        <cfvo type="min"/>
        <cfvo type="max"/>
        <color theme="8" tint="0.79995117038483843"/>
        <color theme="8" tint="0.39997558519241921"/>
      </colorScale>
    </cfRule>
  </conditionalFormatting>
  <conditionalFormatting sqref="N529">
    <cfRule type="colorScale" priority="335">
      <colorScale>
        <cfvo type="min"/>
        <cfvo type="max"/>
        <color theme="8" tint="0.79995117038483843"/>
        <color theme="8" tint="0.39997558519241921"/>
      </colorScale>
    </cfRule>
  </conditionalFormatting>
  <conditionalFormatting sqref="N531">
    <cfRule type="colorScale" priority="332">
      <colorScale>
        <cfvo type="min"/>
        <cfvo type="max"/>
        <color theme="8" tint="0.79995117038483843"/>
        <color theme="8" tint="0.39997558519241921"/>
      </colorScale>
    </cfRule>
  </conditionalFormatting>
  <conditionalFormatting sqref="N533:N539">
    <cfRule type="colorScale" priority="296">
      <colorScale>
        <cfvo type="min"/>
        <cfvo type="max"/>
        <color theme="8" tint="0.79995117038483843"/>
        <color theme="8" tint="0.39997558519241921"/>
      </colorScale>
    </cfRule>
  </conditionalFormatting>
  <conditionalFormatting sqref="N541">
    <cfRule type="colorScale" priority="329">
      <colorScale>
        <cfvo type="min"/>
        <cfvo type="max"/>
        <color theme="8" tint="0.79995117038483843"/>
        <color theme="8" tint="0.39997558519241921"/>
      </colorScale>
    </cfRule>
  </conditionalFormatting>
  <conditionalFormatting sqref="N543">
    <cfRule type="colorScale" priority="315">
      <colorScale>
        <cfvo type="min"/>
        <cfvo type="max"/>
        <color theme="8" tint="0.79995117038483843"/>
        <color theme="8" tint="0.39997558519241921"/>
      </colorScale>
    </cfRule>
  </conditionalFormatting>
  <conditionalFormatting sqref="N545:N551">
    <cfRule type="colorScale" priority="312">
      <colorScale>
        <cfvo type="min"/>
        <cfvo type="max"/>
        <color theme="8" tint="0.79995117038483843"/>
        <color theme="8" tint="0.39997558519241921"/>
      </colorScale>
    </cfRule>
  </conditionalFormatting>
  <conditionalFormatting sqref="N553:N559">
    <cfRule type="colorScale" priority="309">
      <colorScale>
        <cfvo type="min"/>
        <cfvo type="max"/>
        <color theme="8" tint="0.79995117038483843"/>
        <color theme="8" tint="0.39997558519241921"/>
      </colorScale>
    </cfRule>
  </conditionalFormatting>
  <conditionalFormatting sqref="N561">
    <cfRule type="colorScale" priority="326">
      <colorScale>
        <cfvo type="min"/>
        <cfvo type="max"/>
        <color theme="8" tint="0.79995117038483843"/>
        <color theme="8" tint="0.39997558519241921"/>
      </colorScale>
    </cfRule>
  </conditionalFormatting>
  <conditionalFormatting sqref="N563">
    <cfRule type="colorScale" priority="306">
      <colorScale>
        <cfvo type="min"/>
        <cfvo type="max"/>
        <color theme="8" tint="0.79995117038483843"/>
        <color theme="8" tint="0.39997558519241921"/>
      </colorScale>
    </cfRule>
  </conditionalFormatting>
  <conditionalFormatting sqref="N565">
    <cfRule type="colorScale" priority="323">
      <colorScale>
        <cfvo type="min"/>
        <cfvo type="max"/>
        <color theme="8" tint="0.79995117038483843"/>
        <color theme="8" tint="0.39997558519241921"/>
      </colorScale>
    </cfRule>
  </conditionalFormatting>
  <conditionalFormatting sqref="N567">
    <cfRule type="colorScale" priority="320">
      <colorScale>
        <cfvo type="min"/>
        <cfvo type="max"/>
        <color theme="8" tint="0.79995117038483843"/>
        <color theme="8" tint="0.39997558519241921"/>
      </colorScale>
    </cfRule>
  </conditionalFormatting>
  <conditionalFormatting sqref="N569">
    <cfRule type="colorScale" priority="318">
      <colorScale>
        <cfvo type="min"/>
        <cfvo type="max"/>
        <color theme="8" tint="0.79995117038483843"/>
        <color theme="8" tint="0.39997558519241921"/>
      </colorScale>
    </cfRule>
  </conditionalFormatting>
  <conditionalFormatting sqref="N572:N573">
    <cfRule type="colorScale" priority="350">
      <colorScale>
        <cfvo type="min"/>
        <cfvo type="max"/>
        <color theme="8" tint="0.79995117038483843"/>
        <color theme="8" tint="0.39997558519241921"/>
      </colorScale>
    </cfRule>
  </conditionalFormatting>
  <conditionalFormatting sqref="N638:N646">
    <cfRule type="colorScale" priority="246">
      <colorScale>
        <cfvo type="min"/>
        <cfvo type="max"/>
        <color theme="8" tint="0.79995117038483843"/>
        <color theme="8" tint="0.39997558519241921"/>
      </colorScale>
    </cfRule>
  </conditionalFormatting>
  <conditionalFormatting sqref="N666">
    <cfRule type="colorScale" priority="287">
      <colorScale>
        <cfvo type="min"/>
        <cfvo type="max"/>
        <color theme="8" tint="0.79995117038483843"/>
        <color theme="8" tint="0.39997558519241921"/>
      </colorScale>
    </cfRule>
  </conditionalFormatting>
  <conditionalFormatting sqref="N667 N669 N671 N673 N675 N685 N705 N709 N711 N713 N687 N695 N703 N707 N683 N576:N637 N647:N665">
    <cfRule type="colorScale" priority="290">
      <colorScale>
        <cfvo type="min"/>
        <cfvo type="max"/>
        <color theme="8" tint="0.79995117038483843"/>
        <color theme="8" tint="0.39997558519241921"/>
      </colorScale>
    </cfRule>
  </conditionalFormatting>
  <conditionalFormatting sqref="N668">
    <cfRule type="colorScale" priority="284">
      <colorScale>
        <cfvo type="min"/>
        <cfvo type="max"/>
        <color theme="8" tint="0.79995117038483843"/>
        <color theme="8" tint="0.39997558519241921"/>
      </colorScale>
    </cfRule>
  </conditionalFormatting>
  <conditionalFormatting sqref="N670">
    <cfRule type="colorScale" priority="281">
      <colorScale>
        <cfvo type="min"/>
        <cfvo type="max"/>
        <color theme="8" tint="0.79995117038483843"/>
        <color theme="8" tint="0.39997558519241921"/>
      </colorScale>
    </cfRule>
  </conditionalFormatting>
  <conditionalFormatting sqref="N672">
    <cfRule type="colorScale" priority="278">
      <colorScale>
        <cfvo type="min"/>
        <cfvo type="max"/>
        <color theme="8" tint="0.79995117038483843"/>
        <color theme="8" tint="0.39997558519241921"/>
      </colorScale>
    </cfRule>
  </conditionalFormatting>
  <conditionalFormatting sqref="N674">
    <cfRule type="colorScale" priority="275">
      <colorScale>
        <cfvo type="min"/>
        <cfvo type="max"/>
        <color theme="8" tint="0.79995117038483843"/>
        <color theme="8" tint="0.39997558519241921"/>
      </colorScale>
    </cfRule>
  </conditionalFormatting>
  <conditionalFormatting sqref="N676:N682">
    <cfRule type="colorScale" priority="239">
      <colorScale>
        <cfvo type="min"/>
        <cfvo type="max"/>
        <color theme="8" tint="0.79995117038483843"/>
        <color theme="8" tint="0.39997558519241921"/>
      </colorScale>
    </cfRule>
  </conditionalFormatting>
  <conditionalFormatting sqref="N684">
    <cfRule type="colorScale" priority="272">
      <colorScale>
        <cfvo type="min"/>
        <cfvo type="max"/>
        <color theme="8" tint="0.79995117038483843"/>
        <color theme="8" tint="0.39997558519241921"/>
      </colorScale>
    </cfRule>
  </conditionalFormatting>
  <conditionalFormatting sqref="N686">
    <cfRule type="colorScale" priority="258">
      <colorScale>
        <cfvo type="min"/>
        <cfvo type="max"/>
        <color theme="8" tint="0.79995117038483843"/>
        <color theme="8" tint="0.39997558519241921"/>
      </colorScale>
    </cfRule>
  </conditionalFormatting>
  <conditionalFormatting sqref="N688:N694">
    <cfRule type="colorScale" priority="255">
      <colorScale>
        <cfvo type="min"/>
        <cfvo type="max"/>
        <color theme="8" tint="0.79995117038483843"/>
        <color theme="8" tint="0.39997558519241921"/>
      </colorScale>
    </cfRule>
  </conditionalFormatting>
  <conditionalFormatting sqref="N696:N702">
    <cfRule type="colorScale" priority="252">
      <colorScale>
        <cfvo type="min"/>
        <cfvo type="max"/>
        <color theme="8" tint="0.79995117038483843"/>
        <color theme="8" tint="0.39997558519241921"/>
      </colorScale>
    </cfRule>
  </conditionalFormatting>
  <conditionalFormatting sqref="N704">
    <cfRule type="colorScale" priority="269">
      <colorScale>
        <cfvo type="min"/>
        <cfvo type="max"/>
        <color theme="8" tint="0.79995117038483843"/>
        <color theme="8" tint="0.39997558519241921"/>
      </colorScale>
    </cfRule>
  </conditionalFormatting>
  <conditionalFormatting sqref="N706">
    <cfRule type="colorScale" priority="249">
      <colorScale>
        <cfvo type="min"/>
        <cfvo type="max"/>
        <color theme="8" tint="0.79995117038483843"/>
        <color theme="8" tint="0.39997558519241921"/>
      </colorScale>
    </cfRule>
  </conditionalFormatting>
  <conditionalFormatting sqref="N708">
    <cfRule type="colorScale" priority="266">
      <colorScale>
        <cfvo type="min"/>
        <cfvo type="max"/>
        <color theme="8" tint="0.79995117038483843"/>
        <color theme="8" tint="0.39997558519241921"/>
      </colorScale>
    </cfRule>
  </conditionalFormatting>
  <conditionalFormatting sqref="N710">
    <cfRule type="colorScale" priority="263">
      <colorScale>
        <cfvo type="min"/>
        <cfvo type="max"/>
        <color theme="8" tint="0.79995117038483843"/>
        <color theme="8" tint="0.39997558519241921"/>
      </colorScale>
    </cfRule>
  </conditionalFormatting>
  <conditionalFormatting sqref="N712">
    <cfRule type="colorScale" priority="261">
      <colorScale>
        <cfvo type="min"/>
        <cfvo type="max"/>
        <color theme="8" tint="0.79995117038483843"/>
        <color theme="8" tint="0.39997558519241921"/>
      </colorScale>
    </cfRule>
  </conditionalFormatting>
  <conditionalFormatting sqref="N715:N716">
    <cfRule type="colorScale" priority="293">
      <colorScale>
        <cfvo type="min"/>
        <cfvo type="max"/>
        <color theme="8" tint="0.79995117038483843"/>
        <color theme="8" tint="0.39997558519241921"/>
      </colorScale>
    </cfRule>
  </conditionalFormatting>
  <conditionalFormatting sqref="N781:N789">
    <cfRule type="colorScale" priority="189">
      <colorScale>
        <cfvo type="min"/>
        <cfvo type="max"/>
        <color theme="8" tint="0.79995117038483843"/>
        <color theme="8" tint="0.39997558519241921"/>
      </colorScale>
    </cfRule>
  </conditionalFormatting>
  <conditionalFormatting sqref="N809">
    <cfRule type="colorScale" priority="230">
      <colorScale>
        <cfvo type="min"/>
        <cfvo type="max"/>
        <color theme="8" tint="0.79995117038483843"/>
        <color theme="8" tint="0.39997558519241921"/>
      </colorScale>
    </cfRule>
  </conditionalFormatting>
  <conditionalFormatting sqref="N810 N812 N814 N816 N818 N828 N848 N852 N854 N856 N830 N838 N846 N850 N826 N719:N780 N790:N808">
    <cfRule type="colorScale" priority="233">
      <colorScale>
        <cfvo type="min"/>
        <cfvo type="max"/>
        <color theme="8" tint="0.79995117038483843"/>
        <color theme="8" tint="0.39997558519241921"/>
      </colorScale>
    </cfRule>
  </conditionalFormatting>
  <conditionalFormatting sqref="N811">
    <cfRule type="colorScale" priority="227">
      <colorScale>
        <cfvo type="min"/>
        <cfvo type="max"/>
        <color theme="8" tint="0.79995117038483843"/>
        <color theme="8" tint="0.39997558519241921"/>
      </colorScale>
    </cfRule>
  </conditionalFormatting>
  <conditionalFormatting sqref="N813">
    <cfRule type="colorScale" priority="224">
      <colorScale>
        <cfvo type="min"/>
        <cfvo type="max"/>
        <color theme="8" tint="0.79995117038483843"/>
        <color theme="8" tint="0.39997558519241921"/>
      </colorScale>
    </cfRule>
  </conditionalFormatting>
  <conditionalFormatting sqref="N815">
    <cfRule type="colorScale" priority="221">
      <colorScale>
        <cfvo type="min"/>
        <cfvo type="max"/>
        <color theme="8" tint="0.79995117038483843"/>
        <color theme="8" tint="0.39997558519241921"/>
      </colorScale>
    </cfRule>
  </conditionalFormatting>
  <conditionalFormatting sqref="N817">
    <cfRule type="colorScale" priority="218">
      <colorScale>
        <cfvo type="min"/>
        <cfvo type="max"/>
        <color theme="8" tint="0.79995117038483843"/>
        <color theme="8" tint="0.39997558519241921"/>
      </colorScale>
    </cfRule>
  </conditionalFormatting>
  <conditionalFormatting sqref="N819:N825">
    <cfRule type="colorScale" priority="182">
      <colorScale>
        <cfvo type="min"/>
        <cfvo type="max"/>
        <color theme="8" tint="0.79995117038483843"/>
        <color theme="8" tint="0.39997558519241921"/>
      </colorScale>
    </cfRule>
  </conditionalFormatting>
  <conditionalFormatting sqref="N827">
    <cfRule type="colorScale" priority="215">
      <colorScale>
        <cfvo type="min"/>
        <cfvo type="max"/>
        <color theme="8" tint="0.79995117038483843"/>
        <color theme="8" tint="0.39997558519241921"/>
      </colorScale>
    </cfRule>
  </conditionalFormatting>
  <conditionalFormatting sqref="N829">
    <cfRule type="colorScale" priority="201">
      <colorScale>
        <cfvo type="min"/>
        <cfvo type="max"/>
        <color theme="8" tint="0.79995117038483843"/>
        <color theme="8" tint="0.39997558519241921"/>
      </colorScale>
    </cfRule>
  </conditionalFormatting>
  <conditionalFormatting sqref="N831:N837">
    <cfRule type="colorScale" priority="198">
      <colorScale>
        <cfvo type="min"/>
        <cfvo type="max"/>
        <color theme="8" tint="0.79995117038483843"/>
        <color theme="8" tint="0.39997558519241921"/>
      </colorScale>
    </cfRule>
  </conditionalFormatting>
  <conditionalFormatting sqref="N839:N845">
    <cfRule type="colorScale" priority="195">
      <colorScale>
        <cfvo type="min"/>
        <cfvo type="max"/>
        <color theme="8" tint="0.79995117038483843"/>
        <color theme="8" tint="0.39997558519241921"/>
      </colorScale>
    </cfRule>
  </conditionalFormatting>
  <conditionalFormatting sqref="N847">
    <cfRule type="colorScale" priority="212">
      <colorScale>
        <cfvo type="min"/>
        <cfvo type="max"/>
        <color theme="8" tint="0.79995117038483843"/>
        <color theme="8" tint="0.39997558519241921"/>
      </colorScale>
    </cfRule>
  </conditionalFormatting>
  <conditionalFormatting sqref="N849">
    <cfRule type="colorScale" priority="192">
      <colorScale>
        <cfvo type="min"/>
        <cfvo type="max"/>
        <color theme="8" tint="0.79995117038483843"/>
        <color theme="8" tint="0.39997558519241921"/>
      </colorScale>
    </cfRule>
  </conditionalFormatting>
  <conditionalFormatting sqref="N851">
    <cfRule type="colorScale" priority="209">
      <colorScale>
        <cfvo type="min"/>
        <cfvo type="max"/>
        <color theme="8" tint="0.79995117038483843"/>
        <color theme="8" tint="0.39997558519241921"/>
      </colorScale>
    </cfRule>
  </conditionalFormatting>
  <conditionalFormatting sqref="N853">
    <cfRule type="colorScale" priority="206">
      <colorScale>
        <cfvo type="min"/>
        <cfvo type="max"/>
        <color theme="8" tint="0.79995117038483843"/>
        <color theme="8" tint="0.39997558519241921"/>
      </colorScale>
    </cfRule>
  </conditionalFormatting>
  <conditionalFormatting sqref="N855">
    <cfRule type="colorScale" priority="204">
      <colorScale>
        <cfvo type="min"/>
        <cfvo type="max"/>
        <color theme="8" tint="0.79995117038483843"/>
        <color theme="8" tint="0.39997558519241921"/>
      </colorScale>
    </cfRule>
  </conditionalFormatting>
  <conditionalFormatting sqref="N858:N859">
    <cfRule type="colorScale" priority="236">
      <colorScale>
        <cfvo type="min"/>
        <cfvo type="max"/>
        <color theme="8" tint="0.79995117038483843"/>
        <color theme="8" tint="0.39997558519241921"/>
      </colorScale>
    </cfRule>
  </conditionalFormatting>
  <conditionalFormatting sqref="N924:N932">
    <cfRule type="colorScale" priority="132">
      <colorScale>
        <cfvo type="min"/>
        <cfvo type="max"/>
        <color theme="8" tint="0.79995117038483843"/>
        <color theme="8" tint="0.39997558519241921"/>
      </colorScale>
    </cfRule>
  </conditionalFormatting>
  <conditionalFormatting sqref="N952">
    <cfRule type="colorScale" priority="173">
      <colorScale>
        <cfvo type="min"/>
        <cfvo type="max"/>
        <color theme="8" tint="0.79995117038483843"/>
        <color theme="8" tint="0.39997558519241921"/>
      </colorScale>
    </cfRule>
  </conditionalFormatting>
  <conditionalFormatting sqref="N953 N955 N957 N959 N961 N971 N991 N995 N997 N999 N973 N981 N989 N993 N969 N862:N923 N933:N951">
    <cfRule type="colorScale" priority="176">
      <colorScale>
        <cfvo type="min"/>
        <cfvo type="max"/>
        <color theme="8" tint="0.79995117038483843"/>
        <color theme="8" tint="0.39997558519241921"/>
      </colorScale>
    </cfRule>
  </conditionalFormatting>
  <conditionalFormatting sqref="N954">
    <cfRule type="colorScale" priority="170">
      <colorScale>
        <cfvo type="min"/>
        <cfvo type="max"/>
        <color theme="8" tint="0.79995117038483843"/>
        <color theme="8" tint="0.39997558519241921"/>
      </colorScale>
    </cfRule>
  </conditionalFormatting>
  <conditionalFormatting sqref="N956">
    <cfRule type="colorScale" priority="167">
      <colorScale>
        <cfvo type="min"/>
        <cfvo type="max"/>
        <color theme="8" tint="0.79995117038483843"/>
        <color theme="8" tint="0.39997558519241921"/>
      </colorScale>
    </cfRule>
  </conditionalFormatting>
  <conditionalFormatting sqref="N958">
    <cfRule type="colorScale" priority="164">
      <colorScale>
        <cfvo type="min"/>
        <cfvo type="max"/>
        <color theme="8" tint="0.79995117038483843"/>
        <color theme="8" tint="0.39997558519241921"/>
      </colorScale>
    </cfRule>
  </conditionalFormatting>
  <conditionalFormatting sqref="N960">
    <cfRule type="colorScale" priority="161">
      <colorScale>
        <cfvo type="min"/>
        <cfvo type="max"/>
        <color theme="8" tint="0.79995117038483843"/>
        <color theme="8" tint="0.39997558519241921"/>
      </colorScale>
    </cfRule>
  </conditionalFormatting>
  <conditionalFormatting sqref="N962:N968">
    <cfRule type="colorScale" priority="125">
      <colorScale>
        <cfvo type="min"/>
        <cfvo type="max"/>
        <color theme="8" tint="0.79995117038483843"/>
        <color theme="8" tint="0.39997558519241921"/>
      </colorScale>
    </cfRule>
  </conditionalFormatting>
  <conditionalFormatting sqref="N970">
    <cfRule type="colorScale" priority="158">
      <colorScale>
        <cfvo type="min"/>
        <cfvo type="max"/>
        <color theme="8" tint="0.79995117038483843"/>
        <color theme="8" tint="0.39997558519241921"/>
      </colorScale>
    </cfRule>
  </conditionalFormatting>
  <conditionalFormatting sqref="N972">
    <cfRule type="colorScale" priority="144">
      <colorScale>
        <cfvo type="min"/>
        <cfvo type="max"/>
        <color theme="8" tint="0.79995117038483843"/>
        <color theme="8" tint="0.39997558519241921"/>
      </colorScale>
    </cfRule>
  </conditionalFormatting>
  <conditionalFormatting sqref="N974:N980">
    <cfRule type="colorScale" priority="141">
      <colorScale>
        <cfvo type="min"/>
        <cfvo type="max"/>
        <color theme="8" tint="0.79995117038483843"/>
        <color theme="8" tint="0.39997558519241921"/>
      </colorScale>
    </cfRule>
  </conditionalFormatting>
  <conditionalFormatting sqref="N982:N988">
    <cfRule type="colorScale" priority="138">
      <colorScale>
        <cfvo type="min"/>
        <cfvo type="max"/>
        <color theme="8" tint="0.79995117038483843"/>
        <color theme="8" tint="0.39997558519241921"/>
      </colorScale>
    </cfRule>
  </conditionalFormatting>
  <conditionalFormatting sqref="N990">
    <cfRule type="colorScale" priority="155">
      <colorScale>
        <cfvo type="min"/>
        <cfvo type="max"/>
        <color theme="8" tint="0.79995117038483843"/>
        <color theme="8" tint="0.39997558519241921"/>
      </colorScale>
    </cfRule>
  </conditionalFormatting>
  <conditionalFormatting sqref="N992">
    <cfRule type="colorScale" priority="135">
      <colorScale>
        <cfvo type="min"/>
        <cfvo type="max"/>
        <color theme="8" tint="0.79995117038483843"/>
        <color theme="8" tint="0.39997558519241921"/>
      </colorScale>
    </cfRule>
  </conditionalFormatting>
  <conditionalFormatting sqref="N994">
    <cfRule type="colorScale" priority="152">
      <colorScale>
        <cfvo type="min"/>
        <cfvo type="max"/>
        <color theme="8" tint="0.79995117038483843"/>
        <color theme="8" tint="0.39997558519241921"/>
      </colorScale>
    </cfRule>
  </conditionalFormatting>
  <conditionalFormatting sqref="N996">
    <cfRule type="colorScale" priority="149">
      <colorScale>
        <cfvo type="min"/>
        <cfvo type="max"/>
        <color theme="8" tint="0.79995117038483843"/>
        <color theme="8" tint="0.39997558519241921"/>
      </colorScale>
    </cfRule>
  </conditionalFormatting>
  <conditionalFormatting sqref="N998">
    <cfRule type="colorScale" priority="147">
      <colorScale>
        <cfvo type="min"/>
        <cfvo type="max"/>
        <color theme="8" tint="0.79995117038483843"/>
        <color theme="8" tint="0.39997558519241921"/>
      </colorScale>
    </cfRule>
  </conditionalFormatting>
  <conditionalFormatting sqref="N1001:N1002">
    <cfRule type="colorScale" priority="179">
      <colorScale>
        <cfvo type="min"/>
        <cfvo type="max"/>
        <color theme="8" tint="0.79995117038483843"/>
        <color theme="8" tint="0.39997558519241921"/>
      </colorScale>
    </cfRule>
  </conditionalFormatting>
  <conditionalFormatting sqref="N1067:N1075">
    <cfRule type="colorScale" priority="74">
      <colorScale>
        <cfvo type="min"/>
        <cfvo type="max"/>
        <color theme="8" tint="0.79995117038483843"/>
        <color theme="8" tint="0.39997558519241921"/>
      </colorScale>
    </cfRule>
  </conditionalFormatting>
  <conditionalFormatting sqref="N1095">
    <cfRule type="colorScale" priority="116">
      <colorScale>
        <cfvo type="min"/>
        <cfvo type="max"/>
        <color theme="8" tint="0.79995117038483843"/>
        <color theme="8" tint="0.39997558519241921"/>
      </colorScale>
    </cfRule>
  </conditionalFormatting>
  <conditionalFormatting sqref="N1096 N1098 N1100 N1102 N1104 N1114 N1134 N1138 N1140 N1142 N1116 N1124 N1132 N1136 N1112 N1005:N1066 N1076:N1094">
    <cfRule type="colorScale" priority="119">
      <colorScale>
        <cfvo type="min"/>
        <cfvo type="max"/>
        <color theme="8" tint="0.79995117038483843"/>
        <color theme="8" tint="0.39997558519241921"/>
      </colorScale>
    </cfRule>
  </conditionalFormatting>
  <conditionalFormatting sqref="N1097">
    <cfRule type="colorScale" priority="113">
      <colorScale>
        <cfvo type="min"/>
        <cfvo type="max"/>
        <color theme="8" tint="0.79995117038483843"/>
        <color theme="8" tint="0.39997558519241921"/>
      </colorScale>
    </cfRule>
  </conditionalFormatting>
  <conditionalFormatting sqref="N1099">
    <cfRule type="colorScale" priority="110">
      <colorScale>
        <cfvo type="min"/>
        <cfvo type="max"/>
        <color theme="8" tint="0.79995117038483843"/>
        <color theme="8" tint="0.39997558519241921"/>
      </colorScale>
    </cfRule>
  </conditionalFormatting>
  <conditionalFormatting sqref="N1101">
    <cfRule type="colorScale" priority="107">
      <colorScale>
        <cfvo type="min"/>
        <cfvo type="max"/>
        <color theme="8" tint="0.79995117038483843"/>
        <color theme="8" tint="0.39997558519241921"/>
      </colorScale>
    </cfRule>
  </conditionalFormatting>
  <conditionalFormatting sqref="N1103">
    <cfRule type="colorScale" priority="104">
      <colorScale>
        <cfvo type="min"/>
        <cfvo type="max"/>
        <color theme="8" tint="0.79995117038483843"/>
        <color theme="8" tint="0.39997558519241921"/>
      </colorScale>
    </cfRule>
  </conditionalFormatting>
  <conditionalFormatting sqref="N1105:N1111">
    <cfRule type="colorScale" priority="67">
      <colorScale>
        <cfvo type="min"/>
        <cfvo type="max"/>
        <color theme="8" tint="0.79995117038483843"/>
        <color theme="8" tint="0.39997558519241921"/>
      </colorScale>
    </cfRule>
  </conditionalFormatting>
  <conditionalFormatting sqref="N1113">
    <cfRule type="colorScale" priority="101">
      <colorScale>
        <cfvo type="min"/>
        <cfvo type="max"/>
        <color theme="8" tint="0.79995117038483843"/>
        <color theme="8" tint="0.39997558519241921"/>
      </colorScale>
    </cfRule>
  </conditionalFormatting>
  <conditionalFormatting sqref="N1115">
    <cfRule type="colorScale" priority="86">
      <colorScale>
        <cfvo type="min"/>
        <cfvo type="max"/>
        <color theme="8" tint="0.79995117038483843"/>
        <color theme="8" tint="0.39997558519241921"/>
      </colorScale>
    </cfRule>
  </conditionalFormatting>
  <conditionalFormatting sqref="N1117:N1123">
    <cfRule type="colorScale" priority="83">
      <colorScale>
        <cfvo type="min"/>
        <cfvo type="max"/>
        <color theme="8" tint="0.79995117038483843"/>
        <color theme="8" tint="0.39997558519241921"/>
      </colorScale>
    </cfRule>
  </conditionalFormatting>
  <conditionalFormatting sqref="N1125:N1131">
    <cfRule type="colorScale" priority="80">
      <colorScale>
        <cfvo type="min"/>
        <cfvo type="max"/>
        <color theme="8" tint="0.79995117038483843"/>
        <color theme="8" tint="0.39997558519241921"/>
      </colorScale>
    </cfRule>
  </conditionalFormatting>
  <conditionalFormatting sqref="N1133">
    <cfRule type="colorScale" priority="98">
      <colorScale>
        <cfvo type="min"/>
        <cfvo type="max"/>
        <color theme="8" tint="0.79995117038483843"/>
        <color theme="8" tint="0.39997558519241921"/>
      </colorScale>
    </cfRule>
  </conditionalFormatting>
  <conditionalFormatting sqref="N1135">
    <cfRule type="colorScale" priority="77">
      <colorScale>
        <cfvo type="min"/>
        <cfvo type="max"/>
        <color theme="8" tint="0.79995117038483843"/>
        <color theme="8" tint="0.39997558519241921"/>
      </colorScale>
    </cfRule>
  </conditionalFormatting>
  <conditionalFormatting sqref="N1137">
    <cfRule type="colorScale" priority="95">
      <colorScale>
        <cfvo type="min"/>
        <cfvo type="max"/>
        <color theme="8" tint="0.79995117038483843"/>
        <color theme="8" tint="0.39997558519241921"/>
      </colorScale>
    </cfRule>
  </conditionalFormatting>
  <conditionalFormatting sqref="N1139">
    <cfRule type="colorScale" priority="92">
      <colorScale>
        <cfvo type="min"/>
        <cfvo type="max"/>
        <color theme="8" tint="0.79995117038483843"/>
        <color theme="8" tint="0.39997558519241921"/>
      </colorScale>
    </cfRule>
  </conditionalFormatting>
  <conditionalFormatting sqref="N1141">
    <cfRule type="colorScale" priority="89">
      <colorScale>
        <cfvo type="min"/>
        <cfvo type="max"/>
        <color theme="8" tint="0.79995117038483843"/>
        <color theme="8" tint="0.39997558519241921"/>
      </colorScale>
    </cfRule>
  </conditionalFormatting>
  <conditionalFormatting sqref="N1144:N1145">
    <cfRule type="colorScale" priority="122">
      <colorScale>
        <cfvo type="min"/>
        <cfvo type="max"/>
        <color theme="8" tint="0.79995117038483843"/>
        <color theme="8" tint="0.39997558519241921"/>
      </colorScale>
    </cfRule>
  </conditionalFormatting>
  <conditionalFormatting sqref="N1210:N1218">
    <cfRule type="colorScale" priority="16">
      <colorScale>
        <cfvo type="min"/>
        <cfvo type="max"/>
        <color theme="8" tint="0.79995117038483843"/>
        <color theme="8" tint="0.39997558519241921"/>
      </colorScale>
    </cfRule>
  </conditionalFormatting>
  <conditionalFormatting sqref="N1238">
    <cfRule type="colorScale" priority="58">
      <colorScale>
        <cfvo type="min"/>
        <cfvo type="max"/>
        <color theme="8" tint="0.79995117038483843"/>
        <color theme="8" tint="0.39997558519241921"/>
      </colorScale>
    </cfRule>
  </conditionalFormatting>
  <conditionalFormatting sqref="N1239 N1241 N1243 N1245 N1247 N1257 N1277 N1281 N1283 N1285 N1259 N1267 N1275 N1279 N1255 N1148:N1209 N1219:N1237">
    <cfRule type="colorScale" priority="61">
      <colorScale>
        <cfvo type="min"/>
        <cfvo type="max"/>
        <color theme="8" tint="0.79995117038483843"/>
        <color theme="8" tint="0.39997558519241921"/>
      </colorScale>
    </cfRule>
  </conditionalFormatting>
  <conditionalFormatting sqref="N1240">
    <cfRule type="colorScale" priority="55">
      <colorScale>
        <cfvo type="min"/>
        <cfvo type="max"/>
        <color theme="8" tint="0.79995117038483843"/>
        <color theme="8" tint="0.39997558519241921"/>
      </colorScale>
    </cfRule>
  </conditionalFormatting>
  <conditionalFormatting sqref="N1242">
    <cfRule type="colorScale" priority="52">
      <colorScale>
        <cfvo type="min"/>
        <cfvo type="max"/>
        <color theme="8" tint="0.79995117038483843"/>
        <color theme="8" tint="0.39997558519241921"/>
      </colorScale>
    </cfRule>
  </conditionalFormatting>
  <conditionalFormatting sqref="N1244">
    <cfRule type="colorScale" priority="49">
      <colorScale>
        <cfvo type="min"/>
        <cfvo type="max"/>
        <color theme="8" tint="0.79995117038483843"/>
        <color theme="8" tint="0.39997558519241921"/>
      </colorScale>
    </cfRule>
  </conditionalFormatting>
  <conditionalFormatting sqref="N1246">
    <cfRule type="colorScale" priority="46">
      <colorScale>
        <cfvo type="min"/>
        <cfvo type="max"/>
        <color theme="8" tint="0.79995117038483843"/>
        <color theme="8" tint="0.39997558519241921"/>
      </colorScale>
    </cfRule>
  </conditionalFormatting>
  <conditionalFormatting sqref="N1248:N1254">
    <cfRule type="colorScale" priority="9">
      <colorScale>
        <cfvo type="min"/>
        <cfvo type="max"/>
        <color theme="8" tint="0.79995117038483843"/>
        <color theme="8" tint="0.39997558519241921"/>
      </colorScale>
    </cfRule>
  </conditionalFormatting>
  <conditionalFormatting sqref="N1256">
    <cfRule type="colorScale" priority="43">
      <colorScale>
        <cfvo type="min"/>
        <cfvo type="max"/>
        <color theme="8" tint="0.79995117038483843"/>
        <color theme="8" tint="0.39997558519241921"/>
      </colorScale>
    </cfRule>
  </conditionalFormatting>
  <conditionalFormatting sqref="N1258">
    <cfRule type="colorScale" priority="28">
      <colorScale>
        <cfvo type="min"/>
        <cfvo type="max"/>
        <color theme="8" tint="0.79995117038483843"/>
        <color theme="8" tint="0.39997558519241921"/>
      </colorScale>
    </cfRule>
  </conditionalFormatting>
  <conditionalFormatting sqref="N1260:N1266">
    <cfRule type="colorScale" priority="25">
      <colorScale>
        <cfvo type="min"/>
        <cfvo type="max"/>
        <color theme="8" tint="0.79995117038483843"/>
        <color theme="8" tint="0.39997558519241921"/>
      </colorScale>
    </cfRule>
  </conditionalFormatting>
  <conditionalFormatting sqref="N1268:N1274">
    <cfRule type="colorScale" priority="22">
      <colorScale>
        <cfvo type="min"/>
        <cfvo type="max"/>
        <color theme="8" tint="0.79995117038483843"/>
        <color theme="8" tint="0.39997558519241921"/>
      </colorScale>
    </cfRule>
  </conditionalFormatting>
  <conditionalFormatting sqref="N1276">
    <cfRule type="colorScale" priority="40">
      <colorScale>
        <cfvo type="min"/>
        <cfvo type="max"/>
        <color theme="8" tint="0.79995117038483843"/>
        <color theme="8" tint="0.39997558519241921"/>
      </colorScale>
    </cfRule>
  </conditionalFormatting>
  <conditionalFormatting sqref="N1278">
    <cfRule type="colorScale" priority="19">
      <colorScale>
        <cfvo type="min"/>
        <cfvo type="max"/>
        <color theme="8" tint="0.79995117038483843"/>
        <color theme="8" tint="0.39997558519241921"/>
      </colorScale>
    </cfRule>
  </conditionalFormatting>
  <conditionalFormatting sqref="N1280">
    <cfRule type="colorScale" priority="37">
      <colorScale>
        <cfvo type="min"/>
        <cfvo type="max"/>
        <color theme="8" tint="0.79995117038483843"/>
        <color theme="8" tint="0.39997558519241921"/>
      </colorScale>
    </cfRule>
  </conditionalFormatting>
  <conditionalFormatting sqref="N1282">
    <cfRule type="colorScale" priority="34">
      <colorScale>
        <cfvo type="min"/>
        <cfvo type="max"/>
        <color theme="8" tint="0.79995117038483843"/>
        <color theme="8" tint="0.39997558519241921"/>
      </colorScale>
    </cfRule>
  </conditionalFormatting>
  <conditionalFormatting sqref="N1284">
    <cfRule type="colorScale" priority="31">
      <colorScale>
        <cfvo type="min"/>
        <cfvo type="max"/>
        <color theme="8" tint="0.79995117038483843"/>
        <color theme="8" tint="0.39997558519241921"/>
      </colorScale>
    </cfRule>
  </conditionalFormatting>
  <conditionalFormatting sqref="N1287:N1288">
    <cfRule type="colorScale" priority="64">
      <colorScale>
        <cfvo type="min"/>
        <cfvo type="max"/>
        <color theme="8" tint="0.79995117038483843"/>
        <color theme="8" tint="0.39997558519241921"/>
      </colorScale>
    </cfRule>
  </conditionalFormatting>
  <conditionalFormatting sqref="O66:O68">
    <cfRule type="colorScale" priority="471">
      <colorScale>
        <cfvo type="min"/>
        <cfvo type="max"/>
        <color theme="7" tint="0.79995117038483843"/>
        <color theme="7" tint="0.39997558519241921"/>
      </colorScale>
    </cfRule>
  </conditionalFormatting>
  <conditionalFormatting sqref="O69:O71">
    <cfRule type="colorScale" priority="468">
      <colorScale>
        <cfvo type="min"/>
        <cfvo type="max"/>
        <color theme="7" tint="0.79995117038483843"/>
        <color theme="7" tint="0.39997558519241921"/>
      </colorScale>
    </cfRule>
  </conditionalFormatting>
  <conditionalFormatting sqref="O72:O74">
    <cfRule type="colorScale" priority="466">
      <colorScale>
        <cfvo type="min"/>
        <cfvo type="max"/>
        <color theme="7" tint="0.79995117038483843"/>
        <color theme="7" tint="0.39997558519241921"/>
      </colorScale>
    </cfRule>
  </conditionalFormatting>
  <conditionalFormatting sqref="O94">
    <cfRule type="colorScale" priority="513">
      <colorScale>
        <cfvo type="min"/>
        <cfvo type="max"/>
        <color theme="7" tint="0.79995117038483843"/>
        <color theme="7" tint="0.39997558519241921"/>
      </colorScale>
    </cfRule>
  </conditionalFormatting>
  <conditionalFormatting sqref="O95 O113 O133 O141 O123 O131 O111 O4:O65 O75:O93 O97 O99 O101 O103 O115 O135 O137 O139">
    <cfRule type="colorScale" priority="519">
      <colorScale>
        <cfvo type="min"/>
        <cfvo type="max"/>
        <color theme="7" tint="0.79995117038483843"/>
        <color theme="7" tint="0.39997558519241921"/>
      </colorScale>
    </cfRule>
  </conditionalFormatting>
  <conditionalFormatting sqref="O96">
    <cfRule type="colorScale" priority="510">
      <colorScale>
        <cfvo type="min"/>
        <cfvo type="max"/>
        <color theme="7" tint="0.79995117038483843"/>
        <color theme="7" tint="0.39997558519241921"/>
      </colorScale>
    </cfRule>
  </conditionalFormatting>
  <conditionalFormatting sqref="O98">
    <cfRule type="colorScale" priority="507">
      <colorScale>
        <cfvo type="min"/>
        <cfvo type="max"/>
        <color theme="7" tint="0.79995117038483843"/>
        <color theme="7" tint="0.39997558519241921"/>
      </colorScale>
    </cfRule>
  </conditionalFormatting>
  <conditionalFormatting sqref="O100">
    <cfRule type="colorScale" priority="504">
      <colorScale>
        <cfvo type="min"/>
        <cfvo type="max"/>
        <color theme="7" tint="0.79995117038483843"/>
        <color theme="7" tint="0.39997558519241921"/>
      </colorScale>
    </cfRule>
  </conditionalFormatting>
  <conditionalFormatting sqref="O102">
    <cfRule type="colorScale" priority="501">
      <colorScale>
        <cfvo type="min"/>
        <cfvo type="max"/>
        <color theme="7" tint="0.79995117038483843"/>
        <color theme="7" tint="0.39997558519241921"/>
      </colorScale>
    </cfRule>
  </conditionalFormatting>
  <conditionalFormatting sqref="O104:O110">
    <cfRule type="colorScale" priority="464">
      <colorScale>
        <cfvo type="min"/>
        <cfvo type="max"/>
        <color theme="7" tint="0.79995117038483843"/>
        <color theme="7" tint="0.39997558519241921"/>
      </colorScale>
    </cfRule>
  </conditionalFormatting>
  <conditionalFormatting sqref="O112">
    <cfRule type="colorScale" priority="498">
      <colorScale>
        <cfvo type="min"/>
        <cfvo type="max"/>
        <color theme="7" tint="0.79995117038483843"/>
        <color theme="7" tint="0.39997558519241921"/>
      </colorScale>
    </cfRule>
  </conditionalFormatting>
  <conditionalFormatting sqref="O114">
    <cfRule type="colorScale" priority="483">
      <colorScale>
        <cfvo type="min"/>
        <cfvo type="max"/>
        <color theme="7" tint="0.79995117038483843"/>
        <color theme="7" tint="0.39997558519241921"/>
      </colorScale>
    </cfRule>
  </conditionalFormatting>
  <conditionalFormatting sqref="O116:O122">
    <cfRule type="colorScale" priority="480">
      <colorScale>
        <cfvo type="min"/>
        <cfvo type="max"/>
        <color theme="7" tint="0.79995117038483843"/>
        <color theme="7" tint="0.39997558519241921"/>
      </colorScale>
    </cfRule>
  </conditionalFormatting>
  <conditionalFormatting sqref="O124:O130">
    <cfRule type="colorScale" priority="477">
      <colorScale>
        <cfvo type="min"/>
        <cfvo type="max"/>
        <color theme="7" tint="0.79995117038483843"/>
        <color theme="7" tint="0.39997558519241921"/>
      </colorScale>
    </cfRule>
  </conditionalFormatting>
  <conditionalFormatting sqref="O132">
    <cfRule type="colorScale" priority="495">
      <colorScale>
        <cfvo type="min"/>
        <cfvo type="max"/>
        <color theme="7" tint="0.79995117038483843"/>
        <color theme="7" tint="0.39997558519241921"/>
      </colorScale>
    </cfRule>
  </conditionalFormatting>
  <conditionalFormatting sqref="O134">
    <cfRule type="colorScale" priority="474">
      <colorScale>
        <cfvo type="min"/>
        <cfvo type="max"/>
        <color theme="7" tint="0.79995117038483843"/>
        <color theme="7" tint="0.39997558519241921"/>
      </colorScale>
    </cfRule>
  </conditionalFormatting>
  <conditionalFormatting sqref="O136">
    <cfRule type="colorScale" priority="492">
      <colorScale>
        <cfvo type="min"/>
        <cfvo type="max"/>
        <color theme="7" tint="0.79995117038483843"/>
        <color theme="7" tint="0.39997558519241921"/>
      </colorScale>
    </cfRule>
  </conditionalFormatting>
  <conditionalFormatting sqref="O138">
    <cfRule type="colorScale" priority="489">
      <colorScale>
        <cfvo type="min"/>
        <cfvo type="max"/>
        <color theme="7" tint="0.79995117038483843"/>
        <color theme="7" tint="0.39997558519241921"/>
      </colorScale>
    </cfRule>
  </conditionalFormatting>
  <conditionalFormatting sqref="O140">
    <cfRule type="colorScale" priority="486">
      <colorScale>
        <cfvo type="min"/>
        <cfvo type="max"/>
        <color theme="7" tint="0.79995117038483843"/>
        <color theme="7" tint="0.39997558519241921"/>
      </colorScale>
    </cfRule>
  </conditionalFormatting>
  <conditionalFormatting sqref="O209:O211">
    <cfRule type="colorScale" priority="416">
      <colorScale>
        <cfvo type="min"/>
        <cfvo type="max"/>
        <color theme="7" tint="0.79995117038483843"/>
        <color theme="7" tint="0.39997558519241921"/>
      </colorScale>
    </cfRule>
  </conditionalFormatting>
  <conditionalFormatting sqref="O212:O214">
    <cfRule type="colorScale" priority="413">
      <colorScale>
        <cfvo type="min"/>
        <cfvo type="max"/>
        <color theme="7" tint="0.79995117038483843"/>
        <color theme="7" tint="0.39997558519241921"/>
      </colorScale>
    </cfRule>
  </conditionalFormatting>
  <conditionalFormatting sqref="O215:O217">
    <cfRule type="colorScale" priority="411">
      <colorScale>
        <cfvo type="min"/>
        <cfvo type="max"/>
        <color theme="7" tint="0.79995117038483843"/>
        <color theme="7" tint="0.39997558519241921"/>
      </colorScale>
    </cfRule>
  </conditionalFormatting>
  <conditionalFormatting sqref="O237">
    <cfRule type="colorScale" priority="458">
      <colorScale>
        <cfvo type="min"/>
        <cfvo type="max"/>
        <color theme="7" tint="0.79995117038483843"/>
        <color theme="7" tint="0.39997558519241921"/>
      </colorScale>
    </cfRule>
  </conditionalFormatting>
  <conditionalFormatting sqref="O239">
    <cfRule type="colorScale" priority="455">
      <colorScale>
        <cfvo type="min"/>
        <cfvo type="max"/>
        <color theme="7" tint="0.79995117038483843"/>
        <color theme="7" tint="0.39997558519241921"/>
      </colorScale>
    </cfRule>
  </conditionalFormatting>
  <conditionalFormatting sqref="O241">
    <cfRule type="colorScale" priority="452">
      <colorScale>
        <cfvo type="min"/>
        <cfvo type="max"/>
        <color theme="7" tint="0.79995117038483843"/>
        <color theme="7" tint="0.39997558519241921"/>
      </colorScale>
    </cfRule>
  </conditionalFormatting>
  <conditionalFormatting sqref="O243">
    <cfRule type="colorScale" priority="449">
      <colorScale>
        <cfvo type="min"/>
        <cfvo type="max"/>
        <color theme="7" tint="0.79995117038483843"/>
        <color theme="7" tint="0.39997558519241921"/>
      </colorScale>
    </cfRule>
  </conditionalFormatting>
  <conditionalFormatting sqref="O245">
    <cfRule type="colorScale" priority="446">
      <colorScale>
        <cfvo type="min"/>
        <cfvo type="max"/>
        <color theme="7" tint="0.79995117038483843"/>
        <color theme="7" tint="0.39997558519241921"/>
      </colorScale>
    </cfRule>
  </conditionalFormatting>
  <conditionalFormatting sqref="O247:O253">
    <cfRule type="colorScale" priority="409">
      <colorScale>
        <cfvo type="min"/>
        <cfvo type="max"/>
        <color theme="7" tint="0.79995117038483843"/>
        <color theme="7" tint="0.39997558519241921"/>
      </colorScale>
    </cfRule>
  </conditionalFormatting>
  <conditionalFormatting sqref="O255">
    <cfRule type="colorScale" priority="443">
      <colorScale>
        <cfvo type="min"/>
        <cfvo type="max"/>
        <color theme="7" tint="0.79995117038483843"/>
        <color theme="7" tint="0.39997558519241921"/>
      </colorScale>
    </cfRule>
  </conditionalFormatting>
  <conditionalFormatting sqref="O238 O256 O276 O284 O266 O274 O254 O147:O208 O218:O236 O240 O242 O244 O246 O258 O278 O280 O282">
    <cfRule type="colorScale" priority="461">
      <colorScale>
        <cfvo type="min"/>
        <cfvo type="max"/>
        <color theme="7" tint="0.79995117038483843"/>
        <color theme="7" tint="0.39997558519241921"/>
      </colorScale>
    </cfRule>
  </conditionalFormatting>
  <conditionalFormatting sqref="O257">
    <cfRule type="colorScale" priority="428">
      <colorScale>
        <cfvo type="min"/>
        <cfvo type="max"/>
        <color theme="7" tint="0.79995117038483843"/>
        <color theme="7" tint="0.39997558519241921"/>
      </colorScale>
    </cfRule>
  </conditionalFormatting>
  <conditionalFormatting sqref="O259:O265">
    <cfRule type="colorScale" priority="425">
      <colorScale>
        <cfvo type="min"/>
        <cfvo type="max"/>
        <color theme="7" tint="0.79995117038483843"/>
        <color theme="7" tint="0.39997558519241921"/>
      </colorScale>
    </cfRule>
  </conditionalFormatting>
  <conditionalFormatting sqref="O267:O273">
    <cfRule type="colorScale" priority="422">
      <colorScale>
        <cfvo type="min"/>
        <cfvo type="max"/>
        <color theme="7" tint="0.79995117038483843"/>
        <color theme="7" tint="0.39997558519241921"/>
      </colorScale>
    </cfRule>
  </conditionalFormatting>
  <conditionalFormatting sqref="O275">
    <cfRule type="colorScale" priority="440">
      <colorScale>
        <cfvo type="min"/>
        <cfvo type="max"/>
        <color theme="7" tint="0.79995117038483843"/>
        <color theme="7" tint="0.39997558519241921"/>
      </colorScale>
    </cfRule>
  </conditionalFormatting>
  <conditionalFormatting sqref="O277">
    <cfRule type="colorScale" priority="419">
      <colorScale>
        <cfvo type="min"/>
        <cfvo type="max"/>
        <color theme="7" tint="0.79995117038483843"/>
        <color theme="7" tint="0.39997558519241921"/>
      </colorScale>
    </cfRule>
  </conditionalFormatting>
  <conditionalFormatting sqref="O279">
    <cfRule type="colorScale" priority="437">
      <colorScale>
        <cfvo type="min"/>
        <cfvo type="max"/>
        <color theme="7" tint="0.79995117038483843"/>
        <color theme="7" tint="0.39997558519241921"/>
      </colorScale>
    </cfRule>
  </conditionalFormatting>
  <conditionalFormatting sqref="O281">
    <cfRule type="colorScale" priority="434">
      <colorScale>
        <cfvo type="min"/>
        <cfvo type="max"/>
        <color theme="7" tint="0.79995117038483843"/>
        <color theme="7" tint="0.39997558519241921"/>
      </colorScale>
    </cfRule>
  </conditionalFormatting>
  <conditionalFormatting sqref="O283">
    <cfRule type="colorScale" priority="431">
      <colorScale>
        <cfvo type="min"/>
        <cfvo type="max"/>
        <color theme="7" tint="0.79995117038483843"/>
        <color theme="7" tint="0.39997558519241921"/>
      </colorScale>
    </cfRule>
  </conditionalFormatting>
  <conditionalFormatting sqref="O286:O287">
    <cfRule type="colorScale" priority="516">
      <colorScale>
        <cfvo type="min"/>
        <cfvo type="max"/>
        <color theme="7" tint="0.79995117038483843"/>
        <color theme="7" tint="0.39997558519241921"/>
      </colorScale>
    </cfRule>
  </conditionalFormatting>
  <conditionalFormatting sqref="O352:O354">
    <cfRule type="colorScale" priority="362">
      <colorScale>
        <cfvo type="min"/>
        <cfvo type="max"/>
        <color theme="7" tint="0.79995117038483843"/>
        <color theme="7" tint="0.39997558519241921"/>
      </colorScale>
    </cfRule>
  </conditionalFormatting>
  <conditionalFormatting sqref="O355:O357">
    <cfRule type="colorScale" priority="359">
      <colorScale>
        <cfvo type="min"/>
        <cfvo type="max"/>
        <color theme="7" tint="0.79995117038483843"/>
        <color theme="7" tint="0.39997558519241921"/>
      </colorScale>
    </cfRule>
  </conditionalFormatting>
  <conditionalFormatting sqref="O358:O360">
    <cfRule type="colorScale" priority="357">
      <colorScale>
        <cfvo type="min"/>
        <cfvo type="max"/>
        <color theme="7" tint="0.79995117038483843"/>
        <color theme="7" tint="0.39997558519241921"/>
      </colorScale>
    </cfRule>
  </conditionalFormatting>
  <conditionalFormatting sqref="O380">
    <cfRule type="colorScale" priority="403">
      <colorScale>
        <cfvo type="min"/>
        <cfvo type="max"/>
        <color theme="7" tint="0.79995117038483843"/>
        <color theme="7" tint="0.39997558519241921"/>
      </colorScale>
    </cfRule>
  </conditionalFormatting>
  <conditionalFormatting sqref="O381 O399 O419 O427 O409 O417 O397 O290:O351 O361:O379 O383 O385 O387 O389 O401 O421 O423 O425">
    <cfRule type="colorScale" priority="406">
      <colorScale>
        <cfvo type="min"/>
        <cfvo type="max"/>
        <color theme="7" tint="0.79995117038483843"/>
        <color theme="7" tint="0.39997558519241921"/>
      </colorScale>
    </cfRule>
  </conditionalFormatting>
  <conditionalFormatting sqref="O382">
    <cfRule type="colorScale" priority="400">
      <colorScale>
        <cfvo type="min"/>
        <cfvo type="max"/>
        <color theme="7" tint="0.79995117038483843"/>
        <color theme="7" tint="0.39997558519241921"/>
      </colorScale>
    </cfRule>
  </conditionalFormatting>
  <conditionalFormatting sqref="O384">
    <cfRule type="colorScale" priority="397">
      <colorScale>
        <cfvo type="min"/>
        <cfvo type="max"/>
        <color theme="7" tint="0.79995117038483843"/>
        <color theme="7" tint="0.39997558519241921"/>
      </colorScale>
    </cfRule>
  </conditionalFormatting>
  <conditionalFormatting sqref="O386">
    <cfRule type="colorScale" priority="394">
      <colorScale>
        <cfvo type="min"/>
        <cfvo type="max"/>
        <color theme="7" tint="0.79995117038483843"/>
        <color theme="7" tint="0.39997558519241921"/>
      </colorScale>
    </cfRule>
  </conditionalFormatting>
  <conditionalFormatting sqref="O388">
    <cfRule type="colorScale" priority="391">
      <colorScale>
        <cfvo type="min"/>
        <cfvo type="max"/>
        <color theme="7" tint="0.79995117038483843"/>
        <color theme="7" tint="0.39997558519241921"/>
      </colorScale>
    </cfRule>
  </conditionalFormatting>
  <conditionalFormatting sqref="O390:O396">
    <cfRule type="colorScale" priority="355">
      <colorScale>
        <cfvo type="min"/>
        <cfvo type="max"/>
        <color theme="7" tint="0.79995117038483843"/>
        <color theme="7" tint="0.39997558519241921"/>
      </colorScale>
    </cfRule>
  </conditionalFormatting>
  <conditionalFormatting sqref="O398">
    <cfRule type="colorScale" priority="388">
      <colorScale>
        <cfvo type="min"/>
        <cfvo type="max"/>
        <color theme="7" tint="0.79995117038483843"/>
        <color theme="7" tint="0.39997558519241921"/>
      </colorScale>
    </cfRule>
  </conditionalFormatting>
  <conditionalFormatting sqref="O400">
    <cfRule type="colorScale" priority="374">
      <colorScale>
        <cfvo type="min"/>
        <cfvo type="max"/>
        <color theme="7" tint="0.79995117038483843"/>
        <color theme="7" tint="0.39997558519241921"/>
      </colorScale>
    </cfRule>
  </conditionalFormatting>
  <conditionalFormatting sqref="O402:O408">
    <cfRule type="colorScale" priority="371">
      <colorScale>
        <cfvo type="min"/>
        <cfvo type="max"/>
        <color theme="7" tint="0.79995117038483843"/>
        <color theme="7" tint="0.39997558519241921"/>
      </colorScale>
    </cfRule>
  </conditionalFormatting>
  <conditionalFormatting sqref="O410:O416">
    <cfRule type="colorScale" priority="368">
      <colorScale>
        <cfvo type="min"/>
        <cfvo type="max"/>
        <color theme="7" tint="0.79995117038483843"/>
        <color theme="7" tint="0.39997558519241921"/>
      </colorScale>
    </cfRule>
  </conditionalFormatting>
  <conditionalFormatting sqref="O418">
    <cfRule type="colorScale" priority="385">
      <colorScale>
        <cfvo type="min"/>
        <cfvo type="max"/>
        <color theme="7" tint="0.79995117038483843"/>
        <color theme="7" tint="0.39997558519241921"/>
      </colorScale>
    </cfRule>
  </conditionalFormatting>
  <conditionalFormatting sqref="O420">
    <cfRule type="colorScale" priority="365">
      <colorScale>
        <cfvo type="min"/>
        <cfvo type="max"/>
        <color theme="7" tint="0.79995117038483843"/>
        <color theme="7" tint="0.39997558519241921"/>
      </colorScale>
    </cfRule>
  </conditionalFormatting>
  <conditionalFormatting sqref="O422">
    <cfRule type="colorScale" priority="382">
      <colorScale>
        <cfvo type="min"/>
        <cfvo type="max"/>
        <color theme="7" tint="0.79995117038483843"/>
        <color theme="7" tint="0.39997558519241921"/>
      </colorScale>
    </cfRule>
  </conditionalFormatting>
  <conditionalFormatting sqref="O424">
    <cfRule type="colorScale" priority="379">
      <colorScale>
        <cfvo type="min"/>
        <cfvo type="max"/>
        <color theme="7" tint="0.79995117038483843"/>
        <color theme="7" tint="0.39997558519241921"/>
      </colorScale>
    </cfRule>
  </conditionalFormatting>
  <conditionalFormatting sqref="O426">
    <cfRule type="colorScale" priority="376">
      <colorScale>
        <cfvo type="min"/>
        <cfvo type="max"/>
        <color theme="7" tint="0.79995117038483843"/>
        <color theme="7" tint="0.39997558519241921"/>
      </colorScale>
    </cfRule>
  </conditionalFormatting>
  <conditionalFormatting sqref="O429:O430">
    <cfRule type="colorScale" priority="522">
      <colorScale>
        <cfvo type="min"/>
        <cfvo type="max"/>
        <color theme="7" tint="0.79995117038483843"/>
        <color theme="7" tint="0.39997558519241921"/>
      </colorScale>
    </cfRule>
  </conditionalFormatting>
  <conditionalFormatting sqref="O495:O497">
    <cfRule type="colorScale" priority="305">
      <colorScale>
        <cfvo type="min"/>
        <cfvo type="max"/>
        <color theme="7" tint="0.79995117038483843"/>
        <color theme="7" tint="0.39997558519241921"/>
      </colorScale>
    </cfRule>
  </conditionalFormatting>
  <conditionalFormatting sqref="O498:O500">
    <cfRule type="colorScale" priority="302">
      <colorScale>
        <cfvo type="min"/>
        <cfvo type="max"/>
        <color theme="7" tint="0.79995117038483843"/>
        <color theme="7" tint="0.39997558519241921"/>
      </colorScale>
    </cfRule>
  </conditionalFormatting>
  <conditionalFormatting sqref="O501:O503">
    <cfRule type="colorScale" priority="300">
      <colorScale>
        <cfvo type="min"/>
        <cfvo type="max"/>
        <color theme="7" tint="0.79995117038483843"/>
        <color theme="7" tint="0.39997558519241921"/>
      </colorScale>
    </cfRule>
  </conditionalFormatting>
  <conditionalFormatting sqref="O523">
    <cfRule type="colorScale" priority="346">
      <colorScale>
        <cfvo type="min"/>
        <cfvo type="max"/>
        <color theme="7" tint="0.79995117038483843"/>
        <color theme="7" tint="0.39997558519241921"/>
      </colorScale>
    </cfRule>
  </conditionalFormatting>
  <conditionalFormatting sqref="O524 O542 O562 O570 O552 O560 O540 O433:O494 O504:O522 O526 O528 O530 O532 O544 O564 O566 O568">
    <cfRule type="colorScale" priority="349">
      <colorScale>
        <cfvo type="min"/>
        <cfvo type="max"/>
        <color theme="7" tint="0.79995117038483843"/>
        <color theme="7" tint="0.39997558519241921"/>
      </colorScale>
    </cfRule>
  </conditionalFormatting>
  <conditionalFormatting sqref="O525">
    <cfRule type="colorScale" priority="343">
      <colorScale>
        <cfvo type="min"/>
        <cfvo type="max"/>
        <color theme="7" tint="0.79995117038483843"/>
        <color theme="7" tint="0.39997558519241921"/>
      </colorScale>
    </cfRule>
  </conditionalFormatting>
  <conditionalFormatting sqref="O527">
    <cfRule type="colorScale" priority="340">
      <colorScale>
        <cfvo type="min"/>
        <cfvo type="max"/>
        <color theme="7" tint="0.79995117038483843"/>
        <color theme="7" tint="0.39997558519241921"/>
      </colorScale>
    </cfRule>
  </conditionalFormatting>
  <conditionalFormatting sqref="O529">
    <cfRule type="colorScale" priority="337">
      <colorScale>
        <cfvo type="min"/>
        <cfvo type="max"/>
        <color theme="7" tint="0.79995117038483843"/>
        <color theme="7" tint="0.39997558519241921"/>
      </colorScale>
    </cfRule>
  </conditionalFormatting>
  <conditionalFormatting sqref="O531">
    <cfRule type="colorScale" priority="334">
      <colorScale>
        <cfvo type="min"/>
        <cfvo type="max"/>
        <color theme="7" tint="0.79995117038483843"/>
        <color theme="7" tint="0.39997558519241921"/>
      </colorScale>
    </cfRule>
  </conditionalFormatting>
  <conditionalFormatting sqref="O533:O539">
    <cfRule type="colorScale" priority="298">
      <colorScale>
        <cfvo type="min"/>
        <cfvo type="max"/>
        <color theme="7" tint="0.79995117038483843"/>
        <color theme="7" tint="0.39997558519241921"/>
      </colorScale>
    </cfRule>
  </conditionalFormatting>
  <conditionalFormatting sqref="O541">
    <cfRule type="colorScale" priority="331">
      <colorScale>
        <cfvo type="min"/>
        <cfvo type="max"/>
        <color theme="7" tint="0.79995117038483843"/>
        <color theme="7" tint="0.39997558519241921"/>
      </colorScale>
    </cfRule>
  </conditionalFormatting>
  <conditionalFormatting sqref="O543">
    <cfRule type="colorScale" priority="317">
      <colorScale>
        <cfvo type="min"/>
        <cfvo type="max"/>
        <color theme="7" tint="0.79995117038483843"/>
        <color theme="7" tint="0.39997558519241921"/>
      </colorScale>
    </cfRule>
  </conditionalFormatting>
  <conditionalFormatting sqref="O545:O551">
    <cfRule type="colorScale" priority="314">
      <colorScale>
        <cfvo type="min"/>
        <cfvo type="max"/>
        <color theme="7" tint="0.79995117038483843"/>
        <color theme="7" tint="0.39997558519241921"/>
      </colorScale>
    </cfRule>
  </conditionalFormatting>
  <conditionalFormatting sqref="O553:O559">
    <cfRule type="colorScale" priority="311">
      <colorScale>
        <cfvo type="min"/>
        <cfvo type="max"/>
        <color theme="7" tint="0.79995117038483843"/>
        <color theme="7" tint="0.39997558519241921"/>
      </colorScale>
    </cfRule>
  </conditionalFormatting>
  <conditionalFormatting sqref="O561">
    <cfRule type="colorScale" priority="328">
      <colorScale>
        <cfvo type="min"/>
        <cfvo type="max"/>
        <color theme="7" tint="0.79995117038483843"/>
        <color theme="7" tint="0.39997558519241921"/>
      </colorScale>
    </cfRule>
  </conditionalFormatting>
  <conditionalFormatting sqref="O563">
    <cfRule type="colorScale" priority="308">
      <colorScale>
        <cfvo type="min"/>
        <cfvo type="max"/>
        <color theme="7" tint="0.79995117038483843"/>
        <color theme="7" tint="0.39997558519241921"/>
      </colorScale>
    </cfRule>
  </conditionalFormatting>
  <conditionalFormatting sqref="O565">
    <cfRule type="colorScale" priority="325">
      <colorScale>
        <cfvo type="min"/>
        <cfvo type="max"/>
        <color theme="7" tint="0.79995117038483843"/>
        <color theme="7" tint="0.39997558519241921"/>
      </colorScale>
    </cfRule>
  </conditionalFormatting>
  <conditionalFormatting sqref="O567">
    <cfRule type="colorScale" priority="322">
      <colorScale>
        <cfvo type="min"/>
        <cfvo type="max"/>
        <color theme="7" tint="0.79995117038483843"/>
        <color theme="7" tint="0.39997558519241921"/>
      </colorScale>
    </cfRule>
  </conditionalFormatting>
  <conditionalFormatting sqref="O569">
    <cfRule type="colorScale" priority="319">
      <colorScale>
        <cfvo type="min"/>
        <cfvo type="max"/>
        <color theme="7" tint="0.79995117038483843"/>
        <color theme="7" tint="0.39997558519241921"/>
      </colorScale>
    </cfRule>
  </conditionalFormatting>
  <conditionalFormatting sqref="O572:O573">
    <cfRule type="colorScale" priority="352">
      <colorScale>
        <cfvo type="min"/>
        <cfvo type="max"/>
        <color theme="7" tint="0.79995117038483843"/>
        <color theme="7" tint="0.39997558519241921"/>
      </colorScale>
    </cfRule>
  </conditionalFormatting>
  <conditionalFormatting sqref="O638:O640">
    <cfRule type="colorScale" priority="248">
      <colorScale>
        <cfvo type="min"/>
        <cfvo type="max"/>
        <color theme="7" tint="0.79995117038483843"/>
        <color theme="7" tint="0.39997558519241921"/>
      </colorScale>
    </cfRule>
  </conditionalFormatting>
  <conditionalFormatting sqref="O641:O643">
    <cfRule type="colorScale" priority="245">
      <colorScale>
        <cfvo type="min"/>
        <cfvo type="max"/>
        <color theme="7" tint="0.79995117038483843"/>
        <color theme="7" tint="0.39997558519241921"/>
      </colorScale>
    </cfRule>
  </conditionalFormatting>
  <conditionalFormatting sqref="O644:O646">
    <cfRule type="colorScale" priority="243">
      <colorScale>
        <cfvo type="min"/>
        <cfvo type="max"/>
        <color theme="7" tint="0.79995117038483843"/>
        <color theme="7" tint="0.39997558519241921"/>
      </colorScale>
    </cfRule>
  </conditionalFormatting>
  <conditionalFormatting sqref="O666">
    <cfRule type="colorScale" priority="289">
      <colorScale>
        <cfvo type="min"/>
        <cfvo type="max"/>
        <color theme="7" tint="0.79995117038483843"/>
        <color theme="7" tint="0.39997558519241921"/>
      </colorScale>
    </cfRule>
  </conditionalFormatting>
  <conditionalFormatting sqref="O667 O685 O705 O713 O695 O703 O683 O576:O637 O647:O665 O669 O671 O673 O675 O687 O707 O709 O711">
    <cfRule type="colorScale" priority="292">
      <colorScale>
        <cfvo type="min"/>
        <cfvo type="max"/>
        <color theme="7" tint="0.79995117038483843"/>
        <color theme="7" tint="0.39997558519241921"/>
      </colorScale>
    </cfRule>
  </conditionalFormatting>
  <conditionalFormatting sqref="O668">
    <cfRule type="colorScale" priority="286">
      <colorScale>
        <cfvo type="min"/>
        <cfvo type="max"/>
        <color theme="7" tint="0.79995117038483843"/>
        <color theme="7" tint="0.39997558519241921"/>
      </colorScale>
    </cfRule>
  </conditionalFormatting>
  <conditionalFormatting sqref="O670">
    <cfRule type="colorScale" priority="283">
      <colorScale>
        <cfvo type="min"/>
        <cfvo type="max"/>
        <color theme="7" tint="0.79995117038483843"/>
        <color theme="7" tint="0.39997558519241921"/>
      </colorScale>
    </cfRule>
  </conditionalFormatting>
  <conditionalFormatting sqref="O672">
    <cfRule type="colorScale" priority="280">
      <colorScale>
        <cfvo type="min"/>
        <cfvo type="max"/>
        <color theme="7" tint="0.79995117038483843"/>
        <color theme="7" tint="0.39997558519241921"/>
      </colorScale>
    </cfRule>
  </conditionalFormatting>
  <conditionalFormatting sqref="O674">
    <cfRule type="colorScale" priority="277">
      <colorScale>
        <cfvo type="min"/>
        <cfvo type="max"/>
        <color theme="7" tint="0.79995117038483843"/>
        <color theme="7" tint="0.39997558519241921"/>
      </colorScale>
    </cfRule>
  </conditionalFormatting>
  <conditionalFormatting sqref="O676:O682">
    <cfRule type="colorScale" priority="241">
      <colorScale>
        <cfvo type="min"/>
        <cfvo type="max"/>
        <color theme="7" tint="0.79995117038483843"/>
        <color theme="7" tint="0.39997558519241921"/>
      </colorScale>
    </cfRule>
  </conditionalFormatting>
  <conditionalFormatting sqref="O684">
    <cfRule type="colorScale" priority="274">
      <colorScale>
        <cfvo type="min"/>
        <cfvo type="max"/>
        <color theme="7" tint="0.79995117038483843"/>
        <color theme="7" tint="0.39997558519241921"/>
      </colorScale>
    </cfRule>
  </conditionalFormatting>
  <conditionalFormatting sqref="O686">
    <cfRule type="colorScale" priority="260">
      <colorScale>
        <cfvo type="min"/>
        <cfvo type="max"/>
        <color theme="7" tint="0.79995117038483843"/>
        <color theme="7" tint="0.39997558519241921"/>
      </colorScale>
    </cfRule>
  </conditionalFormatting>
  <conditionalFormatting sqref="O688:O694">
    <cfRule type="colorScale" priority="257">
      <colorScale>
        <cfvo type="min"/>
        <cfvo type="max"/>
        <color theme="7" tint="0.79995117038483843"/>
        <color theme="7" tint="0.39997558519241921"/>
      </colorScale>
    </cfRule>
  </conditionalFormatting>
  <conditionalFormatting sqref="O696:O702">
    <cfRule type="colorScale" priority="254">
      <colorScale>
        <cfvo type="min"/>
        <cfvo type="max"/>
        <color theme="7" tint="0.79995117038483843"/>
        <color theme="7" tint="0.39997558519241921"/>
      </colorScale>
    </cfRule>
  </conditionalFormatting>
  <conditionalFormatting sqref="O704">
    <cfRule type="colorScale" priority="271">
      <colorScale>
        <cfvo type="min"/>
        <cfvo type="max"/>
        <color theme="7" tint="0.79995117038483843"/>
        <color theme="7" tint="0.39997558519241921"/>
      </colorScale>
    </cfRule>
  </conditionalFormatting>
  <conditionalFormatting sqref="O706">
    <cfRule type="colorScale" priority="251">
      <colorScale>
        <cfvo type="min"/>
        <cfvo type="max"/>
        <color theme="7" tint="0.79995117038483843"/>
        <color theme="7" tint="0.39997558519241921"/>
      </colorScale>
    </cfRule>
  </conditionalFormatting>
  <conditionalFormatting sqref="O708">
    <cfRule type="colorScale" priority="268">
      <colorScale>
        <cfvo type="min"/>
        <cfvo type="max"/>
        <color theme="7" tint="0.79995117038483843"/>
        <color theme="7" tint="0.39997558519241921"/>
      </colorScale>
    </cfRule>
  </conditionalFormatting>
  <conditionalFormatting sqref="O710">
    <cfRule type="colorScale" priority="265">
      <colorScale>
        <cfvo type="min"/>
        <cfvo type="max"/>
        <color theme="7" tint="0.79995117038483843"/>
        <color theme="7" tint="0.39997558519241921"/>
      </colorScale>
    </cfRule>
  </conditionalFormatting>
  <conditionalFormatting sqref="O712">
    <cfRule type="colorScale" priority="262">
      <colorScale>
        <cfvo type="min"/>
        <cfvo type="max"/>
        <color theme="7" tint="0.79995117038483843"/>
        <color theme="7" tint="0.39997558519241921"/>
      </colorScale>
    </cfRule>
  </conditionalFormatting>
  <conditionalFormatting sqref="O715:O716">
    <cfRule type="colorScale" priority="295">
      <colorScale>
        <cfvo type="min"/>
        <cfvo type="max"/>
        <color theme="7" tint="0.79995117038483843"/>
        <color theme="7" tint="0.39997558519241921"/>
      </colorScale>
    </cfRule>
  </conditionalFormatting>
  <conditionalFormatting sqref="O781:O783">
    <cfRule type="colorScale" priority="191">
      <colorScale>
        <cfvo type="min"/>
        <cfvo type="max"/>
        <color theme="7" tint="0.79995117038483843"/>
        <color theme="7" tint="0.39997558519241921"/>
      </colorScale>
    </cfRule>
  </conditionalFormatting>
  <conditionalFormatting sqref="O784:O786">
    <cfRule type="colorScale" priority="188">
      <colorScale>
        <cfvo type="min"/>
        <cfvo type="max"/>
        <color theme="7" tint="0.79995117038483843"/>
        <color theme="7" tint="0.39997558519241921"/>
      </colorScale>
    </cfRule>
  </conditionalFormatting>
  <conditionalFormatting sqref="O787:O789">
    <cfRule type="colorScale" priority="186">
      <colorScale>
        <cfvo type="min"/>
        <cfvo type="max"/>
        <color theme="7" tint="0.79995117038483843"/>
        <color theme="7" tint="0.39997558519241921"/>
      </colorScale>
    </cfRule>
  </conditionalFormatting>
  <conditionalFormatting sqref="O809">
    <cfRule type="colorScale" priority="232">
      <colorScale>
        <cfvo type="min"/>
        <cfvo type="max"/>
        <color theme="7" tint="0.79995117038483843"/>
        <color theme="7" tint="0.39997558519241921"/>
      </colorScale>
    </cfRule>
  </conditionalFormatting>
  <conditionalFormatting sqref="O810 O828 O848 O856 O838 O846 O826 O719:O780 O790:O808 O812 O814 O816 O818 O830 O850 O852 O854">
    <cfRule type="colorScale" priority="235">
      <colorScale>
        <cfvo type="min"/>
        <cfvo type="max"/>
        <color theme="7" tint="0.79995117038483843"/>
        <color theme="7" tint="0.39997558519241921"/>
      </colorScale>
    </cfRule>
  </conditionalFormatting>
  <conditionalFormatting sqref="O811">
    <cfRule type="colorScale" priority="229">
      <colorScale>
        <cfvo type="min"/>
        <cfvo type="max"/>
        <color theme="7" tint="0.79995117038483843"/>
        <color theme="7" tint="0.39997558519241921"/>
      </colorScale>
    </cfRule>
  </conditionalFormatting>
  <conditionalFormatting sqref="O813">
    <cfRule type="colorScale" priority="226">
      <colorScale>
        <cfvo type="min"/>
        <cfvo type="max"/>
        <color theme="7" tint="0.79995117038483843"/>
        <color theme="7" tint="0.39997558519241921"/>
      </colorScale>
    </cfRule>
  </conditionalFormatting>
  <conditionalFormatting sqref="O815">
    <cfRule type="colorScale" priority="223">
      <colorScale>
        <cfvo type="min"/>
        <cfvo type="max"/>
        <color theme="7" tint="0.79995117038483843"/>
        <color theme="7" tint="0.39997558519241921"/>
      </colorScale>
    </cfRule>
  </conditionalFormatting>
  <conditionalFormatting sqref="O817">
    <cfRule type="colorScale" priority="220">
      <colorScale>
        <cfvo type="min"/>
        <cfvo type="max"/>
        <color theme="7" tint="0.79995117038483843"/>
        <color theme="7" tint="0.39997558519241921"/>
      </colorScale>
    </cfRule>
  </conditionalFormatting>
  <conditionalFormatting sqref="O819:O825">
    <cfRule type="colorScale" priority="184">
      <colorScale>
        <cfvo type="min"/>
        <cfvo type="max"/>
        <color theme="7" tint="0.79995117038483843"/>
        <color theme="7" tint="0.39997558519241921"/>
      </colorScale>
    </cfRule>
  </conditionalFormatting>
  <conditionalFormatting sqref="O827">
    <cfRule type="colorScale" priority="217">
      <colorScale>
        <cfvo type="min"/>
        <cfvo type="max"/>
        <color theme="7" tint="0.79995117038483843"/>
        <color theme="7" tint="0.39997558519241921"/>
      </colorScale>
    </cfRule>
  </conditionalFormatting>
  <conditionalFormatting sqref="O829">
    <cfRule type="colorScale" priority="203">
      <colorScale>
        <cfvo type="min"/>
        <cfvo type="max"/>
        <color theme="7" tint="0.79995117038483843"/>
        <color theme="7" tint="0.39997558519241921"/>
      </colorScale>
    </cfRule>
  </conditionalFormatting>
  <conditionalFormatting sqref="O831:O837">
    <cfRule type="colorScale" priority="200">
      <colorScale>
        <cfvo type="min"/>
        <cfvo type="max"/>
        <color theme="7" tint="0.79995117038483843"/>
        <color theme="7" tint="0.39997558519241921"/>
      </colorScale>
    </cfRule>
  </conditionalFormatting>
  <conditionalFormatting sqref="O839:O845">
    <cfRule type="colorScale" priority="197">
      <colorScale>
        <cfvo type="min"/>
        <cfvo type="max"/>
        <color theme="7" tint="0.79995117038483843"/>
        <color theme="7" tint="0.39997558519241921"/>
      </colorScale>
    </cfRule>
  </conditionalFormatting>
  <conditionalFormatting sqref="O847">
    <cfRule type="colorScale" priority="214">
      <colorScale>
        <cfvo type="min"/>
        <cfvo type="max"/>
        <color theme="7" tint="0.79995117038483843"/>
        <color theme="7" tint="0.39997558519241921"/>
      </colorScale>
    </cfRule>
  </conditionalFormatting>
  <conditionalFormatting sqref="O849">
    <cfRule type="colorScale" priority="194">
      <colorScale>
        <cfvo type="min"/>
        <cfvo type="max"/>
        <color theme="7" tint="0.79995117038483843"/>
        <color theme="7" tint="0.39997558519241921"/>
      </colorScale>
    </cfRule>
  </conditionalFormatting>
  <conditionalFormatting sqref="O851">
    <cfRule type="colorScale" priority="211">
      <colorScale>
        <cfvo type="min"/>
        <cfvo type="max"/>
        <color theme="7" tint="0.79995117038483843"/>
        <color theme="7" tint="0.39997558519241921"/>
      </colorScale>
    </cfRule>
  </conditionalFormatting>
  <conditionalFormatting sqref="O853">
    <cfRule type="colorScale" priority="208">
      <colorScale>
        <cfvo type="min"/>
        <cfvo type="max"/>
        <color theme="7" tint="0.79995117038483843"/>
        <color theme="7" tint="0.39997558519241921"/>
      </colorScale>
    </cfRule>
  </conditionalFormatting>
  <conditionalFormatting sqref="O855">
    <cfRule type="colorScale" priority="205">
      <colorScale>
        <cfvo type="min"/>
        <cfvo type="max"/>
        <color theme="7" tint="0.79995117038483843"/>
        <color theme="7" tint="0.39997558519241921"/>
      </colorScale>
    </cfRule>
  </conditionalFormatting>
  <conditionalFormatting sqref="O858:O859">
    <cfRule type="colorScale" priority="238">
      <colorScale>
        <cfvo type="min"/>
        <cfvo type="max"/>
        <color theme="7" tint="0.79995117038483843"/>
        <color theme="7" tint="0.39997558519241921"/>
      </colorScale>
    </cfRule>
  </conditionalFormatting>
  <conditionalFormatting sqref="O924:O926">
    <cfRule type="colorScale" priority="134">
      <colorScale>
        <cfvo type="min"/>
        <cfvo type="max"/>
        <color theme="7" tint="0.79995117038483843"/>
        <color theme="7" tint="0.39997558519241921"/>
      </colorScale>
    </cfRule>
  </conditionalFormatting>
  <conditionalFormatting sqref="O927:O929">
    <cfRule type="colorScale" priority="131">
      <colorScale>
        <cfvo type="min"/>
        <cfvo type="max"/>
        <color theme="7" tint="0.79995117038483843"/>
        <color theme="7" tint="0.39997558519241921"/>
      </colorScale>
    </cfRule>
  </conditionalFormatting>
  <conditionalFormatting sqref="O930:O932">
    <cfRule type="colorScale" priority="129">
      <colorScale>
        <cfvo type="min"/>
        <cfvo type="max"/>
        <color theme="7" tint="0.79995117038483843"/>
        <color theme="7" tint="0.39997558519241921"/>
      </colorScale>
    </cfRule>
  </conditionalFormatting>
  <conditionalFormatting sqref="O952">
    <cfRule type="colorScale" priority="175">
      <colorScale>
        <cfvo type="min"/>
        <cfvo type="max"/>
        <color theme="7" tint="0.79995117038483843"/>
        <color theme="7" tint="0.39997558519241921"/>
      </colorScale>
    </cfRule>
  </conditionalFormatting>
  <conditionalFormatting sqref="O953 O971 O991 O999 O981 O989 O969 O862:O923 O933:O951 O955 O957 O959 O961 O973 O993 O995 O997">
    <cfRule type="colorScale" priority="178">
      <colorScale>
        <cfvo type="min"/>
        <cfvo type="max"/>
        <color theme="7" tint="0.79995117038483843"/>
        <color theme="7" tint="0.39997558519241921"/>
      </colorScale>
    </cfRule>
  </conditionalFormatting>
  <conditionalFormatting sqref="O954">
    <cfRule type="colorScale" priority="172">
      <colorScale>
        <cfvo type="min"/>
        <cfvo type="max"/>
        <color theme="7" tint="0.79995117038483843"/>
        <color theme="7" tint="0.39997558519241921"/>
      </colorScale>
    </cfRule>
  </conditionalFormatting>
  <conditionalFormatting sqref="O956">
    <cfRule type="colorScale" priority="169">
      <colorScale>
        <cfvo type="min"/>
        <cfvo type="max"/>
        <color theme="7" tint="0.79995117038483843"/>
        <color theme="7" tint="0.39997558519241921"/>
      </colorScale>
    </cfRule>
  </conditionalFormatting>
  <conditionalFormatting sqref="O958">
    <cfRule type="colorScale" priority="166">
      <colorScale>
        <cfvo type="min"/>
        <cfvo type="max"/>
        <color theme="7" tint="0.79995117038483843"/>
        <color theme="7" tint="0.39997558519241921"/>
      </colorScale>
    </cfRule>
  </conditionalFormatting>
  <conditionalFormatting sqref="O960">
    <cfRule type="colorScale" priority="163">
      <colorScale>
        <cfvo type="min"/>
        <cfvo type="max"/>
        <color theme="7" tint="0.79995117038483843"/>
        <color theme="7" tint="0.39997558519241921"/>
      </colorScale>
    </cfRule>
  </conditionalFormatting>
  <conditionalFormatting sqref="O962:O968">
    <cfRule type="colorScale" priority="127">
      <colorScale>
        <cfvo type="min"/>
        <cfvo type="max"/>
        <color theme="7" tint="0.79995117038483843"/>
        <color theme="7" tint="0.39997558519241921"/>
      </colorScale>
    </cfRule>
  </conditionalFormatting>
  <conditionalFormatting sqref="O970">
    <cfRule type="colorScale" priority="160">
      <colorScale>
        <cfvo type="min"/>
        <cfvo type="max"/>
        <color theme="7" tint="0.79995117038483843"/>
        <color theme="7" tint="0.39997558519241921"/>
      </colorScale>
    </cfRule>
  </conditionalFormatting>
  <conditionalFormatting sqref="O972">
    <cfRule type="colorScale" priority="146">
      <colorScale>
        <cfvo type="min"/>
        <cfvo type="max"/>
        <color theme="7" tint="0.79995117038483843"/>
        <color theme="7" tint="0.39997558519241921"/>
      </colorScale>
    </cfRule>
  </conditionalFormatting>
  <conditionalFormatting sqref="O974:O980">
    <cfRule type="colorScale" priority="143">
      <colorScale>
        <cfvo type="min"/>
        <cfvo type="max"/>
        <color theme="7" tint="0.79995117038483843"/>
        <color theme="7" tint="0.39997558519241921"/>
      </colorScale>
    </cfRule>
  </conditionalFormatting>
  <conditionalFormatting sqref="O982:O988">
    <cfRule type="colorScale" priority="140">
      <colorScale>
        <cfvo type="min"/>
        <cfvo type="max"/>
        <color theme="7" tint="0.79995117038483843"/>
        <color theme="7" tint="0.39997558519241921"/>
      </colorScale>
    </cfRule>
  </conditionalFormatting>
  <conditionalFormatting sqref="O990">
    <cfRule type="colorScale" priority="157">
      <colorScale>
        <cfvo type="min"/>
        <cfvo type="max"/>
        <color theme="7" tint="0.79995117038483843"/>
        <color theme="7" tint="0.39997558519241921"/>
      </colorScale>
    </cfRule>
  </conditionalFormatting>
  <conditionalFormatting sqref="O992">
    <cfRule type="colorScale" priority="137">
      <colorScale>
        <cfvo type="min"/>
        <cfvo type="max"/>
        <color theme="7" tint="0.79995117038483843"/>
        <color theme="7" tint="0.39997558519241921"/>
      </colorScale>
    </cfRule>
  </conditionalFormatting>
  <conditionalFormatting sqref="O994">
    <cfRule type="colorScale" priority="154">
      <colorScale>
        <cfvo type="min"/>
        <cfvo type="max"/>
        <color theme="7" tint="0.79995117038483843"/>
        <color theme="7" tint="0.39997558519241921"/>
      </colorScale>
    </cfRule>
  </conditionalFormatting>
  <conditionalFormatting sqref="O996">
    <cfRule type="colorScale" priority="151">
      <colorScale>
        <cfvo type="min"/>
        <cfvo type="max"/>
        <color theme="7" tint="0.79995117038483843"/>
        <color theme="7" tint="0.39997558519241921"/>
      </colorScale>
    </cfRule>
  </conditionalFormatting>
  <conditionalFormatting sqref="O998">
    <cfRule type="colorScale" priority="148">
      <colorScale>
        <cfvo type="min"/>
        <cfvo type="max"/>
        <color theme="7" tint="0.79995117038483843"/>
        <color theme="7" tint="0.39997558519241921"/>
      </colorScale>
    </cfRule>
  </conditionalFormatting>
  <conditionalFormatting sqref="O1001:O1002">
    <cfRule type="colorScale" priority="181">
      <colorScale>
        <cfvo type="min"/>
        <cfvo type="max"/>
        <color theme="7" tint="0.79995117038483843"/>
        <color theme="7" tint="0.39997558519241921"/>
      </colorScale>
    </cfRule>
  </conditionalFormatting>
  <conditionalFormatting sqref="O1067:O1069">
    <cfRule type="colorScale" priority="76">
      <colorScale>
        <cfvo type="min"/>
        <cfvo type="max"/>
        <color theme="7" tint="0.79995117038483843"/>
        <color theme="7" tint="0.39997558519241921"/>
      </colorScale>
    </cfRule>
  </conditionalFormatting>
  <conditionalFormatting sqref="O1070:O1072">
    <cfRule type="colorScale" priority="73">
      <colorScale>
        <cfvo type="min"/>
        <cfvo type="max"/>
        <color theme="7" tint="0.79995117038483843"/>
        <color theme="7" tint="0.39997558519241921"/>
      </colorScale>
    </cfRule>
  </conditionalFormatting>
  <conditionalFormatting sqref="O1073:O1075">
    <cfRule type="colorScale" priority="71">
      <colorScale>
        <cfvo type="min"/>
        <cfvo type="max"/>
        <color theme="7" tint="0.79995117038483843"/>
        <color theme="7" tint="0.39997558519241921"/>
      </colorScale>
    </cfRule>
  </conditionalFormatting>
  <conditionalFormatting sqref="O1095">
    <cfRule type="colorScale" priority="118">
      <colorScale>
        <cfvo type="min"/>
        <cfvo type="max"/>
        <color theme="7" tint="0.79995117038483843"/>
        <color theme="7" tint="0.39997558519241921"/>
      </colorScale>
    </cfRule>
  </conditionalFormatting>
  <conditionalFormatting sqref="O1096 O1114 O1134 O1142 O1124 O1132 O1112 O1005:O1066 O1076:O1094 O1098 O1100 O1102 O1104 O1116 O1136 O1138 O1140">
    <cfRule type="colorScale" priority="121">
      <colorScale>
        <cfvo type="min"/>
        <cfvo type="max"/>
        <color theme="7" tint="0.79995117038483843"/>
        <color theme="7" tint="0.39997558519241921"/>
      </colorScale>
    </cfRule>
  </conditionalFormatting>
  <conditionalFormatting sqref="O1097">
    <cfRule type="colorScale" priority="115">
      <colorScale>
        <cfvo type="min"/>
        <cfvo type="max"/>
        <color theme="7" tint="0.79995117038483843"/>
        <color theme="7" tint="0.39997558519241921"/>
      </colorScale>
    </cfRule>
  </conditionalFormatting>
  <conditionalFormatting sqref="O1099">
    <cfRule type="colorScale" priority="112">
      <colorScale>
        <cfvo type="min"/>
        <cfvo type="max"/>
        <color theme="7" tint="0.79995117038483843"/>
        <color theme="7" tint="0.39997558519241921"/>
      </colorScale>
    </cfRule>
  </conditionalFormatting>
  <conditionalFormatting sqref="O1101">
    <cfRule type="colorScale" priority="109">
      <colorScale>
        <cfvo type="min"/>
        <cfvo type="max"/>
        <color theme="7" tint="0.79995117038483843"/>
        <color theme="7" tint="0.39997558519241921"/>
      </colorScale>
    </cfRule>
  </conditionalFormatting>
  <conditionalFormatting sqref="O1103">
    <cfRule type="colorScale" priority="106">
      <colorScale>
        <cfvo type="min"/>
        <cfvo type="max"/>
        <color theme="7" tint="0.79995117038483843"/>
        <color theme="7" tint="0.39997558519241921"/>
      </colorScale>
    </cfRule>
  </conditionalFormatting>
  <conditionalFormatting sqref="O1105:O1111">
    <cfRule type="colorScale" priority="69">
      <colorScale>
        <cfvo type="min"/>
        <cfvo type="max"/>
        <color theme="7" tint="0.79995117038483843"/>
        <color theme="7" tint="0.39997558519241921"/>
      </colorScale>
    </cfRule>
  </conditionalFormatting>
  <conditionalFormatting sqref="O1113">
    <cfRule type="colorScale" priority="103">
      <colorScale>
        <cfvo type="min"/>
        <cfvo type="max"/>
        <color theme="7" tint="0.79995117038483843"/>
        <color theme="7" tint="0.39997558519241921"/>
      </colorScale>
    </cfRule>
  </conditionalFormatting>
  <conditionalFormatting sqref="O1115">
    <cfRule type="colorScale" priority="88">
      <colorScale>
        <cfvo type="min"/>
        <cfvo type="max"/>
        <color theme="7" tint="0.79995117038483843"/>
        <color theme="7" tint="0.39997558519241921"/>
      </colorScale>
    </cfRule>
  </conditionalFormatting>
  <conditionalFormatting sqref="O1117:O1123">
    <cfRule type="colorScale" priority="85">
      <colorScale>
        <cfvo type="min"/>
        <cfvo type="max"/>
        <color theme="7" tint="0.79995117038483843"/>
        <color theme="7" tint="0.39997558519241921"/>
      </colorScale>
    </cfRule>
  </conditionalFormatting>
  <conditionalFormatting sqref="O1125:O1131">
    <cfRule type="colorScale" priority="82">
      <colorScale>
        <cfvo type="min"/>
        <cfvo type="max"/>
        <color theme="7" tint="0.79995117038483843"/>
        <color theme="7" tint="0.39997558519241921"/>
      </colorScale>
    </cfRule>
  </conditionalFormatting>
  <conditionalFormatting sqref="O1133">
    <cfRule type="colorScale" priority="100">
      <colorScale>
        <cfvo type="min"/>
        <cfvo type="max"/>
        <color theme="7" tint="0.79995117038483843"/>
        <color theme="7" tint="0.39997558519241921"/>
      </colorScale>
    </cfRule>
  </conditionalFormatting>
  <conditionalFormatting sqref="O1135">
    <cfRule type="colorScale" priority="79">
      <colorScale>
        <cfvo type="min"/>
        <cfvo type="max"/>
        <color theme="7" tint="0.79995117038483843"/>
        <color theme="7" tint="0.39997558519241921"/>
      </colorScale>
    </cfRule>
  </conditionalFormatting>
  <conditionalFormatting sqref="O1137">
    <cfRule type="colorScale" priority="97">
      <colorScale>
        <cfvo type="min"/>
        <cfvo type="max"/>
        <color theme="7" tint="0.79995117038483843"/>
        <color theme="7" tint="0.39997558519241921"/>
      </colorScale>
    </cfRule>
  </conditionalFormatting>
  <conditionalFormatting sqref="O1139">
    <cfRule type="colorScale" priority="94">
      <colorScale>
        <cfvo type="min"/>
        <cfvo type="max"/>
        <color theme="7" tint="0.79995117038483843"/>
        <color theme="7" tint="0.39997558519241921"/>
      </colorScale>
    </cfRule>
  </conditionalFormatting>
  <conditionalFormatting sqref="O1141">
    <cfRule type="colorScale" priority="91">
      <colorScale>
        <cfvo type="min"/>
        <cfvo type="max"/>
        <color theme="7" tint="0.79995117038483843"/>
        <color theme="7" tint="0.39997558519241921"/>
      </colorScale>
    </cfRule>
  </conditionalFormatting>
  <conditionalFormatting sqref="O1144:O1145">
    <cfRule type="colorScale" priority="124">
      <colorScale>
        <cfvo type="min"/>
        <cfvo type="max"/>
        <color theme="7" tint="0.79995117038483843"/>
        <color theme="7" tint="0.39997558519241921"/>
      </colorScale>
    </cfRule>
  </conditionalFormatting>
  <conditionalFormatting sqref="O1210:O1212">
    <cfRule type="colorScale" priority="18">
      <colorScale>
        <cfvo type="min"/>
        <cfvo type="max"/>
        <color theme="7" tint="0.79995117038483843"/>
        <color theme="7" tint="0.39997558519241921"/>
      </colorScale>
    </cfRule>
  </conditionalFormatting>
  <conditionalFormatting sqref="O1213:O1215">
    <cfRule type="colorScale" priority="15">
      <colorScale>
        <cfvo type="min"/>
        <cfvo type="max"/>
        <color theme="7" tint="0.79995117038483843"/>
        <color theme="7" tint="0.39997558519241921"/>
      </colorScale>
    </cfRule>
  </conditionalFormatting>
  <conditionalFormatting sqref="O1216:O1218">
    <cfRule type="colorScale" priority="13">
      <colorScale>
        <cfvo type="min"/>
        <cfvo type="max"/>
        <color theme="7" tint="0.79995117038483843"/>
        <color theme="7" tint="0.39997558519241921"/>
      </colorScale>
    </cfRule>
  </conditionalFormatting>
  <conditionalFormatting sqref="O1238">
    <cfRule type="colorScale" priority="60">
      <colorScale>
        <cfvo type="min"/>
        <cfvo type="max"/>
        <color theme="7" tint="0.79995117038483843"/>
        <color theme="7" tint="0.39997558519241921"/>
      </colorScale>
    </cfRule>
  </conditionalFormatting>
  <conditionalFormatting sqref="O1239 O1257 O1277 O1285 O1267 O1275 O1255 O1148:O1209 O1219:O1237 O1241 O1243 O1245 O1247 O1259 O1279 O1281 O1283">
    <cfRule type="colorScale" priority="63">
      <colorScale>
        <cfvo type="min"/>
        <cfvo type="max"/>
        <color theme="7" tint="0.79995117038483843"/>
        <color theme="7" tint="0.39997558519241921"/>
      </colorScale>
    </cfRule>
  </conditionalFormatting>
  <conditionalFormatting sqref="O1240">
    <cfRule type="colorScale" priority="57">
      <colorScale>
        <cfvo type="min"/>
        <cfvo type="max"/>
        <color theme="7" tint="0.79995117038483843"/>
        <color theme="7" tint="0.39997558519241921"/>
      </colorScale>
    </cfRule>
  </conditionalFormatting>
  <conditionalFormatting sqref="O1242">
    <cfRule type="colorScale" priority="54">
      <colorScale>
        <cfvo type="min"/>
        <cfvo type="max"/>
        <color theme="7" tint="0.79995117038483843"/>
        <color theme="7" tint="0.39997558519241921"/>
      </colorScale>
    </cfRule>
  </conditionalFormatting>
  <conditionalFormatting sqref="O1244">
    <cfRule type="colorScale" priority="51">
      <colorScale>
        <cfvo type="min"/>
        <cfvo type="max"/>
        <color theme="7" tint="0.79995117038483843"/>
        <color theme="7" tint="0.39997558519241921"/>
      </colorScale>
    </cfRule>
  </conditionalFormatting>
  <conditionalFormatting sqref="O1246">
    <cfRule type="colorScale" priority="48">
      <colorScale>
        <cfvo type="min"/>
        <cfvo type="max"/>
        <color theme="7" tint="0.79995117038483843"/>
        <color theme="7" tint="0.39997558519241921"/>
      </colorScale>
    </cfRule>
  </conditionalFormatting>
  <conditionalFormatting sqref="O1248:O1254">
    <cfRule type="colorScale" priority="11">
      <colorScale>
        <cfvo type="min"/>
        <cfvo type="max"/>
        <color theme="7" tint="0.79995117038483843"/>
        <color theme="7" tint="0.39997558519241921"/>
      </colorScale>
    </cfRule>
  </conditionalFormatting>
  <conditionalFormatting sqref="O1256">
    <cfRule type="colorScale" priority="45">
      <colorScale>
        <cfvo type="min"/>
        <cfvo type="max"/>
        <color theme="7" tint="0.79995117038483843"/>
        <color theme="7" tint="0.39997558519241921"/>
      </colorScale>
    </cfRule>
  </conditionalFormatting>
  <conditionalFormatting sqref="O1258">
    <cfRule type="colorScale" priority="30">
      <colorScale>
        <cfvo type="min"/>
        <cfvo type="max"/>
        <color theme="7" tint="0.79995117038483843"/>
        <color theme="7" tint="0.39997558519241921"/>
      </colorScale>
    </cfRule>
  </conditionalFormatting>
  <conditionalFormatting sqref="O1260:O1266">
    <cfRule type="colorScale" priority="27">
      <colorScale>
        <cfvo type="min"/>
        <cfvo type="max"/>
        <color theme="7" tint="0.79995117038483843"/>
        <color theme="7" tint="0.39997558519241921"/>
      </colorScale>
    </cfRule>
  </conditionalFormatting>
  <conditionalFormatting sqref="O1268:O1274">
    <cfRule type="colorScale" priority="24">
      <colorScale>
        <cfvo type="min"/>
        <cfvo type="max"/>
        <color theme="7" tint="0.79995117038483843"/>
        <color theme="7" tint="0.39997558519241921"/>
      </colorScale>
    </cfRule>
  </conditionalFormatting>
  <conditionalFormatting sqref="O1276">
    <cfRule type="colorScale" priority="42">
      <colorScale>
        <cfvo type="min"/>
        <cfvo type="max"/>
        <color theme="7" tint="0.79995117038483843"/>
        <color theme="7" tint="0.39997558519241921"/>
      </colorScale>
    </cfRule>
  </conditionalFormatting>
  <conditionalFormatting sqref="O1278">
    <cfRule type="colorScale" priority="21">
      <colorScale>
        <cfvo type="min"/>
        <cfvo type="max"/>
        <color theme="7" tint="0.79995117038483843"/>
        <color theme="7" tint="0.39997558519241921"/>
      </colorScale>
    </cfRule>
  </conditionalFormatting>
  <conditionalFormatting sqref="O1280">
    <cfRule type="colorScale" priority="39">
      <colorScale>
        <cfvo type="min"/>
        <cfvo type="max"/>
        <color theme="7" tint="0.79995117038483843"/>
        <color theme="7" tint="0.39997558519241921"/>
      </colorScale>
    </cfRule>
  </conditionalFormatting>
  <conditionalFormatting sqref="O1282">
    <cfRule type="colorScale" priority="36">
      <colorScale>
        <cfvo type="min"/>
        <cfvo type="max"/>
        <color theme="7" tint="0.79995117038483843"/>
        <color theme="7" tint="0.39997558519241921"/>
      </colorScale>
    </cfRule>
  </conditionalFormatting>
  <conditionalFormatting sqref="O1284">
    <cfRule type="colorScale" priority="33">
      <colorScale>
        <cfvo type="min"/>
        <cfvo type="max"/>
        <color theme="7" tint="0.79995117038483843"/>
        <color theme="7" tint="0.39997558519241921"/>
      </colorScale>
    </cfRule>
  </conditionalFormatting>
  <conditionalFormatting sqref="O1287:O1288">
    <cfRule type="colorScale" priority="66">
      <colorScale>
        <cfvo type="min"/>
        <cfvo type="max"/>
        <color theme="7" tint="0.79995117038483843"/>
        <color theme="7" tint="0.39997558519241921"/>
      </colorScale>
    </cfRule>
  </conditionalFormatting>
  <printOptions horizontalCentered="1" gridLines="1"/>
  <pageMargins left="0.7" right="0.7" top="0.75" bottom="0.75" header="0.51180555555555496" footer="0.51180555555555496"/>
  <pageSetup paperSize="9" scale="21" fitToHeight="0" pageOrder="overThenDown"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7E7B5-6B94-493A-9350-99461E54EAEB}">
  <sheetPr codeName="Sheet12"/>
  <dimension ref="B1:Y31"/>
  <sheetViews>
    <sheetView workbookViewId="0"/>
  </sheetViews>
  <sheetFormatPr defaultRowHeight="15"/>
  <cols>
    <col min="2" max="2" width="55.5703125" bestFit="1" customWidth="1"/>
    <col min="3" max="10" width="16.140625" customWidth="1"/>
    <col min="11" max="11" width="15.42578125" customWidth="1"/>
    <col min="12" max="12" width="11.42578125" customWidth="1"/>
    <col min="13" max="13" width="12.85546875" customWidth="1"/>
    <col min="14" max="14" width="14.42578125" customWidth="1"/>
    <col min="15" max="15" width="11.42578125" customWidth="1"/>
    <col min="16" max="16" width="13.42578125" customWidth="1"/>
    <col min="17" max="17" width="11.5703125" customWidth="1"/>
    <col min="18" max="18" width="10.85546875" customWidth="1"/>
  </cols>
  <sheetData>
    <row r="1" spans="2:25" ht="14.45" customHeight="1">
      <c r="C1" s="647" t="s">
        <v>1279</v>
      </c>
      <c r="D1" s="647" t="s">
        <v>1280</v>
      </c>
      <c r="E1" s="647" t="s">
        <v>1281</v>
      </c>
      <c r="F1" s="647" t="s">
        <v>1027</v>
      </c>
      <c r="G1" s="647" t="s">
        <v>1282</v>
      </c>
      <c r="H1" s="647" t="s">
        <v>1283</v>
      </c>
      <c r="I1" s="647" t="s">
        <v>1284</v>
      </c>
      <c r="J1" s="647" t="s">
        <v>1285</v>
      </c>
      <c r="K1" s="647" t="s">
        <v>1286</v>
      </c>
      <c r="L1" s="650" t="s">
        <v>1028</v>
      </c>
      <c r="M1" s="651"/>
      <c r="N1" s="652"/>
      <c r="O1" s="650" t="s">
        <v>1287</v>
      </c>
      <c r="P1" s="651"/>
      <c r="Q1" s="652"/>
      <c r="R1" s="647" t="s">
        <v>1288</v>
      </c>
      <c r="S1" s="647" t="s">
        <v>1289</v>
      </c>
      <c r="T1" s="647" t="s">
        <v>1290</v>
      </c>
      <c r="U1" s="647" t="s">
        <v>1291</v>
      </c>
      <c r="V1" s="647" t="s">
        <v>16</v>
      </c>
      <c r="W1" s="647" t="s">
        <v>19</v>
      </c>
      <c r="Y1" s="647" t="s">
        <v>1292</v>
      </c>
    </row>
    <row r="2" spans="2:25" ht="15.75" thickBot="1">
      <c r="C2" s="648"/>
      <c r="D2" s="648"/>
      <c r="E2" s="648"/>
      <c r="F2" s="648"/>
      <c r="G2" s="648"/>
      <c r="H2" s="648"/>
      <c r="I2" s="648"/>
      <c r="J2" s="648"/>
      <c r="K2" s="648"/>
      <c r="L2" s="653" t="s">
        <v>1293</v>
      </c>
      <c r="M2" s="654"/>
      <c r="N2" s="655"/>
      <c r="O2" s="653" t="s">
        <v>1293</v>
      </c>
      <c r="P2" s="654"/>
      <c r="Q2" s="655"/>
      <c r="R2" s="648"/>
      <c r="S2" s="648"/>
      <c r="T2" s="648"/>
      <c r="U2" s="648"/>
      <c r="V2" s="648"/>
      <c r="W2" s="648"/>
      <c r="Y2" s="648"/>
    </row>
    <row r="3" spans="2:25" ht="33" customHeight="1" thickBot="1">
      <c r="C3" s="648"/>
      <c r="D3" s="648"/>
      <c r="E3" s="649"/>
      <c r="F3" s="648"/>
      <c r="G3" s="19"/>
      <c r="H3" s="19"/>
      <c r="I3" s="19"/>
      <c r="J3" s="19"/>
      <c r="K3" s="19"/>
      <c r="L3" s="17" t="s">
        <v>1032</v>
      </c>
      <c r="M3" s="17" t="s">
        <v>1033</v>
      </c>
      <c r="N3" s="17" t="s">
        <v>1034</v>
      </c>
      <c r="O3" s="17" t="s">
        <v>1035</v>
      </c>
      <c r="P3" s="17" t="s">
        <v>1033</v>
      </c>
      <c r="Q3" s="17" t="s">
        <v>1036</v>
      </c>
      <c r="R3" s="648"/>
      <c r="S3" s="648"/>
      <c r="T3" s="649"/>
      <c r="U3" s="649"/>
      <c r="V3" s="648"/>
      <c r="W3" s="648"/>
      <c r="Y3" s="648"/>
    </row>
    <row r="4" spans="2:25" ht="15.75" thickBot="1">
      <c r="B4" t="s">
        <v>1294</v>
      </c>
      <c r="C4" s="24" t="e">
        <f>COUNTBLANK(#REF!)</f>
        <v>#REF!</v>
      </c>
      <c r="D4" s="24" t="e">
        <f>COUNTBLANK(#REF!)</f>
        <v>#REF!</v>
      </c>
      <c r="E4" s="25"/>
      <c r="F4" s="24" t="e">
        <f>COUNTBLANK(#REF!)</f>
        <v>#REF!</v>
      </c>
      <c r="G4" s="24" t="e">
        <f>COUNTBLANK(#REF!)</f>
        <v>#REF!</v>
      </c>
      <c r="H4" s="24" t="e">
        <f>COUNTBLANK(#REF!)</f>
        <v>#REF!</v>
      </c>
      <c r="I4" s="24" t="e">
        <f>COUNTBLANK(#REF!)</f>
        <v>#REF!</v>
      </c>
      <c r="J4" s="24" t="e">
        <f>COUNTBLANK(#REF!)</f>
        <v>#REF!</v>
      </c>
      <c r="K4" s="24" t="e">
        <f>COUNTBLANK(#REF!)</f>
        <v>#REF!</v>
      </c>
      <c r="L4" s="24" t="e">
        <f>COUNTBLANK(#REF!)</f>
        <v>#REF!</v>
      </c>
      <c r="M4" s="24" t="e">
        <f>COUNTBLANK(#REF!)</f>
        <v>#REF!</v>
      </c>
      <c r="N4" s="24" t="e">
        <f>COUNTBLANK(#REF!)</f>
        <v>#REF!</v>
      </c>
      <c r="O4" s="24" t="e">
        <f>COUNTBLANK(#REF!)</f>
        <v>#REF!</v>
      </c>
      <c r="P4" s="24" t="e">
        <f>COUNTBLANK(#REF!)</f>
        <v>#REF!</v>
      </c>
      <c r="Q4" s="24" t="e">
        <f>COUNTBLANK(#REF!)</f>
        <v>#REF!</v>
      </c>
      <c r="R4" s="24" t="e">
        <f>COUNTBLANK(#REF!)</f>
        <v>#REF!</v>
      </c>
      <c r="S4" s="24" t="e">
        <f>COUNTBLANK(#REF!)</f>
        <v>#REF!</v>
      </c>
      <c r="T4" s="24" t="e">
        <f>COUNTBLANK(#REF!)</f>
        <v>#REF!</v>
      </c>
      <c r="U4" s="24" t="e">
        <f>COUNTBLANK(#REF!)</f>
        <v>#REF!</v>
      </c>
      <c r="V4" s="24" t="e">
        <f>COUNTBLANK(#REF!)</f>
        <v>#REF!</v>
      </c>
      <c r="W4" s="24" t="e">
        <f>COUNTBLANK(#REF!)</f>
        <v>#REF!</v>
      </c>
      <c r="Y4" s="24" t="e">
        <f>SUM(C4:W4)</f>
        <v>#REF!</v>
      </c>
    </row>
    <row r="5" spans="2:25" ht="15.75" thickBot="1"/>
    <row r="6" spans="2:25" ht="15.75" thickBot="1">
      <c r="B6" t="s">
        <v>1295</v>
      </c>
      <c r="C6" s="25"/>
      <c r="D6" s="40"/>
      <c r="E6" s="24">
        <f>'FROP Checker Details'!D59</f>
        <v>0</v>
      </c>
      <c r="F6" s="40"/>
      <c r="G6" s="24">
        <f>'FROP Checker Details'!F59</f>
        <v>0</v>
      </c>
      <c r="H6" s="24">
        <f>'FROP Checker Details'!G59</f>
        <v>0</v>
      </c>
      <c r="I6" s="24">
        <f>'FROP Checker Details'!H59</f>
        <v>0</v>
      </c>
      <c r="J6" s="24">
        <f>'FROP Checker Details'!I59</f>
        <v>0</v>
      </c>
      <c r="K6" s="24">
        <f>'FROP Checker Details'!J59</f>
        <v>0</v>
      </c>
      <c r="L6" s="40"/>
      <c r="M6" s="24">
        <f>'FROP Checker Details'!L59</f>
        <v>0</v>
      </c>
      <c r="N6" s="40"/>
      <c r="O6" s="24">
        <f>'FROP Checker Details'!N59</f>
        <v>0</v>
      </c>
      <c r="P6" s="24">
        <f>'FROP Checker Details'!O59</f>
        <v>0</v>
      </c>
      <c r="Q6" s="24">
        <f>'FROP Checker Details'!P59</f>
        <v>0</v>
      </c>
      <c r="R6" s="40"/>
      <c r="S6" s="40"/>
      <c r="T6" s="40"/>
      <c r="U6" s="40"/>
      <c r="V6" s="40"/>
      <c r="W6" s="40"/>
      <c r="Y6" s="24">
        <f>SUM(C6:W6)</f>
        <v>0</v>
      </c>
    </row>
    <row r="27" spans="2:2">
      <c r="B27" s="23" t="s">
        <v>1296</v>
      </c>
    </row>
    <row r="28" spans="2:2">
      <c r="B28" s="23" t="s">
        <v>1297</v>
      </c>
    </row>
    <row r="29" spans="2:2">
      <c r="B29" s="23" t="s">
        <v>1298</v>
      </c>
    </row>
    <row r="30" spans="2:2">
      <c r="B30" s="23" t="s">
        <v>1299</v>
      </c>
    </row>
    <row r="31" spans="2:2">
      <c r="B31" s="23" t="s">
        <v>1300</v>
      </c>
    </row>
  </sheetData>
  <sheetProtection algorithmName="SHA-512" hashValue="uGYR+u97wiGneThw/uatjdNkjOLY7yW10aXp0JzorXmLGaD09/X0dC9DPaxYmGzIbbkFndIClHTQ8Tv3K1qbcQ==" saltValue="BqZco0F8ReRF0Nsl6wOwcw==" spinCount="100000" sheet="1" objects="1" scenarios="1"/>
  <mergeCells count="20">
    <mergeCell ref="C1:C3"/>
    <mergeCell ref="D1:D3"/>
    <mergeCell ref="F1:F3"/>
    <mergeCell ref="G1:G2"/>
    <mergeCell ref="H1:H2"/>
    <mergeCell ref="E1:E3"/>
    <mergeCell ref="I1:I2"/>
    <mergeCell ref="J1:J2"/>
    <mergeCell ref="K1:K2"/>
    <mergeCell ref="L1:N1"/>
    <mergeCell ref="O1:Q1"/>
    <mergeCell ref="L2:N2"/>
    <mergeCell ref="O2:Q2"/>
    <mergeCell ref="R1:R3"/>
    <mergeCell ref="S1:S3"/>
    <mergeCell ref="V1:V3"/>
    <mergeCell ref="W1:W3"/>
    <mergeCell ref="Y1:Y3"/>
    <mergeCell ref="U1:U3"/>
    <mergeCell ref="T1:T3"/>
  </mergeCells>
  <conditionalFormatting sqref="C4:D4 F4:W4">
    <cfRule type="cellIs" dxfId="14" priority="5" operator="greaterThan">
      <formula>0</formula>
    </cfRule>
    <cfRule type="cellIs" dxfId="13" priority="6" operator="equal">
      <formula>0</formula>
    </cfRule>
  </conditionalFormatting>
  <conditionalFormatting sqref="E6 G6:K6 M6 O6:Q6">
    <cfRule type="cellIs" dxfId="12" priority="1" operator="greaterThan">
      <formula>0</formula>
    </cfRule>
    <cfRule type="cellIs" dxfId="11" priority="2" operator="equal">
      <formula>0</formula>
    </cfRule>
  </conditionalFormatting>
  <conditionalFormatting sqref="Y4 Y6">
    <cfRule type="cellIs" dxfId="10" priority="3" operator="greaterThan">
      <formula>0</formula>
    </cfRule>
    <cfRule type="cellIs" dxfId="9" priority="4" operat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62F2D-C814-4352-BF1C-471721A77EDB}">
  <sheetPr codeName="Sheet13"/>
  <dimension ref="A1:Q68"/>
  <sheetViews>
    <sheetView workbookViewId="0"/>
  </sheetViews>
  <sheetFormatPr defaultRowHeight="15"/>
  <cols>
    <col min="1" max="1" width="40" bestFit="1" customWidth="1"/>
    <col min="2" max="3" width="16.5703125" customWidth="1"/>
    <col min="4" max="4" width="14.5703125" customWidth="1"/>
    <col min="5" max="5" width="12.42578125" customWidth="1"/>
    <col min="6" max="10" width="9.5703125" bestFit="1" customWidth="1"/>
    <col min="11" max="11" width="13.5703125" customWidth="1"/>
    <col min="12" max="12" width="12.140625" customWidth="1"/>
    <col min="13" max="13" width="13.42578125" customWidth="1"/>
    <col min="14" max="14" width="11.140625" customWidth="1"/>
    <col min="15" max="15" width="13.5703125" customWidth="1"/>
    <col min="16" max="16" width="11.42578125" customWidth="1"/>
    <col min="17" max="17" width="15.42578125" customWidth="1"/>
  </cols>
  <sheetData>
    <row r="1" spans="1:17" s="1" customFormat="1" ht="20.100000000000001" customHeight="1">
      <c r="A1" s="647" t="s">
        <v>1025</v>
      </c>
      <c r="B1" s="647" t="s">
        <v>1279</v>
      </c>
      <c r="C1" s="647" t="s">
        <v>1280</v>
      </c>
      <c r="D1" s="647" t="s">
        <v>1281</v>
      </c>
      <c r="E1" s="647" t="s">
        <v>1027</v>
      </c>
      <c r="F1" s="647" t="s">
        <v>1282</v>
      </c>
      <c r="G1" s="647" t="s">
        <v>1283</v>
      </c>
      <c r="H1" s="647" t="s">
        <v>1284</v>
      </c>
      <c r="I1" s="647" t="s">
        <v>1285</v>
      </c>
      <c r="J1" s="647" t="s">
        <v>1286</v>
      </c>
      <c r="K1" s="650" t="s">
        <v>1028</v>
      </c>
      <c r="L1" s="651"/>
      <c r="M1" s="652"/>
      <c r="N1" s="650" t="s">
        <v>1287</v>
      </c>
      <c r="O1" s="651"/>
      <c r="P1" s="652"/>
      <c r="Q1" s="656" t="s">
        <v>1301</v>
      </c>
    </row>
    <row r="2" spans="1:17" s="1" customFormat="1" ht="20.100000000000001" customHeight="1" thickBot="1">
      <c r="A2" s="648"/>
      <c r="B2" s="648"/>
      <c r="C2" s="648"/>
      <c r="D2" s="648"/>
      <c r="E2" s="648"/>
      <c r="F2" s="648"/>
      <c r="G2" s="648"/>
      <c r="H2" s="648"/>
      <c r="I2" s="648"/>
      <c r="J2" s="648"/>
      <c r="K2" s="653" t="s">
        <v>1293</v>
      </c>
      <c r="L2" s="654"/>
      <c r="M2" s="655"/>
      <c r="N2" s="653" t="s">
        <v>1293</v>
      </c>
      <c r="O2" s="654"/>
      <c r="P2" s="655"/>
      <c r="Q2" s="657"/>
    </row>
    <row r="3" spans="1:17" s="1" customFormat="1" ht="40.35" customHeight="1" thickBot="1">
      <c r="A3" s="649"/>
      <c r="B3" s="649"/>
      <c r="C3" s="649"/>
      <c r="D3" s="649"/>
      <c r="E3" s="649"/>
      <c r="F3" s="20"/>
      <c r="G3" s="20"/>
      <c r="H3" s="20"/>
      <c r="I3" s="20"/>
      <c r="J3" s="20"/>
      <c r="K3" s="9" t="s">
        <v>1032</v>
      </c>
      <c r="L3" s="9" t="s">
        <v>1033</v>
      </c>
      <c r="M3" s="9" t="s">
        <v>1034</v>
      </c>
      <c r="N3" s="9" t="s">
        <v>1035</v>
      </c>
      <c r="O3" s="9" t="s">
        <v>1033</v>
      </c>
      <c r="P3" s="9" t="s">
        <v>1036</v>
      </c>
      <c r="Q3" s="658"/>
    </row>
    <row r="4" spans="1:17">
      <c r="A4" s="21" t="s">
        <v>558</v>
      </c>
      <c r="B4" s="31"/>
      <c r="C4" s="31"/>
      <c r="D4" s="32" t="e">
        <f>IF(AND('FROP (Customer)'!D28="x",'FROP (Customer)'!F28="N/A",'FROP (Customer)'!G28="N/A",'FROP (Customer)'!H28="N/A",'FROP (Customer)'!I28="N/A",'FROP (Customer)'!J28="N/A"),"NOK","OK")</f>
        <v>#REF!</v>
      </c>
      <c r="E4" s="31"/>
      <c r="F4" s="32" t="e">
        <f>IF(AND('FROP (Customer)'!$D28="N/A",'FROP (Customer)'!F28="x"),"NOK","OK")</f>
        <v>#REF!</v>
      </c>
      <c r="G4" s="32" t="e">
        <f>IF(AND('FROP (Customer)'!$D28="N/A",'FROP (Customer)'!G28="x"),"NOK","OK")</f>
        <v>#REF!</v>
      </c>
      <c r="H4" s="32" t="e">
        <f>IF(AND('FROP (Customer)'!$D28="N/A",'FROP (Customer)'!H28="x"),"NOK","OK")</f>
        <v>#REF!</v>
      </c>
      <c r="I4" s="32" t="e">
        <f>IF(AND('FROP (Customer)'!$D28="N/A",'FROP (Customer)'!I28="x"),"NOK","OK")</f>
        <v>#REF!</v>
      </c>
      <c r="J4" s="32" t="e">
        <f>IF(AND('FROP (Customer)'!$D28="N/A",'FROP (Customer)'!J28="x"),"NOK","OK")</f>
        <v>#REF!</v>
      </c>
      <c r="K4" s="37"/>
      <c r="L4" s="37"/>
      <c r="M4" s="37"/>
      <c r="N4" s="37"/>
      <c r="O4" s="37"/>
      <c r="P4" s="37"/>
      <c r="Q4" s="32" t="e">
        <f>IF(OR(AND(OR('FROP (Customer)'!U28="QM",'FROP (Customer)'!U28="A",'FROP (Customer)'!U28="B",'FROP (Customer)'!U28="C",'FROP (Customer)'!U28="D"),'FROP (Customer)'!D28="N/A"),AND('FROP (Customer)'!D28="x",'FROP (Customer)'!Q28="N/A")),"NOK", "OK")</f>
        <v>#REF!</v>
      </c>
    </row>
    <row r="5" spans="1:17">
      <c r="A5" s="26" t="s">
        <v>560</v>
      </c>
      <c r="B5" s="33"/>
      <c r="C5" s="33"/>
      <c r="D5" s="34" t="e">
        <f>IF(AND('FROP (Customer)'!D29="x",'FROP (Customer)'!F29="N/A",'FROP (Customer)'!G29="N/A",'FROP (Customer)'!H29="N/A",'FROP (Customer)'!I29="N/A",'FROP (Customer)'!J29="N/A"),"NOK","OK")</f>
        <v>#REF!</v>
      </c>
      <c r="E5" s="33"/>
      <c r="F5" s="34" t="e">
        <f>IF(AND('FROP (Customer)'!$D29="N/A",'FROP (Customer)'!F29="x"),"NOK","OK")</f>
        <v>#REF!</v>
      </c>
      <c r="G5" s="34" t="e">
        <f>IF(AND('FROP (Customer)'!$D29="N/A",'FROP (Customer)'!G29="x"),"NOK","OK")</f>
        <v>#REF!</v>
      </c>
      <c r="H5" s="34" t="e">
        <f>IF(AND('FROP (Customer)'!$D29="N/A",'FROP (Customer)'!H29="x"),"NOK","OK")</f>
        <v>#REF!</v>
      </c>
      <c r="I5" s="34" t="e">
        <f>IF(AND('FROP (Customer)'!$D29="N/A",'FROP (Customer)'!I29="x"),"NOK","OK")</f>
        <v>#REF!</v>
      </c>
      <c r="J5" s="34" t="e">
        <f>IF(AND('FROP (Customer)'!$D29="N/A",'FROP (Customer)'!J29="x"),"NOK","OK")</f>
        <v>#REF!</v>
      </c>
      <c r="K5" s="38"/>
      <c r="L5" s="38"/>
      <c r="M5" s="38"/>
      <c r="N5" s="38"/>
      <c r="O5" s="38"/>
      <c r="P5" s="38"/>
      <c r="Q5" s="34" t="e">
        <f>IF(OR(AND(OR('FROP (Customer)'!U29="QM",'FROP (Customer)'!U29="A",'FROP (Customer)'!U29="B",'FROP (Customer)'!U29="C",'FROP (Customer)'!U29="D"),'FROP (Customer)'!D29="N/A"),AND('FROP (Customer)'!D29="x",'FROP (Customer)'!Q29="N/A")),"NOK", "OK")</f>
        <v>#REF!</v>
      </c>
    </row>
    <row r="6" spans="1:17">
      <c r="A6" s="22" t="s">
        <v>556</v>
      </c>
      <c r="B6" s="33"/>
      <c r="C6" s="33"/>
      <c r="D6" s="34" t="e">
        <f>IF(AND('FROP (Customer)'!D30="x",'FROP (Customer)'!F30="N/A",'FROP (Customer)'!G30="N/A",'FROP (Customer)'!H30="N/A",'FROP (Customer)'!I30="N/A",'FROP (Customer)'!J30="N/A"),"NOK","OK")</f>
        <v>#REF!</v>
      </c>
      <c r="E6" s="33"/>
      <c r="F6" s="34" t="e">
        <f>IF(AND('FROP (Customer)'!$D30="N/A",'FROP (Customer)'!F30="x"),"NOK","OK")</f>
        <v>#REF!</v>
      </c>
      <c r="G6" s="34" t="e">
        <f>IF(AND('FROP (Customer)'!$D30="N/A",'FROP (Customer)'!G30="x"),"NOK","OK")</f>
        <v>#REF!</v>
      </c>
      <c r="H6" s="34" t="e">
        <f>IF(AND('FROP (Customer)'!$D30="N/A",'FROP (Customer)'!H30="x"),"NOK","OK")</f>
        <v>#REF!</v>
      </c>
      <c r="I6" s="34" t="e">
        <f>IF(AND('FROP (Customer)'!$D30="N/A",'FROP (Customer)'!I30="x"),"NOK","OK")</f>
        <v>#REF!</v>
      </c>
      <c r="J6" s="34" t="e">
        <f>IF(AND('FROP (Customer)'!$D30="N/A",'FROP (Customer)'!J30="x"),"NOK","OK")</f>
        <v>#REF!</v>
      </c>
      <c r="K6" s="38"/>
      <c r="L6" s="38"/>
      <c r="M6" s="38"/>
      <c r="N6" s="38"/>
      <c r="O6" s="38"/>
      <c r="P6" s="38"/>
      <c r="Q6" s="34" t="e">
        <f>IF(OR(AND(OR('FROP (Customer)'!U30="QM",'FROP (Customer)'!U30="A",'FROP (Customer)'!U30="B",'FROP (Customer)'!U30="C",'FROP (Customer)'!U30="D"),'FROP (Customer)'!D30="N/A"),AND('FROP (Customer)'!D30="x",'FROP (Customer)'!Q30="N/A")),"NOK", "OK")</f>
        <v>#REF!</v>
      </c>
    </row>
    <row r="7" spans="1:17">
      <c r="A7" s="22" t="s">
        <v>563</v>
      </c>
      <c r="B7" s="33"/>
      <c r="C7" s="33"/>
      <c r="D7" s="34" t="e">
        <f>IF(AND('FROP (Customer)'!D31="x",'FROP (Customer)'!F31="N/A",'FROP (Customer)'!G31="N/A",'FROP (Customer)'!H31="N/A",'FROP (Customer)'!I31="N/A",'FROP (Customer)'!J31="N/A"),"NOK","OK")</f>
        <v>#REF!</v>
      </c>
      <c r="E7" s="33"/>
      <c r="F7" s="34" t="e">
        <f>IF(AND('FROP (Customer)'!$D31="N/A",'FROP (Customer)'!F31="x"),"NOK","OK")</f>
        <v>#REF!</v>
      </c>
      <c r="G7" s="34" t="e">
        <f>IF(AND('FROP (Customer)'!$D31="N/A",'FROP (Customer)'!G31="x"),"NOK","OK")</f>
        <v>#REF!</v>
      </c>
      <c r="H7" s="34" t="e">
        <f>IF(AND('FROP (Customer)'!$D31="N/A",'FROP (Customer)'!H31="x"),"NOK","OK")</f>
        <v>#REF!</v>
      </c>
      <c r="I7" s="34" t="e">
        <f>IF(AND('FROP (Customer)'!$D31="N/A",'FROP (Customer)'!I31="x"),"NOK","OK")</f>
        <v>#REF!</v>
      </c>
      <c r="J7" s="34" t="e">
        <f>IF(AND('FROP (Customer)'!$D31="N/A",'FROP (Customer)'!J31="x"),"NOK","OK")</f>
        <v>#REF!</v>
      </c>
      <c r="K7" s="38"/>
      <c r="L7" s="34" t="e">
        <f>IF(OR(AND('FROP (Customer)'!L31="x",'FROP (Customer)'!D31="N/A",#REF!="DMS"),AND('FROP (Customer)'!L31="x",'FROP (Customer)'!D31="x",#REF!="DMS")),"NOK", "OK")</f>
        <v>#REF!</v>
      </c>
      <c r="M7" s="38"/>
      <c r="N7" s="38"/>
      <c r="O7" s="38"/>
      <c r="P7" s="38"/>
      <c r="Q7" s="34" t="e">
        <f>IF(OR(AND(OR('FROP (Customer)'!U31="QM",'FROP (Customer)'!U31="A",'FROP (Customer)'!U31="B",'FROP (Customer)'!U31="C",'FROP (Customer)'!U31="D"),'FROP (Customer)'!D31="N/A"),AND('FROP (Customer)'!D31="x",'FROP (Customer)'!Q31="N/A")),"NOK", "OK")</f>
        <v>#REF!</v>
      </c>
    </row>
    <row r="8" spans="1:17">
      <c r="A8" s="22" t="s">
        <v>567</v>
      </c>
      <c r="B8" s="33"/>
      <c r="C8" s="33"/>
      <c r="D8" s="34" t="e">
        <f>IF(AND('FROP (Customer)'!D32="x",'FROP (Customer)'!F32="N/A",'FROP (Customer)'!G32="N/A",'FROP (Customer)'!H32="N/A",'FROP (Customer)'!I32="N/A",'FROP (Customer)'!J32="N/A"),"NOK","OK")</f>
        <v>#REF!</v>
      </c>
      <c r="E8" s="33"/>
      <c r="F8" s="34" t="e">
        <f>IF(AND('FROP (Customer)'!$D32="N/A",'FROP (Customer)'!F32="x"),"NOK","OK")</f>
        <v>#REF!</v>
      </c>
      <c r="G8" s="34" t="e">
        <f>IF(AND('FROP (Customer)'!$D32="N/A",'FROP (Customer)'!G32="x"),"NOK","OK")</f>
        <v>#REF!</v>
      </c>
      <c r="H8" s="34" t="e">
        <f>IF(AND('FROP (Customer)'!$D32="N/A",'FROP (Customer)'!H32="x"),"NOK","OK")</f>
        <v>#REF!</v>
      </c>
      <c r="I8" s="34" t="e">
        <f>IF(AND('FROP (Customer)'!$D32="N/A",'FROP (Customer)'!I32="x"),"NOK","OK")</f>
        <v>#REF!</v>
      </c>
      <c r="J8" s="34" t="e">
        <f>IF(AND('FROP (Customer)'!$D32="N/A",'FROP (Customer)'!J32="x"),"NOK","OK")</f>
        <v>#REF!</v>
      </c>
      <c r="K8" s="38"/>
      <c r="L8" s="34" t="e">
        <f>IF(OR(AND('FROP (Customer)'!L32="x",'FROP (Customer)'!D32="N/A",#REF!="DMS"),AND('FROP (Customer)'!L32="x",'FROP (Customer)'!D32="x",#REF!="DMS")),"NOK", "OK")</f>
        <v>#REF!</v>
      </c>
      <c r="M8" s="38"/>
      <c r="N8" s="38"/>
      <c r="O8" s="38"/>
      <c r="P8" s="38"/>
      <c r="Q8" s="34" t="e">
        <f>IF(OR(AND(OR('FROP (Customer)'!U32="QM",'FROP (Customer)'!U32="A",'FROP (Customer)'!U32="B",'FROP (Customer)'!U32="C",'FROP (Customer)'!U32="D"),'FROP (Customer)'!D32="N/A"),AND('FROP (Customer)'!D32="x",'FROP (Customer)'!Q32="N/A")),"NOK", "OK")</f>
        <v>#REF!</v>
      </c>
    </row>
    <row r="9" spans="1:17">
      <c r="A9" s="22" t="s">
        <v>570</v>
      </c>
      <c r="B9" s="33"/>
      <c r="C9" s="33"/>
      <c r="D9" s="34" t="e">
        <f>IF(AND('FROP (Customer)'!D33="x",'FROP (Customer)'!F33="N/A",'FROP (Customer)'!G33="N/A",'FROP (Customer)'!H33="N/A",'FROP (Customer)'!I33="N/A",'FROP (Customer)'!J33="N/A"),"NOK","OK")</f>
        <v>#REF!</v>
      </c>
      <c r="E9" s="33"/>
      <c r="F9" s="34" t="e">
        <f>IF(AND('FROP (Customer)'!$D33="N/A",'FROP (Customer)'!F33="x"),"NOK","OK")</f>
        <v>#REF!</v>
      </c>
      <c r="G9" s="34" t="e">
        <f>IF(AND('FROP (Customer)'!$D33="N/A",'FROP (Customer)'!G33="x"),"NOK","OK")</f>
        <v>#REF!</v>
      </c>
      <c r="H9" s="34" t="e">
        <f>IF(AND('FROP (Customer)'!$D33="N/A",'FROP (Customer)'!H33="x"),"NOK","OK")</f>
        <v>#REF!</v>
      </c>
      <c r="I9" s="34" t="e">
        <f>IF(AND('FROP (Customer)'!$D33="N/A",'FROP (Customer)'!I33="x"),"NOK","OK")</f>
        <v>#REF!</v>
      </c>
      <c r="J9" s="34" t="e">
        <f>IF(AND('FROP (Customer)'!$D33="N/A",'FROP (Customer)'!J33="x"),"NOK","OK")</f>
        <v>#REF!</v>
      </c>
      <c r="K9" s="38"/>
      <c r="L9" s="34" t="e">
        <f>IF(OR(AND('FROP (Customer)'!L33="x",'FROP (Customer)'!D33="N/A",#REF!="DMS"),AND('FROP (Customer)'!L33="x",'FROP (Customer)'!D33="x",#REF!="DMS")),"NOK", "OK")</f>
        <v>#REF!</v>
      </c>
      <c r="M9" s="38"/>
      <c r="N9" s="38"/>
      <c r="O9" s="38"/>
      <c r="P9" s="38"/>
      <c r="Q9" s="34" t="e">
        <f>IF(OR(AND(OR('FROP (Customer)'!U33="QM",'FROP (Customer)'!U33="A",'FROP (Customer)'!U33="B",'FROP (Customer)'!U33="C",'FROP (Customer)'!U33="D"),'FROP (Customer)'!D33="N/A"),AND('FROP (Customer)'!D33="x",'FROP (Customer)'!Q33="N/A")),"NOK", "OK")</f>
        <v>#REF!</v>
      </c>
    </row>
    <row r="10" spans="1:17">
      <c r="A10" s="27" t="s">
        <v>1047</v>
      </c>
      <c r="B10" s="33"/>
      <c r="C10" s="33"/>
      <c r="D10" s="38"/>
      <c r="E10" s="33"/>
      <c r="F10" s="38"/>
      <c r="G10" s="38"/>
      <c r="H10" s="38"/>
      <c r="I10" s="38"/>
      <c r="J10" s="38"/>
      <c r="K10" s="38"/>
      <c r="L10" s="38"/>
      <c r="M10" s="38"/>
      <c r="N10" s="38"/>
      <c r="O10" s="38"/>
      <c r="P10" s="38"/>
      <c r="Q10" s="38"/>
    </row>
    <row r="11" spans="1:17">
      <c r="A11" s="27" t="s">
        <v>1050</v>
      </c>
      <c r="B11" s="33"/>
      <c r="C11" s="33"/>
      <c r="D11" s="38"/>
      <c r="E11" s="33"/>
      <c r="F11" s="38"/>
      <c r="G11" s="38"/>
      <c r="H11" s="38"/>
      <c r="I11" s="38"/>
      <c r="J11" s="38"/>
      <c r="K11" s="38"/>
      <c r="L11" s="38"/>
      <c r="M11" s="38"/>
      <c r="N11" s="38"/>
      <c r="O11" s="38"/>
      <c r="P11" s="38"/>
      <c r="Q11" s="38"/>
    </row>
    <row r="12" spans="1:17">
      <c r="A12" s="27" t="s">
        <v>682</v>
      </c>
      <c r="B12" s="33"/>
      <c r="C12" s="33"/>
      <c r="D12" s="34" t="e">
        <f>IF(AND('FROP (Customer)'!D36="x",'FROP (Customer)'!F36="N/A",'FROP (Customer)'!G36="N/A",'FROP (Customer)'!H36="N/A",'FROP (Customer)'!I36="N/A",'FROP (Customer)'!J36="N/A"),"NOK","OK")</f>
        <v>#REF!</v>
      </c>
      <c r="E12" s="33"/>
      <c r="F12" s="34" t="e">
        <f>IF(AND('FROP (Customer)'!$D36="N/A",'FROP (Customer)'!F36="x"),"NOK","OK")</f>
        <v>#REF!</v>
      </c>
      <c r="G12" s="34" t="e">
        <f>IF(AND('FROP (Customer)'!$D36="N/A",'FROP (Customer)'!G36="x"),"NOK","OK")</f>
        <v>#REF!</v>
      </c>
      <c r="H12" s="34" t="e">
        <f>IF(AND('FROP (Customer)'!$D36="N/A",'FROP (Customer)'!H36="x"),"NOK","OK")</f>
        <v>#REF!</v>
      </c>
      <c r="I12" s="34" t="e">
        <f>IF(AND('FROP (Customer)'!$D36="N/A",'FROP (Customer)'!I36="x"),"NOK","OK")</f>
        <v>#REF!</v>
      </c>
      <c r="J12" s="34" t="e">
        <f>IF(AND('FROP (Customer)'!$D36="N/A",'FROP (Customer)'!J36="x"),"NOK","OK")</f>
        <v>#REF!</v>
      </c>
      <c r="K12" s="38"/>
      <c r="L12" s="34" t="e">
        <f>IF(OR(AND('FROP (Customer)'!L36="x",'FROP (Customer)'!D36="N/A",#REF!="DMS"),AND('FROP (Customer)'!L36="x",'FROP (Customer)'!D36="x",#REF!="DMS")),"NOK", "OK")</f>
        <v>#REF!</v>
      </c>
      <c r="M12" s="38"/>
      <c r="N12" s="38"/>
      <c r="O12" s="38"/>
      <c r="P12" s="38"/>
      <c r="Q12" s="34" t="e">
        <f>IF(OR(AND(OR('FROP (Customer)'!U36="QM",'FROP (Customer)'!U36="A",'FROP (Customer)'!U36="B",'FROP (Customer)'!U36="C",'FROP (Customer)'!U36="D"),'FROP (Customer)'!D36="N/A"),AND('FROP (Customer)'!D36="x",'FROP (Customer)'!Q36="N/A")),"NOK", "OK")</f>
        <v>#REF!</v>
      </c>
    </row>
    <row r="13" spans="1:17">
      <c r="A13" s="27" t="s">
        <v>680</v>
      </c>
      <c r="B13" s="33"/>
      <c r="C13" s="33"/>
      <c r="D13" s="34" t="e">
        <f>IF(AND('FROP (Customer)'!D37="x",'FROP (Customer)'!F37="N/A",'FROP (Customer)'!G37="N/A",'FROP (Customer)'!H37="N/A",'FROP (Customer)'!I37="N/A",'FROP (Customer)'!J37="N/A"),"NOK","OK")</f>
        <v>#REF!</v>
      </c>
      <c r="E13" s="33"/>
      <c r="F13" s="34" t="e">
        <f>IF(AND('FROP (Customer)'!$D37="N/A",'FROP (Customer)'!F37="x"),"NOK","OK")</f>
        <v>#REF!</v>
      </c>
      <c r="G13" s="34" t="e">
        <f>IF(AND('FROP (Customer)'!$D37="N/A",'FROP (Customer)'!G37="x"),"NOK","OK")</f>
        <v>#REF!</v>
      </c>
      <c r="H13" s="34" t="e">
        <f>IF(AND('FROP (Customer)'!$D37="N/A",'FROP (Customer)'!H37="x"),"NOK","OK")</f>
        <v>#REF!</v>
      </c>
      <c r="I13" s="34" t="e">
        <f>IF(AND('FROP (Customer)'!$D37="N/A",'FROP (Customer)'!I37="x"),"NOK","OK")</f>
        <v>#REF!</v>
      </c>
      <c r="J13" s="34" t="e">
        <f>IF(AND('FROP (Customer)'!$D37="N/A",'FROP (Customer)'!J37="x"),"NOK","OK")</f>
        <v>#REF!</v>
      </c>
      <c r="K13" s="38"/>
      <c r="L13" s="34" t="e">
        <f>IF(OR(AND('FROP (Customer)'!L37="x",'FROP (Customer)'!D37="N/A",#REF!="DMS"),AND('FROP (Customer)'!L37="x",'FROP (Customer)'!D37="x",#REF!="DMS")),"NOK", "OK")</f>
        <v>#REF!</v>
      </c>
      <c r="M13" s="38"/>
      <c r="N13" s="38"/>
      <c r="O13" s="38"/>
      <c r="P13" s="38"/>
      <c r="Q13" s="34" t="e">
        <f>IF(OR(AND(OR('FROP (Customer)'!U37="QM",'FROP (Customer)'!U37="A",'FROP (Customer)'!U37="B",'FROP (Customer)'!U37="C",'FROP (Customer)'!U37="D"),'FROP (Customer)'!D37="N/A"),AND('FROP (Customer)'!D37="x",'FROP (Customer)'!Q37="N/A")),"NOK", "OK")</f>
        <v>#REF!</v>
      </c>
    </row>
    <row r="14" spans="1:17">
      <c r="A14" s="27" t="s">
        <v>678</v>
      </c>
      <c r="B14" s="33"/>
      <c r="C14" s="33"/>
      <c r="D14" s="34" t="e">
        <f>IF(AND('FROP (Customer)'!D38="x",'FROP (Customer)'!F38="N/A",'FROP (Customer)'!G38="N/A",'FROP (Customer)'!H38="N/A",'FROP (Customer)'!I38="N/A",'FROP (Customer)'!J38="N/A"),"NOK","OK")</f>
        <v>#REF!</v>
      </c>
      <c r="E14" s="33"/>
      <c r="F14" s="34" t="e">
        <f>IF(AND('FROP (Customer)'!$D38="N/A",'FROP (Customer)'!F38="x"),"NOK","OK")</f>
        <v>#REF!</v>
      </c>
      <c r="G14" s="34" t="e">
        <f>IF(AND('FROP (Customer)'!$D38="N/A",'FROP (Customer)'!G38="x"),"NOK","OK")</f>
        <v>#REF!</v>
      </c>
      <c r="H14" s="34" t="e">
        <f>IF(AND('FROP (Customer)'!$D38="N/A",'FROP (Customer)'!H38="x"),"NOK","OK")</f>
        <v>#REF!</v>
      </c>
      <c r="I14" s="34" t="e">
        <f>IF(AND('FROP (Customer)'!$D38="N/A",'FROP (Customer)'!I38="x"),"NOK","OK")</f>
        <v>#REF!</v>
      </c>
      <c r="J14" s="34" t="e">
        <f>IF(AND('FROP (Customer)'!$D38="N/A",'FROP (Customer)'!J38="x"),"NOK","OK")</f>
        <v>#REF!</v>
      </c>
      <c r="K14" s="38"/>
      <c r="L14" s="34" t="e">
        <f>IF(OR(AND('FROP (Customer)'!L38="x",'FROP (Customer)'!D38="N/A",#REF!="DMS"),AND('FROP (Customer)'!L38="x",'FROP (Customer)'!D38="x",#REF!="DMS")),"NOK", "OK")</f>
        <v>#REF!</v>
      </c>
      <c r="M14" s="38"/>
      <c r="N14" s="38"/>
      <c r="O14" s="38"/>
      <c r="P14" s="38"/>
      <c r="Q14" s="34" t="e">
        <f>IF(OR(AND(OR('FROP (Customer)'!U38="QM",'FROP (Customer)'!U38="A",'FROP (Customer)'!U38="B",'FROP (Customer)'!U38="C",'FROP (Customer)'!U38="D"),'FROP (Customer)'!D38="N/A"),AND('FROP (Customer)'!D38="x",'FROP (Customer)'!Q38="N/A")),"NOK", "OK")</f>
        <v>#REF!</v>
      </c>
    </row>
    <row r="15" spans="1:17">
      <c r="A15" s="27" t="s">
        <v>708</v>
      </c>
      <c r="B15" s="33"/>
      <c r="C15" s="33"/>
      <c r="D15" s="34" t="e">
        <f>IF(AND('FROP (Customer)'!D40="x",'FROP (Customer)'!F40="N/A",'FROP (Customer)'!G40="N/A",'FROP (Customer)'!H40="N/A",'FROP (Customer)'!I40="N/A",'FROP (Customer)'!J40="N/A"),"NOK","OK")</f>
        <v>#REF!</v>
      </c>
      <c r="E15" s="33"/>
      <c r="F15" s="34" t="e">
        <f>IF(AND('FROP (Customer)'!$D40="N/A",'FROP (Customer)'!F40="x"),"NOK","OK")</f>
        <v>#REF!</v>
      </c>
      <c r="G15" s="34" t="e">
        <f>IF(AND('FROP (Customer)'!$D40="N/A",'FROP (Customer)'!G40="x"),"NOK","OK")</f>
        <v>#REF!</v>
      </c>
      <c r="H15" s="34" t="e">
        <f>IF(AND('FROP (Customer)'!$D40="N/A",'FROP (Customer)'!H40="x"),"NOK","OK")</f>
        <v>#REF!</v>
      </c>
      <c r="I15" s="34" t="e">
        <f>IF(AND('FROP (Customer)'!$D40="N/A",'FROP (Customer)'!I40="x"),"NOK","OK")</f>
        <v>#REF!</v>
      </c>
      <c r="J15" s="34" t="e">
        <f>IF(AND('FROP (Customer)'!$D40="N/A",'FROP (Customer)'!J40="x"),"NOK","OK")</f>
        <v>#REF!</v>
      </c>
      <c r="K15" s="38"/>
      <c r="L15" s="34" t="e">
        <f>IF(OR(AND('FROP (Customer)'!L40="x",'FROP (Customer)'!D40="N/A",#REF!="DMS"),AND('FROP (Customer)'!L40="x",'FROP (Customer)'!D40="x",#REF!="DMS")),"NOK", "OK")</f>
        <v>#REF!</v>
      </c>
      <c r="M15" s="38"/>
      <c r="N15" s="38"/>
      <c r="O15" s="38"/>
      <c r="P15" s="38"/>
      <c r="Q15" s="34" t="e">
        <f>IF(OR(AND(OR('FROP (Customer)'!U40="QM",'FROP (Customer)'!U40="A",'FROP (Customer)'!U40="B",'FROP (Customer)'!U40="C",'FROP (Customer)'!U40="D"),'FROP (Customer)'!D40="N/A"),AND('FROP (Customer)'!D40="x",'FROP (Customer)'!Q40="N/A")),"NOK", "OK")</f>
        <v>#REF!</v>
      </c>
    </row>
    <row r="16" spans="1:17">
      <c r="A16" s="27" t="s">
        <v>1060</v>
      </c>
      <c r="B16" s="33"/>
      <c r="C16" s="33"/>
      <c r="D16" s="34" t="e">
        <f>IF(AND('FROP (Customer)'!D41="x",'FROP (Customer)'!F41="N/A",'FROP (Customer)'!G41="N/A",'FROP (Customer)'!H41="N/A",'FROP (Customer)'!I41="N/A",'FROP (Customer)'!J41="N/A"),"NOK","OK")</f>
        <v>#REF!</v>
      </c>
      <c r="E16" s="33"/>
      <c r="F16" s="34" t="e">
        <f>IF(AND('FROP (Customer)'!$D41="N/A",'FROP (Customer)'!F41="x"),"NOK","OK")</f>
        <v>#REF!</v>
      </c>
      <c r="G16" s="34" t="e">
        <f>IF(AND('FROP (Customer)'!$D41="N/A",'FROP (Customer)'!G41="x"),"NOK","OK")</f>
        <v>#REF!</v>
      </c>
      <c r="H16" s="34" t="e">
        <f>IF(AND('FROP (Customer)'!$D41="N/A",'FROP (Customer)'!H41="x"),"NOK","OK")</f>
        <v>#REF!</v>
      </c>
      <c r="I16" s="34" t="e">
        <f>IF(AND('FROP (Customer)'!$D41="N/A",'FROP (Customer)'!I41="x"),"NOK","OK")</f>
        <v>#REF!</v>
      </c>
      <c r="J16" s="34" t="e">
        <f>IF(AND('FROP (Customer)'!$D41="N/A",'FROP (Customer)'!J41="x"),"NOK","OK")</f>
        <v>#REF!</v>
      </c>
      <c r="K16" s="38"/>
      <c r="L16" s="34" t="e">
        <f>IF(OR(AND('FROP (Customer)'!L41="x",'FROP (Customer)'!D41="N/A",#REF!="DMS"),AND('FROP (Customer)'!L41="x",'FROP (Customer)'!D41="x",#REF!="DMS")),"NOK", "OK")</f>
        <v>#REF!</v>
      </c>
      <c r="M16" s="38"/>
      <c r="N16" s="34" t="e">
        <f>IF(OR(AND('FROP (Customer)'!N41="x",'FROP (Customer)'!$D$41="N/A",#REF!="DMS"),AND('FROP (Customer)'!N41="x",'FROP (Customer)'!$D$41="x",#REF!="DMS")),"NOK","OK")</f>
        <v>#REF!</v>
      </c>
      <c r="O16" s="34" t="e">
        <f>IF(OR(AND('FROP (Customer)'!O41="x",'FROP (Customer)'!$D$41="N/A",#REF!="DMS"),AND('FROP (Customer)'!O41="x",'FROP (Customer)'!$D$41="x",#REF!="DMS")),"NOK","OK")</f>
        <v>#REF!</v>
      </c>
      <c r="P16" s="34" t="e">
        <f>IF(OR(AND('FROP (Customer)'!P41="x",'FROP (Customer)'!$D$41="N/A",#REF!="DMS"),AND('FROP (Customer)'!P41="x",'FROP (Customer)'!$D$41="x",#REF!="DMS")),"NOK","OK")</f>
        <v>#REF!</v>
      </c>
      <c r="Q16" s="34" t="e">
        <f>IF(OR(AND(OR('FROP (Customer)'!U41="QM",'FROP (Customer)'!U41="A",'FROP (Customer)'!U41="B",'FROP (Customer)'!U41="C",'FROP (Customer)'!U41="D"),'FROP (Customer)'!D41="N/A"),AND('FROP (Customer)'!D41="x",'FROP (Customer)'!Q41="N/A")),"NOK", "OK")</f>
        <v>#REF!</v>
      </c>
    </row>
    <row r="17" spans="1:17">
      <c r="A17" s="27" t="s">
        <v>732</v>
      </c>
      <c r="B17" s="33"/>
      <c r="C17" s="33"/>
      <c r="D17" s="34" t="e">
        <f>IF(AND('FROP (Customer)'!D42="x",'FROP (Customer)'!F42="N/A",'FROP (Customer)'!G42="N/A",'FROP (Customer)'!H42="N/A",'FROP (Customer)'!I42="N/A",'FROP (Customer)'!J42="N/A"),"NOK","OK")</f>
        <v>#REF!</v>
      </c>
      <c r="E17" s="33"/>
      <c r="F17" s="34" t="e">
        <f>IF(AND('FROP (Customer)'!$D42="N/A",'FROP (Customer)'!F42="x"),"NOK","OK")</f>
        <v>#REF!</v>
      </c>
      <c r="G17" s="34" t="e">
        <f>IF(AND('FROP (Customer)'!$D42="N/A",'FROP (Customer)'!G42="x"),"NOK","OK")</f>
        <v>#REF!</v>
      </c>
      <c r="H17" s="34" t="e">
        <f>IF(AND('FROP (Customer)'!$D42="N/A",'FROP (Customer)'!H42="x"),"NOK","OK")</f>
        <v>#REF!</v>
      </c>
      <c r="I17" s="34" t="e">
        <f>IF(AND('FROP (Customer)'!$D42="N/A",'FROP (Customer)'!I42="x"),"NOK","OK")</f>
        <v>#REF!</v>
      </c>
      <c r="J17" s="34" t="e">
        <f>IF(AND('FROP (Customer)'!$D42="N/A",'FROP (Customer)'!J42="x"),"NOK","OK")</f>
        <v>#REF!</v>
      </c>
      <c r="K17" s="38"/>
      <c r="L17" s="34" t="e">
        <f>IF(OR(AND('FROP (Customer)'!L42="x",'FROP (Customer)'!D42="N/A",#REF!="DMS"),AND('FROP (Customer)'!L42="x",'FROP (Customer)'!D42="x",#REF!="DMS")),"NOK", "OK")</f>
        <v>#REF!</v>
      </c>
      <c r="M17" s="38"/>
      <c r="N17" s="38"/>
      <c r="O17" s="38"/>
      <c r="P17" s="38"/>
      <c r="Q17" s="34" t="e">
        <f>IF(OR(AND(OR('FROP (Customer)'!U42="QM",'FROP (Customer)'!U42="A",'FROP (Customer)'!U42="B",'FROP (Customer)'!U42="C",'FROP (Customer)'!U42="D"),'FROP (Customer)'!D42="N/A"),AND('FROP (Customer)'!D42="x",'FROP (Customer)'!Q42="N/A")),"NOK", "OK")</f>
        <v>#REF!</v>
      </c>
    </row>
    <row r="18" spans="1:17">
      <c r="A18" s="27" t="s">
        <v>748</v>
      </c>
      <c r="B18" s="33"/>
      <c r="C18" s="33"/>
      <c r="D18" s="34" t="e">
        <f>IF(AND('FROP (Customer)'!D43="x",'FROP (Customer)'!F43="N/A",'FROP (Customer)'!G43="N/A",'FROP (Customer)'!H43="N/A",'FROP (Customer)'!I43="N/A",'FROP (Customer)'!J43="N/A"),"NOK","OK")</f>
        <v>#REF!</v>
      </c>
      <c r="E18" s="33"/>
      <c r="F18" s="34" t="e">
        <f>IF(AND('FROP (Customer)'!$D43="N/A",'FROP (Customer)'!F43="x"),"NOK","OK")</f>
        <v>#REF!</v>
      </c>
      <c r="G18" s="34" t="e">
        <f>IF(AND('FROP (Customer)'!$D43="N/A",'FROP (Customer)'!G43="x"),"NOK","OK")</f>
        <v>#REF!</v>
      </c>
      <c r="H18" s="34" t="e">
        <f>IF(AND('FROP (Customer)'!$D43="N/A",'FROP (Customer)'!H43="x"),"NOK","OK")</f>
        <v>#REF!</v>
      </c>
      <c r="I18" s="34" t="e">
        <f>IF(AND('FROP (Customer)'!$D43="N/A",'FROP (Customer)'!I43="x"),"NOK","OK")</f>
        <v>#REF!</v>
      </c>
      <c r="J18" s="34" t="e">
        <f>IF(AND('FROP (Customer)'!$D43="N/A",'FROP (Customer)'!J43="x"),"NOK","OK")</f>
        <v>#REF!</v>
      </c>
      <c r="K18" s="38"/>
      <c r="L18" s="34" t="e">
        <f>IF(OR(AND('FROP (Customer)'!L43="x",'FROP (Customer)'!D43="N/A",#REF!="DMS"),AND('FROP (Customer)'!L43="x",'FROP (Customer)'!D43="x",#REF!="DMS")),"NOK", "OK")</f>
        <v>#REF!</v>
      </c>
      <c r="M18" s="38"/>
      <c r="N18" s="38"/>
      <c r="O18" s="38"/>
      <c r="P18" s="38"/>
      <c r="Q18" s="34" t="e">
        <f>IF(OR(AND(OR('FROP (Customer)'!U43="QM",'FROP (Customer)'!U43="A",'FROP (Customer)'!U43="B",'FROP (Customer)'!U43="C",'FROP (Customer)'!U43="D"),'FROP (Customer)'!D43="N/A"),AND('FROP (Customer)'!D43="x",'FROP (Customer)'!Q43="N/A")),"NOK", "OK")</f>
        <v>#REF!</v>
      </c>
    </row>
    <row r="19" spans="1:17">
      <c r="A19" s="27" t="s">
        <v>1302</v>
      </c>
      <c r="B19" s="33"/>
      <c r="C19" s="33"/>
      <c r="D19" s="34" t="e">
        <f>IF(AND('FROP (Customer)'!D44="x",'FROP (Customer)'!F44="N/A",'FROP (Customer)'!G44="N/A",'FROP (Customer)'!H44="N/A",'FROP (Customer)'!I44="N/A",'FROP (Customer)'!J44="N/A"),"NOK","OK")</f>
        <v>#REF!</v>
      </c>
      <c r="E19" s="33"/>
      <c r="F19" s="34" t="e">
        <f>IF(AND('FROP (Customer)'!$D44="N/A",'FROP (Customer)'!F44="x"),"NOK","OK")</f>
        <v>#REF!</v>
      </c>
      <c r="G19" s="34" t="e">
        <f>IF(AND('FROP (Customer)'!$D44="N/A",'FROP (Customer)'!G44="x"),"NOK","OK")</f>
        <v>#REF!</v>
      </c>
      <c r="H19" s="34" t="e">
        <f>IF(AND('FROP (Customer)'!$D44="N/A",'FROP (Customer)'!H44="x"),"NOK","OK")</f>
        <v>#REF!</v>
      </c>
      <c r="I19" s="34" t="e">
        <f>IF(AND('FROP (Customer)'!$D44="N/A",'FROP (Customer)'!I44="x"),"NOK","OK")</f>
        <v>#REF!</v>
      </c>
      <c r="J19" s="34" t="e">
        <f>IF(AND('FROP (Customer)'!$D44="N/A",'FROP (Customer)'!J44="x"),"NOK","OK")</f>
        <v>#REF!</v>
      </c>
      <c r="K19" s="38"/>
      <c r="L19" s="34" t="e">
        <f>IF(OR(AND('FROP (Customer)'!L44="x",'FROP (Customer)'!D44="N/A",#REF!="DMS"),AND('FROP (Customer)'!L44="x",'FROP (Customer)'!D44="x",#REF!="DMS")),"NOK", "OK")</f>
        <v>#REF!</v>
      </c>
      <c r="M19" s="38"/>
      <c r="N19" s="38"/>
      <c r="O19" s="38"/>
      <c r="P19" s="38"/>
      <c r="Q19" s="34" t="e">
        <f>IF(OR(AND(OR('FROP (Customer)'!U44="QM",'FROP (Customer)'!U44="A",'FROP (Customer)'!U44="B",'FROP (Customer)'!U44="C",'FROP (Customer)'!U44="D"),'FROP (Customer)'!D44="N/A"),AND('FROP (Customer)'!D44="x",'FROP (Customer)'!Q44="N/A")),"NOK", "OK")</f>
        <v>#REF!</v>
      </c>
    </row>
    <row r="20" spans="1:17">
      <c r="A20" s="27" t="s">
        <v>734</v>
      </c>
      <c r="B20" s="33"/>
      <c r="C20" s="33"/>
      <c r="D20" s="34" t="e">
        <f>IF(AND('FROP (Customer)'!D46="x",'FROP (Customer)'!F46="N/A",'FROP (Customer)'!G46="N/A",'FROP (Customer)'!H46="N/A",'FROP (Customer)'!I46="N/A",'FROP (Customer)'!J46="N/A"),"NOK","OK")</f>
        <v>#REF!</v>
      </c>
      <c r="E20" s="33"/>
      <c r="F20" s="34" t="e">
        <f>IF(AND('FROP (Customer)'!$D46="N/A",'FROP (Customer)'!F46="x"),"NOK","OK")</f>
        <v>#REF!</v>
      </c>
      <c r="G20" s="34" t="e">
        <f>IF(AND('FROP (Customer)'!$D46="N/A",'FROP (Customer)'!G46="x"),"NOK","OK")</f>
        <v>#REF!</v>
      </c>
      <c r="H20" s="34" t="e">
        <f>IF(AND('FROP (Customer)'!$D46="N/A",'FROP (Customer)'!H46="x"),"NOK","OK")</f>
        <v>#REF!</v>
      </c>
      <c r="I20" s="34" t="e">
        <f>IF(AND('FROP (Customer)'!$D46="N/A",'FROP (Customer)'!I46="x"),"NOK","OK")</f>
        <v>#REF!</v>
      </c>
      <c r="J20" s="34" t="e">
        <f>IF(AND('FROP (Customer)'!$D46="N/A",'FROP (Customer)'!J46="x"),"NOK","OK")</f>
        <v>#REF!</v>
      </c>
      <c r="K20" s="38"/>
      <c r="L20" s="34" t="e">
        <f>IF(OR(AND('FROP (Customer)'!L46="x",'FROP (Customer)'!D46="N/A",#REF!="DMS"),AND('FROP (Customer)'!L46="x",'FROP (Customer)'!D46="x",#REF!="DMS")),"NOK", "OK")</f>
        <v>#REF!</v>
      </c>
      <c r="M20" s="38"/>
      <c r="N20" s="38"/>
      <c r="O20" s="38"/>
      <c r="P20" s="38"/>
      <c r="Q20" s="34" t="e">
        <f>IF(OR(AND(OR('FROP (Customer)'!U46="QM",'FROP (Customer)'!U46="A",'FROP (Customer)'!U46="B",'FROP (Customer)'!U46="C",'FROP (Customer)'!U46="D"),'FROP (Customer)'!D46="N/A"),AND('FROP (Customer)'!D46="x",'FROP (Customer)'!Q46="N/A")),"NOK", "OK")</f>
        <v>#REF!</v>
      </c>
    </row>
    <row r="21" spans="1:17">
      <c r="A21" s="27" t="s">
        <v>730</v>
      </c>
      <c r="B21" s="33"/>
      <c r="C21" s="33"/>
      <c r="D21" s="34" t="e">
        <f>IF(AND('FROP (Customer)'!D47="x",'FROP (Customer)'!F47="N/A",'FROP (Customer)'!G47="N/A",'FROP (Customer)'!H47="N/A",'FROP (Customer)'!I47="N/A",'FROP (Customer)'!J47="N/A"),"NOK","OK")</f>
        <v>#REF!</v>
      </c>
      <c r="E21" s="33"/>
      <c r="F21" s="34" t="e">
        <f>IF(AND('FROP (Customer)'!$D47="N/A",'FROP (Customer)'!F47="x"),"NOK","OK")</f>
        <v>#REF!</v>
      </c>
      <c r="G21" s="34" t="e">
        <f>IF(AND('FROP (Customer)'!$D47="N/A",'FROP (Customer)'!G47="x"),"NOK","OK")</f>
        <v>#REF!</v>
      </c>
      <c r="H21" s="34" t="e">
        <f>IF(AND('FROP (Customer)'!$D47="N/A",'FROP (Customer)'!H47="x"),"NOK","OK")</f>
        <v>#REF!</v>
      </c>
      <c r="I21" s="34" t="e">
        <f>IF(AND('FROP (Customer)'!$D47="N/A",'FROP (Customer)'!I47="x"),"NOK","OK")</f>
        <v>#REF!</v>
      </c>
      <c r="J21" s="34" t="e">
        <f>IF(AND('FROP (Customer)'!$D47="N/A",'FROP (Customer)'!J47="x"),"NOK","OK")</f>
        <v>#REF!</v>
      </c>
      <c r="K21" s="38"/>
      <c r="L21" s="34" t="e">
        <f>IF(OR(AND('FROP (Customer)'!L47="x",'FROP (Customer)'!D47="N/A",#REF!="DMS"),AND('FROP (Customer)'!L47="x",'FROP (Customer)'!D47="x",#REF!="DMS")),"NOK", "OK")</f>
        <v>#REF!</v>
      </c>
      <c r="M21" s="38"/>
      <c r="N21" s="38"/>
      <c r="O21" s="38"/>
      <c r="P21" s="38"/>
      <c r="Q21" s="34" t="e">
        <f>IF(OR(AND(OR('FROP (Customer)'!U47="QM",'FROP (Customer)'!U47="A",'FROP (Customer)'!U47="B",'FROP (Customer)'!U47="C",'FROP (Customer)'!U47="D"),'FROP (Customer)'!D47="N/A"),AND('FROP (Customer)'!D47="x",'FROP (Customer)'!Q47="N/A")),"NOK", "OK")</f>
        <v>#REF!</v>
      </c>
    </row>
    <row r="22" spans="1:17">
      <c r="A22" s="27" t="s">
        <v>722</v>
      </c>
      <c r="B22" s="33"/>
      <c r="C22" s="33"/>
      <c r="D22" s="34" t="e">
        <f>IF(AND('FROP (Customer)'!D48="x",'FROP (Customer)'!F48="N/A",'FROP (Customer)'!G48="N/A",'FROP (Customer)'!H48="N/A",'FROP (Customer)'!I48="N/A",'FROP (Customer)'!J48="N/A"),"NOK","OK")</f>
        <v>#REF!</v>
      </c>
      <c r="E22" s="33"/>
      <c r="F22" s="34" t="e">
        <f>IF(AND('FROP (Customer)'!$D48="N/A",'FROP (Customer)'!F48="x"),"NOK","OK")</f>
        <v>#REF!</v>
      </c>
      <c r="G22" s="34" t="e">
        <f>IF(AND('FROP (Customer)'!$D48="N/A",'FROP (Customer)'!G48="x"),"NOK","OK")</f>
        <v>#REF!</v>
      </c>
      <c r="H22" s="34" t="e">
        <f>IF(AND('FROP (Customer)'!$D48="N/A",'FROP (Customer)'!H48="x"),"NOK","OK")</f>
        <v>#REF!</v>
      </c>
      <c r="I22" s="34" t="e">
        <f>IF(AND('FROP (Customer)'!$D48="N/A",'FROP (Customer)'!I48="x"),"NOK","OK")</f>
        <v>#REF!</v>
      </c>
      <c r="J22" s="34" t="e">
        <f>IF(AND('FROP (Customer)'!$D48="N/A",'FROP (Customer)'!J48="x"),"NOK","OK")</f>
        <v>#REF!</v>
      </c>
      <c r="K22" s="38"/>
      <c r="L22" s="34" t="e">
        <f>IF(OR(AND('FROP (Customer)'!L48="x",'FROP (Customer)'!D48="N/A",#REF!="DMS"),AND('FROP (Customer)'!L48="x",'FROP (Customer)'!D48="x",#REF!="DMS")),"NOK", "OK")</f>
        <v>#REF!</v>
      </c>
      <c r="M22" s="38"/>
      <c r="N22" s="38"/>
      <c r="O22" s="38"/>
      <c r="P22" s="38"/>
      <c r="Q22" s="34" t="e">
        <f>IF(OR(AND(OR('FROP (Customer)'!U48="QM",'FROP (Customer)'!U48="A",'FROP (Customer)'!U48="B",'FROP (Customer)'!U48="C",'FROP (Customer)'!U48="D"),'FROP (Customer)'!D48="N/A"),AND('FROP (Customer)'!D48="x",'FROP (Customer)'!Q48="N/A")),"NOK", "OK")</f>
        <v>#REF!</v>
      </c>
    </row>
    <row r="23" spans="1:17">
      <c r="A23" s="27" t="s">
        <v>726</v>
      </c>
      <c r="B23" s="33"/>
      <c r="C23" s="33"/>
      <c r="D23" s="34" t="e">
        <f>IF(AND('FROP (Customer)'!D49="x",'FROP (Customer)'!F49="N/A",'FROP (Customer)'!G49="N/A",'FROP (Customer)'!H49="N/A",'FROP (Customer)'!I49="N/A",'FROP (Customer)'!J49="N/A"),"NOK","OK")</f>
        <v>#REF!</v>
      </c>
      <c r="E23" s="33"/>
      <c r="F23" s="34" t="e">
        <f>IF(AND('FROP (Customer)'!$D49="N/A",'FROP (Customer)'!F49="x"),"NOK","OK")</f>
        <v>#REF!</v>
      </c>
      <c r="G23" s="34" t="e">
        <f>IF(AND('FROP (Customer)'!$D49="N/A",'FROP (Customer)'!G49="x"),"NOK","OK")</f>
        <v>#REF!</v>
      </c>
      <c r="H23" s="34" t="e">
        <f>IF(AND('FROP (Customer)'!$D49="N/A",'FROP (Customer)'!H49="x"),"NOK","OK")</f>
        <v>#REF!</v>
      </c>
      <c r="I23" s="34" t="e">
        <f>IF(AND('FROP (Customer)'!$D49="N/A",'FROP (Customer)'!I49="x"),"NOK","OK")</f>
        <v>#REF!</v>
      </c>
      <c r="J23" s="34" t="e">
        <f>IF(AND('FROP (Customer)'!$D49="N/A",'FROP (Customer)'!J49="x"),"NOK","OK")</f>
        <v>#REF!</v>
      </c>
      <c r="K23" s="38"/>
      <c r="L23" s="34" t="e">
        <f>IF(OR(AND('FROP (Customer)'!L49="x",'FROP (Customer)'!D49="N/A",#REF!="DMS"),AND('FROP (Customer)'!L49="x",'FROP (Customer)'!D49="x",#REF!="DMS")),"NOK", "OK")</f>
        <v>#REF!</v>
      </c>
      <c r="M23" s="38"/>
      <c r="N23" s="38"/>
      <c r="O23" s="38"/>
      <c r="P23" s="38"/>
      <c r="Q23" s="34" t="e">
        <f>IF(OR(AND(OR('FROP (Customer)'!U49="QM",'FROP (Customer)'!U49="A",'FROP (Customer)'!U49="B",'FROP (Customer)'!U49="C",'FROP (Customer)'!U49="D"),'FROP (Customer)'!D49="N/A"),AND('FROP (Customer)'!D49="x",'FROP (Customer)'!Q49="N/A")),"NOK", "OK")</f>
        <v>#REF!</v>
      </c>
    </row>
    <row r="24" spans="1:17">
      <c r="A24" s="27" t="s">
        <v>720</v>
      </c>
      <c r="B24" s="33"/>
      <c r="C24" s="33"/>
      <c r="D24" s="34" t="e">
        <f>IF(AND('FROP (Customer)'!D50="x",'FROP (Customer)'!F50="N/A",'FROP (Customer)'!G50="N/A",'FROP (Customer)'!H50="N/A",'FROP (Customer)'!I50="N/A",'FROP (Customer)'!J50="N/A"),"NOK","OK")</f>
        <v>#REF!</v>
      </c>
      <c r="E24" s="33"/>
      <c r="F24" s="34" t="e">
        <f>IF(AND('FROP (Customer)'!$D50="N/A",'FROP (Customer)'!F50="x"),"NOK","OK")</f>
        <v>#REF!</v>
      </c>
      <c r="G24" s="34" t="e">
        <f>IF(AND('FROP (Customer)'!$D50="N/A",'FROP (Customer)'!G50="x"),"NOK","OK")</f>
        <v>#REF!</v>
      </c>
      <c r="H24" s="34" t="e">
        <f>IF(AND('FROP (Customer)'!$D50="N/A",'FROP (Customer)'!H50="x"),"NOK","OK")</f>
        <v>#REF!</v>
      </c>
      <c r="I24" s="34" t="e">
        <f>IF(AND('FROP (Customer)'!$D50="N/A",'FROP (Customer)'!I50="x"),"NOK","OK")</f>
        <v>#REF!</v>
      </c>
      <c r="J24" s="34" t="e">
        <f>IF(AND('FROP (Customer)'!$D50="N/A",'FROP (Customer)'!J50="x"),"NOK","OK")</f>
        <v>#REF!</v>
      </c>
      <c r="K24" s="38"/>
      <c r="L24" s="34" t="e">
        <f>IF(OR(AND('FROP (Customer)'!L50="x",'FROP (Customer)'!D50="N/A",#REF!="DMS"),AND('FROP (Customer)'!L50="x",'FROP (Customer)'!D50="x",#REF!="DMS")),"NOK", "OK")</f>
        <v>#REF!</v>
      </c>
      <c r="M24" s="38"/>
      <c r="N24" s="38"/>
      <c r="O24" s="38"/>
      <c r="P24" s="38"/>
      <c r="Q24" s="34" t="e">
        <f>IF(OR(AND(OR('FROP (Customer)'!U50="QM",'FROP (Customer)'!U50="A",'FROP (Customer)'!U50="B",'FROP (Customer)'!U50="C",'FROP (Customer)'!U50="D"),'FROP (Customer)'!D50="N/A"),AND('FROP (Customer)'!D50="x",'FROP (Customer)'!Q50="N/A")),"NOK", "OK")</f>
        <v>#REF!</v>
      </c>
    </row>
    <row r="25" spans="1:17">
      <c r="A25" s="27" t="s">
        <v>718</v>
      </c>
      <c r="B25" s="33"/>
      <c r="C25" s="33"/>
      <c r="D25" s="34" t="e">
        <f>IF(AND('FROP (Customer)'!D51="x",'FROP (Customer)'!F51="N/A",'FROP (Customer)'!G51="N/A",'FROP (Customer)'!H51="N/A",'FROP (Customer)'!I51="N/A",'FROP (Customer)'!J51="N/A"),"NOK","OK")</f>
        <v>#REF!</v>
      </c>
      <c r="E25" s="33"/>
      <c r="F25" s="34" t="e">
        <f>IF(AND('FROP (Customer)'!$D51="N/A",'FROP (Customer)'!F51="x"),"NOK","OK")</f>
        <v>#REF!</v>
      </c>
      <c r="G25" s="34" t="e">
        <f>IF(AND('FROP (Customer)'!$D51="N/A",'FROP (Customer)'!G51="x"),"NOK","OK")</f>
        <v>#REF!</v>
      </c>
      <c r="H25" s="34" t="e">
        <f>IF(AND('FROP (Customer)'!$D51="N/A",'FROP (Customer)'!H51="x"),"NOK","OK")</f>
        <v>#REF!</v>
      </c>
      <c r="I25" s="34" t="e">
        <f>IF(AND('FROP (Customer)'!$D51="N/A",'FROP (Customer)'!I51="x"),"NOK","OK")</f>
        <v>#REF!</v>
      </c>
      <c r="J25" s="34" t="e">
        <f>IF(AND('FROP (Customer)'!$D51="N/A",'FROP (Customer)'!J51="x"),"NOK","OK")</f>
        <v>#REF!</v>
      </c>
      <c r="K25" s="38"/>
      <c r="L25" s="34" t="e">
        <f>IF(OR(AND('FROP (Customer)'!L51="x",'FROP (Customer)'!D51="N/A",#REF!="DMS"),AND('FROP (Customer)'!L51="x",'FROP (Customer)'!D51="x",#REF!="DMS")),"NOK", "OK")</f>
        <v>#REF!</v>
      </c>
      <c r="M25" s="38"/>
      <c r="N25" s="38"/>
      <c r="O25" s="38"/>
      <c r="P25" s="38"/>
      <c r="Q25" s="34" t="e">
        <f>IF(OR(AND(OR('FROP (Customer)'!U51="QM",'FROP (Customer)'!U51="A",'FROP (Customer)'!U51="B",'FROP (Customer)'!U51="C",'FROP (Customer)'!U51="D"),'FROP (Customer)'!D51="N/A"),AND('FROP (Customer)'!D51="x",'FROP (Customer)'!Q51="N/A")),"NOK", "OK")</f>
        <v>#REF!</v>
      </c>
    </row>
    <row r="26" spans="1:17">
      <c r="A26" s="27" t="s">
        <v>714</v>
      </c>
      <c r="B26" s="33"/>
      <c r="C26" s="33"/>
      <c r="D26" s="34" t="e">
        <f>IF(AND('FROP (Customer)'!D52="x",'FROP (Customer)'!F52="N/A",'FROP (Customer)'!G52="N/A",'FROP (Customer)'!H52="N/A",'FROP (Customer)'!I52="N/A",'FROP (Customer)'!J52="N/A"),"NOK","OK")</f>
        <v>#REF!</v>
      </c>
      <c r="E26" s="33"/>
      <c r="F26" s="34" t="e">
        <f>IF(AND('FROP (Customer)'!$D52="N/A",'FROP (Customer)'!F52="x"),"NOK","OK")</f>
        <v>#REF!</v>
      </c>
      <c r="G26" s="34" t="e">
        <f>IF(AND('FROP (Customer)'!$D52="N/A",'FROP (Customer)'!G52="x"),"NOK","OK")</f>
        <v>#REF!</v>
      </c>
      <c r="H26" s="34" t="e">
        <f>IF(AND('FROP (Customer)'!$D52="N/A",'FROP (Customer)'!H52="x"),"NOK","OK")</f>
        <v>#REF!</v>
      </c>
      <c r="I26" s="34" t="e">
        <f>IF(AND('FROP (Customer)'!$D52="N/A",'FROP (Customer)'!I52="x"),"NOK","OK")</f>
        <v>#REF!</v>
      </c>
      <c r="J26" s="34" t="e">
        <f>IF(AND('FROP (Customer)'!$D52="N/A",'FROP (Customer)'!J52="x"),"NOK","OK")</f>
        <v>#REF!</v>
      </c>
      <c r="K26" s="38"/>
      <c r="L26" s="34" t="e">
        <f>IF(OR(AND('FROP (Customer)'!L52="x",'FROP (Customer)'!D52="N/A",#REF!="DMS"),AND('FROP (Customer)'!L52="x",'FROP (Customer)'!D52="x",#REF!="DMS")),"NOK", "OK")</f>
        <v>#REF!</v>
      </c>
      <c r="M26" s="38"/>
      <c r="N26" s="38"/>
      <c r="O26" s="38"/>
      <c r="P26" s="38"/>
      <c r="Q26" s="34" t="e">
        <f>IF(OR(AND(OR('FROP (Customer)'!U52="QM",'FROP (Customer)'!U52="A",'FROP (Customer)'!U52="B",'FROP (Customer)'!U52="C",'FROP (Customer)'!U52="D"),'FROP (Customer)'!D52="N/A"),AND('FROP (Customer)'!D52="x",'FROP (Customer)'!Q52="N/A")),"NOK", "OK")</f>
        <v>#REF!</v>
      </c>
    </row>
    <row r="27" spans="1:17">
      <c r="A27" s="27" t="s">
        <v>456</v>
      </c>
      <c r="B27" s="33"/>
      <c r="C27" s="33"/>
      <c r="D27" s="34" t="e">
        <f>IF(AND('FROP (Customer)'!D53="x",'FROP (Customer)'!F53="N/A",'FROP (Customer)'!G53="N/A",'FROP (Customer)'!H53="N/A",'FROP (Customer)'!I53="N/A",'FROP (Customer)'!J53="N/A"),"NOK","OK")</f>
        <v>#REF!</v>
      </c>
      <c r="E27" s="33"/>
      <c r="F27" s="34" t="e">
        <f>IF(AND('FROP (Customer)'!$D53="N/A",'FROP (Customer)'!F53="x"),"NOK","OK")</f>
        <v>#REF!</v>
      </c>
      <c r="G27" s="34" t="e">
        <f>IF(AND('FROP (Customer)'!$D53="N/A",'FROP (Customer)'!G53="x"),"NOK","OK")</f>
        <v>#REF!</v>
      </c>
      <c r="H27" s="34" t="e">
        <f>IF(AND('FROP (Customer)'!$D53="N/A",'FROP (Customer)'!H53="x"),"NOK","OK")</f>
        <v>#REF!</v>
      </c>
      <c r="I27" s="34" t="e">
        <f>IF(AND('FROP (Customer)'!$D53="N/A",'FROP (Customer)'!I53="x"),"NOK","OK")</f>
        <v>#REF!</v>
      </c>
      <c r="J27" s="34" t="e">
        <f>IF(AND('FROP (Customer)'!$D53="N/A",'FROP (Customer)'!J53="x"),"NOK","OK")</f>
        <v>#REF!</v>
      </c>
      <c r="K27" s="38"/>
      <c r="L27" s="34" t="e">
        <f>IF(OR(AND('FROP (Customer)'!L53="x",'FROP (Customer)'!D53="N/A",#REF!="DMS"),AND('FROP (Customer)'!L53="x",'FROP (Customer)'!D53="x",#REF!="DMS")),"NOK", "OK")</f>
        <v>#REF!</v>
      </c>
      <c r="M27" s="38"/>
      <c r="N27" s="38"/>
      <c r="O27" s="38"/>
      <c r="P27" s="38"/>
      <c r="Q27" s="34" t="e">
        <f>IF(OR(AND(OR('FROP (Customer)'!U53="QM",'FROP (Customer)'!U53="A",'FROP (Customer)'!U53="B",'FROP (Customer)'!U53="C",'FROP (Customer)'!U53="D"),'FROP (Customer)'!D53="N/A"),AND('FROP (Customer)'!D53="x",'FROP (Customer)'!Q53="N/A")),"NOK", "OK")</f>
        <v>#REF!</v>
      </c>
    </row>
    <row r="28" spans="1:17">
      <c r="A28" s="27" t="s">
        <v>692</v>
      </c>
      <c r="B28" s="33"/>
      <c r="C28" s="33"/>
      <c r="D28" s="34" t="e">
        <f>IF(AND('FROP (Customer)'!D54="x",'FROP (Customer)'!F54="N/A",'FROP (Customer)'!G54="N/A",'FROP (Customer)'!H54="N/A",'FROP (Customer)'!I54="N/A",'FROP (Customer)'!J54="N/A"),"NOK","OK")</f>
        <v>#REF!</v>
      </c>
      <c r="E28" s="33"/>
      <c r="F28" s="34" t="e">
        <f>IF(AND('FROP (Customer)'!$D54="N/A",'FROP (Customer)'!F54="x"),"NOK","OK")</f>
        <v>#REF!</v>
      </c>
      <c r="G28" s="34" t="e">
        <f>IF(AND('FROP (Customer)'!$D54="N/A",'FROP (Customer)'!G54="x"),"NOK","OK")</f>
        <v>#REF!</v>
      </c>
      <c r="H28" s="34" t="e">
        <f>IF(AND('FROP (Customer)'!$D54="N/A",'FROP (Customer)'!H54="x"),"NOK","OK")</f>
        <v>#REF!</v>
      </c>
      <c r="I28" s="34" t="e">
        <f>IF(AND('FROP (Customer)'!$D54="N/A",'FROP (Customer)'!I54="x"),"NOK","OK")</f>
        <v>#REF!</v>
      </c>
      <c r="J28" s="34" t="e">
        <f>IF(AND('FROP (Customer)'!$D54="N/A",'FROP (Customer)'!J54="x"),"NOK","OK")</f>
        <v>#REF!</v>
      </c>
      <c r="K28" s="38"/>
      <c r="L28" s="34" t="e">
        <f>IF(OR(AND('FROP (Customer)'!L54="x",'FROP (Customer)'!D54="N/A",#REF!="DMS"),AND('FROP (Customer)'!L54="x",'FROP (Customer)'!D54="x",#REF!="DMS")),"NOK", "OK")</f>
        <v>#REF!</v>
      </c>
      <c r="M28" s="38"/>
      <c r="N28" s="38"/>
      <c r="O28" s="38"/>
      <c r="P28" s="38"/>
      <c r="Q28" s="34" t="e">
        <f>IF(OR(AND(OR('FROP (Customer)'!U54="QM",'FROP (Customer)'!U54="A",'FROP (Customer)'!U54="B",'FROP (Customer)'!U54="C",'FROP (Customer)'!U54="D"),'FROP (Customer)'!D54="N/A"),AND('FROP (Customer)'!D54="x",'FROP (Customer)'!Q54="N/A")),"NOK", "OK")</f>
        <v>#REF!</v>
      </c>
    </row>
    <row r="29" spans="1:17">
      <c r="A29" s="27" t="s">
        <v>694</v>
      </c>
      <c r="B29" s="33"/>
      <c r="C29" s="33"/>
      <c r="D29" s="34" t="e">
        <f>IF(AND('FROP (Customer)'!D55="x",'FROP (Customer)'!F55="N/A",'FROP (Customer)'!G55="N/A",'FROP (Customer)'!H55="N/A",'FROP (Customer)'!I55="N/A",'FROP (Customer)'!J55="N/A"),"NOK","OK")</f>
        <v>#REF!</v>
      </c>
      <c r="E29" s="33"/>
      <c r="F29" s="34" t="e">
        <f>IF(AND('FROP (Customer)'!$D55="N/A",'FROP (Customer)'!F55="x"),"NOK","OK")</f>
        <v>#REF!</v>
      </c>
      <c r="G29" s="34" t="e">
        <f>IF(AND('FROP (Customer)'!$D55="N/A",'FROP (Customer)'!G55="x"),"NOK","OK")</f>
        <v>#REF!</v>
      </c>
      <c r="H29" s="34" t="e">
        <f>IF(AND('FROP (Customer)'!$D55="N/A",'FROP (Customer)'!H55="x"),"NOK","OK")</f>
        <v>#REF!</v>
      </c>
      <c r="I29" s="34" t="e">
        <f>IF(AND('FROP (Customer)'!$D55="N/A",'FROP (Customer)'!I55="x"),"NOK","OK")</f>
        <v>#REF!</v>
      </c>
      <c r="J29" s="34" t="e">
        <f>IF(AND('FROP (Customer)'!$D55="N/A",'FROP (Customer)'!J55="x"),"NOK","OK")</f>
        <v>#REF!</v>
      </c>
      <c r="K29" s="38"/>
      <c r="L29" s="34" t="e">
        <f>IF(OR(AND('FROP (Customer)'!L55="x",'FROP (Customer)'!D55="N/A",#REF!="DMS"),AND('FROP (Customer)'!L55="x",'FROP (Customer)'!D55="x",#REF!="DMS")),"NOK", "OK")</f>
        <v>#REF!</v>
      </c>
      <c r="M29" s="38"/>
      <c r="N29" s="38"/>
      <c r="O29" s="38"/>
      <c r="P29" s="38"/>
      <c r="Q29" s="34" t="e">
        <f>IF(OR(AND(OR('FROP (Customer)'!U55="QM",'FROP (Customer)'!U55="A",'FROP (Customer)'!U55="B",'FROP (Customer)'!U55="C",'FROP (Customer)'!U55="D"),'FROP (Customer)'!D55="N/A"),AND('FROP (Customer)'!D55="x",'FROP (Customer)'!Q55="N/A")),"NOK", "OK")</f>
        <v>#REF!</v>
      </c>
    </row>
    <row r="30" spans="1:17">
      <c r="A30" s="27" t="s">
        <v>695</v>
      </c>
      <c r="B30" s="33"/>
      <c r="C30" s="33"/>
      <c r="D30" s="34" t="e">
        <f>IF(AND('FROP (Customer)'!D56="x",'FROP (Customer)'!F56="N/A",'FROP (Customer)'!G56="N/A",'FROP (Customer)'!H56="N/A",'FROP (Customer)'!I56="N/A",'FROP (Customer)'!J56="N/A"),"NOK","OK")</f>
        <v>#REF!</v>
      </c>
      <c r="E30" s="33"/>
      <c r="F30" s="34" t="e">
        <f>IF(AND('FROP (Customer)'!$D56="N/A",'FROP (Customer)'!F56="x"),"NOK","OK")</f>
        <v>#REF!</v>
      </c>
      <c r="G30" s="34" t="e">
        <f>IF(AND('FROP (Customer)'!$D56="N/A",'FROP (Customer)'!G56="x"),"NOK","OK")</f>
        <v>#REF!</v>
      </c>
      <c r="H30" s="34" t="e">
        <f>IF(AND('FROP (Customer)'!$D56="N/A",'FROP (Customer)'!H56="x"),"NOK","OK")</f>
        <v>#REF!</v>
      </c>
      <c r="I30" s="34" t="e">
        <f>IF(AND('FROP (Customer)'!$D56="N/A",'FROP (Customer)'!I56="x"),"NOK","OK")</f>
        <v>#REF!</v>
      </c>
      <c r="J30" s="34" t="e">
        <f>IF(AND('FROP (Customer)'!$D56="N/A",'FROP (Customer)'!J56="x"),"NOK","OK")</f>
        <v>#REF!</v>
      </c>
      <c r="K30" s="38"/>
      <c r="L30" s="34" t="e">
        <f>IF(OR(AND('FROP (Customer)'!L56="x",'FROP (Customer)'!D56="N/A",#REF!="DMS"),AND('FROP (Customer)'!L56="x",'FROP (Customer)'!D56="x",#REF!="DMS")),"NOK", "OK")</f>
        <v>#REF!</v>
      </c>
      <c r="M30" s="38"/>
      <c r="N30" s="38"/>
      <c r="O30" s="38"/>
      <c r="P30" s="38"/>
      <c r="Q30" s="34" t="e">
        <f>IF(OR(AND(OR('FROP (Customer)'!U56="QM",'FROP (Customer)'!U56="A",'FROP (Customer)'!U56="B",'FROP (Customer)'!U56="C",'FROP (Customer)'!U56="D"),'FROP (Customer)'!D56="N/A"),AND('FROP (Customer)'!D56="x",'FROP (Customer)'!Q56="N/A")),"NOK", "OK")</f>
        <v>#REF!</v>
      </c>
    </row>
    <row r="31" spans="1:17">
      <c r="A31" s="27" t="s">
        <v>697</v>
      </c>
      <c r="B31" s="33"/>
      <c r="C31" s="33"/>
      <c r="D31" s="34" t="e">
        <f>IF(AND('FROP (Customer)'!D57="x",'FROP (Customer)'!F57="N/A",'FROP (Customer)'!G57="N/A",'FROP (Customer)'!H57="N/A",'FROP (Customer)'!I57="N/A",'FROP (Customer)'!J57="N/A"),"NOK","OK")</f>
        <v>#REF!</v>
      </c>
      <c r="E31" s="33"/>
      <c r="F31" s="34" t="e">
        <f>IF(AND('FROP (Customer)'!$D57="N/A",'FROP (Customer)'!F57="x"),"NOK","OK")</f>
        <v>#REF!</v>
      </c>
      <c r="G31" s="34" t="e">
        <f>IF(AND('FROP (Customer)'!$D57="N/A",'FROP (Customer)'!G57="x"),"NOK","OK")</f>
        <v>#REF!</v>
      </c>
      <c r="H31" s="34" t="e">
        <f>IF(AND('FROP (Customer)'!$D57="N/A",'FROP (Customer)'!H57="x"),"NOK","OK")</f>
        <v>#REF!</v>
      </c>
      <c r="I31" s="34" t="e">
        <f>IF(AND('FROP (Customer)'!$D57="N/A",'FROP (Customer)'!I57="x"),"NOK","OK")</f>
        <v>#REF!</v>
      </c>
      <c r="J31" s="34" t="e">
        <f>IF(AND('FROP (Customer)'!$D57="N/A",'FROP (Customer)'!J57="x"),"NOK","OK")</f>
        <v>#REF!</v>
      </c>
      <c r="K31" s="38"/>
      <c r="L31" s="34" t="e">
        <f>IF(OR(AND('FROP (Customer)'!L57="x",'FROP (Customer)'!D57="N/A",#REF!="DMS"),AND('FROP (Customer)'!L57="x",'FROP (Customer)'!D57="x",#REF!="DMS")),"NOK", "OK")</f>
        <v>#REF!</v>
      </c>
      <c r="M31" s="38"/>
      <c r="N31" s="38"/>
      <c r="O31" s="38"/>
      <c r="P31" s="38"/>
      <c r="Q31" s="34" t="e">
        <f>IF(OR(AND(OR('FROP (Customer)'!U57="QM",'FROP (Customer)'!U57="A",'FROP (Customer)'!U57="B",'FROP (Customer)'!U57="C",'FROP (Customer)'!U57="D"),'FROP (Customer)'!D57="N/A"),AND('FROP (Customer)'!D57="x",'FROP (Customer)'!Q57="N/A")),"NOK", "OK")</f>
        <v>#REF!</v>
      </c>
    </row>
    <row r="32" spans="1:17">
      <c r="A32" s="27" t="s">
        <v>457</v>
      </c>
      <c r="B32" s="33"/>
      <c r="C32" s="33"/>
      <c r="D32" s="34" t="e">
        <f>IF(AND('FROP (Customer)'!D58="x",'FROP (Customer)'!F58="N/A",'FROP (Customer)'!G58="N/A",'FROP (Customer)'!H58="N/A",'FROP (Customer)'!I58="N/A",'FROP (Customer)'!J58="N/A"),"NOK","OK")</f>
        <v>#REF!</v>
      </c>
      <c r="E32" s="33"/>
      <c r="F32" s="34" t="e">
        <f>IF(AND('FROP (Customer)'!$D58="N/A",'FROP (Customer)'!F58="x"),"NOK","OK")</f>
        <v>#REF!</v>
      </c>
      <c r="G32" s="34" t="e">
        <f>IF(AND('FROP (Customer)'!$D58="N/A",'FROP (Customer)'!G58="x"),"NOK","OK")</f>
        <v>#REF!</v>
      </c>
      <c r="H32" s="34" t="e">
        <f>IF(AND('FROP (Customer)'!$D58="N/A",'FROP (Customer)'!H58="x"),"NOK","OK")</f>
        <v>#REF!</v>
      </c>
      <c r="I32" s="34" t="e">
        <f>IF(AND('FROP (Customer)'!$D58="N/A",'FROP (Customer)'!I58="x"),"NOK","OK")</f>
        <v>#REF!</v>
      </c>
      <c r="J32" s="34" t="e">
        <f>IF(AND('FROP (Customer)'!$D58="N/A",'FROP (Customer)'!J58="x"),"NOK","OK")</f>
        <v>#REF!</v>
      </c>
      <c r="K32" s="38"/>
      <c r="L32" s="34" t="e">
        <f>IF(OR(AND('FROP (Customer)'!L58="x",'FROP (Customer)'!D58="N/A",#REF!="DMS"),AND('FROP (Customer)'!L58="x",'FROP (Customer)'!D58="x",#REF!="DMS")),"NOK", "OK")</f>
        <v>#REF!</v>
      </c>
      <c r="M32" s="38"/>
      <c r="N32" s="38"/>
      <c r="O32" s="38"/>
      <c r="P32" s="38"/>
      <c r="Q32" s="34" t="e">
        <f>IF(OR(AND(OR('FROP (Customer)'!U58="QM",'FROP (Customer)'!U58="A",'FROP (Customer)'!U58="B",'FROP (Customer)'!U58="C",'FROP (Customer)'!U58="D"),'FROP (Customer)'!D58="N/A"),AND('FROP (Customer)'!D58="x",'FROP (Customer)'!Q58="N/A")),"NOK", "OK")</f>
        <v>#REF!</v>
      </c>
    </row>
    <row r="33" spans="1:17">
      <c r="A33" s="27" t="s">
        <v>636</v>
      </c>
      <c r="B33" s="33"/>
      <c r="C33" s="33"/>
      <c r="D33" s="34" t="e">
        <f>IF(AND('FROP (Customer)'!D59="x",'FROP (Customer)'!F59="N/A",'FROP (Customer)'!G59="N/A",'FROP (Customer)'!H59="N/A",'FROP (Customer)'!I59="N/A",'FROP (Customer)'!J59="N/A"),"NOK","OK")</f>
        <v>#REF!</v>
      </c>
      <c r="E33" s="33"/>
      <c r="F33" s="34" t="e">
        <f>IF(AND('FROP (Customer)'!$D59="N/A",'FROP (Customer)'!F59="x"),"NOK","OK")</f>
        <v>#REF!</v>
      </c>
      <c r="G33" s="34" t="e">
        <f>IF(AND('FROP (Customer)'!$D59="N/A",'FROP (Customer)'!G59="x"),"NOK","OK")</f>
        <v>#REF!</v>
      </c>
      <c r="H33" s="34" t="e">
        <f>IF(AND('FROP (Customer)'!$D59="N/A",'FROP (Customer)'!H59="x"),"NOK","OK")</f>
        <v>#REF!</v>
      </c>
      <c r="I33" s="34" t="e">
        <f>IF(AND('FROP (Customer)'!$D59="N/A",'FROP (Customer)'!I59="x"),"NOK","OK")</f>
        <v>#REF!</v>
      </c>
      <c r="J33" s="34" t="e">
        <f>IF(AND('FROP (Customer)'!$D59="N/A",'FROP (Customer)'!J59="x"),"NOK","OK")</f>
        <v>#REF!</v>
      </c>
      <c r="K33" s="38"/>
      <c r="L33" s="34" t="e">
        <f>IF(OR(AND('FROP (Customer)'!L59="x",'FROP (Customer)'!D59="N/A",#REF!="DMS"),AND('FROP (Customer)'!L59="x",'FROP (Customer)'!D59="x",#REF!="DMS")),"NOK", "OK")</f>
        <v>#REF!</v>
      </c>
      <c r="M33" s="38"/>
      <c r="N33" s="38"/>
      <c r="O33" s="38"/>
      <c r="P33" s="38"/>
      <c r="Q33" s="34" t="e">
        <f>IF(OR(AND(OR('FROP (Customer)'!U59="QM",'FROP (Customer)'!U59="A",'FROP (Customer)'!U59="B",'FROP (Customer)'!U59="C",'FROP (Customer)'!U59="D"),'FROP (Customer)'!D59="N/A"),AND('FROP (Customer)'!D59="x",'FROP (Customer)'!Q59="N/A")),"NOK", "OK")</f>
        <v>#REF!</v>
      </c>
    </row>
    <row r="34" spans="1:17">
      <c r="A34" s="28" t="s">
        <v>432</v>
      </c>
      <c r="B34" s="33"/>
      <c r="C34" s="33"/>
      <c r="D34" s="34" t="e">
        <f>IF(AND('FROP (Customer)'!D60="x",'FROP (Customer)'!F60="N/A",'FROP (Customer)'!G60="N/A",'FROP (Customer)'!H60="N/A",'FROP (Customer)'!I60="N/A",'FROP (Customer)'!J60="N/A"),"NOK","OK")</f>
        <v>#REF!</v>
      </c>
      <c r="E34" s="33"/>
      <c r="F34" s="34" t="e">
        <f>IF(AND('FROP (Customer)'!$D60="N/A",'FROP (Customer)'!F60="x"),"NOK","OK")</f>
        <v>#REF!</v>
      </c>
      <c r="G34" s="34" t="e">
        <f>IF(AND('FROP (Customer)'!$D60="N/A",'FROP (Customer)'!G60="x"),"NOK","OK")</f>
        <v>#REF!</v>
      </c>
      <c r="H34" s="34" t="e">
        <f>IF(AND('FROP (Customer)'!$D60="N/A",'FROP (Customer)'!H60="x"),"NOK","OK")</f>
        <v>#REF!</v>
      </c>
      <c r="I34" s="34" t="e">
        <f>IF(AND('FROP (Customer)'!$D60="N/A",'FROP (Customer)'!I60="x"),"NOK","OK")</f>
        <v>#REF!</v>
      </c>
      <c r="J34" s="34" t="e">
        <f>IF(AND('FROP (Customer)'!$D60="N/A",'FROP (Customer)'!J60="x"),"NOK","OK")</f>
        <v>#REF!</v>
      </c>
      <c r="K34" s="38"/>
      <c r="L34" s="34" t="e">
        <f>IF(OR(AND('FROP (Customer)'!L60="x",'FROP (Customer)'!D60="N/A",#REF!="DMS"),AND('FROP (Customer)'!L60="x",'FROP (Customer)'!D60="x",#REF!="DMS")),"NOK", "OK")</f>
        <v>#REF!</v>
      </c>
      <c r="M34" s="38"/>
      <c r="N34" s="38"/>
      <c r="O34" s="38"/>
      <c r="P34" s="38"/>
      <c r="Q34" s="34" t="e">
        <f>IF(OR(AND(OR('FROP (Customer)'!U60="QM",'FROP (Customer)'!U60="A",'FROP (Customer)'!U60="B",'FROP (Customer)'!U60="C",'FROP (Customer)'!U60="D"),'FROP (Customer)'!D60="N/A"),AND('FROP (Customer)'!D60="x",'FROP (Customer)'!Q60="N/A")),"NOK", "OK")</f>
        <v>#REF!</v>
      </c>
    </row>
    <row r="35" spans="1:17">
      <c r="A35" s="27" t="s">
        <v>461</v>
      </c>
      <c r="B35" s="33"/>
      <c r="C35" s="33"/>
      <c r="D35" s="34" t="e">
        <f>IF(AND('FROP (Customer)'!D61="x",'FROP (Customer)'!F61="N/A",'FROP (Customer)'!G61="N/A",'FROP (Customer)'!H61="N/A",'FROP (Customer)'!I61="N/A",'FROP (Customer)'!J61="N/A"),"NOK","OK")</f>
        <v>#REF!</v>
      </c>
      <c r="E35" s="33"/>
      <c r="F35" s="34" t="e">
        <f>IF(AND('FROP (Customer)'!$D61="N/A",'FROP (Customer)'!F61="x"),"NOK","OK")</f>
        <v>#REF!</v>
      </c>
      <c r="G35" s="34" t="e">
        <f>IF(AND('FROP (Customer)'!$D61="N/A",'FROP (Customer)'!G61="x"),"NOK","OK")</f>
        <v>#REF!</v>
      </c>
      <c r="H35" s="34" t="e">
        <f>IF(AND('FROP (Customer)'!$D61="N/A",'FROP (Customer)'!H61="x"),"NOK","OK")</f>
        <v>#REF!</v>
      </c>
      <c r="I35" s="34" t="e">
        <f>IF(AND('FROP (Customer)'!$D61="N/A",'FROP (Customer)'!I61="x"),"NOK","OK")</f>
        <v>#REF!</v>
      </c>
      <c r="J35" s="34" t="e">
        <f>IF(AND('FROP (Customer)'!$D61="N/A",'FROP (Customer)'!J61="x"),"NOK","OK")</f>
        <v>#REF!</v>
      </c>
      <c r="K35" s="38"/>
      <c r="L35" s="34" t="e">
        <f>IF(OR(AND('FROP (Customer)'!L61="x",'FROP (Customer)'!D61="N/A",#REF!="DMS"),AND('FROP (Customer)'!L61="x",'FROP (Customer)'!D61="x",#REF!="DMS")),"NOK", "OK")</f>
        <v>#REF!</v>
      </c>
      <c r="M35" s="38"/>
      <c r="N35" s="38"/>
      <c r="O35" s="38"/>
      <c r="P35" s="38"/>
      <c r="Q35" s="34" t="e">
        <f>IF(OR(AND(OR('FROP (Customer)'!U61="QM",'FROP (Customer)'!U61="A",'FROP (Customer)'!U61="B",'FROP (Customer)'!U61="C",'FROP (Customer)'!U61="D"),'FROP (Customer)'!D61="N/A"),AND('FROP (Customer)'!D61="x",'FROP (Customer)'!Q61="N/A")),"NOK", "OK")</f>
        <v>#REF!</v>
      </c>
    </row>
    <row r="36" spans="1:17">
      <c r="A36" s="28" t="s">
        <v>710</v>
      </c>
      <c r="B36" s="33"/>
      <c r="C36" s="33"/>
      <c r="D36" s="34" t="e">
        <f>IF(AND('FROP (Customer)'!D62="x",'FROP (Customer)'!F62="N/A",'FROP (Customer)'!G62="N/A",'FROP (Customer)'!H62="N/A",'FROP (Customer)'!I62="N/A",'FROP (Customer)'!J62="N/A"),"NOK","OK")</f>
        <v>#REF!</v>
      </c>
      <c r="E36" s="33"/>
      <c r="F36" s="34" t="e">
        <f>IF(AND('FROP (Customer)'!$D62="N/A",'FROP (Customer)'!F62="x"),"NOK","OK")</f>
        <v>#REF!</v>
      </c>
      <c r="G36" s="34" t="e">
        <f>IF(AND('FROP (Customer)'!$D62="N/A",'FROP (Customer)'!G62="x"),"NOK","OK")</f>
        <v>#REF!</v>
      </c>
      <c r="H36" s="34" t="e">
        <f>IF(AND('FROP (Customer)'!$D62="N/A",'FROP (Customer)'!H62="x"),"NOK","OK")</f>
        <v>#REF!</v>
      </c>
      <c r="I36" s="34" t="e">
        <f>IF(AND('FROP (Customer)'!$D62="N/A",'FROP (Customer)'!I62="x"),"NOK","OK")</f>
        <v>#REF!</v>
      </c>
      <c r="J36" s="34" t="e">
        <f>IF(AND('FROP (Customer)'!$D62="N/A",'FROP (Customer)'!J62="x"),"NOK","OK")</f>
        <v>#REF!</v>
      </c>
      <c r="K36" s="38"/>
      <c r="L36" s="34" t="e">
        <f>IF(OR(AND('FROP (Customer)'!L62="x",'FROP (Customer)'!D62="N/A",#REF!="DMS"),AND('FROP (Customer)'!L62="x",'FROP (Customer)'!D62="x",#REF!="DMS")),"NOK", "OK")</f>
        <v>#REF!</v>
      </c>
      <c r="M36" s="38"/>
      <c r="N36" s="38"/>
      <c r="O36" s="38"/>
      <c r="P36" s="38"/>
      <c r="Q36" s="34" t="e">
        <f>IF(OR(AND(OR('FROP (Customer)'!U62="QM",'FROP (Customer)'!U62="A",'FROP (Customer)'!U62="B",'FROP (Customer)'!U62="C",'FROP (Customer)'!U62="D"),'FROP (Customer)'!D62="N/A"),AND('FROP (Customer)'!D62="x",'FROP (Customer)'!Q62="N/A")),"NOK", "OK")</f>
        <v>#REF!</v>
      </c>
    </row>
    <row r="37" spans="1:17">
      <c r="A37" s="28" t="s">
        <v>702</v>
      </c>
      <c r="B37" s="33"/>
      <c r="C37" s="33"/>
      <c r="D37" s="34" t="e">
        <f>IF(AND('FROP (Customer)'!D63="x",'FROP (Customer)'!F63="N/A",'FROP (Customer)'!G63="N/A",'FROP (Customer)'!H63="N/A",'FROP (Customer)'!I63="N/A",'FROP (Customer)'!J63="N/A"),"NOK","OK")</f>
        <v>#REF!</v>
      </c>
      <c r="E37" s="33"/>
      <c r="F37" s="34" t="e">
        <f>IF(AND('FROP (Customer)'!$D63="N/A",'FROP (Customer)'!F63="x"),"NOK","OK")</f>
        <v>#REF!</v>
      </c>
      <c r="G37" s="34" t="e">
        <f>IF(AND('FROP (Customer)'!$D63="N/A",'FROP (Customer)'!G63="x"),"NOK","OK")</f>
        <v>#REF!</v>
      </c>
      <c r="H37" s="34" t="e">
        <f>IF(AND('FROP (Customer)'!$D63="N/A",'FROP (Customer)'!H63="x"),"NOK","OK")</f>
        <v>#REF!</v>
      </c>
      <c r="I37" s="34" t="e">
        <f>IF(AND('FROP (Customer)'!$D63="N/A",'FROP (Customer)'!I63="x"),"NOK","OK")</f>
        <v>#REF!</v>
      </c>
      <c r="J37" s="34" t="e">
        <f>IF(AND('FROP (Customer)'!$D63="N/A",'FROP (Customer)'!J63="x"),"NOK","OK")</f>
        <v>#REF!</v>
      </c>
      <c r="K37" s="38"/>
      <c r="L37" s="34" t="e">
        <f>IF(OR(AND('FROP (Customer)'!L63="x",'FROP (Customer)'!D63="N/A",#REF!="DMS"),AND('FROP (Customer)'!L63="x",'FROP (Customer)'!D63="x",#REF!="DMS")),"NOK", "OK")</f>
        <v>#REF!</v>
      </c>
      <c r="M37" s="38"/>
      <c r="N37" s="38"/>
      <c r="O37" s="38"/>
      <c r="P37" s="38"/>
      <c r="Q37" s="34" t="e">
        <f>IF(OR(AND(OR('FROP (Customer)'!U63="QM",'FROP (Customer)'!U63="A",'FROP (Customer)'!U63="B",'FROP (Customer)'!U63="C",'FROP (Customer)'!U63="D"),'FROP (Customer)'!D63="N/A"),AND('FROP (Customer)'!D63="x",'FROP (Customer)'!Q63="N/A")),"NOK", "OK")</f>
        <v>#REF!</v>
      </c>
    </row>
    <row r="38" spans="1:17">
      <c r="A38" s="28" t="s">
        <v>700</v>
      </c>
      <c r="B38" s="33"/>
      <c r="C38" s="33"/>
      <c r="D38" s="34" t="e">
        <f>IF(AND('FROP (Customer)'!D64="x",'FROP (Customer)'!F64="N/A",'FROP (Customer)'!G64="N/A",'FROP (Customer)'!H64="N/A",'FROP (Customer)'!I64="N/A",'FROP (Customer)'!J64="N/A"),"NOK","OK")</f>
        <v>#REF!</v>
      </c>
      <c r="E38" s="33"/>
      <c r="F38" s="34" t="e">
        <f>IF(AND('FROP (Customer)'!$D64="N/A",'FROP (Customer)'!F64="x"),"NOK","OK")</f>
        <v>#REF!</v>
      </c>
      <c r="G38" s="34" t="e">
        <f>IF(AND('FROP (Customer)'!$D64="N/A",'FROP (Customer)'!G64="x"),"NOK","OK")</f>
        <v>#REF!</v>
      </c>
      <c r="H38" s="34" t="e">
        <f>IF(AND('FROP (Customer)'!$D64="N/A",'FROP (Customer)'!H64="x"),"NOK","OK")</f>
        <v>#REF!</v>
      </c>
      <c r="I38" s="34" t="e">
        <f>IF(AND('FROP (Customer)'!$D64="N/A",'FROP (Customer)'!I64="x"),"NOK","OK")</f>
        <v>#REF!</v>
      </c>
      <c r="J38" s="34" t="e">
        <f>IF(AND('FROP (Customer)'!$D64="N/A",'FROP (Customer)'!J64="x"),"NOK","OK")</f>
        <v>#REF!</v>
      </c>
      <c r="K38" s="38"/>
      <c r="L38" s="34" t="e">
        <f>IF(OR(AND('FROP (Customer)'!L64="x",'FROP (Customer)'!D64="N/A",#REF!="DMS"),AND('FROP (Customer)'!L64="x",'FROP (Customer)'!D64="x",#REF!="DMS")),"NOK", "OK")</f>
        <v>#REF!</v>
      </c>
      <c r="M38" s="38"/>
      <c r="N38" s="38"/>
      <c r="O38" s="38"/>
      <c r="P38" s="38"/>
      <c r="Q38" s="34" t="e">
        <f>IF(OR(AND(OR('FROP (Customer)'!U64="QM",'FROP (Customer)'!U64="A",'FROP (Customer)'!U64="B",'FROP (Customer)'!U64="C",'FROP (Customer)'!U64="D"),'FROP (Customer)'!D64="N/A"),AND('FROP (Customer)'!D64="x",'FROP (Customer)'!Q64="N/A")),"NOK", "OK")</f>
        <v>#REF!</v>
      </c>
    </row>
    <row r="39" spans="1:17">
      <c r="A39" s="28" t="s">
        <v>704</v>
      </c>
      <c r="B39" s="33"/>
      <c r="C39" s="33"/>
      <c r="D39" s="34" t="e">
        <f>IF(AND('FROP (Customer)'!D65="x",'FROP (Customer)'!F65="N/A",'FROP (Customer)'!G65="N/A",'FROP (Customer)'!H65="N/A",'FROP (Customer)'!I65="N/A",'FROP (Customer)'!J65="N/A"),"NOK","OK")</f>
        <v>#REF!</v>
      </c>
      <c r="E39" s="33"/>
      <c r="F39" s="34" t="e">
        <f>IF(AND('FROP (Customer)'!$D65="N/A",'FROP (Customer)'!F65="x"),"NOK","OK")</f>
        <v>#REF!</v>
      </c>
      <c r="G39" s="34" t="e">
        <f>IF(AND('FROP (Customer)'!$D65="N/A",'FROP (Customer)'!G65="x"),"NOK","OK")</f>
        <v>#REF!</v>
      </c>
      <c r="H39" s="34" t="e">
        <f>IF(AND('FROP (Customer)'!$D65="N/A",'FROP (Customer)'!H65="x"),"NOK","OK")</f>
        <v>#REF!</v>
      </c>
      <c r="I39" s="34" t="e">
        <f>IF(AND('FROP (Customer)'!$D65="N/A",'FROP (Customer)'!I65="x"),"NOK","OK")</f>
        <v>#REF!</v>
      </c>
      <c r="J39" s="34" t="e">
        <f>IF(AND('FROP (Customer)'!$D65="N/A",'FROP (Customer)'!J65="x"),"NOK","OK")</f>
        <v>#REF!</v>
      </c>
      <c r="K39" s="38"/>
      <c r="L39" s="34" t="e">
        <f>IF(OR(AND('FROP (Customer)'!L65="x",'FROP (Customer)'!D65="N/A",#REF!="DMS"),AND('FROP (Customer)'!L65="x",'FROP (Customer)'!D65="x",#REF!="DMS")),"NOK", "OK")</f>
        <v>#REF!</v>
      </c>
      <c r="M39" s="38"/>
      <c r="N39" s="38"/>
      <c r="O39" s="38"/>
      <c r="P39" s="38"/>
      <c r="Q39" s="34" t="e">
        <f>IF(OR(AND(OR('FROP (Customer)'!U65="QM",'FROP (Customer)'!U65="A",'FROP (Customer)'!U65="B",'FROP (Customer)'!U65="C",'FROP (Customer)'!U65="D"),'FROP (Customer)'!D65="N/A"),AND('FROP (Customer)'!D65="x",'FROP (Customer)'!Q65="N/A")),"NOK", "OK")</f>
        <v>#REF!</v>
      </c>
    </row>
    <row r="40" spans="1:17">
      <c r="A40" s="27" t="s">
        <v>460</v>
      </c>
      <c r="B40" s="33"/>
      <c r="C40" s="33"/>
      <c r="D40" s="34" t="e">
        <f>IF(AND('FROP (Customer)'!D66="x",'FROP (Customer)'!F66="N/A",'FROP (Customer)'!G66="N/A",'FROP (Customer)'!H66="N/A",'FROP (Customer)'!I66="N/A",'FROP (Customer)'!J66="N/A"),"NOK","OK")</f>
        <v>#REF!</v>
      </c>
      <c r="E40" s="33"/>
      <c r="F40" s="34" t="e">
        <f>IF(AND('FROP (Customer)'!$D66="N/A",'FROP (Customer)'!F66="x"),"NOK","OK")</f>
        <v>#REF!</v>
      </c>
      <c r="G40" s="34" t="e">
        <f>IF(AND('FROP (Customer)'!$D66="N/A",'FROP (Customer)'!G66="x"),"NOK","OK")</f>
        <v>#REF!</v>
      </c>
      <c r="H40" s="34" t="e">
        <f>IF(AND('FROP (Customer)'!$D66="N/A",'FROP (Customer)'!H66="x"),"NOK","OK")</f>
        <v>#REF!</v>
      </c>
      <c r="I40" s="34" t="e">
        <f>IF(AND('FROP (Customer)'!$D66="N/A",'FROP (Customer)'!I66="x"),"NOK","OK")</f>
        <v>#REF!</v>
      </c>
      <c r="J40" s="34" t="e">
        <f>IF(AND('FROP (Customer)'!$D66="N/A",'FROP (Customer)'!J66="x"),"NOK","OK")</f>
        <v>#REF!</v>
      </c>
      <c r="K40" s="38"/>
      <c r="L40" s="34" t="e">
        <f>IF(OR(AND('FROP (Customer)'!L66="x",'FROP (Customer)'!D66="N/A",#REF!="DMS"),AND('FROP (Customer)'!L66="x",'FROP (Customer)'!D66="x",#REF!="DMS")),"NOK", "OK")</f>
        <v>#REF!</v>
      </c>
      <c r="M40" s="38"/>
      <c r="N40" s="38"/>
      <c r="O40" s="38"/>
      <c r="P40" s="38"/>
      <c r="Q40" s="34" t="e">
        <f>IF(OR(AND(OR('FROP (Customer)'!U66="QM",'FROP (Customer)'!U66="A",'FROP (Customer)'!U66="B",'FROP (Customer)'!U66="C",'FROP (Customer)'!U66="D"),'FROP (Customer)'!D66="N/A"),AND('FROP (Customer)'!D66="x",'FROP (Customer)'!Q66="N/A")),"NOK", "OK")</f>
        <v>#REF!</v>
      </c>
    </row>
    <row r="41" spans="1:17">
      <c r="A41" s="27" t="s">
        <v>590</v>
      </c>
      <c r="B41" s="33"/>
      <c r="C41" s="33"/>
      <c r="D41" s="34" t="e">
        <f>IF(AND('FROP (Customer)'!D67="x",'FROP (Customer)'!F67="N/A",'FROP (Customer)'!G67="N/A",'FROP (Customer)'!H67="N/A",'FROP (Customer)'!I67="N/A",'FROP (Customer)'!J67="N/A"),"NOK","OK")</f>
        <v>#REF!</v>
      </c>
      <c r="E41" s="33"/>
      <c r="F41" s="34" t="e">
        <f>IF(AND('FROP (Customer)'!$D67="N/A",'FROP (Customer)'!F67="x"),"NOK","OK")</f>
        <v>#REF!</v>
      </c>
      <c r="G41" s="34" t="e">
        <f>IF(AND('FROP (Customer)'!$D67="N/A",'FROP (Customer)'!G67="x"),"NOK","OK")</f>
        <v>#REF!</v>
      </c>
      <c r="H41" s="34" t="e">
        <f>IF(AND('FROP (Customer)'!$D67="N/A",'FROP (Customer)'!H67="x"),"NOK","OK")</f>
        <v>#REF!</v>
      </c>
      <c r="I41" s="34" t="e">
        <f>IF(AND('FROP (Customer)'!$D67="N/A",'FROP (Customer)'!I67="x"),"NOK","OK")</f>
        <v>#REF!</v>
      </c>
      <c r="J41" s="34" t="e">
        <f>IF(AND('FROP (Customer)'!$D67="N/A",'FROP (Customer)'!J67="x"),"NOK","OK")</f>
        <v>#REF!</v>
      </c>
      <c r="K41" s="38"/>
      <c r="L41" s="34" t="e">
        <f>IF(OR(AND('FROP (Customer)'!L67="x",'FROP (Customer)'!D67="N/A",#REF!="DMS"),AND('FROP (Customer)'!L67="x",'FROP (Customer)'!D67="x",#REF!="DMS")),"NOK", "OK")</f>
        <v>#REF!</v>
      </c>
      <c r="M41" s="38"/>
      <c r="N41" s="38"/>
      <c r="O41" s="38"/>
      <c r="P41" s="38"/>
      <c r="Q41" s="34" t="e">
        <f>IF(OR(AND(OR('FROP (Customer)'!U67="QM",'FROP (Customer)'!U67="A",'FROP (Customer)'!U67="B",'FROP (Customer)'!U67="C",'FROP (Customer)'!U67="D"),'FROP (Customer)'!D67="N/A"),AND('FROP (Customer)'!D67="x",'FROP (Customer)'!Q67="N/A")),"NOK", "OK")</f>
        <v>#REF!</v>
      </c>
    </row>
    <row r="42" spans="1:17">
      <c r="A42" s="27" t="s">
        <v>588</v>
      </c>
      <c r="B42" s="33"/>
      <c r="C42" s="33"/>
      <c r="D42" s="34" t="e">
        <f>IF(AND('FROP (Customer)'!D68="x",'FROP (Customer)'!F68="N/A",'FROP (Customer)'!G68="N/A",'FROP (Customer)'!H68="N/A",'FROP (Customer)'!I68="N/A",'FROP (Customer)'!J68="N/A"),"NOK","OK")</f>
        <v>#REF!</v>
      </c>
      <c r="E42" s="33"/>
      <c r="F42" s="34" t="e">
        <f>IF(AND('FROP (Customer)'!$D68="N/A",'FROP (Customer)'!F68="x"),"NOK","OK")</f>
        <v>#REF!</v>
      </c>
      <c r="G42" s="34" t="e">
        <f>IF(AND('FROP (Customer)'!$D68="N/A",'FROP (Customer)'!G68="x"),"NOK","OK")</f>
        <v>#REF!</v>
      </c>
      <c r="H42" s="34" t="e">
        <f>IF(AND('FROP (Customer)'!$D68="N/A",'FROP (Customer)'!H68="x"),"NOK","OK")</f>
        <v>#REF!</v>
      </c>
      <c r="I42" s="34" t="e">
        <f>IF(AND('FROP (Customer)'!$D68="N/A",'FROP (Customer)'!I68="x"),"NOK","OK")</f>
        <v>#REF!</v>
      </c>
      <c r="J42" s="34" t="e">
        <f>IF(AND('FROP (Customer)'!$D68="N/A",'FROP (Customer)'!J68="x"),"NOK","OK")</f>
        <v>#REF!</v>
      </c>
      <c r="K42" s="38"/>
      <c r="L42" s="34" t="e">
        <f>IF(OR(AND('FROP (Customer)'!L68="x",'FROP (Customer)'!D68="N/A",#REF!="DMS"),AND('FROP (Customer)'!L68="x",'FROP (Customer)'!D68="x",#REF!="DMS")),"NOK", "OK")</f>
        <v>#REF!</v>
      </c>
      <c r="M42" s="38"/>
      <c r="N42" s="38"/>
      <c r="O42" s="38"/>
      <c r="P42" s="38"/>
      <c r="Q42" s="34" t="e">
        <f>IF(OR(AND(OR('FROP (Customer)'!U68="QM",'FROP (Customer)'!U68="A",'FROP (Customer)'!U68="B",'FROP (Customer)'!U68="C",'FROP (Customer)'!U68="D"),'FROP (Customer)'!D68="N/A"),AND('FROP (Customer)'!D68="x",'FROP (Customer)'!Q68="N/A")),"NOK", "OK")</f>
        <v>#REF!</v>
      </c>
    </row>
    <row r="43" spans="1:17">
      <c r="A43" s="29" t="s">
        <v>584</v>
      </c>
      <c r="B43" s="33"/>
      <c r="C43" s="33"/>
      <c r="D43" s="34" t="e">
        <f>IF(AND('FROP (Customer)'!D69="x",'FROP (Customer)'!F69="N/A",'FROP (Customer)'!G69="N/A",'FROP (Customer)'!H69="N/A",'FROP (Customer)'!I69="N/A",'FROP (Customer)'!J69="N/A"),"NOK","OK")</f>
        <v>#REF!</v>
      </c>
      <c r="E43" s="33"/>
      <c r="F43" s="34" t="e">
        <f>IF(AND('FROP (Customer)'!$D69="N/A",'FROP (Customer)'!F69="x"),"NOK","OK")</f>
        <v>#REF!</v>
      </c>
      <c r="G43" s="34" t="e">
        <f>IF(AND('FROP (Customer)'!$D69="N/A",'FROP (Customer)'!G69="x"),"NOK","OK")</f>
        <v>#REF!</v>
      </c>
      <c r="H43" s="34" t="e">
        <f>IF(AND('FROP (Customer)'!$D69="N/A",'FROP (Customer)'!H69="x"),"NOK","OK")</f>
        <v>#REF!</v>
      </c>
      <c r="I43" s="34" t="e">
        <f>IF(AND('FROP (Customer)'!$D69="N/A",'FROP (Customer)'!I69="x"),"NOK","OK")</f>
        <v>#REF!</v>
      </c>
      <c r="J43" s="34" t="e">
        <f>IF(AND('FROP (Customer)'!$D69="N/A",'FROP (Customer)'!J69="x"),"NOK","OK")</f>
        <v>#REF!</v>
      </c>
      <c r="K43" s="38"/>
      <c r="L43" s="34" t="e">
        <f>IF(OR(AND('FROP (Customer)'!L69="x",'FROP (Customer)'!D69="N/A",#REF!="DMS"),AND('FROP (Customer)'!L69="x",'FROP (Customer)'!D69="x",#REF!="DMS")),"NOK", "OK")</f>
        <v>#REF!</v>
      </c>
      <c r="M43" s="38"/>
      <c r="N43" s="38"/>
      <c r="O43" s="38"/>
      <c r="P43" s="38"/>
      <c r="Q43" s="34" t="e">
        <f>IF(OR(AND(OR('FROP (Customer)'!U69="QM",'FROP (Customer)'!U69="A",'FROP (Customer)'!U69="B",'FROP (Customer)'!U69="C",'FROP (Customer)'!U69="D"),'FROP (Customer)'!D69="N/A"),AND('FROP (Customer)'!D69="x",'FROP (Customer)'!Q69="N/A")),"NOK", "OK")</f>
        <v>#REF!</v>
      </c>
    </row>
    <row r="44" spans="1:17">
      <c r="A44" s="27" t="s">
        <v>586</v>
      </c>
      <c r="B44" s="33"/>
      <c r="C44" s="33"/>
      <c r="D44" s="34" t="e">
        <f>IF(AND('FROP (Customer)'!D70="x",'FROP (Customer)'!F70="N/A",'FROP (Customer)'!G70="N/A",'FROP (Customer)'!H70="N/A",'FROP (Customer)'!I70="N/A",'FROP (Customer)'!J70="N/A"),"NOK","OK")</f>
        <v>#REF!</v>
      </c>
      <c r="E44" s="33"/>
      <c r="F44" s="34" t="e">
        <f>IF(AND('FROP (Customer)'!$D70="N/A",'FROP (Customer)'!F70="x"),"NOK","OK")</f>
        <v>#REF!</v>
      </c>
      <c r="G44" s="34" t="e">
        <f>IF(AND('FROP (Customer)'!$D70="N/A",'FROP (Customer)'!G70="x"),"NOK","OK")</f>
        <v>#REF!</v>
      </c>
      <c r="H44" s="34" t="e">
        <f>IF(AND('FROP (Customer)'!$D70="N/A",'FROP (Customer)'!H70="x"),"NOK","OK")</f>
        <v>#REF!</v>
      </c>
      <c r="I44" s="34" t="e">
        <f>IF(AND('FROP (Customer)'!$D70="N/A",'FROP (Customer)'!I70="x"),"NOK","OK")</f>
        <v>#REF!</v>
      </c>
      <c r="J44" s="34" t="e">
        <f>IF(AND('FROP (Customer)'!$D70="N/A",'FROP (Customer)'!J70="x"),"NOK","OK")</f>
        <v>#REF!</v>
      </c>
      <c r="K44" s="38"/>
      <c r="L44" s="34" t="e">
        <f>IF(OR(AND('FROP (Customer)'!L70="x",'FROP (Customer)'!D70="N/A",#REF!="DMS"),AND('FROP (Customer)'!L70="x",'FROP (Customer)'!D70="x",#REF!="DMS")),"NOK", "OK")</f>
        <v>#REF!</v>
      </c>
      <c r="M44" s="38"/>
      <c r="N44" s="38"/>
      <c r="O44" s="38"/>
      <c r="P44" s="38"/>
      <c r="Q44" s="34" t="e">
        <f>IF(OR(AND(OR('FROP (Customer)'!U70="QM",'FROP (Customer)'!U70="A",'FROP (Customer)'!U70="B",'FROP (Customer)'!U70="C",'FROP (Customer)'!U70="D"),'FROP (Customer)'!D70="N/A"),AND('FROP (Customer)'!D70="x",'FROP (Customer)'!Q70="N/A")),"NOK", "OK")</f>
        <v>#REF!</v>
      </c>
    </row>
    <row r="45" spans="1:17">
      <c r="A45" s="27" t="s">
        <v>449</v>
      </c>
      <c r="B45" s="33"/>
      <c r="C45" s="33"/>
      <c r="D45" s="34" t="e">
        <f>IF(AND('FROP (Customer)'!D71="x",'FROP (Customer)'!F71="N/A",'FROP (Customer)'!G71="N/A",'FROP (Customer)'!H71="N/A",'FROP (Customer)'!I71="N/A",'FROP (Customer)'!J71="N/A"),"NOK","OK")</f>
        <v>#REF!</v>
      </c>
      <c r="E45" s="33"/>
      <c r="F45" s="34" t="e">
        <f>IF(AND('FROP (Customer)'!$D71="N/A",'FROP (Customer)'!F71="x"),"NOK","OK")</f>
        <v>#REF!</v>
      </c>
      <c r="G45" s="34" t="e">
        <f>IF(AND('FROP (Customer)'!$D71="N/A",'FROP (Customer)'!G71="x"),"NOK","OK")</f>
        <v>#REF!</v>
      </c>
      <c r="H45" s="34" t="e">
        <f>IF(AND('FROP (Customer)'!$D71="N/A",'FROP (Customer)'!H71="x"),"NOK","OK")</f>
        <v>#REF!</v>
      </c>
      <c r="I45" s="34" t="e">
        <f>IF(AND('FROP (Customer)'!$D71="N/A",'FROP (Customer)'!I71="x"),"NOK","OK")</f>
        <v>#REF!</v>
      </c>
      <c r="J45" s="34" t="e">
        <f>IF(AND('FROP (Customer)'!$D71="N/A",'FROP (Customer)'!J71="x"),"NOK","OK")</f>
        <v>#REF!</v>
      </c>
      <c r="K45" s="38"/>
      <c r="L45" s="34" t="e">
        <f>IF(OR(AND('FROP (Customer)'!L71="x",'FROP (Customer)'!D71="N/A",#REF!="DMS"),AND('FROP (Customer)'!L71="x",'FROP (Customer)'!D71="x",#REF!="DMS")),"NOK", "OK")</f>
        <v>#REF!</v>
      </c>
      <c r="M45" s="38"/>
      <c r="N45" s="38"/>
      <c r="O45" s="38"/>
      <c r="P45" s="38"/>
      <c r="Q45" s="34" t="e">
        <f>IF(OR(AND(OR('FROP (Customer)'!U71="QM",'FROP (Customer)'!U71="A",'FROP (Customer)'!U71="B",'FROP (Customer)'!U71="C",'FROP (Customer)'!U71="D"),'FROP (Customer)'!D71="N/A"),AND('FROP (Customer)'!D71="x",'FROP (Customer)'!Q71="N/A")),"NOK", "OK")</f>
        <v>#REF!</v>
      </c>
    </row>
    <row r="46" spans="1:17">
      <c r="A46" s="27" t="s">
        <v>1104</v>
      </c>
      <c r="B46" s="33"/>
      <c r="C46" s="33"/>
      <c r="D46" s="34" t="e">
        <f>IF(AND('FROP (Customer)'!D72="x",'FROP (Customer)'!F72="N/A",'FROP (Customer)'!G72="N/A",'FROP (Customer)'!H72="N/A",'FROP (Customer)'!I72="N/A",'FROP (Customer)'!J72="N/A"),"NOK","OK")</f>
        <v>#REF!</v>
      </c>
      <c r="E46" s="33"/>
      <c r="F46" s="34" t="e">
        <f>IF(AND('FROP (Customer)'!$D72="N/A",'FROP (Customer)'!F72="x"),"NOK","OK")</f>
        <v>#REF!</v>
      </c>
      <c r="G46" s="34" t="e">
        <f>IF(AND('FROP (Customer)'!$D72="N/A",'FROP (Customer)'!G72="x"),"NOK","OK")</f>
        <v>#REF!</v>
      </c>
      <c r="H46" s="34" t="e">
        <f>IF(AND('FROP (Customer)'!$D72="N/A",'FROP (Customer)'!H72="x"),"NOK","OK")</f>
        <v>#REF!</v>
      </c>
      <c r="I46" s="34" t="e">
        <f>IF(AND('FROP (Customer)'!$D72="N/A",'FROP (Customer)'!I72="x"),"NOK","OK")</f>
        <v>#REF!</v>
      </c>
      <c r="J46" s="34" t="e">
        <f>IF(AND('FROP (Customer)'!$D72="N/A",'FROP (Customer)'!J72="x"),"NOK","OK")</f>
        <v>#REF!</v>
      </c>
      <c r="K46" s="38"/>
      <c r="L46" s="34" t="e">
        <f>IF(OR(AND('FROP (Customer)'!L72="x",'FROP (Customer)'!D72="N/A",#REF!="DMS"),AND('FROP (Customer)'!L72="x",'FROP (Customer)'!D72="x",#REF!="DMS")),"NOK", "OK")</f>
        <v>#REF!</v>
      </c>
      <c r="M46" s="38"/>
      <c r="N46" s="38"/>
      <c r="O46" s="38"/>
      <c r="P46" s="38"/>
      <c r="Q46" s="34" t="e">
        <f>IF(OR(AND(OR('FROP (Customer)'!U72="QM",'FROP (Customer)'!U72="A",'FROP (Customer)'!U72="B",'FROP (Customer)'!U72="C",'FROP (Customer)'!U72="D"),'FROP (Customer)'!D72="N/A"),AND('FROP (Customer)'!D72="x",'FROP (Customer)'!Q72="N/A")),"NOK", "OK")</f>
        <v>#REF!</v>
      </c>
    </row>
    <row r="47" spans="1:17">
      <c r="A47" s="27" t="s">
        <v>420</v>
      </c>
      <c r="B47" s="33"/>
      <c r="C47" s="33"/>
      <c r="D47" s="34" t="e">
        <f>IF(AND('FROP (Customer)'!D73="x",'FROP (Customer)'!F73="N/A",'FROP (Customer)'!G73="N/A",'FROP (Customer)'!H73="N/A",'FROP (Customer)'!I73="N/A",'FROP (Customer)'!J73="N/A"),"NOK","OK")</f>
        <v>#REF!</v>
      </c>
      <c r="E47" s="33"/>
      <c r="F47" s="34" t="e">
        <f>IF(AND('FROP (Customer)'!$D73="N/A",'FROP (Customer)'!F73="x"),"NOK","OK")</f>
        <v>#REF!</v>
      </c>
      <c r="G47" s="34" t="e">
        <f>IF(AND('FROP (Customer)'!$D73="N/A",'FROP (Customer)'!G73="x"),"NOK","OK")</f>
        <v>#REF!</v>
      </c>
      <c r="H47" s="34" t="e">
        <f>IF(AND('FROP (Customer)'!$D73="N/A",'FROP (Customer)'!H73="x"),"NOK","OK")</f>
        <v>#REF!</v>
      </c>
      <c r="I47" s="34" t="e">
        <f>IF(AND('FROP (Customer)'!$D73="N/A",'FROP (Customer)'!I73="x"),"NOK","OK")</f>
        <v>#REF!</v>
      </c>
      <c r="J47" s="34" t="e">
        <f>IF(AND('FROP (Customer)'!$D73="N/A",'FROP (Customer)'!J73="x"),"NOK","OK")</f>
        <v>#REF!</v>
      </c>
      <c r="K47" s="38"/>
      <c r="L47" s="34" t="e">
        <f>IF(OR(AND('FROP (Customer)'!L73="x",'FROP (Customer)'!D73="N/A",#REF!="DMS"),AND('FROP (Customer)'!L73="x",'FROP (Customer)'!D73="x",#REF!="DMS")),"NOK", "OK")</f>
        <v>#REF!</v>
      </c>
      <c r="M47" s="38"/>
      <c r="N47" s="38"/>
      <c r="O47" s="38"/>
      <c r="P47" s="38"/>
      <c r="Q47" s="34" t="e">
        <f>IF(OR(AND(OR('FROP (Customer)'!U73="QM",'FROP (Customer)'!U73="A",'FROP (Customer)'!U73="B",'FROP (Customer)'!U73="C",'FROP (Customer)'!U73="D"),'FROP (Customer)'!D73="N/A"),AND('FROP (Customer)'!D73="x",'FROP (Customer)'!Q73="N/A")),"NOK", "OK")</f>
        <v>#REF!</v>
      </c>
    </row>
    <row r="48" spans="1:17">
      <c r="A48" s="27" t="s">
        <v>428</v>
      </c>
      <c r="B48" s="33"/>
      <c r="C48" s="33"/>
      <c r="D48" s="34" t="e">
        <f>IF(AND('FROP (Customer)'!D74="x",'FROP (Customer)'!F74="N/A",'FROP (Customer)'!G74="N/A",'FROP (Customer)'!H74="N/A",'FROP (Customer)'!I74="N/A",'FROP (Customer)'!J74="N/A"),"NOK","OK")</f>
        <v>#REF!</v>
      </c>
      <c r="E48" s="33"/>
      <c r="F48" s="34" t="e">
        <f>IF(AND('FROP (Customer)'!$D74="N/A",'FROP (Customer)'!F74="x"),"NOK","OK")</f>
        <v>#REF!</v>
      </c>
      <c r="G48" s="34" t="e">
        <f>IF(AND('FROP (Customer)'!$D74="N/A",'FROP (Customer)'!G74="x"),"NOK","OK")</f>
        <v>#REF!</v>
      </c>
      <c r="H48" s="34" t="e">
        <f>IF(AND('FROP (Customer)'!$D74="N/A",'FROP (Customer)'!H74="x"),"NOK","OK")</f>
        <v>#REF!</v>
      </c>
      <c r="I48" s="34" t="e">
        <f>IF(AND('FROP (Customer)'!$D74="N/A",'FROP (Customer)'!I74="x"),"NOK","OK")</f>
        <v>#REF!</v>
      </c>
      <c r="J48" s="34" t="e">
        <f>IF(AND('FROP (Customer)'!$D74="N/A",'FROP (Customer)'!J74="x"),"NOK","OK")</f>
        <v>#REF!</v>
      </c>
      <c r="K48" s="38"/>
      <c r="L48" s="38"/>
      <c r="M48" s="38"/>
      <c r="N48" s="38"/>
      <c r="O48" s="38"/>
      <c r="P48" s="38"/>
      <c r="Q48" s="34" t="e">
        <f>IF(OR(AND(OR('FROP (Customer)'!U74="QM",'FROP (Customer)'!U74="A",'FROP (Customer)'!U74="B",'FROP (Customer)'!U74="C",'FROP (Customer)'!U74="D"),'FROP (Customer)'!D74="N/A"),AND('FROP (Customer)'!D74="x",'FROP (Customer)'!Q74="N/A")),"NOK", "OK")</f>
        <v>#REF!</v>
      </c>
    </row>
    <row r="49" spans="1:17">
      <c r="A49" s="27" t="s">
        <v>576</v>
      </c>
      <c r="B49" s="33"/>
      <c r="C49" s="33"/>
      <c r="D49" s="34" t="e">
        <f>IF(AND('FROP (Customer)'!D75="x",'FROP (Customer)'!F75="N/A",'FROP (Customer)'!G75="N/A",'FROP (Customer)'!H75="N/A",'FROP (Customer)'!I75="N/A",'FROP (Customer)'!J75="N/A"),"NOK","OK")</f>
        <v>#REF!</v>
      </c>
      <c r="E49" s="33"/>
      <c r="F49" s="34" t="e">
        <f>IF(AND('FROP (Customer)'!$D75="N/A",'FROP (Customer)'!F75="x"),"NOK","OK")</f>
        <v>#REF!</v>
      </c>
      <c r="G49" s="34" t="e">
        <f>IF(AND('FROP (Customer)'!$D75="N/A",'FROP (Customer)'!G75="x"),"NOK","OK")</f>
        <v>#REF!</v>
      </c>
      <c r="H49" s="34" t="e">
        <f>IF(AND('FROP (Customer)'!$D75="N/A",'FROP (Customer)'!H75="x"),"NOK","OK")</f>
        <v>#REF!</v>
      </c>
      <c r="I49" s="34" t="e">
        <f>IF(AND('FROP (Customer)'!$D75="N/A",'FROP (Customer)'!I75="x"),"NOK","OK")</f>
        <v>#REF!</v>
      </c>
      <c r="J49" s="34" t="e">
        <f>IF(AND('FROP (Customer)'!$D75="N/A",'FROP (Customer)'!J75="x"),"NOK","OK")</f>
        <v>#REF!</v>
      </c>
      <c r="K49" s="38"/>
      <c r="L49" s="34" t="e">
        <f>IF(OR(AND('FROP (Customer)'!L75="x",'FROP (Customer)'!D75="N/A",#REF!="DMS"),AND('FROP (Customer)'!L75="x",'FROP (Customer)'!D75="x",#REF!="DMS")),"NOK", "OK")</f>
        <v>#REF!</v>
      </c>
      <c r="M49" s="38"/>
      <c r="N49" s="38"/>
      <c r="O49" s="38"/>
      <c r="P49" s="38"/>
      <c r="Q49" s="34" t="e">
        <f>IF(OR(AND(OR('FROP (Customer)'!U75="QM",'FROP (Customer)'!U75="A",'FROP (Customer)'!U75="B",'FROP (Customer)'!U75="C",'FROP (Customer)'!U75="D"),'FROP (Customer)'!D75="N/A"),AND('FROP (Customer)'!D75="x",'FROP (Customer)'!Q75="N/A")),"NOK", "OK")</f>
        <v>#REF!</v>
      </c>
    </row>
    <row r="50" spans="1:17">
      <c r="A50" s="27" t="s">
        <v>578</v>
      </c>
      <c r="B50" s="33"/>
      <c r="C50" s="33"/>
      <c r="D50" s="34" t="e">
        <f>IF(AND('FROP (Customer)'!D76="x",'FROP (Customer)'!F76="N/A",'FROP (Customer)'!G76="N/A",'FROP (Customer)'!H76="N/A",'FROP (Customer)'!I76="N/A",'FROP (Customer)'!J76="N/A"),"NOK","OK")</f>
        <v>#REF!</v>
      </c>
      <c r="E50" s="33"/>
      <c r="F50" s="34" t="e">
        <f>IF(AND('FROP (Customer)'!$D76="N/A",'FROP (Customer)'!F76="x"),"NOK","OK")</f>
        <v>#REF!</v>
      </c>
      <c r="G50" s="34" t="e">
        <f>IF(AND('FROP (Customer)'!$D76="N/A",'FROP (Customer)'!G76="x"),"NOK","OK")</f>
        <v>#REF!</v>
      </c>
      <c r="H50" s="34" t="e">
        <f>IF(AND('FROP (Customer)'!$D76="N/A",'FROP (Customer)'!H76="x"),"NOK","OK")</f>
        <v>#REF!</v>
      </c>
      <c r="I50" s="34" t="e">
        <f>IF(AND('FROP (Customer)'!$D76="N/A",'FROP (Customer)'!I76="x"),"NOK","OK")</f>
        <v>#REF!</v>
      </c>
      <c r="J50" s="34" t="e">
        <f>IF(AND('FROP (Customer)'!$D76="N/A",'FROP (Customer)'!J76="x"),"NOK","OK")</f>
        <v>#REF!</v>
      </c>
      <c r="K50" s="38"/>
      <c r="L50" s="34" t="e">
        <f>IF(OR(AND('FROP (Customer)'!L76="x",'FROP (Customer)'!D76="N/A",#REF!="DMS"),AND('FROP (Customer)'!L76="x",'FROP (Customer)'!D76="x",#REF!="DMS")),"NOK", "OK")</f>
        <v>#REF!</v>
      </c>
      <c r="M50" s="38"/>
      <c r="N50" s="38"/>
      <c r="O50" s="38"/>
      <c r="P50" s="38"/>
      <c r="Q50" s="34" t="e">
        <f>IF(OR(AND(OR('FROP (Customer)'!U76="QM",'FROP (Customer)'!U76="A",'FROP (Customer)'!U76="B",'FROP (Customer)'!U76="C",'FROP (Customer)'!U76="D"),'FROP (Customer)'!D76="N/A"),AND('FROP (Customer)'!D76="x",'FROP (Customer)'!Q76="N/A")),"NOK", "OK")</f>
        <v>#REF!</v>
      </c>
    </row>
    <row r="51" spans="1:17">
      <c r="A51" s="27" t="s">
        <v>674</v>
      </c>
      <c r="B51" s="33"/>
      <c r="C51" s="33"/>
      <c r="D51" s="34" t="e">
        <f>IF(AND('FROP (Customer)'!D77="x",'FROP (Customer)'!F77="N/A",'FROP (Customer)'!G77="N/A",'FROP (Customer)'!H77="N/A",'FROP (Customer)'!I77="N/A",'FROP (Customer)'!J77="N/A"),"NOK","OK")</f>
        <v>#REF!</v>
      </c>
      <c r="E51" s="33"/>
      <c r="F51" s="34" t="e">
        <f>IF(AND('FROP (Customer)'!$D77="N/A",'FROP (Customer)'!F77="x"),"NOK","OK")</f>
        <v>#REF!</v>
      </c>
      <c r="G51" s="34" t="e">
        <f>IF(AND('FROP (Customer)'!$D77="N/A",'FROP (Customer)'!G77="x"),"NOK","OK")</f>
        <v>#REF!</v>
      </c>
      <c r="H51" s="34" t="e">
        <f>IF(AND('FROP (Customer)'!$D77="N/A",'FROP (Customer)'!H77="x"),"NOK","OK")</f>
        <v>#REF!</v>
      </c>
      <c r="I51" s="34" t="e">
        <f>IF(AND('FROP (Customer)'!$D77="N/A",'FROP (Customer)'!I77="x"),"NOK","OK")</f>
        <v>#REF!</v>
      </c>
      <c r="J51" s="34" t="e">
        <f>IF(AND('FROP (Customer)'!$D77="N/A",'FROP (Customer)'!J77="x"),"NOK","OK")</f>
        <v>#REF!</v>
      </c>
      <c r="K51" s="38"/>
      <c r="L51" s="38"/>
      <c r="M51" s="38"/>
      <c r="N51" s="38"/>
      <c r="O51" s="38"/>
      <c r="P51" s="38"/>
      <c r="Q51" s="34" t="e">
        <f>IF(OR(AND(OR('FROP (Customer)'!U77="QM",'FROP (Customer)'!U77="A",'FROP (Customer)'!U77="B",'FROP (Customer)'!U77="C",'FROP (Customer)'!U77="D"),'FROP (Customer)'!D77="N/A"),AND('FROP (Customer)'!D77="x",'FROP (Customer)'!Q77="N/A")),"NOK", "OK")</f>
        <v>#REF!</v>
      </c>
    </row>
    <row r="52" spans="1:17">
      <c r="A52" s="27" t="s">
        <v>439</v>
      </c>
      <c r="B52" s="33"/>
      <c r="C52" s="33"/>
      <c r="D52" s="34" t="e">
        <f>IF(AND('FROP (Customer)'!D78="x",'FROP (Customer)'!F78="N/A",'FROP (Customer)'!G78="N/A",'FROP (Customer)'!H78="N/A",'FROP (Customer)'!I78="N/A",'FROP (Customer)'!J78="N/A"),"NOK","OK")</f>
        <v>#REF!</v>
      </c>
      <c r="E52" s="33"/>
      <c r="F52" s="34" t="e">
        <f>IF(AND('FROP (Customer)'!$D78="N/A",'FROP (Customer)'!F78="x"),"NOK","OK")</f>
        <v>#REF!</v>
      </c>
      <c r="G52" s="34" t="e">
        <f>IF(AND('FROP (Customer)'!$D78="N/A",'FROP (Customer)'!G78="x"),"NOK","OK")</f>
        <v>#REF!</v>
      </c>
      <c r="H52" s="34" t="e">
        <f>IF(AND('FROP (Customer)'!$D78="N/A",'FROP (Customer)'!H78="x"),"NOK","OK")</f>
        <v>#REF!</v>
      </c>
      <c r="I52" s="34" t="e">
        <f>IF(AND('FROP (Customer)'!$D78="N/A",'FROP (Customer)'!I78="x"),"NOK","OK")</f>
        <v>#REF!</v>
      </c>
      <c r="J52" s="34" t="e">
        <f>IF(AND('FROP (Customer)'!$D78="N/A",'FROP (Customer)'!J78="x"),"NOK","OK")</f>
        <v>#REF!</v>
      </c>
      <c r="K52" s="38"/>
      <c r="L52" s="38"/>
      <c r="M52" s="38"/>
      <c r="N52" s="38"/>
      <c r="O52" s="38"/>
      <c r="P52" s="38"/>
      <c r="Q52" s="34" t="e">
        <f>IF(OR(AND(OR('FROP (Customer)'!U78="QM",'FROP (Customer)'!U78="A",'FROP (Customer)'!U78="B",'FROP (Customer)'!U78="C",'FROP (Customer)'!U78="D"),'FROP (Customer)'!D78="N/A"),AND('FROP (Customer)'!D78="x",'FROP (Customer)'!Q78="N/A")),"NOK", "OK")</f>
        <v>#REF!</v>
      </c>
    </row>
    <row r="53" spans="1:17">
      <c r="A53" s="27" t="s">
        <v>676</v>
      </c>
      <c r="B53" s="33"/>
      <c r="C53" s="33"/>
      <c r="D53" s="34" t="e">
        <f>IF(AND('FROP (Customer)'!D79="x",'FROP (Customer)'!F79="N/A",'FROP (Customer)'!G79="N/A",'FROP (Customer)'!H79="N/A",'FROP (Customer)'!I79="N/A",'FROP (Customer)'!J79="N/A"),"NOK","OK")</f>
        <v>#REF!</v>
      </c>
      <c r="E53" s="33"/>
      <c r="F53" s="34" t="e">
        <f>IF(AND('FROP (Customer)'!$D79="N/A",'FROP (Customer)'!F79="x"),"NOK","OK")</f>
        <v>#REF!</v>
      </c>
      <c r="G53" s="34" t="e">
        <f>IF(AND('FROP (Customer)'!$D79="N/A",'FROP (Customer)'!G79="x"),"NOK","OK")</f>
        <v>#REF!</v>
      </c>
      <c r="H53" s="34" t="e">
        <f>IF(AND('FROP (Customer)'!$D79="N/A",'FROP (Customer)'!H79="x"),"NOK","OK")</f>
        <v>#REF!</v>
      </c>
      <c r="I53" s="34" t="e">
        <f>IF(AND('FROP (Customer)'!$D79="N/A",'FROP (Customer)'!I79="x"),"NOK","OK")</f>
        <v>#REF!</v>
      </c>
      <c r="J53" s="34" t="e">
        <f>IF(AND('FROP (Customer)'!$D79="N/A",'FROP (Customer)'!J79="x"),"NOK","OK")</f>
        <v>#REF!</v>
      </c>
      <c r="K53" s="38"/>
      <c r="L53" s="38"/>
      <c r="M53" s="38"/>
      <c r="N53" s="38"/>
      <c r="O53" s="38"/>
      <c r="P53" s="38"/>
      <c r="Q53" s="34" t="e">
        <f>IF(OR(AND(OR('FROP (Customer)'!U79="QM",'FROP (Customer)'!U79="A",'FROP (Customer)'!U79="B",'FROP (Customer)'!U79="C",'FROP (Customer)'!U79="D"),'FROP (Customer)'!D79="N/A"),AND('FROP (Customer)'!D79="x",'FROP (Customer)'!Q79="N/A")),"NOK", "OK")</f>
        <v>#REF!</v>
      </c>
    </row>
    <row r="54" spans="1:17">
      <c r="A54" s="27" t="s">
        <v>671</v>
      </c>
      <c r="B54" s="33"/>
      <c r="C54" s="33"/>
      <c r="D54" s="34" t="e">
        <f>IF(AND('FROP (Customer)'!D80="x",'FROP (Customer)'!F80="N/A",'FROP (Customer)'!G80="N/A",'FROP (Customer)'!H80="N/A",'FROP (Customer)'!I80="N/A",'FROP (Customer)'!J80="N/A"),"NOK","OK")</f>
        <v>#REF!</v>
      </c>
      <c r="E54" s="33"/>
      <c r="F54" s="34" t="e">
        <f>IF(AND('FROP (Customer)'!$D80="N/A",'FROP (Customer)'!F80="x"),"NOK","OK")</f>
        <v>#REF!</v>
      </c>
      <c r="G54" s="34" t="e">
        <f>IF(AND('FROP (Customer)'!$D80="N/A",'FROP (Customer)'!G80="x"),"NOK","OK")</f>
        <v>#REF!</v>
      </c>
      <c r="H54" s="34" t="e">
        <f>IF(AND('FROP (Customer)'!$D80="N/A",'FROP (Customer)'!H80="x"),"NOK","OK")</f>
        <v>#REF!</v>
      </c>
      <c r="I54" s="34" t="e">
        <f>IF(AND('FROP (Customer)'!$D80="N/A",'FROP (Customer)'!I80="x"),"NOK","OK")</f>
        <v>#REF!</v>
      </c>
      <c r="J54" s="34" t="e">
        <f>IF(AND('FROP (Customer)'!$D80="N/A",'FROP (Customer)'!J80="x"),"NOK","OK")</f>
        <v>#REF!</v>
      </c>
      <c r="K54" s="38"/>
      <c r="L54" s="38"/>
      <c r="M54" s="38"/>
      <c r="N54" s="38"/>
      <c r="O54" s="38"/>
      <c r="P54" s="38"/>
      <c r="Q54" s="34" t="e">
        <f>IF(OR(AND(OR('FROP (Customer)'!U80="QM",'FROP (Customer)'!U80="A",'FROP (Customer)'!U80="B",'FROP (Customer)'!U80="C",'FROP (Customer)'!U80="D"),'FROP (Customer)'!D80="N/A"),AND('FROP (Customer)'!D80="x",'FROP (Customer)'!Q80="N/A")),"NOK", "OK")</f>
        <v>#REF!</v>
      </c>
    </row>
    <row r="55" spans="1:17">
      <c r="A55" s="29" t="s">
        <v>1120</v>
      </c>
      <c r="B55" s="33"/>
      <c r="C55" s="33"/>
      <c r="D55" s="34" t="e">
        <f>IF(AND('FROP (Customer)'!D81="x",'FROP (Customer)'!F81="N/A",'FROP (Customer)'!G81="N/A",'FROP (Customer)'!H81="N/A",'FROP (Customer)'!I81="N/A",'FROP (Customer)'!J81="N/A"),"NOK","OK")</f>
        <v>#REF!</v>
      </c>
      <c r="E55" s="33"/>
      <c r="F55" s="34" t="e">
        <f>IF(AND('FROP (Customer)'!$D81="N/A",'FROP (Customer)'!F81="x"),"NOK","OK")</f>
        <v>#REF!</v>
      </c>
      <c r="G55" s="34" t="e">
        <f>IF(AND('FROP (Customer)'!$D81="N/A",'FROP (Customer)'!G81="x"),"NOK","OK")</f>
        <v>#REF!</v>
      </c>
      <c r="H55" s="34" t="e">
        <f>IF(AND('FROP (Customer)'!$D81="N/A",'FROP (Customer)'!H81="x"),"NOK","OK")</f>
        <v>#REF!</v>
      </c>
      <c r="I55" s="34" t="e">
        <f>IF(AND('FROP (Customer)'!$D81="N/A",'FROP (Customer)'!I81="x"),"NOK","OK")</f>
        <v>#REF!</v>
      </c>
      <c r="J55" s="34" t="e">
        <f>IF(AND('FROP (Customer)'!$D81="N/A",'FROP (Customer)'!J81="x"),"NOK","OK")</f>
        <v>#REF!</v>
      </c>
      <c r="K55" s="38"/>
      <c r="L55" s="38"/>
      <c r="M55" s="38"/>
      <c r="N55" s="38"/>
      <c r="O55" s="38"/>
      <c r="P55" s="38"/>
      <c r="Q55" s="34" t="e">
        <f>IF(OR(AND(OR('FROP (Customer)'!U81="QM",'FROP (Customer)'!U81="A",'FROP (Customer)'!U81="B",'FROP (Customer)'!U81="C",'FROP (Customer)'!U81="D"),'FROP (Customer)'!D81="N/A"),AND('FROP (Customer)'!D81="x",'FROP (Customer)'!Q81="N/A")),"NOK", "OK")</f>
        <v>#REF!</v>
      </c>
    </row>
    <row r="56" spans="1:17">
      <c r="A56" s="27" t="s">
        <v>667</v>
      </c>
      <c r="B56" s="33"/>
      <c r="C56" s="33"/>
      <c r="D56" s="34" t="e">
        <f>IF(AND('FROP (Customer)'!D82="x",'FROP (Customer)'!F82="N/A",'FROP (Customer)'!G82="N/A",'FROP (Customer)'!H82="N/A",'FROP (Customer)'!I82="N/A",'FROP (Customer)'!J82="N/A"),"NOK","OK")</f>
        <v>#REF!</v>
      </c>
      <c r="E56" s="33"/>
      <c r="F56" s="34" t="e">
        <f>IF(AND('FROP (Customer)'!$D82="N/A",'FROP (Customer)'!F82="x"),"NOK","OK")</f>
        <v>#REF!</v>
      </c>
      <c r="G56" s="34" t="e">
        <f>IF(AND('FROP (Customer)'!$D82="N/A",'FROP (Customer)'!G82="x"),"NOK","OK")</f>
        <v>#REF!</v>
      </c>
      <c r="H56" s="34" t="e">
        <f>IF(AND('FROP (Customer)'!$D82="N/A",'FROP (Customer)'!H82="x"),"NOK","OK")</f>
        <v>#REF!</v>
      </c>
      <c r="I56" s="34" t="e">
        <f>IF(AND('FROP (Customer)'!$D82="N/A",'FROP (Customer)'!I82="x"),"NOK","OK")</f>
        <v>#REF!</v>
      </c>
      <c r="J56" s="34" t="e">
        <f>IF(AND('FROP (Customer)'!$D82="N/A",'FROP (Customer)'!J82="x"),"NOK","OK")</f>
        <v>#REF!</v>
      </c>
      <c r="K56" s="38"/>
      <c r="L56" s="38"/>
      <c r="M56" s="38"/>
      <c r="N56" s="38"/>
      <c r="O56" s="38"/>
      <c r="P56" s="38"/>
      <c r="Q56" s="34" t="e">
        <f>IF(OR(AND(OR('FROP (Customer)'!U82="QM",'FROP (Customer)'!U82="A",'FROP (Customer)'!U82="B",'FROP (Customer)'!U82="C",'FROP (Customer)'!U82="D"),'FROP (Customer)'!D82="N/A"),AND('FROP (Customer)'!D82="x",'FROP (Customer)'!Q82="N/A")),"NOK", "OK")</f>
        <v>#REF!</v>
      </c>
    </row>
    <row r="57" spans="1:17" ht="15.75" thickBot="1">
      <c r="A57" s="30" t="s">
        <v>670</v>
      </c>
      <c r="B57" s="35"/>
      <c r="C57" s="35"/>
      <c r="D57" s="36" t="e">
        <f>IF(AND('FROP (Customer)'!D83="x",'FROP (Customer)'!F83="N/A",'FROP (Customer)'!G83="N/A",'FROP (Customer)'!H83="N/A",'FROP (Customer)'!I83="N/A",'FROP (Customer)'!J83="N/A"),"NOK","OK")</f>
        <v>#REF!</v>
      </c>
      <c r="E57" s="35"/>
      <c r="F57" s="36" t="e">
        <f>IF(AND('FROP (Customer)'!$D83="N/A",'FROP (Customer)'!F83="x"),"NOK","OK")</f>
        <v>#REF!</v>
      </c>
      <c r="G57" s="36" t="e">
        <f>IF(AND('FROP (Customer)'!$D83="N/A",'FROP (Customer)'!G83="x"),"NOK","OK")</f>
        <v>#REF!</v>
      </c>
      <c r="H57" s="36" t="e">
        <f>IF(AND('FROP (Customer)'!$D83="N/A",'FROP (Customer)'!H83="x"),"NOK","OK")</f>
        <v>#REF!</v>
      </c>
      <c r="I57" s="36" t="e">
        <f>IF(AND('FROP (Customer)'!$D83="N/A",'FROP (Customer)'!I83="x"),"NOK","OK")</f>
        <v>#REF!</v>
      </c>
      <c r="J57" s="36" t="e">
        <f>IF(AND('FROP (Customer)'!$D83="N/A",'FROP (Customer)'!J83="x"),"NOK","OK")</f>
        <v>#REF!</v>
      </c>
      <c r="K57" s="39"/>
      <c r="L57" s="39"/>
      <c r="M57" s="39"/>
      <c r="N57" s="39"/>
      <c r="O57" s="39"/>
      <c r="P57" s="39"/>
      <c r="Q57" s="36" t="e">
        <f>IF(OR(AND(OR('FROP (Customer)'!U83="QM",'FROP (Customer)'!U83="A",'FROP (Customer)'!U83="B",'FROP (Customer)'!U83="C",'FROP (Customer)'!U83="D"),'FROP (Customer)'!D83="N/A"),AND('FROP (Customer)'!D83="x",'FROP (Customer)'!Q83="N/A")),"NOK", "OK")</f>
        <v>#REF!</v>
      </c>
    </row>
    <row r="58" spans="1:17" ht="15.75" thickBot="1">
      <c r="D58" s="14"/>
    </row>
    <row r="59" spans="1:17" ht="15.75" thickBot="1">
      <c r="D59" s="24">
        <f>COUNTIF(D4:D57,"NOK")</f>
        <v>0</v>
      </c>
      <c r="F59" s="24">
        <f t="shared" ref="F59:Q59" si="0">COUNTIF(F4:F57,"NOK")</f>
        <v>0</v>
      </c>
      <c r="G59" s="24">
        <f t="shared" si="0"/>
        <v>0</v>
      </c>
      <c r="H59" s="24">
        <f t="shared" si="0"/>
        <v>0</v>
      </c>
      <c r="I59" s="24">
        <f t="shared" si="0"/>
        <v>0</v>
      </c>
      <c r="J59" s="24">
        <f t="shared" si="0"/>
        <v>0</v>
      </c>
      <c r="K59" s="24">
        <f t="shared" si="0"/>
        <v>0</v>
      </c>
      <c r="L59" s="24">
        <f t="shared" si="0"/>
        <v>0</v>
      </c>
      <c r="M59" s="24">
        <f t="shared" si="0"/>
        <v>0</v>
      </c>
      <c r="N59" s="24">
        <f t="shared" si="0"/>
        <v>0</v>
      </c>
      <c r="O59" s="24">
        <f t="shared" si="0"/>
        <v>0</v>
      </c>
      <c r="P59" s="24">
        <f t="shared" si="0"/>
        <v>0</v>
      </c>
      <c r="Q59" s="24">
        <f t="shared" si="0"/>
        <v>0</v>
      </c>
    </row>
    <row r="61" spans="1:17">
      <c r="D61" s="14"/>
    </row>
    <row r="62" spans="1:17">
      <c r="D62" s="14"/>
    </row>
    <row r="63" spans="1:17">
      <c r="D63" s="14"/>
    </row>
    <row r="64" spans="1:17">
      <c r="D64" s="14"/>
    </row>
    <row r="65" spans="4:4">
      <c r="D65" s="14"/>
    </row>
    <row r="66" spans="4:4">
      <c r="D66" s="14"/>
    </row>
    <row r="67" spans="4:4">
      <c r="D67" s="14"/>
    </row>
    <row r="68" spans="4:4">
      <c r="D68" s="14"/>
    </row>
  </sheetData>
  <sheetProtection algorithmName="SHA-512" hashValue="zfGN/ln44wbboW+KG2xOL8JcE8fJ7EDK7xJwd5cwFOZeIbhHjmE6lHwxSPpT901DYJdcmIB8Hj0djFOd9NAvkA==" saltValue="e2OgJUjfI68EzKObnzm26g==" spinCount="100000" sheet="1" objects="1" scenarios="1"/>
  <mergeCells count="15">
    <mergeCell ref="I1:I2"/>
    <mergeCell ref="A1:A3"/>
    <mergeCell ref="B1:B3"/>
    <mergeCell ref="C1:C3"/>
    <mergeCell ref="D1:D3"/>
    <mergeCell ref="E1:E3"/>
    <mergeCell ref="F1:F2"/>
    <mergeCell ref="G1:G2"/>
    <mergeCell ref="H1:H2"/>
    <mergeCell ref="J1:J2"/>
    <mergeCell ref="K1:M1"/>
    <mergeCell ref="N1:P1"/>
    <mergeCell ref="Q1:Q3"/>
    <mergeCell ref="K2:M2"/>
    <mergeCell ref="N2:P2"/>
  </mergeCells>
  <conditionalFormatting sqref="D4:D57 F4:Q57">
    <cfRule type="cellIs" dxfId="8" priority="9" operator="equal">
      <formula>"OK"</formula>
    </cfRule>
    <cfRule type="cellIs" dxfId="7" priority="10" operator="equal">
      <formula>"NOK"</formula>
    </cfRule>
  </conditionalFormatting>
  <conditionalFormatting sqref="D59 F59:Q59">
    <cfRule type="cellIs" dxfId="6" priority="5" operator="greaterThan">
      <formula>0</formula>
    </cfRule>
    <cfRule type="cellIs" dxfId="5" priority="6" operator="equal">
      <formula>0</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7719E-575C-4ECA-96F8-686676587ED0}">
  <sheetPr codeName="Sheet14"/>
  <dimension ref="B2:B14"/>
  <sheetViews>
    <sheetView workbookViewId="0"/>
  </sheetViews>
  <sheetFormatPr defaultRowHeight="15"/>
  <sheetData>
    <row r="2" spans="2:2">
      <c r="B2" s="130" t="s">
        <v>1303</v>
      </c>
    </row>
    <row r="4" spans="2:2">
      <c r="B4" t="s">
        <v>1304</v>
      </c>
    </row>
    <row r="5" spans="2:2">
      <c r="B5" t="s">
        <v>1305</v>
      </c>
    </row>
    <row r="6" spans="2:2">
      <c r="B6" t="s">
        <v>1306</v>
      </c>
    </row>
    <row r="7" spans="2:2">
      <c r="B7" t="s">
        <v>1307</v>
      </c>
    </row>
    <row r="8" spans="2:2">
      <c r="B8" t="s">
        <v>1308</v>
      </c>
    </row>
    <row r="9" spans="2:2">
      <c r="B9" t="s">
        <v>1309</v>
      </c>
    </row>
    <row r="10" spans="2:2">
      <c r="B10" t="s">
        <v>1310</v>
      </c>
    </row>
    <row r="12" spans="2:2">
      <c r="B12" s="129" t="s">
        <v>1311</v>
      </c>
    </row>
    <row r="13" spans="2:2">
      <c r="B13" t="s">
        <v>1312</v>
      </c>
    </row>
    <row r="14" spans="2:2">
      <c r="B14" t="s">
        <v>1313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C982F-9F65-42C7-99C5-4D52264A304D}">
  <sheetPr codeName="Sheet15" filterMode="1">
    <pageSetUpPr fitToPage="1"/>
  </sheetPr>
  <dimension ref="A1:CA103"/>
  <sheetViews>
    <sheetView workbookViewId="0"/>
  </sheetViews>
  <sheetFormatPr defaultColWidth="8.85546875" defaultRowHeight="15"/>
  <cols>
    <col min="1" max="1" width="15.42578125" style="41" customWidth="1"/>
    <col min="2" max="2" width="32.5703125" customWidth="1"/>
    <col min="3" max="3" width="33.140625" style="14" customWidth="1"/>
    <col min="4" max="4" width="9.5703125" style="14" customWidth="1"/>
    <col min="5" max="5" width="11" style="14" customWidth="1"/>
    <col min="6" max="6" width="12.42578125" hidden="1" customWidth="1"/>
    <col min="7" max="7" width="11.42578125" hidden="1" customWidth="1"/>
    <col min="8" max="8" width="12" hidden="1" customWidth="1"/>
    <col min="9" max="9" width="11.5703125" hidden="1" customWidth="1"/>
    <col min="10" max="10" width="11.5703125" customWidth="1"/>
    <col min="11" max="11" width="9.5703125" customWidth="1"/>
    <col min="12" max="12" width="11.85546875" customWidth="1"/>
    <col min="13" max="15" width="10.5703125" customWidth="1"/>
    <col min="16" max="16" width="18.5703125" customWidth="1"/>
    <col min="17" max="17" width="35.140625" customWidth="1"/>
    <col min="18" max="19" width="10.5703125" hidden="1" customWidth="1"/>
    <col min="20" max="62" width="10.5703125" customWidth="1"/>
    <col min="63" max="66" width="10.5703125" hidden="1" customWidth="1"/>
    <col min="67" max="71" width="0" hidden="1" customWidth="1"/>
  </cols>
  <sheetData>
    <row r="1" spans="1:73" ht="26.25">
      <c r="A1" s="613" t="str">
        <f>'[1]FROP (Internal)'!A1</f>
        <v>Valeo_VW_VWG002_FROP_44951</v>
      </c>
      <c r="B1" s="613"/>
      <c r="C1" s="613"/>
      <c r="D1" s="613"/>
      <c r="E1" s="613"/>
      <c r="F1" s="613"/>
      <c r="G1" s="613"/>
      <c r="H1" s="613"/>
      <c r="I1" s="613"/>
      <c r="J1" s="613"/>
      <c r="K1" s="613"/>
    </row>
    <row r="2" spans="1:73" ht="15.75" thickBot="1">
      <c r="C2" s="15"/>
      <c r="D2" s="15"/>
      <c r="E2" s="15"/>
      <c r="F2" s="15"/>
      <c r="G2" s="15"/>
      <c r="H2" s="15"/>
      <c r="I2" s="15"/>
      <c r="J2" s="15"/>
      <c r="K2" s="15"/>
      <c r="L2" s="15"/>
      <c r="M2" s="15"/>
      <c r="N2" s="15"/>
      <c r="O2" s="15"/>
      <c r="P2" s="15"/>
    </row>
    <row r="3" spans="1:73" ht="21.75" thickBot="1">
      <c r="A3" s="8" t="s">
        <v>997</v>
      </c>
      <c r="B3" s="597" t="str">
        <f>'[1]FROP (Internal)'!B3</f>
        <v>Valeo</v>
      </c>
      <c r="C3" s="598"/>
      <c r="D3" s="15"/>
      <c r="E3" s="15"/>
      <c r="F3" s="15"/>
      <c r="G3" s="15"/>
      <c r="H3" s="15"/>
      <c r="I3" s="15"/>
      <c r="J3" s="15"/>
      <c r="K3" s="15"/>
      <c r="L3" s="15"/>
      <c r="M3" s="15"/>
      <c r="N3" s="15"/>
      <c r="O3" s="15"/>
      <c r="P3" s="15"/>
      <c r="Q3" s="132" t="s">
        <v>998</v>
      </c>
      <c r="R3" s="614">
        <v>2023</v>
      </c>
      <c r="S3" s="615"/>
      <c r="T3" s="615"/>
      <c r="U3" s="615"/>
      <c r="V3" s="615"/>
      <c r="W3" s="615"/>
      <c r="X3" s="615"/>
      <c r="Y3" s="615"/>
      <c r="Z3" s="615"/>
      <c r="AA3" s="615"/>
      <c r="AB3" s="615"/>
      <c r="AC3" s="616"/>
      <c r="AD3" s="609">
        <v>2024</v>
      </c>
      <c r="AE3" s="588"/>
      <c r="AF3" s="588"/>
      <c r="AG3" s="588"/>
      <c r="AH3" s="588"/>
      <c r="AI3" s="588"/>
      <c r="AJ3" s="588"/>
      <c r="AK3" s="588"/>
      <c r="AL3" s="588"/>
      <c r="AM3" s="588"/>
      <c r="AN3" s="588"/>
      <c r="AO3" s="610"/>
      <c r="AP3" s="588">
        <v>2025</v>
      </c>
      <c r="AQ3" s="588"/>
      <c r="AR3" s="588"/>
      <c r="AS3" s="588"/>
      <c r="AT3" s="588"/>
      <c r="AU3" s="588"/>
      <c r="AV3" s="588"/>
      <c r="AW3" s="588"/>
      <c r="AX3" s="588"/>
      <c r="AY3" s="588"/>
      <c r="AZ3" s="588"/>
      <c r="BA3" s="588"/>
      <c r="BB3" s="609">
        <v>2026</v>
      </c>
      <c r="BC3" s="588"/>
      <c r="BD3" s="588"/>
      <c r="BE3" s="588"/>
      <c r="BF3" s="588"/>
      <c r="BG3" s="588"/>
      <c r="BH3" s="588"/>
      <c r="BI3" s="588"/>
      <c r="BJ3" s="588"/>
      <c r="BK3" s="588"/>
      <c r="BL3" s="588"/>
      <c r="BM3" s="610"/>
      <c r="BN3" s="588">
        <v>2027</v>
      </c>
      <c r="BO3" s="588"/>
      <c r="BP3" s="588"/>
      <c r="BQ3" s="588"/>
      <c r="BR3" s="588"/>
      <c r="BS3" s="610"/>
    </row>
    <row r="4" spans="1:73" ht="15.75" thickBot="1">
      <c r="A4" s="8" t="s">
        <v>999</v>
      </c>
      <c r="B4" s="597" t="str">
        <f>'[1]FROP (Internal)'!B4</f>
        <v>VW</v>
      </c>
      <c r="C4" s="598"/>
      <c r="D4" s="15"/>
      <c r="E4" s="15"/>
      <c r="F4" s="15"/>
      <c r="G4" s="15"/>
      <c r="H4" s="15"/>
      <c r="I4" s="15"/>
      <c r="J4" s="15"/>
      <c r="K4" s="15"/>
      <c r="L4" s="15"/>
      <c r="M4" s="15"/>
      <c r="N4" s="15"/>
      <c r="O4" s="15"/>
      <c r="P4" s="15"/>
      <c r="Q4" s="133" t="s">
        <v>1000</v>
      </c>
      <c r="R4" s="67">
        <v>1</v>
      </c>
      <c r="S4" s="68">
        <v>6</v>
      </c>
      <c r="T4" s="68">
        <v>10</v>
      </c>
      <c r="U4" s="68">
        <v>14</v>
      </c>
      <c r="V4" s="68">
        <v>18</v>
      </c>
      <c r="W4" s="68">
        <v>23</v>
      </c>
      <c r="X4" s="68">
        <v>27</v>
      </c>
      <c r="Y4" s="68">
        <v>32</v>
      </c>
      <c r="Z4" s="68">
        <v>36</v>
      </c>
      <c r="AA4" s="68">
        <v>40</v>
      </c>
      <c r="AB4" s="68">
        <v>45</v>
      </c>
      <c r="AC4" s="69">
        <v>49</v>
      </c>
      <c r="AD4" s="67">
        <v>1</v>
      </c>
      <c r="AE4" s="68">
        <v>6</v>
      </c>
      <c r="AF4" s="68">
        <v>10</v>
      </c>
      <c r="AG4" s="68">
        <v>14</v>
      </c>
      <c r="AH4" s="68">
        <v>19</v>
      </c>
      <c r="AI4" s="68">
        <v>23</v>
      </c>
      <c r="AJ4" s="68">
        <v>27</v>
      </c>
      <c r="AK4" s="68">
        <v>32</v>
      </c>
      <c r="AL4" s="68">
        <v>36</v>
      </c>
      <c r="AM4" s="68">
        <v>40</v>
      </c>
      <c r="AN4" s="68">
        <v>45</v>
      </c>
      <c r="AO4" s="69">
        <v>49</v>
      </c>
      <c r="AP4" s="67">
        <v>1</v>
      </c>
      <c r="AQ4" s="68">
        <v>5</v>
      </c>
      <c r="AR4" s="68">
        <v>9</v>
      </c>
      <c r="AS4" s="68">
        <v>14</v>
      </c>
      <c r="AT4" s="68">
        <v>18</v>
      </c>
      <c r="AU4" s="68">
        <v>22</v>
      </c>
      <c r="AV4" s="68">
        <v>27</v>
      </c>
      <c r="AW4" s="68">
        <v>31</v>
      </c>
      <c r="AX4" s="68">
        <v>35</v>
      </c>
      <c r="AY4" s="68">
        <v>40</v>
      </c>
      <c r="AZ4" s="68">
        <v>44</v>
      </c>
      <c r="BA4" s="69">
        <v>48</v>
      </c>
      <c r="BB4" s="67">
        <v>1</v>
      </c>
      <c r="BC4" s="68">
        <v>5</v>
      </c>
      <c r="BD4" s="68">
        <v>9</v>
      </c>
      <c r="BE4" s="68">
        <v>14</v>
      </c>
      <c r="BF4" s="68">
        <v>18</v>
      </c>
      <c r="BG4" s="68">
        <v>22</v>
      </c>
      <c r="BH4" s="68">
        <v>27</v>
      </c>
      <c r="BI4" s="68">
        <v>31</v>
      </c>
      <c r="BJ4" s="68">
        <v>36</v>
      </c>
      <c r="BK4" s="68">
        <v>40</v>
      </c>
      <c r="BL4" s="68">
        <v>44</v>
      </c>
      <c r="BM4" s="69">
        <v>49</v>
      </c>
      <c r="BN4" s="67">
        <v>1</v>
      </c>
      <c r="BO4" s="68">
        <v>5</v>
      </c>
      <c r="BP4" s="68">
        <v>9</v>
      </c>
      <c r="BQ4" s="68">
        <v>14</v>
      </c>
      <c r="BR4" s="68">
        <v>18</v>
      </c>
      <c r="BS4" s="69">
        <v>23</v>
      </c>
      <c r="BT4" s="70"/>
      <c r="BU4" s="70"/>
    </row>
    <row r="5" spans="1:73" ht="15.75" thickBot="1">
      <c r="A5" s="8" t="s">
        <v>1001</v>
      </c>
      <c r="B5" s="597" t="str">
        <f>'[1]FROP (Internal)'!B5</f>
        <v>VWG002</v>
      </c>
      <c r="C5" s="598"/>
      <c r="D5" s="15"/>
      <c r="E5" s="15"/>
      <c r="F5" s="15"/>
      <c r="G5" s="15"/>
      <c r="H5" s="15"/>
      <c r="I5" s="15"/>
      <c r="J5" s="15"/>
      <c r="K5" s="15"/>
      <c r="L5" s="15"/>
      <c r="M5" s="15"/>
      <c r="N5" s="15"/>
      <c r="O5" s="15"/>
      <c r="P5" s="15"/>
      <c r="Q5" s="133" t="s">
        <v>1002</v>
      </c>
      <c r="R5" s="71" t="s">
        <v>1003</v>
      </c>
      <c r="S5" s="72" t="s">
        <v>1004</v>
      </c>
      <c r="T5" s="72" t="s">
        <v>1005</v>
      </c>
      <c r="U5" s="72" t="s">
        <v>1006</v>
      </c>
      <c r="V5" s="72" t="s">
        <v>1007</v>
      </c>
      <c r="W5" s="72" t="s">
        <v>1008</v>
      </c>
      <c r="X5" s="72" t="s">
        <v>1009</v>
      </c>
      <c r="Y5" s="72" t="s">
        <v>1010</v>
      </c>
      <c r="Z5" s="72" t="s">
        <v>1011</v>
      </c>
      <c r="AA5" s="72" t="s">
        <v>1012</v>
      </c>
      <c r="AB5" s="72" t="s">
        <v>1013</v>
      </c>
      <c r="AC5" s="73" t="s">
        <v>1014</v>
      </c>
      <c r="AD5" s="71" t="s">
        <v>1003</v>
      </c>
      <c r="AE5" s="72" t="s">
        <v>1004</v>
      </c>
      <c r="AF5" s="72" t="s">
        <v>1005</v>
      </c>
      <c r="AG5" s="72" t="s">
        <v>1006</v>
      </c>
      <c r="AH5" s="72" t="s">
        <v>1007</v>
      </c>
      <c r="AI5" s="72" t="s">
        <v>1008</v>
      </c>
      <c r="AJ5" s="72" t="s">
        <v>1009</v>
      </c>
      <c r="AK5" s="72" t="s">
        <v>1010</v>
      </c>
      <c r="AL5" s="72" t="s">
        <v>1011</v>
      </c>
      <c r="AM5" s="72" t="s">
        <v>1012</v>
      </c>
      <c r="AN5" s="72" t="s">
        <v>1013</v>
      </c>
      <c r="AO5" s="73" t="s">
        <v>1014</v>
      </c>
      <c r="AP5" s="71" t="s">
        <v>1003</v>
      </c>
      <c r="AQ5" s="72" t="s">
        <v>1004</v>
      </c>
      <c r="AR5" s="72" t="s">
        <v>1005</v>
      </c>
      <c r="AS5" s="72" t="s">
        <v>1006</v>
      </c>
      <c r="AT5" s="72" t="s">
        <v>1007</v>
      </c>
      <c r="AU5" s="72" t="s">
        <v>1008</v>
      </c>
      <c r="AV5" s="72" t="s">
        <v>1009</v>
      </c>
      <c r="AW5" s="72" t="s">
        <v>1010</v>
      </c>
      <c r="AX5" s="72" t="s">
        <v>1011</v>
      </c>
      <c r="AY5" s="72" t="s">
        <v>1012</v>
      </c>
      <c r="AZ5" s="72" t="s">
        <v>1013</v>
      </c>
      <c r="BA5" s="73" t="s">
        <v>1014</v>
      </c>
      <c r="BB5" s="71" t="s">
        <v>1003</v>
      </c>
      <c r="BC5" s="72" t="s">
        <v>1004</v>
      </c>
      <c r="BD5" s="72" t="s">
        <v>1005</v>
      </c>
      <c r="BE5" s="72" t="s">
        <v>1006</v>
      </c>
      <c r="BF5" s="72" t="s">
        <v>1007</v>
      </c>
      <c r="BG5" s="72" t="s">
        <v>1008</v>
      </c>
      <c r="BH5" s="72" t="s">
        <v>1009</v>
      </c>
      <c r="BI5" s="72" t="s">
        <v>1010</v>
      </c>
      <c r="BJ5" s="72" t="s">
        <v>1011</v>
      </c>
      <c r="BK5" s="72" t="s">
        <v>1012</v>
      </c>
      <c r="BL5" s="72" t="s">
        <v>1013</v>
      </c>
      <c r="BM5" s="73" t="s">
        <v>1014</v>
      </c>
      <c r="BN5" s="71" t="s">
        <v>1003</v>
      </c>
      <c r="BO5" s="72" t="s">
        <v>1004</v>
      </c>
      <c r="BP5" s="72" t="s">
        <v>1005</v>
      </c>
      <c r="BQ5" s="72" t="s">
        <v>1006</v>
      </c>
      <c r="BR5" s="72" t="s">
        <v>1007</v>
      </c>
      <c r="BS5" s="73" t="s">
        <v>1008</v>
      </c>
    </row>
    <row r="6" spans="1:73" ht="15.75" thickBot="1">
      <c r="A6" s="8" t="s">
        <v>1015</v>
      </c>
      <c r="B6" s="597">
        <f>'[1]FROP (Internal)'!B7</f>
        <v>1</v>
      </c>
      <c r="C6" s="598"/>
      <c r="D6" s="15"/>
      <c r="E6" s="15"/>
      <c r="F6" s="15"/>
      <c r="G6" s="15"/>
      <c r="H6" s="15"/>
      <c r="I6" s="15"/>
      <c r="J6" s="15"/>
      <c r="K6" s="15"/>
      <c r="L6" s="15"/>
      <c r="M6" s="15"/>
      <c r="N6" s="15"/>
      <c r="O6" s="15"/>
      <c r="P6" s="15"/>
      <c r="Q6" s="133" t="s">
        <v>1016</v>
      </c>
      <c r="R6" s="111">
        <f>'[1]FROP (Internal)'!V6</f>
        <v>0</v>
      </c>
      <c r="S6" s="112">
        <f>'[1]FROP (Internal)'!W6</f>
        <v>0</v>
      </c>
      <c r="T6" s="112">
        <f>'[1]FROP (Internal)'!X6</f>
        <v>0</v>
      </c>
      <c r="U6" s="112" t="str">
        <f>'[1]FROP (Internal)'!Y6</f>
        <v>Week 2</v>
      </c>
      <c r="V6" s="112">
        <f>'[1]FROP (Internal)'!Z6</f>
        <v>0</v>
      </c>
      <c r="W6" s="112" t="str">
        <f>'[1]FROP (Internal)'!AA6</f>
        <v>Week 4</v>
      </c>
      <c r="X6" s="112">
        <f>'[1]FROP (Internal)'!AB6</f>
        <v>0</v>
      </c>
      <c r="Y6" s="112">
        <f>'[1]FROP (Internal)'!AC6</f>
        <v>0</v>
      </c>
      <c r="Z6" s="112" t="str">
        <f>'[1]FROP (Internal)'!AD6</f>
        <v>Last week</v>
      </c>
      <c r="AA6" s="112">
        <f>'[1]FROP (Internal)'!AE6</f>
        <v>0</v>
      </c>
      <c r="AB6" s="112">
        <f>'[1]FROP (Internal)'!AF6</f>
        <v>0</v>
      </c>
      <c r="AC6" s="113" t="str">
        <f>'[1]FROP (Internal)'!AG6</f>
        <v xml:space="preserve">Week 1 </v>
      </c>
      <c r="AD6" s="111">
        <f>'[1]FROP (Internal)'!AH6</f>
        <v>0</v>
      </c>
      <c r="AE6" s="112">
        <f>'[1]FROP (Internal)'!AI6</f>
        <v>0</v>
      </c>
      <c r="AF6" s="112" t="str">
        <f>'[1]FROP (Internal)'!AJ6</f>
        <v>Week 2</v>
      </c>
      <c r="AG6" s="112">
        <f>'[1]FROP (Internal)'!AK6</f>
        <v>0</v>
      </c>
      <c r="AH6" s="112" t="str">
        <f>'[1]FROP (Internal)'!AL6</f>
        <v>Week 2</v>
      </c>
      <c r="AI6" s="112">
        <f>'[1]FROP (Internal)'!AM6</f>
        <v>0</v>
      </c>
      <c r="AJ6" s="112">
        <f>'[1]FROP (Internal)'!AN6</f>
        <v>0</v>
      </c>
      <c r="AK6" s="112" t="str">
        <f>'[1]FROP (Internal)'!AO6</f>
        <v>Week 4</v>
      </c>
      <c r="AL6" s="112">
        <f>'[1]FROP (Internal)'!AP6</f>
        <v>0</v>
      </c>
      <c r="AM6" s="112">
        <f>'[1]FROP (Internal)'!AQ6</f>
        <v>0</v>
      </c>
      <c r="AN6" s="112" t="str">
        <f>'[1]FROP (Internal)'!AR6</f>
        <v>Last week</v>
      </c>
      <c r="AO6" s="113">
        <f>'[1]FROP (Internal)'!AS6</f>
        <v>0</v>
      </c>
      <c r="AP6" s="111">
        <f>'[1]FROP (Internal)'!AT6</f>
        <v>0</v>
      </c>
      <c r="AQ6" s="112" t="str">
        <f>'[1]FROP (Internal)'!AU6</f>
        <v xml:space="preserve">Week 1 </v>
      </c>
      <c r="AR6" s="112">
        <f>'[1]FROP (Internal)'!AV6</f>
        <v>0</v>
      </c>
      <c r="AS6" s="112" t="str">
        <f>'[1]FROP (Internal)'!AW6</f>
        <v xml:space="preserve">Week 1 </v>
      </c>
      <c r="AT6" s="112">
        <f>'[1]FROP (Internal)'!AX6</f>
        <v>0</v>
      </c>
      <c r="AU6" s="112">
        <f>'[1]FROP (Internal)'!AY6</f>
        <v>0</v>
      </c>
      <c r="AV6" s="112" t="str">
        <f>'[1]FROP (Internal)'!AZ6</f>
        <v>Week 3</v>
      </c>
      <c r="AW6" s="112">
        <f>'[1]FROP (Internal)'!BA6</f>
        <v>0</v>
      </c>
      <c r="AX6" s="112">
        <f>'[1]FROP (Internal)'!BB6</f>
        <v>0</v>
      </c>
      <c r="AY6" s="112">
        <f>'[1]FROP (Internal)'!BC6</f>
        <v>0</v>
      </c>
      <c r="AZ6" s="112" t="str">
        <f>'[1]FROP (Internal)'!BD6</f>
        <v>Week 3</v>
      </c>
      <c r="BA6" s="113">
        <f>'[1]FROP (Internal)'!BE6</f>
        <v>0</v>
      </c>
      <c r="BB6" s="111">
        <f>'[1]FROP (Internal)'!BF6</f>
        <v>0</v>
      </c>
      <c r="BC6" s="112">
        <f>'[1]FROP (Internal)'!BG6</f>
        <v>0</v>
      </c>
      <c r="BD6" s="112">
        <f>'[1]FROP (Internal)'!BH6</f>
        <v>0</v>
      </c>
      <c r="BE6" s="112">
        <f>'[1]FROP (Internal)'!BI6</f>
        <v>0</v>
      </c>
      <c r="BF6" s="112">
        <f>'[1]FROP (Internal)'!BJ6</f>
        <v>0</v>
      </c>
      <c r="BG6" s="112">
        <f>'[1]FROP (Internal)'!BK6</f>
        <v>0</v>
      </c>
      <c r="BH6" s="112">
        <f>'[1]FROP (Internal)'!BL6</f>
        <v>0</v>
      </c>
      <c r="BI6" s="112" t="str">
        <f>'[1]FROP (Internal)'!BM6</f>
        <v xml:space="preserve">Week 1 </v>
      </c>
      <c r="BJ6" s="112">
        <f>'[1]FROP (Internal)'!BN6</f>
        <v>0</v>
      </c>
      <c r="BK6" s="112">
        <f>'[1]FROP (Internal)'!BO6</f>
        <v>0</v>
      </c>
      <c r="BL6" s="112">
        <f>'[1]FROP (Internal)'!BP6</f>
        <v>0</v>
      </c>
      <c r="BM6" s="113">
        <f>'[1]FROP (Internal)'!BQ6</f>
        <v>0</v>
      </c>
      <c r="BN6" s="111">
        <f>'[1]FROP (Internal)'!BR6</f>
        <v>0</v>
      </c>
      <c r="BO6" s="112">
        <f>'[1]FROP (Internal)'!BS6</f>
        <v>0</v>
      </c>
      <c r="BP6" s="112">
        <f>'[1]FROP (Internal)'!BT6</f>
        <v>0</v>
      </c>
      <c r="BQ6" s="112">
        <f>'[1]FROP (Internal)'!BU6</f>
        <v>0</v>
      </c>
      <c r="BR6" s="112">
        <f>'[1]FROP (Internal)'!BV6</f>
        <v>0</v>
      </c>
      <c r="BS6" s="113">
        <f>'[1]FROP (Internal)'!BW6</f>
        <v>0</v>
      </c>
    </row>
    <row r="7" spans="1:73" ht="15.75" thickBot="1">
      <c r="A7" s="8" t="s">
        <v>1017</v>
      </c>
      <c r="B7" s="601">
        <f>'[1]FROP (Internal)'!B8</f>
        <v>44951</v>
      </c>
      <c r="C7" s="602"/>
      <c r="D7" s="15"/>
      <c r="E7" s="15"/>
      <c r="F7" s="15"/>
      <c r="G7" s="15"/>
      <c r="H7" s="15"/>
      <c r="I7" s="15"/>
      <c r="J7" s="15"/>
      <c r="K7" s="15"/>
      <c r="L7" s="15"/>
      <c r="M7" s="15"/>
      <c r="N7" s="15"/>
      <c r="O7" s="15"/>
      <c r="P7" s="15"/>
      <c r="Q7" s="133" t="s">
        <v>1018</v>
      </c>
      <c r="R7" s="111">
        <f>'[1]FROP (Internal)'!V7</f>
        <v>0</v>
      </c>
      <c r="S7" s="112">
        <f>'[1]FROP (Internal)'!W7</f>
        <v>0</v>
      </c>
      <c r="T7" s="112">
        <f>'[1]FROP (Internal)'!X7</f>
        <v>0</v>
      </c>
      <c r="U7" s="112" t="str">
        <f>'[1]FROP (Internal)'!Y7</f>
        <v>x</v>
      </c>
      <c r="V7" s="112">
        <f>'[1]FROP (Internal)'!Z7</f>
        <v>0</v>
      </c>
      <c r="W7" s="112">
        <f>'[1]FROP (Internal)'!AA7</f>
        <v>0</v>
      </c>
      <c r="X7" s="112">
        <f>'[1]FROP (Internal)'!AB7</f>
        <v>0</v>
      </c>
      <c r="Y7" s="112">
        <f>'[1]FROP (Internal)'!AC7</f>
        <v>0</v>
      </c>
      <c r="Z7" s="112">
        <f>'[1]FROP (Internal)'!AD7</f>
        <v>0</v>
      </c>
      <c r="AA7" s="112">
        <f>'[1]FROP (Internal)'!AE7</f>
        <v>0</v>
      </c>
      <c r="AB7" s="112">
        <f>'[1]FROP (Internal)'!AF7</f>
        <v>0</v>
      </c>
      <c r="AC7" s="113">
        <f>'[1]FROP (Internal)'!AG7</f>
        <v>0</v>
      </c>
      <c r="AD7" s="111">
        <f>'[1]FROP (Internal)'!AH7</f>
        <v>0</v>
      </c>
      <c r="AE7" s="112">
        <f>'[1]FROP (Internal)'!AI7</f>
        <v>0</v>
      </c>
      <c r="AF7" s="112">
        <f>'[1]FROP (Internal)'!AJ7</f>
        <v>0</v>
      </c>
      <c r="AG7" s="112">
        <f>'[1]FROP (Internal)'!AK7</f>
        <v>0</v>
      </c>
      <c r="AH7" s="112">
        <f>'[1]FROP (Internal)'!AL7</f>
        <v>0</v>
      </c>
      <c r="AI7" s="112">
        <f>'[1]FROP (Internal)'!AM7</f>
        <v>0</v>
      </c>
      <c r="AJ7" s="112">
        <f>'[1]FROP (Internal)'!AN7</f>
        <v>0</v>
      </c>
      <c r="AK7" s="112">
        <f>'[1]FROP (Internal)'!AO7</f>
        <v>0</v>
      </c>
      <c r="AL7" s="112">
        <f>'[1]FROP (Internal)'!AP7</f>
        <v>0</v>
      </c>
      <c r="AM7" s="112">
        <f>'[1]FROP (Internal)'!AQ7</f>
        <v>0</v>
      </c>
      <c r="AN7" s="112">
        <f>'[1]FROP (Internal)'!AR7</f>
        <v>0</v>
      </c>
      <c r="AO7" s="113">
        <f>'[1]FROP (Internal)'!AS7</f>
        <v>0</v>
      </c>
      <c r="AP7" s="111">
        <f>'[1]FROP (Internal)'!AT7</f>
        <v>0</v>
      </c>
      <c r="AQ7" s="112">
        <f>'[1]FROP (Internal)'!AU7</f>
        <v>0</v>
      </c>
      <c r="AR7" s="112">
        <f>'[1]FROP (Internal)'!AV7</f>
        <v>0</v>
      </c>
      <c r="AS7" s="112">
        <f>'[1]FROP (Internal)'!AW7</f>
        <v>0</v>
      </c>
      <c r="AT7" s="112">
        <f>'[1]FROP (Internal)'!AX7</f>
        <v>0</v>
      </c>
      <c r="AU7" s="112">
        <f>'[1]FROP (Internal)'!AY7</f>
        <v>0</v>
      </c>
      <c r="AV7" s="112">
        <f>'[1]FROP (Internal)'!AZ7</f>
        <v>0</v>
      </c>
      <c r="AW7" s="112">
        <f>'[1]FROP (Internal)'!BA7</f>
        <v>0</v>
      </c>
      <c r="AX7" s="112">
        <f>'[1]FROP (Internal)'!BB7</f>
        <v>0</v>
      </c>
      <c r="AY7" s="112">
        <f>'[1]FROP (Internal)'!BC7</f>
        <v>0</v>
      </c>
      <c r="AZ7" s="112">
        <f>'[1]FROP (Internal)'!BD7</f>
        <v>0</v>
      </c>
      <c r="BA7" s="113">
        <f>'[1]FROP (Internal)'!BE7</f>
        <v>0</v>
      </c>
      <c r="BB7" s="111">
        <f>'[1]FROP (Internal)'!BF7</f>
        <v>0</v>
      </c>
      <c r="BC7" s="112">
        <f>'[1]FROP (Internal)'!BG7</f>
        <v>0</v>
      </c>
      <c r="BD7" s="112">
        <f>'[1]FROP (Internal)'!BH7</f>
        <v>0</v>
      </c>
      <c r="BE7" s="112">
        <f>'[1]FROP (Internal)'!BI7</f>
        <v>0</v>
      </c>
      <c r="BF7" s="112">
        <f>'[1]FROP (Internal)'!BJ7</f>
        <v>0</v>
      </c>
      <c r="BG7" s="112">
        <f>'[1]FROP (Internal)'!BK7</f>
        <v>0</v>
      </c>
      <c r="BH7" s="112">
        <f>'[1]FROP (Internal)'!BL7</f>
        <v>0</v>
      </c>
      <c r="BI7" s="112">
        <f>'[1]FROP (Internal)'!BM7</f>
        <v>0</v>
      </c>
      <c r="BJ7" s="112">
        <f>'[1]FROP (Internal)'!BN7</f>
        <v>0</v>
      </c>
      <c r="BK7" s="112">
        <f>'[1]FROP (Internal)'!BO7</f>
        <v>0</v>
      </c>
      <c r="BL7" s="112">
        <f>'[1]FROP (Internal)'!BP7</f>
        <v>0</v>
      </c>
      <c r="BM7" s="113">
        <f>'[1]FROP (Internal)'!BQ7</f>
        <v>0</v>
      </c>
      <c r="BN7" s="111">
        <f>'[1]FROP (Internal)'!BR7</f>
        <v>0</v>
      </c>
      <c r="BO7" s="112">
        <f>'[1]FROP (Internal)'!BS7</f>
        <v>0</v>
      </c>
      <c r="BP7" s="112">
        <f>'[1]FROP (Internal)'!BT7</f>
        <v>0</v>
      </c>
      <c r="BQ7" s="112">
        <f>'[1]FROP (Internal)'!BU7</f>
        <v>0</v>
      </c>
      <c r="BR7" s="112">
        <f>'[1]FROP (Internal)'!BV7</f>
        <v>0</v>
      </c>
      <c r="BS7" s="113">
        <f>'[1]FROP (Internal)'!BW7</f>
        <v>0</v>
      </c>
    </row>
    <row r="8" spans="1:73">
      <c r="D8" s="15"/>
      <c r="E8" s="15"/>
      <c r="F8" s="15"/>
      <c r="G8" s="15"/>
      <c r="H8" s="15"/>
      <c r="I8" s="15"/>
      <c r="J8" s="15"/>
      <c r="K8" s="15"/>
      <c r="L8" s="15"/>
      <c r="M8" s="15"/>
      <c r="N8" s="15"/>
      <c r="O8" s="15"/>
      <c r="P8" s="15"/>
      <c r="Q8" s="133" t="s">
        <v>1019</v>
      </c>
      <c r="R8" s="114">
        <f>'[1]FROP (Internal)'!V8</f>
        <v>0</v>
      </c>
      <c r="S8" s="115">
        <f>'[1]FROP (Internal)'!W8</f>
        <v>0</v>
      </c>
      <c r="T8" s="115">
        <f>'[1]FROP (Internal)'!X8</f>
        <v>0</v>
      </c>
      <c r="U8" s="115" t="str">
        <f>'[1]FROP (Internal)'!Y8</f>
        <v>REQF</v>
      </c>
      <c r="V8" s="115">
        <f>'[1]FROP (Internal)'!Z8</f>
        <v>0</v>
      </c>
      <c r="W8" s="115" t="str">
        <f>'[1]FROP (Internal)'!AA8</f>
        <v>REQF</v>
      </c>
      <c r="X8" s="115">
        <f>'[1]FROP (Internal)'!AB8</f>
        <v>0</v>
      </c>
      <c r="Y8" s="115">
        <f>'[1]FROP (Internal)'!AC8</f>
        <v>0</v>
      </c>
      <c r="Z8" s="115" t="str">
        <f>'[1]FROP (Internal)'!AD8</f>
        <v>FFV</v>
      </c>
      <c r="AA8" s="115">
        <f>'[1]FROP (Internal)'!AE8</f>
        <v>0</v>
      </c>
      <c r="AB8" s="115">
        <f>'[1]FROP (Internal)'!AF8</f>
        <v>0</v>
      </c>
      <c r="AC8" s="116" t="str">
        <f>'[1]FROP (Internal)'!AG8</f>
        <v>FFV</v>
      </c>
      <c r="AD8" s="114">
        <f>'[1]FROP (Internal)'!AH8</f>
        <v>0</v>
      </c>
      <c r="AE8" s="115">
        <f>'[1]FROP (Internal)'!AI8</f>
        <v>0</v>
      </c>
      <c r="AF8" s="115" t="str">
        <f>'[1]FROP (Internal)'!AJ8</f>
        <v>EFV</v>
      </c>
      <c r="AG8" s="115">
        <f>'[1]FROP (Internal)'!AK8</f>
        <v>0</v>
      </c>
      <c r="AH8" s="115" t="str">
        <f>'[1]FROP (Internal)'!AL8</f>
        <v>EFV</v>
      </c>
      <c r="AI8" s="115">
        <f>'[1]FROP (Internal)'!AM8</f>
        <v>0</v>
      </c>
      <c r="AJ8" s="115">
        <f>'[1]FROP (Internal)'!AN8</f>
        <v>0</v>
      </c>
      <c r="AK8" s="115" t="str">
        <f>'[1]FROP (Internal)'!AO8</f>
        <v>AFV</v>
      </c>
      <c r="AL8" s="115">
        <f>'[1]FROP (Internal)'!AP8</f>
        <v>0</v>
      </c>
      <c r="AM8" s="115">
        <f>'[1]FROP (Internal)'!AQ8</f>
        <v>0</v>
      </c>
      <c r="AN8" s="115" t="str">
        <f>'[1]FROP (Internal)'!AR8</f>
        <v>AFV</v>
      </c>
      <c r="AO8" s="116">
        <f>'[1]FROP (Internal)'!AS8</f>
        <v>0</v>
      </c>
      <c r="AP8" s="114">
        <f>'[1]FROP (Internal)'!AT8</f>
        <v>0</v>
      </c>
      <c r="AQ8" s="115" t="str">
        <f>'[1]FROP (Internal)'!AU8</f>
        <v>AFV</v>
      </c>
      <c r="AR8" s="115">
        <f>'[1]FROP (Internal)'!AV8</f>
        <v>0</v>
      </c>
      <c r="AS8" s="115" t="str">
        <f>'[1]FROP (Internal)'!AW8</f>
        <v>AFV</v>
      </c>
      <c r="AT8" s="115">
        <f>'[1]FROP (Internal)'!AX8</f>
        <v>0</v>
      </c>
      <c r="AU8" s="115">
        <f>'[1]FROP (Internal)'!AY8</f>
        <v>0</v>
      </c>
      <c r="AV8" s="115" t="str">
        <f>'[1]FROP (Internal)'!AZ8</f>
        <v>SSSR</v>
      </c>
      <c r="AW8" s="115">
        <f>'[1]FROP (Internal)'!BA8</f>
        <v>0</v>
      </c>
      <c r="AX8" s="115">
        <f>'[1]FROP (Internal)'!BB8</f>
        <v>0</v>
      </c>
      <c r="AY8" s="115">
        <f>'[1]FROP (Internal)'!BC8</f>
        <v>0</v>
      </c>
      <c r="AZ8" s="115" t="str">
        <f>'[1]FROP (Internal)'!BD8</f>
        <v>SSSR</v>
      </c>
      <c r="BA8" s="116">
        <f>'[1]FROP (Internal)'!BE8</f>
        <v>0</v>
      </c>
      <c r="BB8" s="114">
        <f>'[1]FROP (Internal)'!BF8</f>
        <v>0</v>
      </c>
      <c r="BC8" s="115">
        <f>'[1]FROP (Internal)'!BG8</f>
        <v>0</v>
      </c>
      <c r="BD8" s="115">
        <f>'[1]FROP (Internal)'!BH8</f>
        <v>0</v>
      </c>
      <c r="BE8" s="115">
        <f>'[1]FROP (Internal)'!BI8</f>
        <v>0</v>
      </c>
      <c r="BF8" s="115">
        <f>'[1]FROP (Internal)'!BJ8</f>
        <v>0</v>
      </c>
      <c r="BG8" s="115">
        <f>'[1]FROP (Internal)'!BK8</f>
        <v>0</v>
      </c>
      <c r="BH8" s="115">
        <f>'[1]FROP (Internal)'!BL8</f>
        <v>0</v>
      </c>
      <c r="BI8" s="115" t="str">
        <f>'[1]FROP (Internal)'!BM8</f>
        <v>SSSR</v>
      </c>
      <c r="BJ8" s="115">
        <f>'[1]FROP (Internal)'!BN8</f>
        <v>0</v>
      </c>
      <c r="BK8" s="115">
        <f>'[1]FROP (Internal)'!BO8</f>
        <v>0</v>
      </c>
      <c r="BL8" s="115">
        <f>'[1]FROP (Internal)'!BP8</f>
        <v>0</v>
      </c>
      <c r="BM8" s="116">
        <f>'[1]FROP (Internal)'!BQ8</f>
        <v>0</v>
      </c>
      <c r="BN8" s="114">
        <f>'[1]FROP (Internal)'!BR8</f>
        <v>0</v>
      </c>
      <c r="BO8" s="115">
        <f>'[1]FROP (Internal)'!BS8</f>
        <v>0</v>
      </c>
      <c r="BP8" s="115">
        <f>'[1]FROP (Internal)'!BT8</f>
        <v>0</v>
      </c>
      <c r="BQ8" s="115">
        <f>'[1]FROP (Internal)'!BU8</f>
        <v>0</v>
      </c>
      <c r="BR8" s="115">
        <f>'[1]FROP (Internal)'!BV8</f>
        <v>0</v>
      </c>
      <c r="BS8" s="116">
        <f>'[1]FROP (Internal)'!BW8</f>
        <v>0</v>
      </c>
    </row>
    <row r="9" spans="1:73" ht="15.75" thickBot="1">
      <c r="F9" s="14"/>
      <c r="G9" s="14"/>
      <c r="H9" s="14"/>
      <c r="I9" s="14"/>
      <c r="J9" s="14"/>
      <c r="Q9" s="134" t="s">
        <v>1020</v>
      </c>
      <c r="R9" s="117">
        <f>'[1]FROP (Internal)'!V9</f>
        <v>0</v>
      </c>
      <c r="S9" s="118">
        <f>'[1]FROP (Internal)'!W9</f>
        <v>0</v>
      </c>
      <c r="T9" s="118">
        <f>'[1]FROP (Internal)'!X9</f>
        <v>0</v>
      </c>
      <c r="U9" s="118" t="str">
        <f>'[1]FROP (Internal)'!Y9</f>
        <v>SOD</v>
      </c>
      <c r="V9" s="118">
        <f>'[1]FROP (Internal)'!Z9</f>
        <v>0</v>
      </c>
      <c r="W9" s="118" t="str">
        <f>'[1]FROP (Internal)'!AA9</f>
        <v>ER1</v>
      </c>
      <c r="X9" s="118">
        <f>'[1]FROP (Internal)'!AB9</f>
        <v>0</v>
      </c>
      <c r="Y9" s="118">
        <f>'[1]FROP (Internal)'!AC9</f>
        <v>0</v>
      </c>
      <c r="Z9" s="118" t="str">
        <f>'[1]FROP (Internal)'!AD9</f>
        <v>R1</v>
      </c>
      <c r="AA9" s="118">
        <f>'[1]FROP (Internal)'!AE9</f>
        <v>0</v>
      </c>
      <c r="AB9" s="118">
        <f>'[1]FROP (Internal)'!AF9</f>
        <v>0</v>
      </c>
      <c r="AC9" s="119" t="str">
        <f>'[1]FROP (Internal)'!AG9</f>
        <v>ER2</v>
      </c>
      <c r="AD9" s="117">
        <f>'[1]FROP (Internal)'!AH9</f>
        <v>0</v>
      </c>
      <c r="AE9" s="118">
        <f>'[1]FROP (Internal)'!AI9</f>
        <v>0</v>
      </c>
      <c r="AF9" s="118" t="str">
        <f>'[1]FROP (Internal)'!AJ9</f>
        <v>R2</v>
      </c>
      <c r="AG9" s="118">
        <f>'[1]FROP (Internal)'!AK9</f>
        <v>0</v>
      </c>
      <c r="AH9" s="118" t="str">
        <f>'[1]FROP (Internal)'!AL9</f>
        <v>ER3</v>
      </c>
      <c r="AI9" s="118">
        <f>'[1]FROP (Internal)'!AM9</f>
        <v>0</v>
      </c>
      <c r="AJ9" s="118">
        <f>'[1]FROP (Internal)'!AN9</f>
        <v>0</v>
      </c>
      <c r="AK9" s="118" t="str">
        <f>'[1]FROP (Internal)'!AO9</f>
        <v>R3</v>
      </c>
      <c r="AL9" s="118">
        <f>'[1]FROP (Internal)'!AP9</f>
        <v>0</v>
      </c>
      <c r="AM9" s="118">
        <f>'[1]FROP (Internal)'!AQ9</f>
        <v>0</v>
      </c>
      <c r="AN9" s="118" t="str">
        <f>'[1]FROP (Internal)'!AR9</f>
        <v>ER4.1</v>
      </c>
      <c r="AO9" s="119">
        <f>'[1]FROP (Internal)'!AS9</f>
        <v>0</v>
      </c>
      <c r="AP9" s="117">
        <f>'[1]FROP (Internal)'!AT9</f>
        <v>0</v>
      </c>
      <c r="AQ9" s="118" t="str">
        <f>'[1]FROP (Internal)'!AU9</f>
        <v>ER4.2</v>
      </c>
      <c r="AR9" s="118">
        <f>'[1]FROP (Internal)'!AV9</f>
        <v>0</v>
      </c>
      <c r="AS9" s="118" t="str">
        <f>'[1]FROP (Internal)'!AW9</f>
        <v>ER4.3</v>
      </c>
      <c r="AT9" s="118">
        <f>'[1]FROP (Internal)'!AX9</f>
        <v>0</v>
      </c>
      <c r="AU9" s="118">
        <f>'[1]FROP (Internal)'!AY9</f>
        <v>0</v>
      </c>
      <c r="AV9" s="118" t="str">
        <f>'[1]FROP (Internal)'!AZ9</f>
        <v>R4</v>
      </c>
      <c r="AW9" s="118">
        <f>'[1]FROP (Internal)'!BA9</f>
        <v>0</v>
      </c>
      <c r="AX9" s="118">
        <f>'[1]FROP (Internal)'!BB9</f>
        <v>0</v>
      </c>
      <c r="AY9" s="118">
        <f>'[1]FROP (Internal)'!BC9</f>
        <v>0</v>
      </c>
      <c r="AZ9" s="118" t="str">
        <f>'[1]FROP (Internal)'!BD9</f>
        <v>R4</v>
      </c>
      <c r="BA9" s="119">
        <f>'[1]FROP (Internal)'!BE9</f>
        <v>0</v>
      </c>
      <c r="BB9" s="117">
        <f>'[1]FROP (Internal)'!BF9</f>
        <v>0</v>
      </c>
      <c r="BC9" s="118">
        <f>'[1]FROP (Internal)'!BG9</f>
        <v>0</v>
      </c>
      <c r="BD9" s="118">
        <f>'[1]FROP (Internal)'!BH9</f>
        <v>0</v>
      </c>
      <c r="BE9" s="118">
        <f>'[1]FROP (Internal)'!BI9</f>
        <v>0</v>
      </c>
      <c r="BF9" s="118">
        <f>'[1]FROP (Internal)'!BJ9</f>
        <v>0</v>
      </c>
      <c r="BG9" s="118">
        <f>'[1]FROP (Internal)'!BK9</f>
        <v>0</v>
      </c>
      <c r="BH9" s="118">
        <f>'[1]FROP (Internal)'!BL9</f>
        <v>0</v>
      </c>
      <c r="BI9" s="118" t="str">
        <f>'[1]FROP (Internal)'!BM9</f>
        <v>R4</v>
      </c>
      <c r="BJ9" s="118">
        <f>'[1]FROP (Internal)'!BN9</f>
        <v>0</v>
      </c>
      <c r="BK9" s="118">
        <f>'[1]FROP (Internal)'!BO9</f>
        <v>0</v>
      </c>
      <c r="BL9" s="118">
        <f>'[1]FROP (Internal)'!BP9</f>
        <v>0</v>
      </c>
      <c r="BM9" s="119">
        <f>'[1]FROP (Internal)'!BQ9</f>
        <v>0</v>
      </c>
      <c r="BN9" s="117">
        <f>'[1]FROP (Internal)'!BR9</f>
        <v>0</v>
      </c>
      <c r="BO9" s="118">
        <f>'[1]FROP (Internal)'!BS9</f>
        <v>0</v>
      </c>
      <c r="BP9" s="118">
        <f>'[1]FROP (Internal)'!BT9</f>
        <v>0</v>
      </c>
      <c r="BQ9" s="118">
        <f>'[1]FROP (Internal)'!BU9</f>
        <v>0</v>
      </c>
      <c r="BR9" s="118">
        <f>'[1]FROP (Internal)'!BV9</f>
        <v>0</v>
      </c>
      <c r="BS9" s="119">
        <f>'[1]FROP (Internal)'!BW9</f>
        <v>0</v>
      </c>
    </row>
    <row r="10" spans="1:73" ht="30" customHeight="1">
      <c r="F10" s="14"/>
      <c r="G10" s="14"/>
      <c r="H10" s="14"/>
      <c r="I10" s="14"/>
      <c r="J10" s="14"/>
      <c r="P10" s="677" t="s">
        <v>1021</v>
      </c>
      <c r="Q10" s="135" t="s">
        <v>781</v>
      </c>
      <c r="R10" s="120">
        <f>'[1]FROP (Internal)'!V10</f>
        <v>0</v>
      </c>
      <c r="S10" s="121">
        <f>'[1]FROP (Internal)'!W10</f>
        <v>0</v>
      </c>
      <c r="T10" s="121">
        <f>'[1]FROP (Internal)'!X10</f>
        <v>0</v>
      </c>
      <c r="U10" s="121" t="str">
        <f>'[1]FROP (Internal)'!Y10</f>
        <v>QNX</v>
      </c>
      <c r="V10" s="121">
        <f>'[1]FROP (Internal)'!Z10</f>
        <v>0</v>
      </c>
      <c r="W10" s="121" t="str">
        <f>'[1]FROP (Internal)'!AA10</f>
        <v>QNX</v>
      </c>
      <c r="X10" s="121">
        <f>'[1]FROP (Internal)'!AB10</f>
        <v>0</v>
      </c>
      <c r="Y10" s="121">
        <f>'[1]FROP (Internal)'!AC10</f>
        <v>0</v>
      </c>
      <c r="Z10" s="121" t="str">
        <f>'[1]FROP (Internal)'!AD10</f>
        <v>QNX</v>
      </c>
      <c r="AA10" s="121">
        <f>'[1]FROP (Internal)'!AE10</f>
        <v>0</v>
      </c>
      <c r="AB10" s="121">
        <f>'[1]FROP (Internal)'!AF10</f>
        <v>0</v>
      </c>
      <c r="AC10" s="122" t="str">
        <f>'[1]FROP (Internal)'!AG10</f>
        <v>QNX</v>
      </c>
      <c r="AD10" s="120">
        <f>'[1]FROP (Internal)'!AH10</f>
        <v>0</v>
      </c>
      <c r="AE10" s="121">
        <f>'[1]FROP (Internal)'!AI10</f>
        <v>0</v>
      </c>
      <c r="AF10" s="121" t="str">
        <f>'[1]FROP (Internal)'!AJ10</f>
        <v>QNX</v>
      </c>
      <c r="AG10" s="121">
        <f>'[1]FROP (Internal)'!AK10</f>
        <v>0</v>
      </c>
      <c r="AH10" s="121" t="str">
        <f>'[1]FROP (Internal)'!AL10</f>
        <v>QNX</v>
      </c>
      <c r="AI10" s="121">
        <f>'[1]FROP (Internal)'!AM10</f>
        <v>0</v>
      </c>
      <c r="AJ10" s="121">
        <f>'[1]FROP (Internal)'!AN10</f>
        <v>0</v>
      </c>
      <c r="AK10" s="121" t="str">
        <f>'[1]FROP (Internal)'!AO10</f>
        <v>QNX</v>
      </c>
      <c r="AL10" s="121">
        <f>'[1]FROP (Internal)'!AP10</f>
        <v>0</v>
      </c>
      <c r="AM10" s="121">
        <f>'[1]FROP (Internal)'!AQ10</f>
        <v>0</v>
      </c>
      <c r="AN10" s="121" t="str">
        <f>'[1]FROP (Internal)'!AR10</f>
        <v>QNX</v>
      </c>
      <c r="AO10" s="122">
        <f>'[1]FROP (Internal)'!AS10</f>
        <v>0</v>
      </c>
      <c r="AP10" s="120">
        <f>'[1]FROP (Internal)'!AT10</f>
        <v>0</v>
      </c>
      <c r="AQ10" s="121" t="str">
        <f>'[1]FROP (Internal)'!AU10</f>
        <v>QNX</v>
      </c>
      <c r="AR10" s="121">
        <f>'[1]FROP (Internal)'!AV10</f>
        <v>0</v>
      </c>
      <c r="AS10" s="121" t="str">
        <f>'[1]FROP (Internal)'!AW10</f>
        <v>QNX</v>
      </c>
      <c r="AT10" s="121">
        <f>'[1]FROP (Internal)'!AX10</f>
        <v>0</v>
      </c>
      <c r="AU10" s="121">
        <f>'[1]FROP (Internal)'!AY10</f>
        <v>0</v>
      </c>
      <c r="AV10" s="121" t="str">
        <f>'[1]FROP (Internal)'!AZ10</f>
        <v>QNX</v>
      </c>
      <c r="AW10" s="121">
        <f>'[1]FROP (Internal)'!BA10</f>
        <v>0</v>
      </c>
      <c r="AX10" s="121">
        <f>'[1]FROP (Internal)'!BB10</f>
        <v>0</v>
      </c>
      <c r="AY10" s="121">
        <f>'[1]FROP (Internal)'!BC10</f>
        <v>0</v>
      </c>
      <c r="AZ10" s="121" t="str">
        <f>'[1]FROP (Internal)'!BD10</f>
        <v>QNX</v>
      </c>
      <c r="BA10" s="122">
        <f>'[1]FROP (Internal)'!BE10</f>
        <v>0</v>
      </c>
      <c r="BB10" s="120">
        <f>'[1]FROP (Internal)'!BF10</f>
        <v>0</v>
      </c>
      <c r="BC10" s="121">
        <f>'[1]FROP (Internal)'!BG10</f>
        <v>0</v>
      </c>
      <c r="BD10" s="121">
        <f>'[1]FROP (Internal)'!BH10</f>
        <v>0</v>
      </c>
      <c r="BE10" s="121">
        <f>'[1]FROP (Internal)'!BI10</f>
        <v>0</v>
      </c>
      <c r="BF10" s="121">
        <f>'[1]FROP (Internal)'!BJ10</f>
        <v>0</v>
      </c>
      <c r="BG10" s="121">
        <f>'[1]FROP (Internal)'!BK10</f>
        <v>0</v>
      </c>
      <c r="BH10" s="121">
        <f>'[1]FROP (Internal)'!BL10</f>
        <v>0</v>
      </c>
      <c r="BI10" s="121" t="str">
        <f>'[1]FROP (Internal)'!BM10</f>
        <v>QNX</v>
      </c>
      <c r="BJ10" s="121">
        <f>'[1]FROP (Internal)'!BN10</f>
        <v>0</v>
      </c>
      <c r="BK10" s="121">
        <f>'[1]FROP (Internal)'!BO10</f>
        <v>0</v>
      </c>
      <c r="BL10" s="121">
        <f>'[1]FROP (Internal)'!BP10</f>
        <v>0</v>
      </c>
      <c r="BM10" s="122">
        <f>'[1]FROP (Internal)'!BQ10</f>
        <v>0</v>
      </c>
      <c r="BN10" s="120">
        <f>'[1]FROP (Internal)'!BR10</f>
        <v>0</v>
      </c>
      <c r="BO10" s="121">
        <f>'[1]FROP (Internal)'!BS10</f>
        <v>0</v>
      </c>
      <c r="BP10" s="121">
        <f>'[1]FROP (Internal)'!BT10</f>
        <v>0</v>
      </c>
      <c r="BQ10" s="121">
        <f>'[1]FROP (Internal)'!BU10</f>
        <v>0</v>
      </c>
      <c r="BR10" s="121">
        <f>'[1]FROP (Internal)'!BV10</f>
        <v>0</v>
      </c>
      <c r="BS10" s="122">
        <f>'[1]FROP (Internal)'!BW10</f>
        <v>0</v>
      </c>
    </row>
    <row r="11" spans="1:73" ht="30" customHeight="1">
      <c r="F11" s="14"/>
      <c r="G11" s="14"/>
      <c r="H11" s="14"/>
      <c r="I11" s="14"/>
      <c r="J11" s="14"/>
      <c r="P11" s="678"/>
      <c r="Q11" s="136" t="s">
        <v>1314</v>
      </c>
      <c r="R11" s="123">
        <f>'[1]FROP (Internal)'!V11</f>
        <v>0</v>
      </c>
      <c r="S11" s="124">
        <f>'[1]FROP (Internal)'!W11</f>
        <v>0</v>
      </c>
      <c r="T11" s="124">
        <f>'[1]FROP (Internal)'!X11</f>
        <v>0</v>
      </c>
      <c r="U11" s="124" t="str">
        <f>'[1]FROP (Internal)'!Y11</f>
        <v>Dev. Kit</v>
      </c>
      <c r="V11" s="124">
        <f>'[1]FROP (Internal)'!Z11</f>
        <v>0</v>
      </c>
      <c r="W11" s="124" t="str">
        <f>'[1]FROP (Internal)'!AA11</f>
        <v>A Sample</v>
      </c>
      <c r="X11" s="124">
        <f>'[1]FROP (Internal)'!AB11</f>
        <v>0</v>
      </c>
      <c r="Y11" s="124">
        <f>'[1]FROP (Internal)'!AC11</f>
        <v>0</v>
      </c>
      <c r="Z11" s="124" t="str">
        <f>'[1]FROP (Internal)'!AD11</f>
        <v>B Sample</v>
      </c>
      <c r="AA11" s="124">
        <f>'[1]FROP (Internal)'!AE11</f>
        <v>0</v>
      </c>
      <c r="AB11" s="124">
        <f>'[1]FROP (Internal)'!AF11</f>
        <v>0</v>
      </c>
      <c r="AC11" s="125" t="str">
        <f>'[1]FROP (Internal)'!AG11</f>
        <v>B Sample</v>
      </c>
      <c r="AD11" s="123">
        <f>'[1]FROP (Internal)'!AH11</f>
        <v>0</v>
      </c>
      <c r="AE11" s="124">
        <f>'[1]FROP (Internal)'!AI11</f>
        <v>0</v>
      </c>
      <c r="AF11" s="124" t="str">
        <f>'[1]FROP (Internal)'!AJ11</f>
        <v>B Sample</v>
      </c>
      <c r="AG11" s="124">
        <f>'[1]FROP (Internal)'!AK11</f>
        <v>0</v>
      </c>
      <c r="AH11" s="124" t="str">
        <f>'[1]FROP (Internal)'!AL11</f>
        <v>B Sample</v>
      </c>
      <c r="AI11" s="124">
        <f>'[1]FROP (Internal)'!AM11</f>
        <v>0</v>
      </c>
      <c r="AJ11" s="124">
        <f>'[1]FROP (Internal)'!AN11</f>
        <v>0</v>
      </c>
      <c r="AK11" s="124" t="str">
        <f>'[1]FROP (Internal)'!AO11</f>
        <v>C Sample</v>
      </c>
      <c r="AL11" s="124">
        <f>'[1]FROP (Internal)'!AP11</f>
        <v>0</v>
      </c>
      <c r="AM11" s="124">
        <f>'[1]FROP (Internal)'!AQ11</f>
        <v>0</v>
      </c>
      <c r="AN11" s="124" t="str">
        <f>'[1]FROP (Internal)'!AR11</f>
        <v>C Sample</v>
      </c>
      <c r="AO11" s="125">
        <f>'[1]FROP (Internal)'!AS11</f>
        <v>0</v>
      </c>
      <c r="AP11" s="123">
        <f>'[1]FROP (Internal)'!AT11</f>
        <v>0</v>
      </c>
      <c r="AQ11" s="124" t="str">
        <f>'[1]FROP (Internal)'!AU11</f>
        <v>C Sample</v>
      </c>
      <c r="AR11" s="124">
        <f>'[1]FROP (Internal)'!AV11</f>
        <v>0</v>
      </c>
      <c r="AS11" s="124" t="str">
        <f>'[1]FROP (Internal)'!AW11</f>
        <v>C Sample</v>
      </c>
      <c r="AT11" s="124">
        <f>'[1]FROP (Internal)'!AX11</f>
        <v>0</v>
      </c>
      <c r="AU11" s="124">
        <f>'[1]FROP (Internal)'!AY11</f>
        <v>0</v>
      </c>
      <c r="AV11" s="124" t="str">
        <f>'[1]FROP (Internal)'!AZ11</f>
        <v>SOP Sample</v>
      </c>
      <c r="AW11" s="124">
        <f>'[1]FROP (Internal)'!BA11</f>
        <v>0</v>
      </c>
      <c r="AX11" s="124">
        <f>'[1]FROP (Internal)'!BB11</f>
        <v>0</v>
      </c>
      <c r="AY11" s="124">
        <f>'[1]FROP (Internal)'!BC11</f>
        <v>0</v>
      </c>
      <c r="AZ11" s="124" t="str">
        <f>'[1]FROP (Internal)'!BD11</f>
        <v>SOP Sample</v>
      </c>
      <c r="BA11" s="125">
        <f>'[1]FROP (Internal)'!BE11</f>
        <v>0</v>
      </c>
      <c r="BB11" s="123">
        <f>'[1]FROP (Internal)'!BF11</f>
        <v>0</v>
      </c>
      <c r="BC11" s="124">
        <f>'[1]FROP (Internal)'!BG11</f>
        <v>0</v>
      </c>
      <c r="BD11" s="124">
        <f>'[1]FROP (Internal)'!BH11</f>
        <v>0</v>
      </c>
      <c r="BE11" s="124">
        <f>'[1]FROP (Internal)'!BI11</f>
        <v>0</v>
      </c>
      <c r="BF11" s="124">
        <f>'[1]FROP (Internal)'!BJ11</f>
        <v>0</v>
      </c>
      <c r="BG11" s="124">
        <f>'[1]FROP (Internal)'!BK11</f>
        <v>0</v>
      </c>
      <c r="BH11" s="124">
        <v>0</v>
      </c>
      <c r="BI11" s="124" t="str">
        <f>'[1]FROP (Internal)'!BM11</f>
        <v>SOP Sample</v>
      </c>
      <c r="BJ11" s="124">
        <f>'[1]FROP (Internal)'!BN11</f>
        <v>0</v>
      </c>
      <c r="BK11" s="124">
        <f>'[1]FROP (Internal)'!BO11</f>
        <v>0</v>
      </c>
      <c r="BL11" s="124">
        <f>'[1]FROP (Internal)'!BP11</f>
        <v>0</v>
      </c>
      <c r="BM11" s="125">
        <f>'[1]FROP (Internal)'!BQ11</f>
        <v>0</v>
      </c>
      <c r="BN11" s="123">
        <f>'[1]FROP (Internal)'!BR11</f>
        <v>0</v>
      </c>
      <c r="BO11" s="124">
        <f>'[1]FROP (Internal)'!BS11</f>
        <v>0</v>
      </c>
      <c r="BP11" s="124">
        <f>'[1]FROP (Internal)'!BT11</f>
        <v>0</v>
      </c>
      <c r="BQ11" s="124">
        <f>'[1]FROP (Internal)'!BU11</f>
        <v>0</v>
      </c>
      <c r="BR11" s="124">
        <f>'[1]FROP (Internal)'!BV11</f>
        <v>0</v>
      </c>
      <c r="BS11" s="125">
        <f>'[1]FROP (Internal)'!BW11</f>
        <v>0</v>
      </c>
    </row>
    <row r="12" spans="1:73" ht="30" customHeight="1">
      <c r="F12" s="14"/>
      <c r="G12" s="14"/>
      <c r="H12" s="14"/>
      <c r="I12" s="14"/>
      <c r="J12" s="14"/>
      <c r="P12" s="678"/>
      <c r="Q12" s="136" t="s">
        <v>1315</v>
      </c>
      <c r="R12" s="123">
        <f>'[1]FROP (Internal)'!V12</f>
        <v>0</v>
      </c>
      <c r="S12" s="124">
        <f>'[1]FROP (Internal)'!W12</f>
        <v>0</v>
      </c>
      <c r="T12" s="124">
        <f>'[1]FROP (Internal)'!X12</f>
        <v>0</v>
      </c>
      <c r="U12" s="124" t="str">
        <f>'[1]FROP (Internal)'!Y12</f>
        <v>QCM SA4150</v>
      </c>
      <c r="V12" s="124">
        <f>'[1]FROP (Internal)'!Z12</f>
        <v>0</v>
      </c>
      <c r="W12" s="124" t="str">
        <f>'[1]FROP (Internal)'!AA12</f>
        <v>QCM SA4150</v>
      </c>
      <c r="X12" s="124">
        <f>'[1]FROP (Internal)'!AB12</f>
        <v>0</v>
      </c>
      <c r="Y12" s="124">
        <f>'[1]FROP (Internal)'!AC12</f>
        <v>0</v>
      </c>
      <c r="Z12" s="124" t="str">
        <f>'[1]FROP (Internal)'!AD12</f>
        <v>QCM SA4150</v>
      </c>
      <c r="AA12" s="124">
        <f>'[1]FROP (Internal)'!AE12</f>
        <v>0</v>
      </c>
      <c r="AB12" s="124">
        <f>'[1]FROP (Internal)'!AF12</f>
        <v>0</v>
      </c>
      <c r="AC12" s="125" t="str">
        <f>'[1]FROP (Internal)'!AG12</f>
        <v>QCM SA4150</v>
      </c>
      <c r="AD12" s="123">
        <f>'[1]FROP (Internal)'!AH12</f>
        <v>0</v>
      </c>
      <c r="AE12" s="124">
        <f>'[1]FROP (Internal)'!AI12</f>
        <v>0</v>
      </c>
      <c r="AF12" s="124" t="str">
        <f>'[1]FROP (Internal)'!AJ12</f>
        <v>QCM SA4150</v>
      </c>
      <c r="AG12" s="124">
        <f>'[1]FROP (Internal)'!AK12</f>
        <v>0</v>
      </c>
      <c r="AH12" s="124" t="str">
        <f>'[1]FROP (Internal)'!AL12</f>
        <v>QCM SA4150</v>
      </c>
      <c r="AI12" s="124">
        <f>'[1]FROP (Internal)'!AM12</f>
        <v>0</v>
      </c>
      <c r="AJ12" s="124">
        <f>'[1]FROP (Internal)'!AN12</f>
        <v>0</v>
      </c>
      <c r="AK12" s="124" t="str">
        <f>'[1]FROP (Internal)'!AO12</f>
        <v>QCM SA4150</v>
      </c>
      <c r="AL12" s="124">
        <f>'[1]FROP (Internal)'!AP12</f>
        <v>0</v>
      </c>
      <c r="AM12" s="124">
        <f>'[1]FROP (Internal)'!AQ12</f>
        <v>0</v>
      </c>
      <c r="AN12" s="124" t="str">
        <f>'[1]FROP (Internal)'!AR12</f>
        <v>QCM SA4150</v>
      </c>
      <c r="AO12" s="125">
        <f>'[1]FROP (Internal)'!AS12</f>
        <v>0</v>
      </c>
      <c r="AP12" s="123">
        <f>'[1]FROP (Internal)'!AT12</f>
        <v>0</v>
      </c>
      <c r="AQ12" s="124" t="str">
        <f>'[1]FROP (Internal)'!AU12</f>
        <v>QCM SA4150</v>
      </c>
      <c r="AR12" s="124">
        <f>'[1]FROP (Internal)'!AV12</f>
        <v>0</v>
      </c>
      <c r="AS12" s="124" t="str">
        <f>'[1]FROP (Internal)'!AW12</f>
        <v>QCM SA4150</v>
      </c>
      <c r="AT12" s="124">
        <f>'[1]FROP (Internal)'!AX12</f>
        <v>0</v>
      </c>
      <c r="AU12" s="124">
        <f>'[1]FROP (Internal)'!AY12</f>
        <v>0</v>
      </c>
      <c r="AV12" s="124" t="str">
        <f>'[1]FROP (Internal)'!AZ12</f>
        <v>QCM SA4150</v>
      </c>
      <c r="AW12" s="124">
        <f>'[1]FROP (Internal)'!BA12</f>
        <v>0</v>
      </c>
      <c r="AX12" s="124">
        <f>'[1]FROP (Internal)'!BB12</f>
        <v>0</v>
      </c>
      <c r="AY12" s="124">
        <f>'[1]FROP (Internal)'!BC12</f>
        <v>0</v>
      </c>
      <c r="AZ12" s="124" t="str">
        <f>'[1]FROP (Internal)'!BD12</f>
        <v>QCM SA4150</v>
      </c>
      <c r="BA12" s="125">
        <f>'[1]FROP (Internal)'!BE12</f>
        <v>0</v>
      </c>
      <c r="BB12" s="123">
        <f>'[1]FROP (Internal)'!BF12</f>
        <v>0</v>
      </c>
      <c r="BC12" s="124">
        <f>'[1]FROP (Internal)'!BG12</f>
        <v>0</v>
      </c>
      <c r="BD12" s="124">
        <f>'[1]FROP (Internal)'!BH12</f>
        <v>0</v>
      </c>
      <c r="BE12" s="124">
        <f>'[1]FROP (Internal)'!BI12</f>
        <v>0</v>
      </c>
      <c r="BF12" s="124">
        <f>'[1]FROP (Internal)'!BJ12</f>
        <v>0</v>
      </c>
      <c r="BG12" s="124">
        <f>'[1]FROP (Internal)'!BK12</f>
        <v>0</v>
      </c>
      <c r="BH12" s="124">
        <f>'[1]FROP (Internal)'!BL12</f>
        <v>0</v>
      </c>
      <c r="BI12" s="124" t="str">
        <f>'[1]FROP (Internal)'!BM12</f>
        <v>QCM SA4150</v>
      </c>
      <c r="BJ12" s="124">
        <f>'[1]FROP (Internal)'!BN12</f>
        <v>0</v>
      </c>
      <c r="BK12" s="124">
        <f>'[1]FROP (Internal)'!BO12</f>
        <v>0</v>
      </c>
      <c r="BL12" s="124">
        <f>'[1]FROP (Internal)'!BP12</f>
        <v>0</v>
      </c>
      <c r="BM12" s="125">
        <f>'[1]FROP (Internal)'!BQ12</f>
        <v>0</v>
      </c>
      <c r="BN12" s="123">
        <f>'[1]FROP (Internal)'!BR12</f>
        <v>0</v>
      </c>
      <c r="BO12" s="124">
        <f>'[1]FROP (Internal)'!BS12</f>
        <v>0</v>
      </c>
      <c r="BP12" s="124">
        <f>'[1]FROP (Internal)'!BT12</f>
        <v>0</v>
      </c>
      <c r="BQ12" s="124">
        <f>'[1]FROP (Internal)'!BU12</f>
        <v>0</v>
      </c>
      <c r="BR12" s="124">
        <f>'[1]FROP (Internal)'!BV12</f>
        <v>0</v>
      </c>
      <c r="BS12" s="125">
        <f>'[1]FROP (Internal)'!BW12</f>
        <v>0</v>
      </c>
    </row>
    <row r="13" spans="1:73" ht="30" customHeight="1" thickBot="1">
      <c r="F13" s="14"/>
      <c r="G13" s="14"/>
      <c r="H13" s="14"/>
      <c r="I13" s="14"/>
      <c r="J13" s="14"/>
      <c r="P13" s="679"/>
      <c r="Q13" s="137" t="s">
        <v>1316</v>
      </c>
      <c r="R13" s="126">
        <f>'[1]FROP (Internal)'!V13</f>
        <v>0</v>
      </c>
      <c r="S13" s="127">
        <f>'[1]FROP (Internal)'!W13</f>
        <v>0</v>
      </c>
      <c r="T13" s="127">
        <f>'[1]FROP (Internal)'!X13</f>
        <v>0</v>
      </c>
      <c r="U13" s="127">
        <f>'[1]FROP (Internal)'!Y13</f>
        <v>0</v>
      </c>
      <c r="V13" s="127">
        <f>'[1]FROP (Internal)'!Z13</f>
        <v>0</v>
      </c>
      <c r="W13" s="127">
        <f>'[1]FROP (Internal)'!AA13</f>
        <v>0</v>
      </c>
      <c r="X13" s="127">
        <f>'[1]FROP (Internal)'!AB13</f>
        <v>0</v>
      </c>
      <c r="Y13" s="127">
        <f>'[1]FROP (Internal)'!AC13</f>
        <v>0</v>
      </c>
      <c r="Z13" s="127">
        <f>'[1]FROP (Internal)'!AD13</f>
        <v>0</v>
      </c>
      <c r="AA13" s="127">
        <f>'[1]FROP (Internal)'!AE13</f>
        <v>0</v>
      </c>
      <c r="AB13" s="127">
        <f>'[1]FROP (Internal)'!AF13</f>
        <v>0</v>
      </c>
      <c r="AC13" s="128">
        <f>'[1]FROP (Internal)'!AG13</f>
        <v>0</v>
      </c>
      <c r="AD13" s="126">
        <f>'[1]FROP (Internal)'!AH13</f>
        <v>0</v>
      </c>
      <c r="AE13" s="127">
        <f>'[1]FROP (Internal)'!AI13</f>
        <v>0</v>
      </c>
      <c r="AF13" s="127">
        <f>'[1]FROP (Internal)'!AJ13</f>
        <v>0</v>
      </c>
      <c r="AG13" s="127">
        <f>'[1]FROP (Internal)'!AK13</f>
        <v>0</v>
      </c>
      <c r="AH13" s="127">
        <f>'[1]FROP (Internal)'!AL13</f>
        <v>0</v>
      </c>
      <c r="AI13" s="127">
        <f>'[1]FROP (Internal)'!AM13</f>
        <v>0</v>
      </c>
      <c r="AJ13" s="127">
        <f>'[1]FROP (Internal)'!AN13</f>
        <v>0</v>
      </c>
      <c r="AK13" s="127">
        <f>'[1]FROP (Internal)'!AO13</f>
        <v>0</v>
      </c>
      <c r="AL13" s="127">
        <f>'[1]FROP (Internal)'!AP13</f>
        <v>0</v>
      </c>
      <c r="AM13" s="127">
        <f>'[1]FROP (Internal)'!AQ13</f>
        <v>0</v>
      </c>
      <c r="AN13" s="127">
        <f>'[1]FROP (Internal)'!AR13</f>
        <v>0</v>
      </c>
      <c r="AO13" s="128">
        <f>'[1]FROP (Internal)'!AS13</f>
        <v>0</v>
      </c>
      <c r="AP13" s="126">
        <f>'[1]FROP (Internal)'!AT13</f>
        <v>0</v>
      </c>
      <c r="AQ13" s="127">
        <f>'[1]FROP (Internal)'!AU13</f>
        <v>0</v>
      </c>
      <c r="AR13" s="127">
        <f>'[1]FROP (Internal)'!AV13</f>
        <v>0</v>
      </c>
      <c r="AS13" s="127">
        <f>'[1]FROP (Internal)'!AW13</f>
        <v>0</v>
      </c>
      <c r="AT13" s="127">
        <f>'[1]FROP (Internal)'!AX13</f>
        <v>0</v>
      </c>
      <c r="AU13" s="127">
        <f>'[1]FROP (Internal)'!AY13</f>
        <v>0</v>
      </c>
      <c r="AV13" s="127">
        <f>'[1]FROP (Internal)'!AZ13</f>
        <v>0</v>
      </c>
      <c r="AW13" s="127">
        <f>'[1]FROP (Internal)'!BA13</f>
        <v>0</v>
      </c>
      <c r="AX13" s="127">
        <f>'[1]FROP (Internal)'!BB13</f>
        <v>0</v>
      </c>
      <c r="AY13" s="127">
        <f>'[1]FROP (Internal)'!BC13</f>
        <v>0</v>
      </c>
      <c r="AZ13" s="127">
        <f>'[1]FROP (Internal)'!BD13</f>
        <v>0</v>
      </c>
      <c r="BA13" s="128">
        <f>'[1]FROP (Internal)'!BE13</f>
        <v>0</v>
      </c>
      <c r="BB13" s="126">
        <f>'[1]FROP (Internal)'!BF13</f>
        <v>0</v>
      </c>
      <c r="BC13" s="127">
        <f>'[1]FROP (Internal)'!BG13</f>
        <v>0</v>
      </c>
      <c r="BD13" s="127">
        <f>'[1]FROP (Internal)'!BH13</f>
        <v>0</v>
      </c>
      <c r="BE13" s="127">
        <f>'[1]FROP (Internal)'!BI13</f>
        <v>0</v>
      </c>
      <c r="BF13" s="127">
        <f>'[1]FROP (Internal)'!BJ13</f>
        <v>0</v>
      </c>
      <c r="BG13" s="127">
        <f>'[1]FROP (Internal)'!BK13</f>
        <v>0</v>
      </c>
      <c r="BH13" s="127">
        <f>'[1]FROP (Internal)'!BL13</f>
        <v>0</v>
      </c>
      <c r="BI13" s="127">
        <f>'[1]FROP (Internal)'!BM13</f>
        <v>0</v>
      </c>
      <c r="BJ13" s="127">
        <f>'[1]FROP (Internal)'!BN13</f>
        <v>0</v>
      </c>
      <c r="BK13" s="127">
        <f>'[1]FROP (Internal)'!BO13</f>
        <v>0</v>
      </c>
      <c r="BL13" s="127">
        <f>'[1]FROP (Internal)'!BP13</f>
        <v>0</v>
      </c>
      <c r="BM13" s="128">
        <f>'[1]FROP (Internal)'!BQ13</f>
        <v>0</v>
      </c>
      <c r="BN13" s="126">
        <f>'[1]FROP (Internal)'!BR13</f>
        <v>0</v>
      </c>
      <c r="BO13" s="127">
        <f>'[1]FROP (Internal)'!BS13</f>
        <v>0</v>
      </c>
      <c r="BP13" s="127">
        <f>'[1]FROP (Internal)'!BT13</f>
        <v>0</v>
      </c>
      <c r="BQ13" s="127">
        <f>'[1]FROP (Internal)'!BU13</f>
        <v>0</v>
      </c>
      <c r="BR13" s="127">
        <f>'[1]FROP (Internal)'!BV13</f>
        <v>0</v>
      </c>
      <c r="BS13" s="128">
        <f>'[1]FROP (Internal)'!BW13</f>
        <v>0</v>
      </c>
    </row>
    <row r="14" spans="1:73" ht="30" customHeight="1">
      <c r="F14" s="14"/>
      <c r="G14" s="14"/>
      <c r="H14" s="14"/>
      <c r="I14" s="14"/>
      <c r="J14" s="14"/>
      <c r="P14" s="677" t="s">
        <v>1022</v>
      </c>
      <c r="Q14" s="138" t="str">
        <f>'[1]FROP (Internal)'!U14</f>
        <v>Integration of Camera Control</v>
      </c>
      <c r="R14" s="120">
        <f>'[1]FROP (Internal)'!V14</f>
        <v>0</v>
      </c>
      <c r="S14" s="121">
        <f>'[1]FROP (Internal)'!W14</f>
        <v>0</v>
      </c>
      <c r="T14" s="121">
        <f>'[1]FROP (Internal)'!X14</f>
        <v>0</v>
      </c>
      <c r="U14" s="121">
        <f>'[1]FROP (Internal)'!Y14</f>
        <v>0</v>
      </c>
      <c r="V14" s="121">
        <f>'[1]FROP (Internal)'!Z14</f>
        <v>0</v>
      </c>
      <c r="W14" s="121">
        <f>'[1]FROP (Internal)'!AA14</f>
        <v>45017</v>
      </c>
      <c r="X14" s="121">
        <f>'[1]FROP (Internal)'!AB14</f>
        <v>0</v>
      </c>
      <c r="Y14" s="121">
        <f>'[1]FROP (Internal)'!AC14</f>
        <v>0</v>
      </c>
      <c r="Z14" s="121">
        <f>'[1]FROP (Internal)'!AD14</f>
        <v>45108</v>
      </c>
      <c r="AA14" s="121">
        <f>'[1]FROP (Internal)'!AE14</f>
        <v>0</v>
      </c>
      <c r="AB14" s="121">
        <f>'[1]FROP (Internal)'!AF14</f>
        <v>0</v>
      </c>
      <c r="AC14" s="122">
        <f>'[1]FROP (Internal)'!AG14</f>
        <v>45200</v>
      </c>
      <c r="AD14" s="120">
        <f>'[1]FROP (Internal)'!AH14</f>
        <v>0</v>
      </c>
      <c r="AE14" s="121">
        <f>'[1]FROP (Internal)'!AI14</f>
        <v>0</v>
      </c>
      <c r="AF14" s="121">
        <f>'[1]FROP (Internal)'!AJ14</f>
        <v>45261</v>
      </c>
      <c r="AG14" s="121">
        <f>'[1]FROP (Internal)'!AK14</f>
        <v>0</v>
      </c>
      <c r="AH14" s="121">
        <f>'[1]FROP (Internal)'!AL14</f>
        <v>45352</v>
      </c>
      <c r="AI14" s="121">
        <f>'[1]FROP (Internal)'!AM14</f>
        <v>0</v>
      </c>
      <c r="AJ14" s="121">
        <f>'[1]FROP (Internal)'!AN14</f>
        <v>0</v>
      </c>
      <c r="AK14" s="121">
        <f>'[1]FROP (Internal)'!AO14</f>
        <v>45444</v>
      </c>
      <c r="AL14" s="121">
        <f>'[1]FROP (Internal)'!AP14</f>
        <v>0</v>
      </c>
      <c r="AM14" s="121">
        <f>'[1]FROP (Internal)'!AQ14</f>
        <v>0</v>
      </c>
      <c r="AN14" s="121">
        <f>'[1]FROP (Internal)'!AR14</f>
        <v>45505</v>
      </c>
      <c r="AO14" s="122">
        <f>'[1]FROP (Internal)'!AS14</f>
        <v>0</v>
      </c>
      <c r="AP14" s="120">
        <f>'[1]FROP (Internal)'!AT14</f>
        <v>0</v>
      </c>
      <c r="AQ14" s="121">
        <f>'[1]FROP (Internal)'!AU14</f>
        <v>45597</v>
      </c>
      <c r="AR14" s="121">
        <f>'[1]FROP (Internal)'!AV14</f>
        <v>0</v>
      </c>
      <c r="AS14" s="121">
        <f>'[1]FROP (Internal)'!AW14</f>
        <v>45689</v>
      </c>
      <c r="AT14" s="121">
        <f>'[1]FROP (Internal)'!AX14</f>
        <v>0</v>
      </c>
      <c r="AU14" s="121">
        <f>'[1]FROP (Internal)'!AY14</f>
        <v>0</v>
      </c>
      <c r="AV14" s="121">
        <f>'[1]FROP (Internal)'!AZ14</f>
        <v>45778</v>
      </c>
      <c r="AW14" s="121">
        <f>'[1]FROP (Internal)'!BA14</f>
        <v>0</v>
      </c>
      <c r="AX14" s="121">
        <f>'[1]FROP (Internal)'!BB14</f>
        <v>0</v>
      </c>
      <c r="AY14" s="121">
        <f>'[1]FROP (Internal)'!BC14</f>
        <v>0</v>
      </c>
      <c r="AZ14" s="121">
        <f>'[1]FROP (Internal)'!BD14</f>
        <v>45778</v>
      </c>
      <c r="BA14" s="122">
        <f>'[1]FROP (Internal)'!BE14</f>
        <v>0</v>
      </c>
      <c r="BB14" s="120">
        <f>'[1]FROP (Internal)'!BF14</f>
        <v>0</v>
      </c>
      <c r="BC14" s="121">
        <f>'[1]FROP (Internal)'!BG14</f>
        <v>0</v>
      </c>
      <c r="BD14" s="121">
        <f>'[1]FROP (Internal)'!BH14</f>
        <v>0</v>
      </c>
      <c r="BE14" s="121">
        <f>'[1]FROP (Internal)'!BI14</f>
        <v>0</v>
      </c>
      <c r="BF14" s="121">
        <f>'[1]FROP (Internal)'!BJ14</f>
        <v>0</v>
      </c>
      <c r="BG14" s="121">
        <f>'[1]FROP (Internal)'!BK14</f>
        <v>0</v>
      </c>
      <c r="BH14" s="121">
        <f>'[1]FROP (Internal)'!BL14</f>
        <v>0</v>
      </c>
      <c r="BI14" s="121">
        <f>'[1]FROP (Internal)'!BM14</f>
        <v>45778</v>
      </c>
      <c r="BJ14" s="121">
        <f>'[1]FROP (Internal)'!BN14</f>
        <v>0</v>
      </c>
      <c r="BK14" s="121">
        <f>'[1]FROP (Internal)'!BO14</f>
        <v>0</v>
      </c>
      <c r="BL14" s="121">
        <f>'[1]FROP (Internal)'!BP14</f>
        <v>0</v>
      </c>
      <c r="BM14" s="122">
        <f>'[1]FROP (Internal)'!BQ14</f>
        <v>0</v>
      </c>
      <c r="BN14" s="120">
        <f>'[1]FROP (Internal)'!BR14</f>
        <v>0</v>
      </c>
      <c r="BO14" s="121">
        <f>'[1]FROP (Internal)'!BS14</f>
        <v>0</v>
      </c>
      <c r="BP14" s="121">
        <f>'[1]FROP (Internal)'!BT14</f>
        <v>0</v>
      </c>
      <c r="BQ14" s="121">
        <f>'[1]FROP (Internal)'!BU14</f>
        <v>0</v>
      </c>
      <c r="BR14" s="121">
        <f>'[1]FROP (Internal)'!BV14</f>
        <v>0</v>
      </c>
      <c r="BS14" s="122">
        <f>'[1]FROP (Internal)'!BW14</f>
        <v>0</v>
      </c>
    </row>
    <row r="15" spans="1:73" ht="30" customHeight="1">
      <c r="F15" s="14"/>
      <c r="G15" s="14"/>
      <c r="H15" s="14"/>
      <c r="I15" s="14"/>
      <c r="J15" s="14"/>
      <c r="P15" s="678"/>
      <c r="Q15" s="138" t="str">
        <f>'[1]FROP (Internal)'!U15</f>
        <v>Dev Boards</v>
      </c>
      <c r="R15" s="123">
        <f>'[1]FROP (Internal)'!V15</f>
        <v>0</v>
      </c>
      <c r="S15" s="124">
        <f>'[1]FROP (Internal)'!W15</f>
        <v>0</v>
      </c>
      <c r="T15" s="124">
        <f>'[1]FROP (Internal)'!X15</f>
        <v>0</v>
      </c>
      <c r="U15" s="124">
        <f>'[1]FROP (Internal)'!Y15</f>
        <v>44927</v>
      </c>
      <c r="V15" s="124">
        <f>'[1]FROP (Internal)'!Z15</f>
        <v>0</v>
      </c>
      <c r="W15" s="124">
        <f>'[1]FROP (Internal)'!AA15</f>
        <v>0</v>
      </c>
      <c r="X15" s="124">
        <f>'[1]FROP (Internal)'!AB15</f>
        <v>0</v>
      </c>
      <c r="Y15" s="124">
        <f>'[1]FROP (Internal)'!AC15</f>
        <v>0</v>
      </c>
      <c r="Z15" s="124">
        <f>'[1]FROP (Internal)'!AD15</f>
        <v>0</v>
      </c>
      <c r="AA15" s="124">
        <f>'[1]FROP (Internal)'!AE15</f>
        <v>0</v>
      </c>
      <c r="AB15" s="124">
        <f>'[1]FROP (Internal)'!AF15</f>
        <v>0</v>
      </c>
      <c r="AC15" s="125">
        <f>'[1]FROP (Internal)'!AG15</f>
        <v>0</v>
      </c>
      <c r="AD15" s="123">
        <f>'[1]FROP (Internal)'!AH15</f>
        <v>0</v>
      </c>
      <c r="AE15" s="124">
        <f>'[1]FROP (Internal)'!AI15</f>
        <v>0</v>
      </c>
      <c r="AF15" s="124">
        <f>'[1]FROP (Internal)'!AJ15</f>
        <v>0</v>
      </c>
      <c r="AG15" s="124">
        <f>'[1]FROP (Internal)'!AK15</f>
        <v>0</v>
      </c>
      <c r="AH15" s="124">
        <f>'[1]FROP (Internal)'!AL15</f>
        <v>0</v>
      </c>
      <c r="AI15" s="124">
        <f>'[1]FROP (Internal)'!AM15</f>
        <v>0</v>
      </c>
      <c r="AJ15" s="124">
        <f>'[1]FROP (Internal)'!AN15</f>
        <v>0</v>
      </c>
      <c r="AK15" s="124">
        <f>'[1]FROP (Internal)'!AO15</f>
        <v>0</v>
      </c>
      <c r="AL15" s="124">
        <f>'[1]FROP (Internal)'!AP15</f>
        <v>0</v>
      </c>
      <c r="AM15" s="124">
        <f>'[1]FROP (Internal)'!AQ15</f>
        <v>0</v>
      </c>
      <c r="AN15" s="124">
        <f>'[1]FROP (Internal)'!AR15</f>
        <v>0</v>
      </c>
      <c r="AO15" s="125">
        <f>'[1]FROP (Internal)'!AS15</f>
        <v>0</v>
      </c>
      <c r="AP15" s="123">
        <f>'[1]FROP (Internal)'!AT15</f>
        <v>0</v>
      </c>
      <c r="AQ15" s="124">
        <f>'[1]FROP (Internal)'!AU15</f>
        <v>0</v>
      </c>
      <c r="AR15" s="124">
        <f>'[1]FROP (Internal)'!AV15</f>
        <v>0</v>
      </c>
      <c r="AS15" s="124">
        <f>'[1]FROP (Internal)'!AW15</f>
        <v>0</v>
      </c>
      <c r="AT15" s="124">
        <f>'[1]FROP (Internal)'!AX15</f>
        <v>0</v>
      </c>
      <c r="AU15" s="124">
        <f>'[1]FROP (Internal)'!AY15</f>
        <v>0</v>
      </c>
      <c r="AV15" s="124">
        <f>'[1]FROP (Internal)'!AZ15</f>
        <v>0</v>
      </c>
      <c r="AW15" s="124">
        <f>'[1]FROP (Internal)'!BA15</f>
        <v>0</v>
      </c>
      <c r="AX15" s="124">
        <f>'[1]FROP (Internal)'!BB15</f>
        <v>0</v>
      </c>
      <c r="AY15" s="124">
        <f>'[1]FROP (Internal)'!BC15</f>
        <v>0</v>
      </c>
      <c r="AZ15" s="124">
        <f>'[1]FROP (Internal)'!BD15</f>
        <v>0</v>
      </c>
      <c r="BA15" s="125">
        <f>'[1]FROP (Internal)'!BE15</f>
        <v>0</v>
      </c>
      <c r="BB15" s="123">
        <f>'[1]FROP (Internal)'!BF15</f>
        <v>0</v>
      </c>
      <c r="BC15" s="124">
        <f>'[1]FROP (Internal)'!BG15</f>
        <v>0</v>
      </c>
      <c r="BD15" s="124">
        <f>'[1]FROP (Internal)'!BH15</f>
        <v>0</v>
      </c>
      <c r="BE15" s="124">
        <f>'[1]FROP (Internal)'!BI15</f>
        <v>0</v>
      </c>
      <c r="BF15" s="124">
        <f>'[1]FROP (Internal)'!BJ15</f>
        <v>0</v>
      </c>
      <c r="BG15" s="124">
        <f>'[1]FROP (Internal)'!BK15</f>
        <v>0</v>
      </c>
      <c r="BH15" s="124">
        <f>'[1]FROP (Internal)'!BL15</f>
        <v>0</v>
      </c>
      <c r="BI15" s="124">
        <f>'[1]FROP (Internal)'!BM15</f>
        <v>0</v>
      </c>
      <c r="BJ15" s="124">
        <f>'[1]FROP (Internal)'!BN15</f>
        <v>0</v>
      </c>
      <c r="BK15" s="124">
        <f>'[1]FROP (Internal)'!BO15</f>
        <v>0</v>
      </c>
      <c r="BL15" s="124">
        <f>'[1]FROP (Internal)'!BP15</f>
        <v>0</v>
      </c>
      <c r="BM15" s="125">
        <f>'[1]FROP (Internal)'!BQ15</f>
        <v>0</v>
      </c>
      <c r="BN15" s="123">
        <f>'[1]FROP (Internal)'!BR15</f>
        <v>0</v>
      </c>
      <c r="BO15" s="124">
        <f>'[1]FROP (Internal)'!BS15</f>
        <v>0</v>
      </c>
      <c r="BP15" s="124">
        <f>'[1]FROP (Internal)'!BT15</f>
        <v>0</v>
      </c>
      <c r="BQ15" s="124">
        <f>'[1]FROP (Internal)'!BU15</f>
        <v>0</v>
      </c>
      <c r="BR15" s="124">
        <f>'[1]FROP (Internal)'!BV15</f>
        <v>0</v>
      </c>
      <c r="BS15" s="125">
        <f>'[1]FROP (Internal)'!BW15</f>
        <v>0</v>
      </c>
    </row>
    <row r="16" spans="1:73" ht="30" customHeight="1" thickBot="1">
      <c r="F16" s="14"/>
      <c r="G16" s="14"/>
      <c r="H16" s="14"/>
      <c r="I16" s="14"/>
      <c r="J16" s="14"/>
      <c r="P16" s="678"/>
      <c r="Q16" s="138" t="str">
        <f>'[1]FROP (Internal)'!U16</f>
        <v>DSP</v>
      </c>
      <c r="R16" s="123">
        <f>'[1]FROP (Internal)'!V16</f>
        <v>0</v>
      </c>
      <c r="S16" s="124">
        <f>'[1]FROP (Internal)'!W16</f>
        <v>0</v>
      </c>
      <c r="T16" s="124">
        <f>'[1]FROP (Internal)'!X16</f>
        <v>0</v>
      </c>
      <c r="U16" s="124">
        <f>'[1]FROP (Internal)'!Y16</f>
        <v>0</v>
      </c>
      <c r="V16" s="124">
        <f>'[1]FROP (Internal)'!Z16</f>
        <v>0</v>
      </c>
      <c r="W16" s="124">
        <f>'[1]FROP (Internal)'!AA16</f>
        <v>0</v>
      </c>
      <c r="X16" s="124">
        <f>'[1]FROP (Internal)'!AB16</f>
        <v>0</v>
      </c>
      <c r="Y16" s="124">
        <f>'[1]FROP (Internal)'!AC16</f>
        <v>0</v>
      </c>
      <c r="Z16" s="124">
        <f>'[1]FROP (Internal)'!AD16</f>
        <v>0</v>
      </c>
      <c r="AA16" s="124">
        <f>'[1]FROP (Internal)'!AE16</f>
        <v>0</v>
      </c>
      <c r="AB16" s="124">
        <f>'[1]FROP (Internal)'!AF16</f>
        <v>0</v>
      </c>
      <c r="AC16" s="125">
        <f>'[1]FROP (Internal)'!AG16</f>
        <v>0</v>
      </c>
      <c r="AD16" s="123">
        <f>'[1]FROP (Internal)'!AH16</f>
        <v>0</v>
      </c>
      <c r="AE16" s="124">
        <f>'[1]FROP (Internal)'!AI16</f>
        <v>0</v>
      </c>
      <c r="AF16" s="124">
        <f>'[1]FROP (Internal)'!AJ16</f>
        <v>0</v>
      </c>
      <c r="AG16" s="124">
        <f>'[1]FROP (Internal)'!AK16</f>
        <v>0</v>
      </c>
      <c r="AH16" s="124">
        <f>'[1]FROP (Internal)'!AL16</f>
        <v>0</v>
      </c>
      <c r="AI16" s="124">
        <f>'[1]FROP (Internal)'!AM16</f>
        <v>0</v>
      </c>
      <c r="AJ16" s="124">
        <f>'[1]FROP (Internal)'!AN16</f>
        <v>0</v>
      </c>
      <c r="AK16" s="124">
        <f>'[1]FROP (Internal)'!AO16</f>
        <v>0</v>
      </c>
      <c r="AL16" s="124">
        <f>'[1]FROP (Internal)'!AP16</f>
        <v>0</v>
      </c>
      <c r="AM16" s="124">
        <f>'[1]FROP (Internal)'!AQ16</f>
        <v>0</v>
      </c>
      <c r="AN16" s="124">
        <f>'[1]FROP (Internal)'!AR16</f>
        <v>0</v>
      </c>
      <c r="AO16" s="125">
        <f>'[1]FROP (Internal)'!AS16</f>
        <v>0</v>
      </c>
      <c r="AP16" s="123">
        <f>'[1]FROP (Internal)'!AT16</f>
        <v>0</v>
      </c>
      <c r="AQ16" s="124">
        <f>'[1]FROP (Internal)'!AU16</f>
        <v>0</v>
      </c>
      <c r="AR16" s="124">
        <f>'[1]FROP (Internal)'!AV16</f>
        <v>0</v>
      </c>
      <c r="AS16" s="124">
        <f>'[1]FROP (Internal)'!AW16</f>
        <v>0</v>
      </c>
      <c r="AT16" s="124">
        <f>'[1]FROP (Internal)'!AX16</f>
        <v>0</v>
      </c>
      <c r="AU16" s="124">
        <f>'[1]FROP (Internal)'!AY16</f>
        <v>0</v>
      </c>
      <c r="AV16" s="124">
        <f>'[1]FROP (Internal)'!AZ16</f>
        <v>0</v>
      </c>
      <c r="AW16" s="124">
        <f>'[1]FROP (Internal)'!BA16</f>
        <v>0</v>
      </c>
      <c r="AX16" s="124">
        <f>'[1]FROP (Internal)'!BB16</f>
        <v>0</v>
      </c>
      <c r="AY16" s="124">
        <f>'[1]FROP (Internal)'!BC16</f>
        <v>0</v>
      </c>
      <c r="AZ16" s="124">
        <f>'[1]FROP (Internal)'!BD16</f>
        <v>0</v>
      </c>
      <c r="BA16" s="125">
        <f>'[1]FROP (Internal)'!BE16</f>
        <v>0</v>
      </c>
      <c r="BB16" s="123">
        <f>'[1]FROP (Internal)'!BF16</f>
        <v>0</v>
      </c>
      <c r="BC16" s="124">
        <f>'[1]FROP (Internal)'!BG16</f>
        <v>0</v>
      </c>
      <c r="BD16" s="124">
        <f>'[1]FROP (Internal)'!BH16</f>
        <v>0</v>
      </c>
      <c r="BE16" s="124">
        <f>'[1]FROP (Internal)'!BI16</f>
        <v>0</v>
      </c>
      <c r="BF16" s="124">
        <f>'[1]FROP (Internal)'!BJ16</f>
        <v>0</v>
      </c>
      <c r="BG16" s="124">
        <f>'[1]FROP (Internal)'!BK16</f>
        <v>0</v>
      </c>
      <c r="BH16" s="124">
        <f>'[1]FROP (Internal)'!BL16</f>
        <v>0</v>
      </c>
      <c r="BI16" s="124">
        <f>'[1]FROP (Internal)'!BM16</f>
        <v>0</v>
      </c>
      <c r="BJ16" s="124">
        <f>'[1]FROP (Internal)'!BN16</f>
        <v>0</v>
      </c>
      <c r="BK16" s="124">
        <f>'[1]FROP (Internal)'!BO16</f>
        <v>0</v>
      </c>
      <c r="BL16" s="124">
        <f>'[1]FROP (Internal)'!BP16</f>
        <v>0</v>
      </c>
      <c r="BM16" s="125">
        <f>'[1]FROP (Internal)'!BQ16</f>
        <v>0</v>
      </c>
      <c r="BN16" s="123">
        <f>'[1]FROP (Internal)'!BR16</f>
        <v>0</v>
      </c>
      <c r="BO16" s="124">
        <f>'[1]FROP (Internal)'!BS16</f>
        <v>0</v>
      </c>
      <c r="BP16" s="124">
        <f>'[1]FROP (Internal)'!BT16</f>
        <v>0</v>
      </c>
      <c r="BQ16" s="124">
        <f>'[1]FROP (Internal)'!BU16</f>
        <v>0</v>
      </c>
      <c r="BR16" s="124">
        <f>'[1]FROP (Internal)'!BV16</f>
        <v>0</v>
      </c>
      <c r="BS16" s="125">
        <f>'[1]FROP (Internal)'!BW16</f>
        <v>0</v>
      </c>
    </row>
    <row r="17" spans="1:71" ht="30" hidden="1" customHeight="1">
      <c r="F17" s="14"/>
      <c r="G17" s="14"/>
      <c r="H17" s="14"/>
      <c r="I17" s="14"/>
      <c r="J17" s="14"/>
      <c r="P17" s="678"/>
      <c r="Q17" s="80">
        <f>'[1]FROP (Internal)'!U17</f>
        <v>0</v>
      </c>
      <c r="R17" s="74">
        <f>'[1]FROP (Internal)'!V17</f>
        <v>0</v>
      </c>
      <c r="S17" s="75">
        <f>'[1]FROP (Internal)'!W17</f>
        <v>0</v>
      </c>
      <c r="T17" s="75">
        <f>'[1]FROP (Internal)'!X17</f>
        <v>0</v>
      </c>
      <c r="U17" s="75">
        <f>'[1]FROP (Internal)'!Y17</f>
        <v>44927</v>
      </c>
      <c r="V17" s="75">
        <f>'[1]FROP (Internal)'!Z17</f>
        <v>0</v>
      </c>
      <c r="W17" s="75">
        <f>'[1]FROP (Internal)'!AA17</f>
        <v>45017</v>
      </c>
      <c r="X17" s="75">
        <f>'[1]FROP (Internal)'!AB17</f>
        <v>0</v>
      </c>
      <c r="Y17" s="75">
        <f>'[1]FROP (Internal)'!AC17</f>
        <v>0</v>
      </c>
      <c r="Z17" s="75">
        <f>'[1]FROP (Internal)'!AD17</f>
        <v>45108</v>
      </c>
      <c r="AA17" s="75">
        <f>'[1]FROP (Internal)'!AE17</f>
        <v>0</v>
      </c>
      <c r="AB17" s="75">
        <f>'[1]FROP (Internal)'!AF17</f>
        <v>0</v>
      </c>
      <c r="AC17" s="76">
        <f>'[1]FROP (Internal)'!AG17</f>
        <v>45200</v>
      </c>
      <c r="AD17" s="74">
        <f>'[1]FROP (Internal)'!AH17</f>
        <v>0</v>
      </c>
      <c r="AE17" s="75">
        <f>'[1]FROP (Internal)'!AI17</f>
        <v>0</v>
      </c>
      <c r="AF17" s="75">
        <f>'[1]FROP (Internal)'!AJ17</f>
        <v>45261</v>
      </c>
      <c r="AG17" s="75">
        <f>'[1]FROP (Internal)'!AK17</f>
        <v>0</v>
      </c>
      <c r="AH17" s="75">
        <f>'[1]FROP (Internal)'!AL17</f>
        <v>45352</v>
      </c>
      <c r="AI17" s="75">
        <f>'[1]FROP (Internal)'!AM17</f>
        <v>0</v>
      </c>
      <c r="AJ17" s="75">
        <f>'[1]FROP (Internal)'!AN17</f>
        <v>0</v>
      </c>
      <c r="AK17" s="75">
        <f>'[1]FROP (Internal)'!AO17</f>
        <v>45444</v>
      </c>
      <c r="AL17" s="75">
        <f>'[1]FROP (Internal)'!AP17</f>
        <v>0</v>
      </c>
      <c r="AM17" s="75">
        <f>'[1]FROP (Internal)'!AQ17</f>
        <v>0</v>
      </c>
      <c r="AN17" s="75">
        <f>'[1]FROP (Internal)'!AR17</f>
        <v>45505</v>
      </c>
      <c r="AO17" s="76">
        <f>'[1]FROP (Internal)'!AS17</f>
        <v>0</v>
      </c>
      <c r="AP17" s="74">
        <f>'[1]FROP (Internal)'!AT17</f>
        <v>0</v>
      </c>
      <c r="AQ17" s="75">
        <f>'[1]FROP (Internal)'!AU17</f>
        <v>45597</v>
      </c>
      <c r="AR17" s="75">
        <f>'[1]FROP (Internal)'!AV17</f>
        <v>0</v>
      </c>
      <c r="AS17" s="75">
        <f>'[1]FROP (Internal)'!AW17</f>
        <v>45689</v>
      </c>
      <c r="AT17" s="75">
        <f>'[1]FROP (Internal)'!AX17</f>
        <v>0</v>
      </c>
      <c r="AU17" s="75">
        <f>'[1]FROP (Internal)'!AY17</f>
        <v>0</v>
      </c>
      <c r="AV17" s="75">
        <f>'[1]FROP (Internal)'!AZ17</f>
        <v>45778</v>
      </c>
      <c r="AW17" s="75">
        <f>'[1]FROP (Internal)'!BA17</f>
        <v>0</v>
      </c>
      <c r="AX17" s="75">
        <f>'[1]FROP (Internal)'!BB17</f>
        <v>0</v>
      </c>
      <c r="AY17" s="75">
        <f>'[1]FROP (Internal)'!BC17</f>
        <v>0</v>
      </c>
      <c r="AZ17" s="75">
        <f>'[1]FROP (Internal)'!BD17</f>
        <v>45778</v>
      </c>
      <c r="BA17" s="76">
        <f>'[1]FROP (Internal)'!BE17</f>
        <v>0</v>
      </c>
      <c r="BB17" s="74">
        <f>'[1]FROP (Internal)'!BF17</f>
        <v>0</v>
      </c>
      <c r="BC17" s="75">
        <f>'[1]FROP (Internal)'!BG17</f>
        <v>0</v>
      </c>
      <c r="BD17" s="75">
        <f>'[1]FROP (Internal)'!BH17</f>
        <v>0</v>
      </c>
      <c r="BE17" s="75">
        <f>'[1]FROP (Internal)'!BI17</f>
        <v>0</v>
      </c>
      <c r="BF17" s="75">
        <f>'[1]FROP (Internal)'!BJ17</f>
        <v>0</v>
      </c>
      <c r="BG17" s="75">
        <f>'[1]FROP (Internal)'!BK17</f>
        <v>0</v>
      </c>
      <c r="BH17" s="75">
        <f>'[1]FROP (Internal)'!BL17</f>
        <v>0</v>
      </c>
      <c r="BI17" s="75">
        <f>'[1]FROP (Internal)'!BM17</f>
        <v>45778</v>
      </c>
      <c r="BJ17" s="75">
        <f>'[1]FROP (Internal)'!BN17</f>
        <v>0</v>
      </c>
      <c r="BK17" s="75">
        <f>'[1]FROP (Internal)'!BO17</f>
        <v>0</v>
      </c>
      <c r="BL17" s="75">
        <f>'[1]FROP (Internal)'!BP17</f>
        <v>0</v>
      </c>
      <c r="BM17" s="76">
        <f>'[1]FROP (Internal)'!BQ17</f>
        <v>0</v>
      </c>
      <c r="BN17" s="74">
        <f>'[1]FROP (Internal)'!BR17</f>
        <v>0</v>
      </c>
      <c r="BO17" s="75">
        <f>'[1]FROP (Internal)'!BS17</f>
        <v>0</v>
      </c>
      <c r="BP17" s="75">
        <f>'[1]FROP (Internal)'!BT17</f>
        <v>0</v>
      </c>
      <c r="BQ17" s="75">
        <f>'[1]FROP (Internal)'!BU17</f>
        <v>0</v>
      </c>
      <c r="BR17" s="75">
        <f>'[1]FROP (Internal)'!BV17</f>
        <v>0</v>
      </c>
      <c r="BS17" s="76">
        <f>'[1]FROP (Internal)'!BW17</f>
        <v>0</v>
      </c>
    </row>
    <row r="18" spans="1:71" ht="30" hidden="1" customHeight="1" thickBot="1">
      <c r="F18" s="14"/>
      <c r="G18" s="14"/>
      <c r="H18" s="14"/>
      <c r="I18" s="14"/>
      <c r="J18" s="14"/>
      <c r="P18" s="679"/>
      <c r="Q18" s="80">
        <f>'[1]FROP (Internal)'!U18</f>
        <v>0</v>
      </c>
      <c r="R18" s="77">
        <f>'[1]FROP (Internal)'!V18</f>
        <v>0</v>
      </c>
      <c r="S18" s="78">
        <f>'[1]FROP (Internal)'!W18</f>
        <v>0</v>
      </c>
      <c r="T18" s="78">
        <f>'[1]FROP (Internal)'!X18</f>
        <v>0</v>
      </c>
      <c r="U18" s="78">
        <f>'[1]FROP (Internal)'!Y18</f>
        <v>0</v>
      </c>
      <c r="V18" s="78">
        <f>'[1]FROP (Internal)'!Z18</f>
        <v>0</v>
      </c>
      <c r="W18" s="78">
        <f>'[1]FROP (Internal)'!AA18</f>
        <v>45017</v>
      </c>
      <c r="X18" s="78">
        <f>'[1]FROP (Internal)'!AB18</f>
        <v>0</v>
      </c>
      <c r="Y18" s="78">
        <f>'[1]FROP (Internal)'!AC18</f>
        <v>0</v>
      </c>
      <c r="Z18" s="78">
        <f>'[1]FROP (Internal)'!AD18</f>
        <v>45108</v>
      </c>
      <c r="AA18" s="78">
        <f>'[1]FROP (Internal)'!AE18</f>
        <v>0</v>
      </c>
      <c r="AB18" s="78">
        <f>'[1]FROP (Internal)'!AF18</f>
        <v>0</v>
      </c>
      <c r="AC18" s="79">
        <f>'[1]FROP (Internal)'!AG18</f>
        <v>45200</v>
      </c>
      <c r="AD18" s="77">
        <f>'[1]FROP (Internal)'!AH18</f>
        <v>0</v>
      </c>
      <c r="AE18" s="78">
        <f>'[1]FROP (Internal)'!AI18</f>
        <v>0</v>
      </c>
      <c r="AF18" s="78">
        <f>'[1]FROP (Internal)'!AJ18</f>
        <v>45261</v>
      </c>
      <c r="AG18" s="78">
        <f>'[1]FROP (Internal)'!AK18</f>
        <v>0</v>
      </c>
      <c r="AH18" s="78">
        <f>'[1]FROP (Internal)'!AL18</f>
        <v>45352</v>
      </c>
      <c r="AI18" s="78">
        <f>'[1]FROP (Internal)'!AM18</f>
        <v>0</v>
      </c>
      <c r="AJ18" s="78">
        <f>'[1]FROP (Internal)'!AN18</f>
        <v>0</v>
      </c>
      <c r="AK18" s="78">
        <f>'[1]FROP (Internal)'!AO18</f>
        <v>45444</v>
      </c>
      <c r="AL18" s="78">
        <f>'[1]FROP (Internal)'!AP18</f>
        <v>0</v>
      </c>
      <c r="AM18" s="78">
        <f>'[1]FROP (Internal)'!AQ18</f>
        <v>0</v>
      </c>
      <c r="AN18" s="78">
        <f>'[1]FROP (Internal)'!AR18</f>
        <v>45505</v>
      </c>
      <c r="AO18" s="79">
        <f>'[1]FROP (Internal)'!AS18</f>
        <v>0</v>
      </c>
      <c r="AP18" s="77">
        <f>'[1]FROP (Internal)'!AT18</f>
        <v>0</v>
      </c>
      <c r="AQ18" s="78">
        <f>'[1]FROP (Internal)'!AU18</f>
        <v>45597</v>
      </c>
      <c r="AR18" s="78">
        <f>'[1]FROP (Internal)'!AV18</f>
        <v>0</v>
      </c>
      <c r="AS18" s="78">
        <f>'[1]FROP (Internal)'!AW18</f>
        <v>45689</v>
      </c>
      <c r="AT18" s="78">
        <f>'[1]FROP (Internal)'!AX18</f>
        <v>0</v>
      </c>
      <c r="AU18" s="78">
        <f>'[1]FROP (Internal)'!AY18</f>
        <v>0</v>
      </c>
      <c r="AV18" s="78">
        <f>'[1]FROP (Internal)'!AZ18</f>
        <v>45778</v>
      </c>
      <c r="AW18" s="78">
        <f>'[1]FROP (Internal)'!BA18</f>
        <v>0</v>
      </c>
      <c r="AX18" s="78">
        <f>'[1]FROP (Internal)'!BB18</f>
        <v>0</v>
      </c>
      <c r="AY18" s="78">
        <f>'[1]FROP (Internal)'!BC18</f>
        <v>0</v>
      </c>
      <c r="AZ18" s="78">
        <f>'[1]FROP (Internal)'!BD18</f>
        <v>45778</v>
      </c>
      <c r="BA18" s="79">
        <f>'[1]FROP (Internal)'!BE18</f>
        <v>0</v>
      </c>
      <c r="BB18" s="77">
        <f>'[1]FROP (Internal)'!BF18</f>
        <v>0</v>
      </c>
      <c r="BC18" s="78">
        <f>'[1]FROP (Internal)'!BG18</f>
        <v>0</v>
      </c>
      <c r="BD18" s="78">
        <f>'[1]FROP (Internal)'!BH18</f>
        <v>0</v>
      </c>
      <c r="BE18" s="78">
        <f>'[1]FROP (Internal)'!BI18</f>
        <v>0</v>
      </c>
      <c r="BF18" s="78">
        <f>'[1]FROP (Internal)'!BJ18</f>
        <v>0</v>
      </c>
      <c r="BG18" s="78">
        <f>'[1]FROP (Internal)'!BK18</f>
        <v>0</v>
      </c>
      <c r="BH18" s="78">
        <f>'[1]FROP (Internal)'!BL18</f>
        <v>0</v>
      </c>
      <c r="BI18" s="78">
        <f>'[1]FROP (Internal)'!BM18</f>
        <v>45778</v>
      </c>
      <c r="BJ18" s="78">
        <f>'[1]FROP (Internal)'!BN18</f>
        <v>0</v>
      </c>
      <c r="BK18" s="78">
        <f>'[1]FROP (Internal)'!BO18</f>
        <v>0</v>
      </c>
      <c r="BL18" s="78">
        <f>'[1]FROP (Internal)'!BP18</f>
        <v>0</v>
      </c>
      <c r="BM18" s="79">
        <f>'[1]FROP (Internal)'!BQ18</f>
        <v>0</v>
      </c>
      <c r="BN18" s="77">
        <f>'[1]FROP (Internal)'!BR18</f>
        <v>0</v>
      </c>
      <c r="BO18" s="78">
        <f>'[1]FROP (Internal)'!BS18</f>
        <v>0</v>
      </c>
      <c r="BP18" s="78">
        <f>'[1]FROP (Internal)'!BT18</f>
        <v>0</v>
      </c>
      <c r="BQ18" s="78">
        <f>'[1]FROP (Internal)'!BU18</f>
        <v>0</v>
      </c>
      <c r="BR18" s="78">
        <f>'[1]FROP (Internal)'!BV18</f>
        <v>0</v>
      </c>
      <c r="BS18" s="79">
        <f>'[1]FROP (Internal)'!BW18</f>
        <v>0</v>
      </c>
    </row>
    <row r="19" spans="1:71" ht="20.100000000000001" customHeight="1" thickBot="1">
      <c r="A19" s="676" t="s">
        <v>1023</v>
      </c>
      <c r="B19" s="676" t="s">
        <v>1024</v>
      </c>
      <c r="C19" s="676" t="s">
        <v>1025</v>
      </c>
      <c r="D19" s="647" t="s">
        <v>1026</v>
      </c>
      <c r="E19" s="647" t="str">
        <f>'[1]FROP (Internal)'!I19</f>
        <v>Variant #1</v>
      </c>
      <c r="F19" s="647" t="str">
        <f>'[1]FROP (Internal)'!J19</f>
        <v>Variant #2</v>
      </c>
      <c r="G19" s="647" t="str">
        <f>'[1]FROP (Internal)'!K19</f>
        <v>Variant #3</v>
      </c>
      <c r="H19" s="647" t="str">
        <f>'[1]FROP (Internal)'!L19</f>
        <v>Variant #4</v>
      </c>
      <c r="I19" s="647" t="str">
        <f>'[1]FROP (Internal)'!M19</f>
        <v>Variant #5</v>
      </c>
      <c r="J19" s="650" t="s">
        <v>1028</v>
      </c>
      <c r="K19" s="651"/>
      <c r="L19" s="652"/>
      <c r="M19" s="650" t="s">
        <v>1287</v>
      </c>
      <c r="N19" s="651"/>
      <c r="O19" s="652"/>
      <c r="P19" s="656" t="s">
        <v>1030</v>
      </c>
      <c r="Q19" s="676" t="s">
        <v>1031</v>
      </c>
      <c r="R19" s="586"/>
      <c r="S19" s="607"/>
      <c r="T19" s="607"/>
      <c r="U19" s="607"/>
      <c r="V19" s="607"/>
      <c r="W19" s="607"/>
      <c r="X19" s="607"/>
      <c r="Y19" s="607"/>
      <c r="Z19" s="607"/>
      <c r="AA19" s="607"/>
      <c r="AB19" s="607"/>
      <c r="AC19" s="611"/>
      <c r="AD19" s="586"/>
      <c r="AE19" s="607"/>
      <c r="AF19" s="607"/>
      <c r="AG19" s="607"/>
      <c r="AH19" s="607"/>
      <c r="AI19" s="607"/>
      <c r="AJ19" s="607"/>
      <c r="AK19" s="607"/>
      <c r="AL19" s="607"/>
      <c r="AM19" s="607"/>
      <c r="AN19" s="607"/>
      <c r="AO19" s="611"/>
      <c r="AP19" s="586"/>
      <c r="AQ19" s="607"/>
      <c r="AR19" s="607"/>
      <c r="AS19" s="607"/>
      <c r="AT19" s="607"/>
      <c r="AU19" s="607"/>
      <c r="AV19" s="607"/>
      <c r="AW19" s="607"/>
      <c r="AX19" s="607"/>
      <c r="AY19" s="607"/>
      <c r="AZ19" s="607"/>
      <c r="BA19" s="611"/>
      <c r="BB19" s="586"/>
      <c r="BC19" s="607"/>
      <c r="BD19" s="607"/>
      <c r="BE19" s="607"/>
      <c r="BF19" s="607"/>
      <c r="BG19" s="607"/>
      <c r="BH19" s="607"/>
      <c r="BI19" s="607"/>
      <c r="BJ19" s="607"/>
      <c r="BK19" s="607"/>
      <c r="BL19" s="607"/>
      <c r="BM19" s="611"/>
      <c r="BN19" s="586"/>
      <c r="BO19" s="607"/>
      <c r="BP19" s="607"/>
      <c r="BQ19" s="607"/>
      <c r="BR19" s="607"/>
      <c r="BS19" s="607"/>
    </row>
    <row r="20" spans="1:71" ht="20.100000000000001" customHeight="1" thickBot="1">
      <c r="A20" s="676"/>
      <c r="B20" s="676"/>
      <c r="C20" s="676"/>
      <c r="D20" s="648"/>
      <c r="E20" s="648"/>
      <c r="F20" s="648"/>
      <c r="G20" s="648"/>
      <c r="H20" s="648"/>
      <c r="I20" s="648"/>
      <c r="J20" s="673"/>
      <c r="K20" s="674"/>
      <c r="L20" s="675"/>
      <c r="M20" s="673"/>
      <c r="N20" s="674"/>
      <c r="O20" s="675"/>
      <c r="P20" s="657"/>
      <c r="Q20" s="676"/>
      <c r="R20" s="587"/>
      <c r="S20" s="608"/>
      <c r="T20" s="608"/>
      <c r="U20" s="608"/>
      <c r="V20" s="608"/>
      <c r="W20" s="608"/>
      <c r="X20" s="608"/>
      <c r="Y20" s="608"/>
      <c r="Z20" s="608"/>
      <c r="AA20" s="608"/>
      <c r="AB20" s="608"/>
      <c r="AC20" s="612"/>
      <c r="AD20" s="587"/>
      <c r="AE20" s="608"/>
      <c r="AF20" s="608"/>
      <c r="AG20" s="608"/>
      <c r="AH20" s="608"/>
      <c r="AI20" s="608"/>
      <c r="AJ20" s="608"/>
      <c r="AK20" s="608"/>
      <c r="AL20" s="608"/>
      <c r="AM20" s="608"/>
      <c r="AN20" s="608"/>
      <c r="AO20" s="612"/>
      <c r="AP20" s="587"/>
      <c r="AQ20" s="608"/>
      <c r="AR20" s="608"/>
      <c r="AS20" s="608"/>
      <c r="AT20" s="608"/>
      <c r="AU20" s="608"/>
      <c r="AV20" s="608"/>
      <c r="AW20" s="608"/>
      <c r="AX20" s="608"/>
      <c r="AY20" s="608"/>
      <c r="AZ20" s="608"/>
      <c r="BA20" s="612"/>
      <c r="BB20" s="587"/>
      <c r="BC20" s="608"/>
      <c r="BD20" s="608"/>
      <c r="BE20" s="608"/>
      <c r="BF20" s="608"/>
      <c r="BG20" s="608"/>
      <c r="BH20" s="608"/>
      <c r="BI20" s="608"/>
      <c r="BJ20" s="608"/>
      <c r="BK20" s="608"/>
      <c r="BL20" s="608"/>
      <c r="BM20" s="612"/>
      <c r="BN20" s="587"/>
      <c r="BO20" s="608"/>
      <c r="BP20" s="608"/>
      <c r="BQ20" s="608"/>
      <c r="BR20" s="608"/>
      <c r="BS20" s="608"/>
    </row>
    <row r="21" spans="1:71" ht="39.6" customHeight="1">
      <c r="A21" s="676"/>
      <c r="B21" s="676"/>
      <c r="C21" s="676"/>
      <c r="D21" s="649"/>
      <c r="E21" s="107" t="s">
        <v>1317</v>
      </c>
      <c r="F21" s="107">
        <v>0</v>
      </c>
      <c r="G21" s="107">
        <v>0</v>
      </c>
      <c r="H21" s="107">
        <v>0</v>
      </c>
      <c r="I21" s="107">
        <v>0</v>
      </c>
      <c r="J21" s="9" t="s">
        <v>1032</v>
      </c>
      <c r="K21" s="9" t="s">
        <v>1033</v>
      </c>
      <c r="L21" s="9" t="s">
        <v>1034</v>
      </c>
      <c r="M21" s="9" t="s">
        <v>1035</v>
      </c>
      <c r="N21" s="9" t="s">
        <v>1033</v>
      </c>
      <c r="O21" s="9" t="s">
        <v>1036</v>
      </c>
      <c r="P21" s="658"/>
      <c r="Q21" s="676"/>
      <c r="R21" s="672"/>
      <c r="S21" s="668"/>
      <c r="T21" s="668"/>
      <c r="U21" s="668"/>
      <c r="V21" s="668"/>
      <c r="W21" s="668"/>
      <c r="X21" s="668"/>
      <c r="Y21" s="668"/>
      <c r="Z21" s="668"/>
      <c r="AA21" s="668"/>
      <c r="AB21" s="668"/>
      <c r="AC21" s="671"/>
      <c r="AD21" s="672"/>
      <c r="AE21" s="668"/>
      <c r="AF21" s="668"/>
      <c r="AG21" s="668"/>
      <c r="AH21" s="668"/>
      <c r="AI21" s="668"/>
      <c r="AJ21" s="668"/>
      <c r="AK21" s="668"/>
      <c r="AL21" s="668"/>
      <c r="AM21" s="668"/>
      <c r="AN21" s="668"/>
      <c r="AO21" s="671"/>
      <c r="AP21" s="672"/>
      <c r="AQ21" s="668"/>
      <c r="AR21" s="668"/>
      <c r="AS21" s="668"/>
      <c r="AT21" s="668"/>
      <c r="AU21" s="668"/>
      <c r="AV21" s="668"/>
      <c r="AW21" s="668"/>
      <c r="AX21" s="668"/>
      <c r="AY21" s="668"/>
      <c r="AZ21" s="668"/>
      <c r="BA21" s="671"/>
      <c r="BB21" s="672"/>
      <c r="BC21" s="668"/>
      <c r="BD21" s="668"/>
      <c r="BE21" s="668"/>
      <c r="BF21" s="668"/>
      <c r="BG21" s="668"/>
      <c r="BH21" s="668"/>
      <c r="BI21" s="668"/>
      <c r="BJ21" s="668"/>
      <c r="BK21" s="668"/>
      <c r="BL21" s="668"/>
      <c r="BM21" s="671"/>
      <c r="BN21" s="672"/>
      <c r="BO21" s="668"/>
      <c r="BP21" s="668"/>
      <c r="BQ21" s="668"/>
      <c r="BR21" s="668"/>
      <c r="BS21" s="668"/>
    </row>
    <row r="22" spans="1:71" ht="20.100000000000001" customHeight="1">
      <c r="A22" s="42" t="s">
        <v>1037</v>
      </c>
      <c r="B22" s="669" t="s">
        <v>1038</v>
      </c>
      <c r="C22" s="2" t="s">
        <v>558</v>
      </c>
      <c r="D22" s="81" t="str">
        <f>IF(AND('[1]FROP (Internal)'!G25="x",'[1]FROP (Internal)'!F25="N/A"),"x","N/A")</f>
        <v>x</v>
      </c>
      <c r="E22" s="81" t="str">
        <f>'[1]FROP (Internal)'!I25</f>
        <v>x</v>
      </c>
      <c r="F22" s="81" t="str">
        <f>'[1]FROP (Internal)'!J25</f>
        <v>N/A</v>
      </c>
      <c r="G22" s="81" t="str">
        <f>'[1]FROP (Internal)'!K25</f>
        <v>N/A</v>
      </c>
      <c r="H22" s="81" t="str">
        <f>'[1]FROP (Internal)'!L25</f>
        <v>N/A</v>
      </c>
      <c r="I22" s="81" t="str">
        <f>'[1]FROP (Internal)'!M25</f>
        <v>N/A</v>
      </c>
      <c r="J22" s="82" t="str">
        <f>'[1]FROP (Internal)'!N25</f>
        <v>x</v>
      </c>
      <c r="K22" s="10"/>
      <c r="L22" s="10"/>
      <c r="M22" s="10"/>
      <c r="N22" s="10"/>
      <c r="O22" s="83"/>
      <c r="P22" s="131" t="str">
        <f>'[1]FROP (Internal)'!T25</f>
        <v>QM</v>
      </c>
      <c r="Q22" s="84">
        <f>'[1]FROP (Internal)'!U25</f>
        <v>0</v>
      </c>
      <c r="R22" s="85">
        <f>'[1]FROP (Internal)'!V25</f>
        <v>0</v>
      </c>
      <c r="S22" s="86">
        <f>'[1]FROP (Internal)'!W25</f>
        <v>0</v>
      </c>
      <c r="T22" s="86">
        <f>'[1]FROP (Internal)'!X25</f>
        <v>0</v>
      </c>
      <c r="U22" s="86">
        <f>'[1]FROP (Internal)'!Y25</f>
        <v>2</v>
      </c>
      <c r="V22" s="86">
        <f>'[1]FROP (Internal)'!Z25</f>
        <v>0</v>
      </c>
      <c r="W22" s="86">
        <f>'[1]FROP (Internal)'!AA25</f>
        <v>3</v>
      </c>
      <c r="X22" s="86">
        <f>'[1]FROP (Internal)'!AB25</f>
        <v>0</v>
      </c>
      <c r="Y22" s="86">
        <f>'[1]FROP (Internal)'!AC25</f>
        <v>0</v>
      </c>
      <c r="Z22" s="86">
        <f>'[1]FROP (Internal)'!AD25</f>
        <v>3</v>
      </c>
      <c r="AA22" s="86">
        <f>'[1]FROP (Internal)'!AE25</f>
        <v>0</v>
      </c>
      <c r="AB22" s="86">
        <f>'[1]FROP (Internal)'!AF25</f>
        <v>0</v>
      </c>
      <c r="AC22" s="87">
        <f>'[1]FROP (Internal)'!AG25</f>
        <v>3</v>
      </c>
      <c r="AD22" s="88">
        <f>'[1]FROP (Internal)'!AH25</f>
        <v>0</v>
      </c>
      <c r="AE22" s="86">
        <f>'[1]FROP (Internal)'!AI25</f>
        <v>0</v>
      </c>
      <c r="AF22" s="86">
        <f>'[1]FROP (Internal)'!AJ25</f>
        <v>3</v>
      </c>
      <c r="AG22" s="86">
        <f>'[1]FROP (Internal)'!AK25</f>
        <v>0</v>
      </c>
      <c r="AH22" s="86">
        <f>'[1]FROP (Internal)'!AL25</f>
        <v>4</v>
      </c>
      <c r="AI22" s="86">
        <f>'[1]FROP (Internal)'!AM25</f>
        <v>0</v>
      </c>
      <c r="AJ22" s="86">
        <f>'[1]FROP (Internal)'!AN25</f>
        <v>0</v>
      </c>
      <c r="AK22" s="86">
        <f>'[1]FROP (Internal)'!AO25</f>
        <v>4</v>
      </c>
      <c r="AL22" s="86">
        <f>'[1]FROP (Internal)'!AP25</f>
        <v>0</v>
      </c>
      <c r="AM22" s="86">
        <f>'[1]FROP (Internal)'!AQ25</f>
        <v>0</v>
      </c>
      <c r="AN22" s="86">
        <f>'[1]FROP (Internal)'!AR25</f>
        <v>4</v>
      </c>
      <c r="AO22" s="87">
        <f>'[1]FROP (Internal)'!AS25</f>
        <v>0</v>
      </c>
      <c r="AP22" s="88">
        <f>'[1]FROP (Internal)'!AT25</f>
        <v>0</v>
      </c>
      <c r="AQ22" s="86">
        <f>'[1]FROP (Internal)'!AU25</f>
        <v>4</v>
      </c>
      <c r="AR22" s="86">
        <f>'[1]FROP (Internal)'!AV25</f>
        <v>0</v>
      </c>
      <c r="AS22" s="86">
        <f>'[1]FROP (Internal)'!AW25</f>
        <v>5</v>
      </c>
      <c r="AT22" s="86">
        <f>'[1]FROP (Internal)'!AX25</f>
        <v>0</v>
      </c>
      <c r="AU22" s="86">
        <f>'[1]FROP (Internal)'!AY25</f>
        <v>0</v>
      </c>
      <c r="AV22" s="86">
        <f>'[1]FROP (Internal)'!AZ25</f>
        <v>5</v>
      </c>
      <c r="AW22" s="86">
        <f>'[1]FROP (Internal)'!BA25</f>
        <v>0</v>
      </c>
      <c r="AX22" s="86">
        <f>'[1]FROP (Internal)'!BB25</f>
        <v>0</v>
      </c>
      <c r="AY22" s="86">
        <f>'[1]FROP (Internal)'!BC25</f>
        <v>0</v>
      </c>
      <c r="AZ22" s="86">
        <f>'[1]FROP (Internal)'!BD25</f>
        <v>0</v>
      </c>
      <c r="BA22" s="87">
        <f>'[1]FROP (Internal)'!BE25</f>
        <v>0</v>
      </c>
      <c r="BB22" s="88">
        <f>'[1]FROP (Internal)'!BF25</f>
        <v>0</v>
      </c>
      <c r="BC22" s="86">
        <f>'[1]FROP (Internal)'!BG25</f>
        <v>0</v>
      </c>
      <c r="BD22" s="86">
        <f>'[1]FROP (Internal)'!BH25</f>
        <v>0</v>
      </c>
      <c r="BE22" s="86">
        <f>'[1]FROP (Internal)'!BI25</f>
        <v>0</v>
      </c>
      <c r="BF22" s="86">
        <f>'[1]FROP (Internal)'!BJ25</f>
        <v>0</v>
      </c>
      <c r="BG22" s="86">
        <f>'[1]FROP (Internal)'!BK25</f>
        <v>0</v>
      </c>
      <c r="BH22" s="86">
        <f>'[1]FROP (Internal)'!BL25</f>
        <v>0</v>
      </c>
      <c r="BI22" s="86">
        <f>'[1]FROP (Internal)'!BM25</f>
        <v>0</v>
      </c>
      <c r="BJ22" s="86">
        <f>'[1]FROP (Internal)'!BN25</f>
        <v>0</v>
      </c>
      <c r="BK22" s="86">
        <f>'[1]FROP (Internal)'!BO25</f>
        <v>0</v>
      </c>
      <c r="BL22" s="86">
        <f>'[1]FROP (Internal)'!BP25</f>
        <v>0</v>
      </c>
      <c r="BM22" s="87">
        <f>'[1]FROP (Internal)'!BQ25</f>
        <v>0</v>
      </c>
      <c r="BN22" s="88">
        <f>'[1]FROP (Internal)'!BR25</f>
        <v>0</v>
      </c>
      <c r="BO22" s="86">
        <f>'[1]FROP (Internal)'!BS25</f>
        <v>0</v>
      </c>
      <c r="BP22" s="86">
        <f>'[1]FROP (Internal)'!BT25</f>
        <v>0</v>
      </c>
      <c r="BQ22" s="86">
        <f>'[1]FROP (Internal)'!BU25</f>
        <v>0</v>
      </c>
      <c r="BR22" s="86">
        <f>'[1]FROP (Internal)'!BV25</f>
        <v>0</v>
      </c>
      <c r="BS22" s="87">
        <f>'[1]FROP (Internal)'!BW25</f>
        <v>0</v>
      </c>
    </row>
    <row r="23" spans="1:71" ht="20.100000000000001" hidden="1" customHeight="1">
      <c r="A23" s="43" t="s">
        <v>1039</v>
      </c>
      <c r="B23" s="670"/>
      <c r="C23" s="3" t="s">
        <v>560</v>
      </c>
      <c r="D23" s="89" t="str">
        <f>IF(AND('[1]FROP (Internal)'!G26="x",'[1]FROP (Internal)'!F26="N/A"),"x","N/A")</f>
        <v>N/A</v>
      </c>
      <c r="E23" s="89" t="str">
        <f>'[1]FROP (Internal)'!I26</f>
        <v>N/A</v>
      </c>
      <c r="F23" s="89" t="str">
        <f>'[1]FROP (Internal)'!J26</f>
        <v>N/A</v>
      </c>
      <c r="G23" s="89" t="str">
        <f>'[1]FROP (Internal)'!K26</f>
        <v>N/A</v>
      </c>
      <c r="H23" s="89" t="str">
        <f>'[1]FROP (Internal)'!L26</f>
        <v>N/A</v>
      </c>
      <c r="I23" s="89" t="str">
        <f>'[1]FROP (Internal)'!M26</f>
        <v>N/A</v>
      </c>
      <c r="J23" s="44" t="str">
        <f>'[1]FROP (Internal)'!N26</f>
        <v>N/A</v>
      </c>
      <c r="K23" s="11"/>
      <c r="L23" s="11"/>
      <c r="M23" s="11"/>
      <c r="N23" s="11"/>
      <c r="O23" s="90"/>
      <c r="P23" s="34" t="str">
        <f>'[1]FROP (Internal)'!T26</f>
        <v>N/A</v>
      </c>
      <c r="Q23" s="91">
        <f>'[1]FROP (Internal)'!U26</f>
        <v>0</v>
      </c>
      <c r="R23" s="92">
        <f>'[1]FROP (Internal)'!V26</f>
        <v>0</v>
      </c>
      <c r="S23" s="93">
        <f>'[1]FROP (Internal)'!W26</f>
        <v>0</v>
      </c>
      <c r="T23" s="93">
        <f>'[1]FROP (Internal)'!X26</f>
        <v>0</v>
      </c>
      <c r="U23" s="93">
        <f>'[1]FROP (Internal)'!Y26</f>
        <v>0</v>
      </c>
      <c r="V23" s="93">
        <f>'[1]FROP (Internal)'!Z26</f>
        <v>0</v>
      </c>
      <c r="W23" s="93">
        <f>'[1]FROP (Internal)'!AA26</f>
        <v>0</v>
      </c>
      <c r="X23" s="93">
        <f>'[1]FROP (Internal)'!AB26</f>
        <v>0</v>
      </c>
      <c r="Y23" s="93">
        <f>'[1]FROP (Internal)'!AC26</f>
        <v>0</v>
      </c>
      <c r="Z23" s="93">
        <f>'[1]FROP (Internal)'!AD26</f>
        <v>0</v>
      </c>
      <c r="AA23" s="93">
        <f>'[1]FROP (Internal)'!AE26</f>
        <v>0</v>
      </c>
      <c r="AB23" s="93">
        <f>'[1]FROP (Internal)'!AF26</f>
        <v>0</v>
      </c>
      <c r="AC23" s="94">
        <f>'[1]FROP (Internal)'!AG26</f>
        <v>0</v>
      </c>
      <c r="AD23" s="95">
        <f>'[1]FROP (Internal)'!AH26</f>
        <v>0</v>
      </c>
      <c r="AE23" s="93">
        <f>'[1]FROP (Internal)'!AI26</f>
        <v>0</v>
      </c>
      <c r="AF23" s="93">
        <f>'[1]FROP (Internal)'!AJ26</f>
        <v>0</v>
      </c>
      <c r="AG23" s="93">
        <f>'[1]FROP (Internal)'!AK26</f>
        <v>0</v>
      </c>
      <c r="AH23" s="93">
        <f>'[1]FROP (Internal)'!AL26</f>
        <v>0</v>
      </c>
      <c r="AI23" s="93">
        <f>'[1]FROP (Internal)'!AM26</f>
        <v>0</v>
      </c>
      <c r="AJ23" s="93">
        <f>'[1]FROP (Internal)'!AN26</f>
        <v>0</v>
      </c>
      <c r="AK23" s="93">
        <f>'[1]FROP (Internal)'!AO26</f>
        <v>0</v>
      </c>
      <c r="AL23" s="93">
        <f>'[1]FROP (Internal)'!AP26</f>
        <v>0</v>
      </c>
      <c r="AM23" s="93">
        <f>'[1]FROP (Internal)'!AQ26</f>
        <v>0</v>
      </c>
      <c r="AN23" s="93">
        <f>'[1]FROP (Internal)'!AR26</f>
        <v>0</v>
      </c>
      <c r="AO23" s="94">
        <f>'[1]FROP (Internal)'!AS26</f>
        <v>0</v>
      </c>
      <c r="AP23" s="95">
        <f>'[1]FROP (Internal)'!AT26</f>
        <v>0</v>
      </c>
      <c r="AQ23" s="93">
        <f>'[1]FROP (Internal)'!AU26</f>
        <v>0</v>
      </c>
      <c r="AR23" s="93">
        <f>'[1]FROP (Internal)'!AV26</f>
        <v>0</v>
      </c>
      <c r="AS23" s="93">
        <f>'[1]FROP (Internal)'!AW26</f>
        <v>0</v>
      </c>
      <c r="AT23" s="93">
        <f>'[1]FROP (Internal)'!AX26</f>
        <v>0</v>
      </c>
      <c r="AU23" s="93">
        <f>'[1]FROP (Internal)'!AY26</f>
        <v>0</v>
      </c>
      <c r="AV23" s="93">
        <f>'[1]FROP (Internal)'!AZ26</f>
        <v>0</v>
      </c>
      <c r="AW23" s="93">
        <f>'[1]FROP (Internal)'!BA26</f>
        <v>0</v>
      </c>
      <c r="AX23" s="93">
        <f>'[1]FROP (Internal)'!BB26</f>
        <v>0</v>
      </c>
      <c r="AY23" s="93">
        <f>'[1]FROP (Internal)'!BC26</f>
        <v>0</v>
      </c>
      <c r="AZ23" s="93">
        <f>'[1]FROP (Internal)'!BD26</f>
        <v>0</v>
      </c>
      <c r="BA23" s="94">
        <f>'[1]FROP (Internal)'!BE26</f>
        <v>0</v>
      </c>
      <c r="BB23" s="95">
        <f>'[1]FROP (Internal)'!BF26</f>
        <v>0</v>
      </c>
      <c r="BC23" s="93">
        <f>'[1]FROP (Internal)'!BG26</f>
        <v>0</v>
      </c>
      <c r="BD23" s="93">
        <f>'[1]FROP (Internal)'!BH26</f>
        <v>0</v>
      </c>
      <c r="BE23" s="93">
        <f>'[1]FROP (Internal)'!BI26</f>
        <v>0</v>
      </c>
      <c r="BF23" s="93">
        <f>'[1]FROP (Internal)'!BJ26</f>
        <v>0</v>
      </c>
      <c r="BG23" s="93">
        <f>'[1]FROP (Internal)'!BK26</f>
        <v>0</v>
      </c>
      <c r="BH23" s="93">
        <f>'[1]FROP (Internal)'!BL26</f>
        <v>0</v>
      </c>
      <c r="BI23" s="93">
        <f>'[1]FROP (Internal)'!BM26</f>
        <v>0</v>
      </c>
      <c r="BJ23" s="93">
        <f>'[1]FROP (Internal)'!BN26</f>
        <v>0</v>
      </c>
      <c r="BK23" s="93">
        <f>'[1]FROP (Internal)'!BO26</f>
        <v>0</v>
      </c>
      <c r="BL23" s="93">
        <f>'[1]FROP (Internal)'!BP26</f>
        <v>0</v>
      </c>
      <c r="BM23" s="94">
        <f>'[1]FROP (Internal)'!BQ26</f>
        <v>0</v>
      </c>
      <c r="BN23" s="95">
        <f>'[1]FROP (Internal)'!BR26</f>
        <v>0</v>
      </c>
      <c r="BO23" s="93">
        <f>'[1]FROP (Internal)'!BS26</f>
        <v>0</v>
      </c>
      <c r="BP23" s="93">
        <f>'[1]FROP (Internal)'!BT26</f>
        <v>0</v>
      </c>
      <c r="BQ23" s="93">
        <f>'[1]FROP (Internal)'!BU26</f>
        <v>0</v>
      </c>
      <c r="BR23" s="93">
        <f>'[1]FROP (Internal)'!BV26</f>
        <v>0</v>
      </c>
      <c r="BS23" s="94">
        <f>'[1]FROP (Internal)'!BW26</f>
        <v>0</v>
      </c>
    </row>
    <row r="24" spans="1:71" ht="20.100000000000001" hidden="1" customHeight="1">
      <c r="A24" s="43" t="s">
        <v>1040</v>
      </c>
      <c r="B24" s="670"/>
      <c r="C24" s="4" t="s">
        <v>556</v>
      </c>
      <c r="D24" s="89" t="str">
        <f>IF(AND('[1]FROP (Internal)'!G27="x",'[1]FROP (Internal)'!F27="N/A"),"x","N/A")</f>
        <v>N/A</v>
      </c>
      <c r="E24" s="89" t="str">
        <f>'[1]FROP (Internal)'!I27</f>
        <v>N/A</v>
      </c>
      <c r="F24" s="89" t="str">
        <f>'[1]FROP (Internal)'!J27</f>
        <v>N/A</v>
      </c>
      <c r="G24" s="89" t="str">
        <f>'[1]FROP (Internal)'!K27</f>
        <v>N/A</v>
      </c>
      <c r="H24" s="89" t="str">
        <f>'[1]FROP (Internal)'!L27</f>
        <v>N/A</v>
      </c>
      <c r="I24" s="89" t="str">
        <f>'[1]FROP (Internal)'!M27</f>
        <v>N/A</v>
      </c>
      <c r="J24" s="44" t="str">
        <f>'[1]FROP (Internal)'!N27</f>
        <v>N/A</v>
      </c>
      <c r="K24" s="11"/>
      <c r="L24" s="11"/>
      <c r="M24" s="11"/>
      <c r="N24" s="11"/>
      <c r="O24" s="90"/>
      <c r="P24" s="34" t="str">
        <f>'[1]FROP (Internal)'!T27</f>
        <v>N/A</v>
      </c>
      <c r="Q24" s="91">
        <f>'[1]FROP (Internal)'!U27</f>
        <v>0</v>
      </c>
      <c r="R24" s="92">
        <f>'[1]FROP (Internal)'!V27</f>
        <v>0</v>
      </c>
      <c r="S24" s="93">
        <f>'[1]FROP (Internal)'!W27</f>
        <v>0</v>
      </c>
      <c r="T24" s="93">
        <f>'[1]FROP (Internal)'!X27</f>
        <v>0</v>
      </c>
      <c r="U24" s="93">
        <f>'[1]FROP (Internal)'!Y27</f>
        <v>0</v>
      </c>
      <c r="V24" s="93">
        <f>'[1]FROP (Internal)'!Z27</f>
        <v>0</v>
      </c>
      <c r="W24" s="93">
        <f>'[1]FROP (Internal)'!AA27</f>
        <v>0</v>
      </c>
      <c r="X24" s="93">
        <f>'[1]FROP (Internal)'!AB27</f>
        <v>0</v>
      </c>
      <c r="Y24" s="93">
        <f>'[1]FROP (Internal)'!AC27</f>
        <v>0</v>
      </c>
      <c r="Z24" s="93">
        <f>'[1]FROP (Internal)'!AD27</f>
        <v>0</v>
      </c>
      <c r="AA24" s="93">
        <f>'[1]FROP (Internal)'!AE27</f>
        <v>0</v>
      </c>
      <c r="AB24" s="93">
        <f>'[1]FROP (Internal)'!AF27</f>
        <v>0</v>
      </c>
      <c r="AC24" s="94">
        <f>'[1]FROP (Internal)'!AG27</f>
        <v>0</v>
      </c>
      <c r="AD24" s="95">
        <f>'[1]FROP (Internal)'!AH27</f>
        <v>0</v>
      </c>
      <c r="AE24" s="93">
        <f>'[1]FROP (Internal)'!AI27</f>
        <v>0</v>
      </c>
      <c r="AF24" s="93">
        <f>'[1]FROP (Internal)'!AJ27</f>
        <v>0</v>
      </c>
      <c r="AG24" s="93">
        <f>'[1]FROP (Internal)'!AK27</f>
        <v>0</v>
      </c>
      <c r="AH24" s="93">
        <f>'[1]FROP (Internal)'!AL27</f>
        <v>0</v>
      </c>
      <c r="AI24" s="93">
        <f>'[1]FROP (Internal)'!AM27</f>
        <v>0</v>
      </c>
      <c r="AJ24" s="93">
        <f>'[1]FROP (Internal)'!AN27</f>
        <v>0</v>
      </c>
      <c r="AK24" s="93">
        <f>'[1]FROP (Internal)'!AO27</f>
        <v>0</v>
      </c>
      <c r="AL24" s="93">
        <f>'[1]FROP (Internal)'!AP27</f>
        <v>0</v>
      </c>
      <c r="AM24" s="93">
        <f>'[1]FROP (Internal)'!AQ27</f>
        <v>0</v>
      </c>
      <c r="AN24" s="93">
        <f>'[1]FROP (Internal)'!AR27</f>
        <v>0</v>
      </c>
      <c r="AO24" s="94">
        <f>'[1]FROP (Internal)'!AS27</f>
        <v>0</v>
      </c>
      <c r="AP24" s="95">
        <f>'[1]FROP (Internal)'!AT27</f>
        <v>0</v>
      </c>
      <c r="AQ24" s="93">
        <f>'[1]FROP (Internal)'!AU27</f>
        <v>0</v>
      </c>
      <c r="AR24" s="93">
        <f>'[1]FROP (Internal)'!AV27</f>
        <v>0</v>
      </c>
      <c r="AS24" s="93">
        <f>'[1]FROP (Internal)'!AW27</f>
        <v>0</v>
      </c>
      <c r="AT24" s="93">
        <f>'[1]FROP (Internal)'!AX27</f>
        <v>0</v>
      </c>
      <c r="AU24" s="93">
        <f>'[1]FROP (Internal)'!AY27</f>
        <v>0</v>
      </c>
      <c r="AV24" s="93">
        <f>'[1]FROP (Internal)'!AZ27</f>
        <v>0</v>
      </c>
      <c r="AW24" s="93">
        <f>'[1]FROP (Internal)'!BA27</f>
        <v>0</v>
      </c>
      <c r="AX24" s="93">
        <f>'[1]FROP (Internal)'!BB27</f>
        <v>0</v>
      </c>
      <c r="AY24" s="93">
        <f>'[1]FROP (Internal)'!BC27</f>
        <v>0</v>
      </c>
      <c r="AZ24" s="93">
        <f>'[1]FROP (Internal)'!BD27</f>
        <v>0</v>
      </c>
      <c r="BA24" s="94">
        <f>'[1]FROP (Internal)'!BE27</f>
        <v>0</v>
      </c>
      <c r="BB24" s="95">
        <f>'[1]FROP (Internal)'!BF27</f>
        <v>0</v>
      </c>
      <c r="BC24" s="93">
        <f>'[1]FROP (Internal)'!BG27</f>
        <v>0</v>
      </c>
      <c r="BD24" s="93">
        <f>'[1]FROP (Internal)'!BH27</f>
        <v>0</v>
      </c>
      <c r="BE24" s="93">
        <f>'[1]FROP (Internal)'!BI27</f>
        <v>0</v>
      </c>
      <c r="BF24" s="93">
        <f>'[1]FROP (Internal)'!BJ27</f>
        <v>0</v>
      </c>
      <c r="BG24" s="93">
        <f>'[1]FROP (Internal)'!BK27</f>
        <v>0</v>
      </c>
      <c r="BH24" s="93">
        <f>'[1]FROP (Internal)'!BL27</f>
        <v>0</v>
      </c>
      <c r="BI24" s="93">
        <f>'[1]FROP (Internal)'!BM27</f>
        <v>0</v>
      </c>
      <c r="BJ24" s="93">
        <f>'[1]FROP (Internal)'!BN27</f>
        <v>0</v>
      </c>
      <c r="BK24" s="93">
        <f>'[1]FROP (Internal)'!BO27</f>
        <v>0</v>
      </c>
      <c r="BL24" s="93">
        <f>'[1]FROP (Internal)'!BP27</f>
        <v>0</v>
      </c>
      <c r="BM24" s="94">
        <f>'[1]FROP (Internal)'!BQ27</f>
        <v>0</v>
      </c>
      <c r="BN24" s="95">
        <f>'[1]FROP (Internal)'!BR27</f>
        <v>0</v>
      </c>
      <c r="BO24" s="93">
        <f>'[1]FROP (Internal)'!BS27</f>
        <v>0</v>
      </c>
      <c r="BP24" s="93">
        <f>'[1]FROP (Internal)'!BT27</f>
        <v>0</v>
      </c>
      <c r="BQ24" s="93">
        <f>'[1]FROP (Internal)'!BU27</f>
        <v>0</v>
      </c>
      <c r="BR24" s="93">
        <f>'[1]FROP (Internal)'!BV27</f>
        <v>0</v>
      </c>
      <c r="BS24" s="94">
        <f>'[1]FROP (Internal)'!BW27</f>
        <v>0</v>
      </c>
    </row>
    <row r="25" spans="1:71" ht="20.100000000000001" customHeight="1">
      <c r="A25" s="43" t="s">
        <v>1041</v>
      </c>
      <c r="B25" s="662" t="s">
        <v>1042</v>
      </c>
      <c r="C25" s="4" t="s">
        <v>563</v>
      </c>
      <c r="D25" s="89" t="str">
        <f>IF(AND('[1]FROP (Internal)'!G28="x",'[1]FROP (Internal)'!F28="N/A"),"x","N/A")</f>
        <v>x</v>
      </c>
      <c r="E25" s="89" t="str">
        <f>'[1]FROP (Internal)'!I28</f>
        <v>x</v>
      </c>
      <c r="F25" s="89" t="str">
        <f>'[1]FROP (Internal)'!J28</f>
        <v>N/A</v>
      </c>
      <c r="G25" s="89" t="str">
        <f>'[1]FROP (Internal)'!K28</f>
        <v>N/A</v>
      </c>
      <c r="H25" s="89" t="str">
        <f>'[1]FROP (Internal)'!L28</f>
        <v>N/A</v>
      </c>
      <c r="I25" s="89" t="str">
        <f>'[1]FROP (Internal)'!M28</f>
        <v>N/A</v>
      </c>
      <c r="J25" s="44" t="str">
        <f>'[1]FROP (Internal)'!N28</f>
        <v>x</v>
      </c>
      <c r="K25" s="96" t="str">
        <f>'[1]FROP (Internal)'!O28</f>
        <v>N/A</v>
      </c>
      <c r="L25" s="96" t="str">
        <f>'[1]FROP (Internal)'!P28</f>
        <v>N/A</v>
      </c>
      <c r="M25" s="12"/>
      <c r="N25" s="12"/>
      <c r="O25" s="97"/>
      <c r="P25" s="131" t="str">
        <f>'[1]FROP (Internal)'!T28</f>
        <v>QM</v>
      </c>
      <c r="Q25" s="91">
        <f>'[1]FROP (Internal)'!U28</f>
        <v>0</v>
      </c>
      <c r="R25" s="92">
        <f>'[1]FROP (Internal)'!V28</f>
        <v>0</v>
      </c>
      <c r="S25" s="93">
        <f>'[1]FROP (Internal)'!W28</f>
        <v>0</v>
      </c>
      <c r="T25" s="93">
        <f>'[1]FROP (Internal)'!X28</f>
        <v>0</v>
      </c>
      <c r="U25" s="93">
        <f>'[1]FROP (Internal)'!Y28</f>
        <v>2</v>
      </c>
      <c r="V25" s="93">
        <f>'[1]FROP (Internal)'!Z28</f>
        <v>0</v>
      </c>
      <c r="W25" s="93">
        <f>'[1]FROP (Internal)'!AA28</f>
        <v>3</v>
      </c>
      <c r="X25" s="93">
        <f>'[1]FROP (Internal)'!AB28</f>
        <v>0</v>
      </c>
      <c r="Y25" s="93">
        <f>'[1]FROP (Internal)'!AC28</f>
        <v>0</v>
      </c>
      <c r="Z25" s="93">
        <f>'[1]FROP (Internal)'!AD28</f>
        <v>3</v>
      </c>
      <c r="AA25" s="93">
        <f>'[1]FROP (Internal)'!AE28</f>
        <v>0</v>
      </c>
      <c r="AB25" s="93">
        <f>'[1]FROP (Internal)'!AF28</f>
        <v>0</v>
      </c>
      <c r="AC25" s="94">
        <f>'[1]FROP (Internal)'!AG28</f>
        <v>3</v>
      </c>
      <c r="AD25" s="95">
        <f>'[1]FROP (Internal)'!AH28</f>
        <v>0</v>
      </c>
      <c r="AE25" s="93">
        <f>'[1]FROP (Internal)'!AI28</f>
        <v>0</v>
      </c>
      <c r="AF25" s="93">
        <f>'[1]FROP (Internal)'!AJ28</f>
        <v>3</v>
      </c>
      <c r="AG25" s="93">
        <f>'[1]FROP (Internal)'!AK28</f>
        <v>0</v>
      </c>
      <c r="AH25" s="93">
        <f>'[1]FROP (Internal)'!AL28</f>
        <v>4</v>
      </c>
      <c r="AI25" s="93">
        <f>'[1]FROP (Internal)'!AM28</f>
        <v>0</v>
      </c>
      <c r="AJ25" s="93">
        <f>'[1]FROP (Internal)'!AN28</f>
        <v>0</v>
      </c>
      <c r="AK25" s="93">
        <f>'[1]FROP (Internal)'!AO28</f>
        <v>4</v>
      </c>
      <c r="AL25" s="93">
        <f>'[1]FROP (Internal)'!AP28</f>
        <v>0</v>
      </c>
      <c r="AM25" s="93">
        <f>'[1]FROP (Internal)'!AQ28</f>
        <v>0</v>
      </c>
      <c r="AN25" s="93">
        <f>'[1]FROP (Internal)'!AR28</f>
        <v>4</v>
      </c>
      <c r="AO25" s="94">
        <f>'[1]FROP (Internal)'!AS28</f>
        <v>0</v>
      </c>
      <c r="AP25" s="95">
        <f>'[1]FROP (Internal)'!AT28</f>
        <v>0</v>
      </c>
      <c r="AQ25" s="93">
        <f>'[1]FROP (Internal)'!AU28</f>
        <v>4</v>
      </c>
      <c r="AR25" s="93">
        <f>'[1]FROP (Internal)'!AV28</f>
        <v>0</v>
      </c>
      <c r="AS25" s="93">
        <f>'[1]FROP (Internal)'!AW28</f>
        <v>5</v>
      </c>
      <c r="AT25" s="93">
        <f>'[1]FROP (Internal)'!AX28</f>
        <v>0</v>
      </c>
      <c r="AU25" s="93">
        <f>'[1]FROP (Internal)'!AY28</f>
        <v>0</v>
      </c>
      <c r="AV25" s="93">
        <f>'[1]FROP (Internal)'!AZ28</f>
        <v>5</v>
      </c>
      <c r="AW25" s="93">
        <f>'[1]FROP (Internal)'!BA28</f>
        <v>0</v>
      </c>
      <c r="AX25" s="93">
        <f>'[1]FROP (Internal)'!BB28</f>
        <v>0</v>
      </c>
      <c r="AY25" s="93">
        <f>'[1]FROP (Internal)'!BC28</f>
        <v>0</v>
      </c>
      <c r="AZ25" s="93">
        <f>'[1]FROP (Internal)'!BD28</f>
        <v>0</v>
      </c>
      <c r="BA25" s="94">
        <f>'[1]FROP (Internal)'!BE28</f>
        <v>0</v>
      </c>
      <c r="BB25" s="95">
        <f>'[1]FROP (Internal)'!BF28</f>
        <v>0</v>
      </c>
      <c r="BC25" s="93">
        <f>'[1]FROP (Internal)'!BG28</f>
        <v>0</v>
      </c>
      <c r="BD25" s="93">
        <f>'[1]FROP (Internal)'!BH28</f>
        <v>0</v>
      </c>
      <c r="BE25" s="93">
        <f>'[1]FROP (Internal)'!BI28</f>
        <v>0</v>
      </c>
      <c r="BF25" s="93">
        <f>'[1]FROP (Internal)'!BJ28</f>
        <v>0</v>
      </c>
      <c r="BG25" s="93">
        <f>'[1]FROP (Internal)'!BK28</f>
        <v>0</v>
      </c>
      <c r="BH25" s="93">
        <f>'[1]FROP (Internal)'!BL28</f>
        <v>0</v>
      </c>
      <c r="BI25" s="93">
        <f>'[1]FROP (Internal)'!BM28</f>
        <v>0</v>
      </c>
      <c r="BJ25" s="93">
        <f>'[1]FROP (Internal)'!BN28</f>
        <v>0</v>
      </c>
      <c r="BK25" s="93">
        <f>'[1]FROP (Internal)'!BO28</f>
        <v>0</v>
      </c>
      <c r="BL25" s="93">
        <f>'[1]FROP (Internal)'!BP28</f>
        <v>0</v>
      </c>
      <c r="BM25" s="94">
        <f>'[1]FROP (Internal)'!BQ28</f>
        <v>0</v>
      </c>
      <c r="BN25" s="95">
        <f>'[1]FROP (Internal)'!BR28</f>
        <v>0</v>
      </c>
      <c r="BO25" s="93">
        <f>'[1]FROP (Internal)'!BS28</f>
        <v>0</v>
      </c>
      <c r="BP25" s="93">
        <f>'[1]FROP (Internal)'!BT28</f>
        <v>0</v>
      </c>
      <c r="BQ25" s="93">
        <f>'[1]FROP (Internal)'!BU28</f>
        <v>0</v>
      </c>
      <c r="BR25" s="93">
        <f>'[1]FROP (Internal)'!BV28</f>
        <v>0</v>
      </c>
      <c r="BS25" s="94">
        <f>'[1]FROP (Internal)'!BW28</f>
        <v>0</v>
      </c>
    </row>
    <row r="26" spans="1:71" ht="20.100000000000001" customHeight="1">
      <c r="A26" s="43" t="s">
        <v>1043</v>
      </c>
      <c r="B26" s="662"/>
      <c r="C26" s="4" t="s">
        <v>567</v>
      </c>
      <c r="D26" s="89" t="str">
        <f>IF(AND('[1]FROP (Internal)'!G29="x",'[1]FROP (Internal)'!F29="N/A"),"x","N/A")</f>
        <v>x</v>
      </c>
      <c r="E26" s="89" t="str">
        <f>'[1]FROP (Internal)'!I29</f>
        <v>x</v>
      </c>
      <c r="F26" s="89" t="str">
        <f>'[1]FROP (Internal)'!J29</f>
        <v>N/A</v>
      </c>
      <c r="G26" s="89" t="str">
        <f>'[1]FROP (Internal)'!K29</f>
        <v>N/A</v>
      </c>
      <c r="H26" s="89" t="str">
        <f>'[1]FROP (Internal)'!L29</f>
        <v>N/A</v>
      </c>
      <c r="I26" s="89" t="str">
        <f>'[1]FROP (Internal)'!M29</f>
        <v>N/A</v>
      </c>
      <c r="J26" s="44" t="str">
        <f>'[1]FROP (Internal)'!N29</f>
        <v>x</v>
      </c>
      <c r="K26" s="96" t="str">
        <f>'[1]FROP (Internal)'!O29</f>
        <v>N/A</v>
      </c>
      <c r="L26" s="96" t="str">
        <f>'[1]FROP (Internal)'!P29</f>
        <v>N/A</v>
      </c>
      <c r="M26" s="12"/>
      <c r="N26" s="12"/>
      <c r="O26" s="97"/>
      <c r="P26" s="131" t="str">
        <f>'[1]FROP (Internal)'!T29</f>
        <v>QM</v>
      </c>
      <c r="Q26" s="91">
        <f>'[1]FROP (Internal)'!U29</f>
        <v>0</v>
      </c>
      <c r="R26" s="92">
        <f>'[1]FROP (Internal)'!V29</f>
        <v>0</v>
      </c>
      <c r="S26" s="93">
        <f>'[1]FROP (Internal)'!W29</f>
        <v>0</v>
      </c>
      <c r="T26" s="93">
        <f>'[1]FROP (Internal)'!X29</f>
        <v>0</v>
      </c>
      <c r="U26" s="93">
        <f>'[1]FROP (Internal)'!Y29</f>
        <v>2</v>
      </c>
      <c r="V26" s="93">
        <f>'[1]FROP (Internal)'!Z29</f>
        <v>0</v>
      </c>
      <c r="W26" s="93">
        <f>'[1]FROP (Internal)'!AA29</f>
        <v>3</v>
      </c>
      <c r="X26" s="93">
        <f>'[1]FROP (Internal)'!AB29</f>
        <v>0</v>
      </c>
      <c r="Y26" s="93">
        <f>'[1]FROP (Internal)'!AC29</f>
        <v>0</v>
      </c>
      <c r="Z26" s="93">
        <f>'[1]FROP (Internal)'!AD29</f>
        <v>3</v>
      </c>
      <c r="AA26" s="93">
        <f>'[1]FROP (Internal)'!AE29</f>
        <v>0</v>
      </c>
      <c r="AB26" s="93">
        <f>'[1]FROP (Internal)'!AF29</f>
        <v>0</v>
      </c>
      <c r="AC26" s="94">
        <f>'[1]FROP (Internal)'!AG29</f>
        <v>3</v>
      </c>
      <c r="AD26" s="95">
        <f>'[1]FROP (Internal)'!AH29</f>
        <v>0</v>
      </c>
      <c r="AE26" s="93">
        <f>'[1]FROP (Internal)'!AI29</f>
        <v>0</v>
      </c>
      <c r="AF26" s="93">
        <f>'[1]FROP (Internal)'!AJ29</f>
        <v>3</v>
      </c>
      <c r="AG26" s="93">
        <f>'[1]FROP (Internal)'!AK29</f>
        <v>0</v>
      </c>
      <c r="AH26" s="93">
        <f>'[1]FROP (Internal)'!AL29</f>
        <v>4</v>
      </c>
      <c r="AI26" s="93">
        <f>'[1]FROP (Internal)'!AM29</f>
        <v>0</v>
      </c>
      <c r="AJ26" s="93">
        <f>'[1]FROP (Internal)'!AN29</f>
        <v>0</v>
      </c>
      <c r="AK26" s="93">
        <f>'[1]FROP (Internal)'!AO29</f>
        <v>4</v>
      </c>
      <c r="AL26" s="93">
        <f>'[1]FROP (Internal)'!AP29</f>
        <v>0</v>
      </c>
      <c r="AM26" s="93">
        <f>'[1]FROP (Internal)'!AQ29</f>
        <v>0</v>
      </c>
      <c r="AN26" s="93">
        <f>'[1]FROP (Internal)'!AR29</f>
        <v>4</v>
      </c>
      <c r="AO26" s="94">
        <f>'[1]FROP (Internal)'!AS29</f>
        <v>0</v>
      </c>
      <c r="AP26" s="95">
        <f>'[1]FROP (Internal)'!AT29</f>
        <v>0</v>
      </c>
      <c r="AQ26" s="93">
        <f>'[1]FROP (Internal)'!AU29</f>
        <v>4</v>
      </c>
      <c r="AR26" s="93">
        <f>'[1]FROP (Internal)'!AV29</f>
        <v>0</v>
      </c>
      <c r="AS26" s="93">
        <f>'[1]FROP (Internal)'!AW29</f>
        <v>5</v>
      </c>
      <c r="AT26" s="93">
        <f>'[1]FROP (Internal)'!AX29</f>
        <v>0</v>
      </c>
      <c r="AU26" s="93">
        <f>'[1]FROP (Internal)'!AY29</f>
        <v>0</v>
      </c>
      <c r="AV26" s="93">
        <f>'[1]FROP (Internal)'!AZ29</f>
        <v>5</v>
      </c>
      <c r="AW26" s="93">
        <f>'[1]FROP (Internal)'!BA29</f>
        <v>0</v>
      </c>
      <c r="AX26" s="93">
        <f>'[1]FROP (Internal)'!BB29</f>
        <v>0</v>
      </c>
      <c r="AY26" s="93">
        <f>'[1]FROP (Internal)'!BC29</f>
        <v>0</v>
      </c>
      <c r="AZ26" s="93">
        <f>'[1]FROP (Internal)'!BD29</f>
        <v>0</v>
      </c>
      <c r="BA26" s="94">
        <f>'[1]FROP (Internal)'!BE29</f>
        <v>0</v>
      </c>
      <c r="BB26" s="95">
        <f>'[1]FROP (Internal)'!BF29</f>
        <v>0</v>
      </c>
      <c r="BC26" s="93">
        <f>'[1]FROP (Internal)'!BG29</f>
        <v>0</v>
      </c>
      <c r="BD26" s="93">
        <f>'[1]FROP (Internal)'!BH29</f>
        <v>0</v>
      </c>
      <c r="BE26" s="93">
        <f>'[1]FROP (Internal)'!BI29</f>
        <v>0</v>
      </c>
      <c r="BF26" s="93">
        <f>'[1]FROP (Internal)'!BJ29</f>
        <v>0</v>
      </c>
      <c r="BG26" s="93">
        <f>'[1]FROP (Internal)'!BK29</f>
        <v>0</v>
      </c>
      <c r="BH26" s="93">
        <f>'[1]FROP (Internal)'!BL29</f>
        <v>0</v>
      </c>
      <c r="BI26" s="93">
        <f>'[1]FROP (Internal)'!BM29</f>
        <v>0</v>
      </c>
      <c r="BJ26" s="93">
        <f>'[1]FROP (Internal)'!BN29</f>
        <v>0</v>
      </c>
      <c r="BK26" s="93">
        <f>'[1]FROP (Internal)'!BO29</f>
        <v>0</v>
      </c>
      <c r="BL26" s="93">
        <f>'[1]FROP (Internal)'!BP29</f>
        <v>0</v>
      </c>
      <c r="BM26" s="94">
        <f>'[1]FROP (Internal)'!BQ29</f>
        <v>0</v>
      </c>
      <c r="BN26" s="95">
        <f>'[1]FROP (Internal)'!BR29</f>
        <v>0</v>
      </c>
      <c r="BO26" s="93">
        <f>'[1]FROP (Internal)'!BS29</f>
        <v>0</v>
      </c>
      <c r="BP26" s="93">
        <f>'[1]FROP (Internal)'!BT29</f>
        <v>0</v>
      </c>
      <c r="BQ26" s="93">
        <f>'[1]FROP (Internal)'!BU29</f>
        <v>0</v>
      </c>
      <c r="BR26" s="93">
        <f>'[1]FROP (Internal)'!BV29</f>
        <v>0</v>
      </c>
      <c r="BS26" s="94">
        <f>'[1]FROP (Internal)'!BW29</f>
        <v>0</v>
      </c>
    </row>
    <row r="27" spans="1:71" ht="20.100000000000001" customHeight="1">
      <c r="A27" s="43" t="s">
        <v>1044</v>
      </c>
      <c r="B27" s="662"/>
      <c r="C27" s="4" t="s">
        <v>570</v>
      </c>
      <c r="D27" s="89" t="str">
        <f>IF(AND('[1]FROP (Internal)'!G30="x",'[1]FROP (Internal)'!F30="N/A"),"x","N/A")</f>
        <v>x</v>
      </c>
      <c r="E27" s="89" t="str">
        <f>'[1]FROP (Internal)'!I30</f>
        <v>x</v>
      </c>
      <c r="F27" s="89" t="str">
        <f>'[1]FROP (Internal)'!J30</f>
        <v>N/A</v>
      </c>
      <c r="G27" s="89" t="str">
        <f>'[1]FROP (Internal)'!K30</f>
        <v>N/A</v>
      </c>
      <c r="H27" s="89" t="str">
        <f>'[1]FROP (Internal)'!L30</f>
        <v>N/A</v>
      </c>
      <c r="I27" s="89" t="str">
        <f>'[1]FROP (Internal)'!M30</f>
        <v>N/A</v>
      </c>
      <c r="J27" s="44" t="str">
        <f>'[1]FROP (Internal)'!N30</f>
        <v>x</v>
      </c>
      <c r="K27" s="96" t="str">
        <f>'[1]FROP (Internal)'!O30</f>
        <v>N/A</v>
      </c>
      <c r="L27" s="96" t="str">
        <f>'[1]FROP (Internal)'!P30</f>
        <v>N/A</v>
      </c>
      <c r="M27" s="12"/>
      <c r="N27" s="12"/>
      <c r="O27" s="97"/>
      <c r="P27" s="131" t="str">
        <f>'[1]FROP (Internal)'!T30</f>
        <v>QM</v>
      </c>
      <c r="Q27" s="91">
        <f>'[1]FROP (Internal)'!U30</f>
        <v>0</v>
      </c>
      <c r="R27" s="92">
        <f>'[1]FROP (Internal)'!V30</f>
        <v>0</v>
      </c>
      <c r="S27" s="93">
        <f>'[1]FROP (Internal)'!W30</f>
        <v>0</v>
      </c>
      <c r="T27" s="93">
        <f>'[1]FROP (Internal)'!X30</f>
        <v>0</v>
      </c>
      <c r="U27" s="93">
        <f>'[1]FROP (Internal)'!Y30</f>
        <v>2</v>
      </c>
      <c r="V27" s="93">
        <f>'[1]FROP (Internal)'!Z30</f>
        <v>0</v>
      </c>
      <c r="W27" s="93">
        <f>'[1]FROP (Internal)'!AA30</f>
        <v>3</v>
      </c>
      <c r="X27" s="93">
        <f>'[1]FROP (Internal)'!AB30</f>
        <v>0</v>
      </c>
      <c r="Y27" s="93">
        <f>'[1]FROP (Internal)'!AC30</f>
        <v>0</v>
      </c>
      <c r="Z27" s="93">
        <f>'[1]FROP (Internal)'!AD30</f>
        <v>3</v>
      </c>
      <c r="AA27" s="93">
        <f>'[1]FROP (Internal)'!AE30</f>
        <v>0</v>
      </c>
      <c r="AB27" s="93">
        <f>'[1]FROP (Internal)'!AF30</f>
        <v>0</v>
      </c>
      <c r="AC27" s="94">
        <f>'[1]FROP (Internal)'!AG30</f>
        <v>3</v>
      </c>
      <c r="AD27" s="95">
        <f>'[1]FROP (Internal)'!AH30</f>
        <v>0</v>
      </c>
      <c r="AE27" s="93">
        <f>'[1]FROP (Internal)'!AI30</f>
        <v>0</v>
      </c>
      <c r="AF27" s="93">
        <f>'[1]FROP (Internal)'!AJ30</f>
        <v>3</v>
      </c>
      <c r="AG27" s="93">
        <f>'[1]FROP (Internal)'!AK30</f>
        <v>0</v>
      </c>
      <c r="AH27" s="93">
        <f>'[1]FROP (Internal)'!AL30</f>
        <v>4</v>
      </c>
      <c r="AI27" s="93">
        <f>'[1]FROP (Internal)'!AM30</f>
        <v>0</v>
      </c>
      <c r="AJ27" s="93">
        <f>'[1]FROP (Internal)'!AN30</f>
        <v>0</v>
      </c>
      <c r="AK27" s="93">
        <f>'[1]FROP (Internal)'!AO30</f>
        <v>4</v>
      </c>
      <c r="AL27" s="93">
        <f>'[1]FROP (Internal)'!AP30</f>
        <v>0</v>
      </c>
      <c r="AM27" s="93">
        <f>'[1]FROP (Internal)'!AQ30</f>
        <v>0</v>
      </c>
      <c r="AN27" s="93">
        <f>'[1]FROP (Internal)'!AR30</f>
        <v>4</v>
      </c>
      <c r="AO27" s="94">
        <f>'[1]FROP (Internal)'!AS30</f>
        <v>0</v>
      </c>
      <c r="AP27" s="95">
        <f>'[1]FROP (Internal)'!AT30</f>
        <v>0</v>
      </c>
      <c r="AQ27" s="93">
        <f>'[1]FROP (Internal)'!AU30</f>
        <v>4</v>
      </c>
      <c r="AR27" s="93">
        <f>'[1]FROP (Internal)'!AV30</f>
        <v>0</v>
      </c>
      <c r="AS27" s="93">
        <f>'[1]FROP (Internal)'!AW30</f>
        <v>5</v>
      </c>
      <c r="AT27" s="93">
        <f>'[1]FROP (Internal)'!AX30</f>
        <v>0</v>
      </c>
      <c r="AU27" s="93">
        <f>'[1]FROP (Internal)'!AY30</f>
        <v>0</v>
      </c>
      <c r="AV27" s="93">
        <f>'[1]FROP (Internal)'!AZ30</f>
        <v>5</v>
      </c>
      <c r="AW27" s="93">
        <f>'[1]FROP (Internal)'!BA30</f>
        <v>0</v>
      </c>
      <c r="AX27" s="93">
        <f>'[1]FROP (Internal)'!BB30</f>
        <v>0</v>
      </c>
      <c r="AY27" s="93">
        <f>'[1]FROP (Internal)'!BC30</f>
        <v>0</v>
      </c>
      <c r="AZ27" s="93">
        <f>'[1]FROP (Internal)'!BD30</f>
        <v>0</v>
      </c>
      <c r="BA27" s="94">
        <f>'[1]FROP (Internal)'!BE30</f>
        <v>0</v>
      </c>
      <c r="BB27" s="95">
        <f>'[1]FROP (Internal)'!BF30</f>
        <v>0</v>
      </c>
      <c r="BC27" s="93">
        <f>'[1]FROP (Internal)'!BG30</f>
        <v>0</v>
      </c>
      <c r="BD27" s="93">
        <f>'[1]FROP (Internal)'!BH30</f>
        <v>0</v>
      </c>
      <c r="BE27" s="93">
        <f>'[1]FROP (Internal)'!BI30</f>
        <v>0</v>
      </c>
      <c r="BF27" s="93">
        <f>'[1]FROP (Internal)'!BJ30</f>
        <v>0</v>
      </c>
      <c r="BG27" s="93">
        <f>'[1]FROP (Internal)'!BK30</f>
        <v>0</v>
      </c>
      <c r="BH27" s="93">
        <f>'[1]FROP (Internal)'!BL30</f>
        <v>0</v>
      </c>
      <c r="BI27" s="93">
        <f>'[1]FROP (Internal)'!BM30</f>
        <v>0</v>
      </c>
      <c r="BJ27" s="93">
        <f>'[1]FROP (Internal)'!BN30</f>
        <v>0</v>
      </c>
      <c r="BK27" s="93">
        <f>'[1]FROP (Internal)'!BO30</f>
        <v>0</v>
      </c>
      <c r="BL27" s="93">
        <f>'[1]FROP (Internal)'!BP30</f>
        <v>0</v>
      </c>
      <c r="BM27" s="94">
        <f>'[1]FROP (Internal)'!BQ30</f>
        <v>0</v>
      </c>
      <c r="BN27" s="95">
        <f>'[1]FROP (Internal)'!BR30</f>
        <v>0</v>
      </c>
      <c r="BO27" s="93">
        <f>'[1]FROP (Internal)'!BS30</f>
        <v>0</v>
      </c>
      <c r="BP27" s="93">
        <f>'[1]FROP (Internal)'!BT30</f>
        <v>0</v>
      </c>
      <c r="BQ27" s="93">
        <f>'[1]FROP (Internal)'!BU30</f>
        <v>0</v>
      </c>
      <c r="BR27" s="93">
        <f>'[1]FROP (Internal)'!BV30</f>
        <v>0</v>
      </c>
      <c r="BS27" s="94">
        <f>'[1]FROP (Internal)'!BW30</f>
        <v>0</v>
      </c>
    </row>
    <row r="28" spans="1:71" ht="20.100000000000001" hidden="1" customHeight="1">
      <c r="A28" s="43" t="s">
        <v>1045</v>
      </c>
      <c r="B28" s="16" t="s">
        <v>1046</v>
      </c>
      <c r="C28" s="5" t="s">
        <v>1047</v>
      </c>
      <c r="D28" s="98"/>
      <c r="E28" s="98"/>
      <c r="F28" s="98"/>
      <c r="G28" s="98"/>
      <c r="H28" s="98"/>
      <c r="I28" s="98"/>
      <c r="J28" s="12"/>
      <c r="K28" s="12"/>
      <c r="L28" s="12"/>
      <c r="M28" s="12"/>
      <c r="N28" s="12"/>
      <c r="O28" s="97"/>
      <c r="P28" s="97"/>
      <c r="Q28" s="91">
        <f>'[1]FROP (Internal)'!U31</f>
        <v>0</v>
      </c>
      <c r="R28" s="92">
        <f>'[1]FROP (Internal)'!V31</f>
        <v>0</v>
      </c>
      <c r="S28" s="93">
        <f>'[1]FROP (Internal)'!W31</f>
        <v>0</v>
      </c>
      <c r="T28" s="93">
        <f>'[1]FROP (Internal)'!X31</f>
        <v>0</v>
      </c>
      <c r="U28" s="93">
        <f>'[1]FROP (Internal)'!Y31</f>
        <v>0</v>
      </c>
      <c r="V28" s="93">
        <f>'[1]FROP (Internal)'!Z31</f>
        <v>0</v>
      </c>
      <c r="W28" s="93">
        <f>'[1]FROP (Internal)'!AA31</f>
        <v>0</v>
      </c>
      <c r="X28" s="93">
        <f>'[1]FROP (Internal)'!AB31</f>
        <v>0</v>
      </c>
      <c r="Y28" s="93">
        <f>'[1]FROP (Internal)'!AC31</f>
        <v>0</v>
      </c>
      <c r="Z28" s="93">
        <f>'[1]FROP (Internal)'!AD31</f>
        <v>0</v>
      </c>
      <c r="AA28" s="93">
        <f>'[1]FROP (Internal)'!AE31</f>
        <v>0</v>
      </c>
      <c r="AB28" s="93">
        <f>'[1]FROP (Internal)'!AF31</f>
        <v>0</v>
      </c>
      <c r="AC28" s="94">
        <f>'[1]FROP (Internal)'!AG31</f>
        <v>0</v>
      </c>
      <c r="AD28" s="95">
        <f>'[1]FROP (Internal)'!AH31</f>
        <v>0</v>
      </c>
      <c r="AE28" s="93">
        <f>'[1]FROP (Internal)'!AI31</f>
        <v>0</v>
      </c>
      <c r="AF28" s="93">
        <f>'[1]FROP (Internal)'!AJ31</f>
        <v>0</v>
      </c>
      <c r="AG28" s="93">
        <f>'[1]FROP (Internal)'!AK31</f>
        <v>0</v>
      </c>
      <c r="AH28" s="93">
        <f>'[1]FROP (Internal)'!AL31</f>
        <v>0</v>
      </c>
      <c r="AI28" s="93">
        <f>'[1]FROP (Internal)'!AM31</f>
        <v>0</v>
      </c>
      <c r="AJ28" s="93">
        <f>'[1]FROP (Internal)'!AN31</f>
        <v>0</v>
      </c>
      <c r="AK28" s="93">
        <f>'[1]FROP (Internal)'!AO31</f>
        <v>0</v>
      </c>
      <c r="AL28" s="93">
        <f>'[1]FROP (Internal)'!AP31</f>
        <v>0</v>
      </c>
      <c r="AM28" s="93">
        <f>'[1]FROP (Internal)'!AQ31</f>
        <v>0</v>
      </c>
      <c r="AN28" s="93">
        <f>'[1]FROP (Internal)'!AR31</f>
        <v>0</v>
      </c>
      <c r="AO28" s="94">
        <f>'[1]FROP (Internal)'!AS31</f>
        <v>0</v>
      </c>
      <c r="AP28" s="95">
        <f>'[1]FROP (Internal)'!AT31</f>
        <v>0</v>
      </c>
      <c r="AQ28" s="93">
        <f>'[1]FROP (Internal)'!AU31</f>
        <v>0</v>
      </c>
      <c r="AR28" s="93">
        <f>'[1]FROP (Internal)'!AV31</f>
        <v>0</v>
      </c>
      <c r="AS28" s="93">
        <f>'[1]FROP (Internal)'!AW31</f>
        <v>0</v>
      </c>
      <c r="AT28" s="93">
        <f>'[1]FROP (Internal)'!AX31</f>
        <v>0</v>
      </c>
      <c r="AU28" s="93">
        <f>'[1]FROP (Internal)'!AY31</f>
        <v>0</v>
      </c>
      <c r="AV28" s="93">
        <f>'[1]FROP (Internal)'!AZ31</f>
        <v>0</v>
      </c>
      <c r="AW28" s="93">
        <f>'[1]FROP (Internal)'!BA31</f>
        <v>0</v>
      </c>
      <c r="AX28" s="93">
        <f>'[1]FROP (Internal)'!BB31</f>
        <v>0</v>
      </c>
      <c r="AY28" s="93">
        <f>'[1]FROP (Internal)'!BC31</f>
        <v>0</v>
      </c>
      <c r="AZ28" s="93">
        <f>'[1]FROP (Internal)'!BD31</f>
        <v>0</v>
      </c>
      <c r="BA28" s="94">
        <f>'[1]FROP (Internal)'!BE31</f>
        <v>0</v>
      </c>
      <c r="BB28" s="95">
        <f>'[1]FROP (Internal)'!BF31</f>
        <v>0</v>
      </c>
      <c r="BC28" s="93">
        <f>'[1]FROP (Internal)'!BG31</f>
        <v>0</v>
      </c>
      <c r="BD28" s="93">
        <f>'[1]FROP (Internal)'!BH31</f>
        <v>0</v>
      </c>
      <c r="BE28" s="93">
        <f>'[1]FROP (Internal)'!BI31</f>
        <v>0</v>
      </c>
      <c r="BF28" s="93">
        <f>'[1]FROP (Internal)'!BJ31</f>
        <v>0</v>
      </c>
      <c r="BG28" s="93">
        <f>'[1]FROP (Internal)'!BK31</f>
        <v>0</v>
      </c>
      <c r="BH28" s="93">
        <f>'[1]FROP (Internal)'!BL31</f>
        <v>0</v>
      </c>
      <c r="BI28" s="93">
        <f>'[1]FROP (Internal)'!BM31</f>
        <v>0</v>
      </c>
      <c r="BJ28" s="93">
        <f>'[1]FROP (Internal)'!BN31</f>
        <v>0</v>
      </c>
      <c r="BK28" s="93">
        <f>'[1]FROP (Internal)'!BO31</f>
        <v>0</v>
      </c>
      <c r="BL28" s="93">
        <f>'[1]FROP (Internal)'!BP31</f>
        <v>0</v>
      </c>
      <c r="BM28" s="94">
        <f>'[1]FROP (Internal)'!BQ31</f>
        <v>0</v>
      </c>
      <c r="BN28" s="95">
        <f>'[1]FROP (Internal)'!BR31</f>
        <v>0</v>
      </c>
      <c r="BO28" s="93">
        <f>'[1]FROP (Internal)'!BS31</f>
        <v>0</v>
      </c>
      <c r="BP28" s="93">
        <f>'[1]FROP (Internal)'!BT31</f>
        <v>0</v>
      </c>
      <c r="BQ28" s="93">
        <f>'[1]FROP (Internal)'!BU31</f>
        <v>0</v>
      </c>
      <c r="BR28" s="93">
        <f>'[1]FROP (Internal)'!BV31</f>
        <v>0</v>
      </c>
      <c r="BS28" s="94">
        <f>'[1]FROP (Internal)'!BW31</f>
        <v>0</v>
      </c>
    </row>
    <row r="29" spans="1:71" ht="20.100000000000001" hidden="1" customHeight="1" thickBot="1">
      <c r="A29" s="43" t="s">
        <v>1048</v>
      </c>
      <c r="B29" s="16" t="s">
        <v>1049</v>
      </c>
      <c r="C29" s="5" t="s">
        <v>1050</v>
      </c>
      <c r="D29" s="98"/>
      <c r="E29" s="98"/>
      <c r="F29" s="98"/>
      <c r="G29" s="98"/>
      <c r="H29" s="98"/>
      <c r="I29" s="98"/>
      <c r="J29" s="12"/>
      <c r="K29" s="12"/>
      <c r="L29" s="12"/>
      <c r="M29" s="12"/>
      <c r="N29" s="12"/>
      <c r="O29" s="97"/>
      <c r="P29" s="97"/>
      <c r="Q29" s="91">
        <f>'[1]FROP (Internal)'!U32</f>
        <v>0</v>
      </c>
      <c r="R29" s="92">
        <f>'[1]FROP (Internal)'!V32</f>
        <v>0</v>
      </c>
      <c r="S29" s="93">
        <f>'[1]FROP (Internal)'!W32</f>
        <v>0</v>
      </c>
      <c r="T29" s="93">
        <f>'[1]FROP (Internal)'!X32</f>
        <v>0</v>
      </c>
      <c r="U29" s="93">
        <f>'[1]FROP (Internal)'!Y32</f>
        <v>0</v>
      </c>
      <c r="V29" s="93">
        <f>'[1]FROP (Internal)'!Z32</f>
        <v>0</v>
      </c>
      <c r="W29" s="93">
        <f>'[1]FROP (Internal)'!AA32</f>
        <v>0</v>
      </c>
      <c r="X29" s="93">
        <f>'[1]FROP (Internal)'!AB32</f>
        <v>0</v>
      </c>
      <c r="Y29" s="93">
        <f>'[1]FROP (Internal)'!AC32</f>
        <v>0</v>
      </c>
      <c r="Z29" s="93">
        <f>'[1]FROP (Internal)'!AD32</f>
        <v>0</v>
      </c>
      <c r="AA29" s="93">
        <f>'[1]FROP (Internal)'!AE32</f>
        <v>0</v>
      </c>
      <c r="AB29" s="93">
        <f>'[1]FROP (Internal)'!AF32</f>
        <v>0</v>
      </c>
      <c r="AC29" s="94">
        <f>'[1]FROP (Internal)'!AG32</f>
        <v>0</v>
      </c>
      <c r="AD29" s="95">
        <f>'[1]FROP (Internal)'!AH32</f>
        <v>0</v>
      </c>
      <c r="AE29" s="93">
        <f>'[1]FROP (Internal)'!AI32</f>
        <v>0</v>
      </c>
      <c r="AF29" s="93">
        <f>'[1]FROP (Internal)'!AJ32</f>
        <v>0</v>
      </c>
      <c r="AG29" s="93">
        <f>'[1]FROP (Internal)'!AK32</f>
        <v>0</v>
      </c>
      <c r="AH29" s="93">
        <f>'[1]FROP (Internal)'!AL32</f>
        <v>0</v>
      </c>
      <c r="AI29" s="93">
        <f>'[1]FROP (Internal)'!AM32</f>
        <v>0</v>
      </c>
      <c r="AJ29" s="93">
        <f>'[1]FROP (Internal)'!AN32</f>
        <v>0</v>
      </c>
      <c r="AK29" s="93">
        <f>'[1]FROP (Internal)'!AO32</f>
        <v>0</v>
      </c>
      <c r="AL29" s="93">
        <f>'[1]FROP (Internal)'!AP32</f>
        <v>0</v>
      </c>
      <c r="AM29" s="93">
        <f>'[1]FROP (Internal)'!AQ32</f>
        <v>0</v>
      </c>
      <c r="AN29" s="93">
        <f>'[1]FROP (Internal)'!AR32</f>
        <v>0</v>
      </c>
      <c r="AO29" s="94">
        <f>'[1]FROP (Internal)'!AS32</f>
        <v>0</v>
      </c>
      <c r="AP29" s="95">
        <f>'[1]FROP (Internal)'!AT32</f>
        <v>0</v>
      </c>
      <c r="AQ29" s="93">
        <f>'[1]FROP (Internal)'!AU32</f>
        <v>0</v>
      </c>
      <c r="AR29" s="93">
        <f>'[1]FROP (Internal)'!AV32</f>
        <v>0</v>
      </c>
      <c r="AS29" s="93">
        <f>'[1]FROP (Internal)'!AW32</f>
        <v>0</v>
      </c>
      <c r="AT29" s="93">
        <f>'[1]FROP (Internal)'!AX32</f>
        <v>0</v>
      </c>
      <c r="AU29" s="93">
        <f>'[1]FROP (Internal)'!AY32</f>
        <v>0</v>
      </c>
      <c r="AV29" s="93">
        <f>'[1]FROP (Internal)'!AZ32</f>
        <v>0</v>
      </c>
      <c r="AW29" s="93">
        <f>'[1]FROP (Internal)'!BA32</f>
        <v>0</v>
      </c>
      <c r="AX29" s="93">
        <f>'[1]FROP (Internal)'!BB32</f>
        <v>0</v>
      </c>
      <c r="AY29" s="93">
        <f>'[1]FROP (Internal)'!BC32</f>
        <v>0</v>
      </c>
      <c r="AZ29" s="93">
        <f>'[1]FROP (Internal)'!BD32</f>
        <v>0</v>
      </c>
      <c r="BA29" s="94">
        <f>'[1]FROP (Internal)'!BE32</f>
        <v>0</v>
      </c>
      <c r="BB29" s="95">
        <f>'[1]FROP (Internal)'!BF32</f>
        <v>0</v>
      </c>
      <c r="BC29" s="93">
        <f>'[1]FROP (Internal)'!BG32</f>
        <v>0</v>
      </c>
      <c r="BD29" s="93">
        <f>'[1]FROP (Internal)'!BH32</f>
        <v>0</v>
      </c>
      <c r="BE29" s="93">
        <f>'[1]FROP (Internal)'!BI32</f>
        <v>0</v>
      </c>
      <c r="BF29" s="93">
        <f>'[1]FROP (Internal)'!BJ32</f>
        <v>0</v>
      </c>
      <c r="BG29" s="93">
        <f>'[1]FROP (Internal)'!BK32</f>
        <v>0</v>
      </c>
      <c r="BH29" s="93">
        <f>'[1]FROP (Internal)'!BL32</f>
        <v>0</v>
      </c>
      <c r="BI29" s="93">
        <f>'[1]FROP (Internal)'!BM32</f>
        <v>0</v>
      </c>
      <c r="BJ29" s="93">
        <f>'[1]FROP (Internal)'!BN32</f>
        <v>0</v>
      </c>
      <c r="BK29" s="93">
        <f>'[1]FROP (Internal)'!BO32</f>
        <v>0</v>
      </c>
      <c r="BL29" s="93">
        <f>'[1]FROP (Internal)'!BP32</f>
        <v>0</v>
      </c>
      <c r="BM29" s="94">
        <f>'[1]FROP (Internal)'!BQ32</f>
        <v>0</v>
      </c>
      <c r="BN29" s="95">
        <f>'[1]FROP (Internal)'!BR32</f>
        <v>0</v>
      </c>
      <c r="BO29" s="93">
        <f>'[1]FROP (Internal)'!BS32</f>
        <v>0</v>
      </c>
      <c r="BP29" s="93">
        <f>'[1]FROP (Internal)'!BT32</f>
        <v>0</v>
      </c>
      <c r="BQ29" s="93">
        <f>'[1]FROP (Internal)'!BU32</f>
        <v>0</v>
      </c>
      <c r="BR29" s="93">
        <f>'[1]FROP (Internal)'!BV32</f>
        <v>0</v>
      </c>
      <c r="BS29" s="94">
        <f>'[1]FROP (Internal)'!BW32</f>
        <v>0</v>
      </c>
    </row>
    <row r="30" spans="1:71" ht="20.100000000000001" hidden="1" customHeight="1">
      <c r="A30" s="44" t="s">
        <v>1051</v>
      </c>
      <c r="B30" s="662" t="s">
        <v>1052</v>
      </c>
      <c r="C30" s="5" t="s">
        <v>682</v>
      </c>
      <c r="D30" s="89" t="str">
        <f>IF(AND('[1]FROP (Internal)'!G33="x",'[1]FROP (Internal)'!F33="N/A"),"x","N/A")</f>
        <v>N/A</v>
      </c>
      <c r="E30" s="89" t="str">
        <f>'[1]FROP (Internal)'!I33</f>
        <v>N/A</v>
      </c>
      <c r="F30" s="89" t="str">
        <f>'[1]FROP (Internal)'!J33</f>
        <v>N/A</v>
      </c>
      <c r="G30" s="89" t="str">
        <f>'[1]FROP (Internal)'!K33</f>
        <v>N/A</v>
      </c>
      <c r="H30" s="89" t="str">
        <f>'[1]FROP (Internal)'!L33</f>
        <v>N/A</v>
      </c>
      <c r="I30" s="89" t="str">
        <f>'[1]FROP (Internal)'!M33</f>
        <v>N/A</v>
      </c>
      <c r="J30" s="82" t="str">
        <f>'[1]FROP (Internal)'!N33</f>
        <v>N/A</v>
      </c>
      <c r="K30" s="96" t="str">
        <f>'[1]FROP (Internal)'!O33</f>
        <v>N/A</v>
      </c>
      <c r="L30" s="96" t="str">
        <f>'[1]FROP (Internal)'!P33</f>
        <v>N/A</v>
      </c>
      <c r="M30" s="12"/>
      <c r="N30" s="12"/>
      <c r="O30" s="97"/>
      <c r="P30" s="34" t="str">
        <f>'[1]FROP (Internal)'!T33</f>
        <v>N/A</v>
      </c>
      <c r="Q30" s="91">
        <f>'[1]FROP (Internal)'!U33</f>
        <v>0</v>
      </c>
      <c r="R30" s="92">
        <f>'[1]FROP (Internal)'!V33</f>
        <v>0</v>
      </c>
      <c r="S30" s="93">
        <f>'[1]FROP (Internal)'!W33</f>
        <v>0</v>
      </c>
      <c r="T30" s="93">
        <f>'[1]FROP (Internal)'!X33</f>
        <v>0</v>
      </c>
      <c r="U30" s="93">
        <f>'[1]FROP (Internal)'!Y33</f>
        <v>0</v>
      </c>
      <c r="V30" s="93">
        <f>'[1]FROP (Internal)'!Z33</f>
        <v>0</v>
      </c>
      <c r="W30" s="93">
        <f>'[1]FROP (Internal)'!AA33</f>
        <v>0</v>
      </c>
      <c r="X30" s="93">
        <f>'[1]FROP (Internal)'!AB33</f>
        <v>0</v>
      </c>
      <c r="Y30" s="93">
        <f>'[1]FROP (Internal)'!AC33</f>
        <v>0</v>
      </c>
      <c r="Z30" s="93">
        <f>'[1]FROP (Internal)'!AD33</f>
        <v>0</v>
      </c>
      <c r="AA30" s="93">
        <f>'[1]FROP (Internal)'!AE33</f>
        <v>0</v>
      </c>
      <c r="AB30" s="93">
        <f>'[1]FROP (Internal)'!AF33</f>
        <v>0</v>
      </c>
      <c r="AC30" s="94">
        <f>'[1]FROP (Internal)'!AG33</f>
        <v>0</v>
      </c>
      <c r="AD30" s="95">
        <f>'[1]FROP (Internal)'!AH33</f>
        <v>0</v>
      </c>
      <c r="AE30" s="93">
        <f>'[1]FROP (Internal)'!AI33</f>
        <v>0</v>
      </c>
      <c r="AF30" s="93">
        <f>'[1]FROP (Internal)'!AJ33</f>
        <v>0</v>
      </c>
      <c r="AG30" s="93">
        <f>'[1]FROP (Internal)'!AK33</f>
        <v>0</v>
      </c>
      <c r="AH30" s="93">
        <f>'[1]FROP (Internal)'!AL33</f>
        <v>0</v>
      </c>
      <c r="AI30" s="93">
        <f>'[1]FROP (Internal)'!AM33</f>
        <v>0</v>
      </c>
      <c r="AJ30" s="93">
        <f>'[1]FROP (Internal)'!AN33</f>
        <v>0</v>
      </c>
      <c r="AK30" s="93">
        <f>'[1]FROP (Internal)'!AO33</f>
        <v>0</v>
      </c>
      <c r="AL30" s="93">
        <f>'[1]FROP (Internal)'!AP33</f>
        <v>0</v>
      </c>
      <c r="AM30" s="93">
        <f>'[1]FROP (Internal)'!AQ33</f>
        <v>0</v>
      </c>
      <c r="AN30" s="93">
        <f>'[1]FROP (Internal)'!AR33</f>
        <v>0</v>
      </c>
      <c r="AO30" s="94">
        <f>'[1]FROP (Internal)'!AS33</f>
        <v>0</v>
      </c>
      <c r="AP30" s="95">
        <f>'[1]FROP (Internal)'!AT33</f>
        <v>0</v>
      </c>
      <c r="AQ30" s="93">
        <f>'[1]FROP (Internal)'!AU33</f>
        <v>0</v>
      </c>
      <c r="AR30" s="93">
        <f>'[1]FROP (Internal)'!AV33</f>
        <v>0</v>
      </c>
      <c r="AS30" s="93">
        <f>'[1]FROP (Internal)'!AW33</f>
        <v>0</v>
      </c>
      <c r="AT30" s="93">
        <f>'[1]FROP (Internal)'!AX33</f>
        <v>0</v>
      </c>
      <c r="AU30" s="93">
        <f>'[1]FROP (Internal)'!AY33</f>
        <v>0</v>
      </c>
      <c r="AV30" s="93">
        <f>'[1]FROP (Internal)'!AZ33</f>
        <v>0</v>
      </c>
      <c r="AW30" s="93">
        <f>'[1]FROP (Internal)'!BA33</f>
        <v>0</v>
      </c>
      <c r="AX30" s="93">
        <f>'[1]FROP (Internal)'!BB33</f>
        <v>0</v>
      </c>
      <c r="AY30" s="93">
        <f>'[1]FROP (Internal)'!BC33</f>
        <v>0</v>
      </c>
      <c r="AZ30" s="93">
        <f>'[1]FROP (Internal)'!BD33</f>
        <v>0</v>
      </c>
      <c r="BA30" s="94">
        <f>'[1]FROP (Internal)'!BE33</f>
        <v>0</v>
      </c>
      <c r="BB30" s="95">
        <f>'[1]FROP (Internal)'!BF33</f>
        <v>0</v>
      </c>
      <c r="BC30" s="93">
        <f>'[1]FROP (Internal)'!BG33</f>
        <v>0</v>
      </c>
      <c r="BD30" s="93">
        <f>'[1]FROP (Internal)'!BH33</f>
        <v>0</v>
      </c>
      <c r="BE30" s="93">
        <f>'[1]FROP (Internal)'!BI33</f>
        <v>0</v>
      </c>
      <c r="BF30" s="93">
        <f>'[1]FROP (Internal)'!BJ33</f>
        <v>0</v>
      </c>
      <c r="BG30" s="93">
        <f>'[1]FROP (Internal)'!BK33</f>
        <v>0</v>
      </c>
      <c r="BH30" s="93">
        <f>'[1]FROP (Internal)'!BL33</f>
        <v>0</v>
      </c>
      <c r="BI30" s="93">
        <f>'[1]FROP (Internal)'!BM33</f>
        <v>0</v>
      </c>
      <c r="BJ30" s="93">
        <f>'[1]FROP (Internal)'!BN33</f>
        <v>0</v>
      </c>
      <c r="BK30" s="93">
        <f>'[1]FROP (Internal)'!BO33</f>
        <v>0</v>
      </c>
      <c r="BL30" s="93">
        <f>'[1]FROP (Internal)'!BP33</f>
        <v>0</v>
      </c>
      <c r="BM30" s="94">
        <f>'[1]FROP (Internal)'!BQ33</f>
        <v>0</v>
      </c>
      <c r="BN30" s="95">
        <f>'[1]FROP (Internal)'!BR33</f>
        <v>0</v>
      </c>
      <c r="BO30" s="93">
        <f>'[1]FROP (Internal)'!BS33</f>
        <v>0</v>
      </c>
      <c r="BP30" s="93">
        <f>'[1]FROP (Internal)'!BT33</f>
        <v>0</v>
      </c>
      <c r="BQ30" s="93">
        <f>'[1]FROP (Internal)'!BU33</f>
        <v>0</v>
      </c>
      <c r="BR30" s="93">
        <f>'[1]FROP (Internal)'!BV33</f>
        <v>0</v>
      </c>
      <c r="BS30" s="94">
        <f>'[1]FROP (Internal)'!BW33</f>
        <v>0</v>
      </c>
    </row>
    <row r="31" spans="1:71" ht="20.100000000000001" hidden="1" customHeight="1">
      <c r="A31" s="44" t="s">
        <v>1053</v>
      </c>
      <c r="B31" s="662"/>
      <c r="C31" s="5" t="s">
        <v>680</v>
      </c>
      <c r="D31" s="89" t="str">
        <f>IF(AND('[1]FROP (Internal)'!G34="x",'[1]FROP (Internal)'!F34="N/A"),"x","N/A")</f>
        <v>N/A</v>
      </c>
      <c r="E31" s="89" t="str">
        <f>'[1]FROP (Internal)'!I34</f>
        <v>N/A</v>
      </c>
      <c r="F31" s="89" t="str">
        <f>'[1]FROP (Internal)'!J34</f>
        <v>N/A</v>
      </c>
      <c r="G31" s="89" t="str">
        <f>'[1]FROP (Internal)'!K34</f>
        <v>N/A</v>
      </c>
      <c r="H31" s="89" t="str">
        <f>'[1]FROP (Internal)'!L34</f>
        <v>N/A</v>
      </c>
      <c r="I31" s="89" t="str">
        <f>'[1]FROP (Internal)'!M34</f>
        <v>N/A</v>
      </c>
      <c r="J31" s="44" t="str">
        <f>'[1]FROP (Internal)'!N34</f>
        <v>N/A</v>
      </c>
      <c r="K31" s="96" t="str">
        <f>'[1]FROP (Internal)'!O34</f>
        <v>N/A</v>
      </c>
      <c r="L31" s="96" t="str">
        <f>'[1]FROP (Internal)'!P34</f>
        <v>N/A</v>
      </c>
      <c r="M31" s="12"/>
      <c r="N31" s="12"/>
      <c r="O31" s="97"/>
      <c r="P31" s="34" t="str">
        <f>'[1]FROP (Internal)'!T34</f>
        <v>N/A</v>
      </c>
      <c r="Q31" s="91">
        <f>'[1]FROP (Internal)'!U34</f>
        <v>0</v>
      </c>
      <c r="R31" s="92">
        <f>'[1]FROP (Internal)'!V34</f>
        <v>0</v>
      </c>
      <c r="S31" s="93">
        <f>'[1]FROP (Internal)'!W34</f>
        <v>0</v>
      </c>
      <c r="T31" s="93">
        <f>'[1]FROP (Internal)'!X34</f>
        <v>0</v>
      </c>
      <c r="U31" s="93">
        <f>'[1]FROP (Internal)'!Y34</f>
        <v>0</v>
      </c>
      <c r="V31" s="93">
        <f>'[1]FROP (Internal)'!Z34</f>
        <v>0</v>
      </c>
      <c r="W31" s="93">
        <f>'[1]FROP (Internal)'!AA34</f>
        <v>0</v>
      </c>
      <c r="X31" s="93">
        <f>'[1]FROP (Internal)'!AB34</f>
        <v>0</v>
      </c>
      <c r="Y31" s="93">
        <f>'[1]FROP (Internal)'!AC34</f>
        <v>0</v>
      </c>
      <c r="Z31" s="93">
        <f>'[1]FROP (Internal)'!AD34</f>
        <v>0</v>
      </c>
      <c r="AA31" s="93">
        <f>'[1]FROP (Internal)'!AE34</f>
        <v>0</v>
      </c>
      <c r="AB31" s="93">
        <f>'[1]FROP (Internal)'!AF34</f>
        <v>0</v>
      </c>
      <c r="AC31" s="94">
        <f>'[1]FROP (Internal)'!AG34</f>
        <v>0</v>
      </c>
      <c r="AD31" s="95">
        <f>'[1]FROP (Internal)'!AH34</f>
        <v>0</v>
      </c>
      <c r="AE31" s="93">
        <f>'[1]FROP (Internal)'!AI34</f>
        <v>0</v>
      </c>
      <c r="AF31" s="93">
        <f>'[1]FROP (Internal)'!AJ34</f>
        <v>0</v>
      </c>
      <c r="AG31" s="93">
        <f>'[1]FROP (Internal)'!AK34</f>
        <v>0</v>
      </c>
      <c r="AH31" s="93">
        <f>'[1]FROP (Internal)'!AL34</f>
        <v>0</v>
      </c>
      <c r="AI31" s="93">
        <f>'[1]FROP (Internal)'!AM34</f>
        <v>0</v>
      </c>
      <c r="AJ31" s="93">
        <f>'[1]FROP (Internal)'!AN34</f>
        <v>0</v>
      </c>
      <c r="AK31" s="93">
        <f>'[1]FROP (Internal)'!AO34</f>
        <v>0</v>
      </c>
      <c r="AL31" s="93">
        <f>'[1]FROP (Internal)'!AP34</f>
        <v>0</v>
      </c>
      <c r="AM31" s="93">
        <f>'[1]FROP (Internal)'!AQ34</f>
        <v>0</v>
      </c>
      <c r="AN31" s="93">
        <f>'[1]FROP (Internal)'!AR34</f>
        <v>0</v>
      </c>
      <c r="AO31" s="94">
        <f>'[1]FROP (Internal)'!AS34</f>
        <v>0</v>
      </c>
      <c r="AP31" s="95">
        <f>'[1]FROP (Internal)'!AT34</f>
        <v>0</v>
      </c>
      <c r="AQ31" s="93">
        <f>'[1]FROP (Internal)'!AU34</f>
        <v>0</v>
      </c>
      <c r="AR31" s="93">
        <f>'[1]FROP (Internal)'!AV34</f>
        <v>0</v>
      </c>
      <c r="AS31" s="93">
        <f>'[1]FROP (Internal)'!AW34</f>
        <v>0</v>
      </c>
      <c r="AT31" s="93">
        <f>'[1]FROP (Internal)'!AX34</f>
        <v>0</v>
      </c>
      <c r="AU31" s="93">
        <f>'[1]FROP (Internal)'!AY34</f>
        <v>0</v>
      </c>
      <c r="AV31" s="93">
        <f>'[1]FROP (Internal)'!AZ34</f>
        <v>0</v>
      </c>
      <c r="AW31" s="93">
        <f>'[1]FROP (Internal)'!BA34</f>
        <v>0</v>
      </c>
      <c r="AX31" s="93">
        <f>'[1]FROP (Internal)'!BB34</f>
        <v>0</v>
      </c>
      <c r="AY31" s="93">
        <f>'[1]FROP (Internal)'!BC34</f>
        <v>0</v>
      </c>
      <c r="AZ31" s="93">
        <f>'[1]FROP (Internal)'!BD34</f>
        <v>0</v>
      </c>
      <c r="BA31" s="94">
        <f>'[1]FROP (Internal)'!BE34</f>
        <v>0</v>
      </c>
      <c r="BB31" s="95">
        <f>'[1]FROP (Internal)'!BF34</f>
        <v>0</v>
      </c>
      <c r="BC31" s="93">
        <f>'[1]FROP (Internal)'!BG34</f>
        <v>0</v>
      </c>
      <c r="BD31" s="93">
        <f>'[1]FROP (Internal)'!BH34</f>
        <v>0</v>
      </c>
      <c r="BE31" s="93">
        <f>'[1]FROP (Internal)'!BI34</f>
        <v>0</v>
      </c>
      <c r="BF31" s="93">
        <f>'[1]FROP (Internal)'!BJ34</f>
        <v>0</v>
      </c>
      <c r="BG31" s="93">
        <f>'[1]FROP (Internal)'!BK34</f>
        <v>0</v>
      </c>
      <c r="BH31" s="93">
        <f>'[1]FROP (Internal)'!BL34</f>
        <v>0</v>
      </c>
      <c r="BI31" s="93">
        <f>'[1]FROP (Internal)'!BM34</f>
        <v>0</v>
      </c>
      <c r="BJ31" s="93">
        <f>'[1]FROP (Internal)'!BN34</f>
        <v>0</v>
      </c>
      <c r="BK31" s="93">
        <f>'[1]FROP (Internal)'!BO34</f>
        <v>0</v>
      </c>
      <c r="BL31" s="93">
        <f>'[1]FROP (Internal)'!BP34</f>
        <v>0</v>
      </c>
      <c r="BM31" s="94">
        <f>'[1]FROP (Internal)'!BQ34</f>
        <v>0</v>
      </c>
      <c r="BN31" s="95">
        <f>'[1]FROP (Internal)'!BR34</f>
        <v>0</v>
      </c>
      <c r="BO31" s="93">
        <f>'[1]FROP (Internal)'!BS34</f>
        <v>0</v>
      </c>
      <c r="BP31" s="93">
        <f>'[1]FROP (Internal)'!BT34</f>
        <v>0</v>
      </c>
      <c r="BQ31" s="93">
        <f>'[1]FROP (Internal)'!BU34</f>
        <v>0</v>
      </c>
      <c r="BR31" s="93">
        <f>'[1]FROP (Internal)'!BV34</f>
        <v>0</v>
      </c>
      <c r="BS31" s="94">
        <f>'[1]FROP (Internal)'!BW34</f>
        <v>0</v>
      </c>
    </row>
    <row r="32" spans="1:71" ht="20.100000000000001" customHeight="1">
      <c r="A32" s="44" t="s">
        <v>1054</v>
      </c>
      <c r="B32" s="662"/>
      <c r="C32" s="5" t="s">
        <v>678</v>
      </c>
      <c r="D32" s="89" t="str">
        <f>IF(AND('[1]FROP (Internal)'!G35="x",'[1]FROP (Internal)'!F35="N/A"),"x","N/A")</f>
        <v>x</v>
      </c>
      <c r="E32" s="89" t="str">
        <f>'[1]FROP (Internal)'!I35</f>
        <v>x</v>
      </c>
      <c r="F32" s="89" t="str">
        <f>'[1]FROP (Internal)'!J35</f>
        <v>N/A</v>
      </c>
      <c r="G32" s="89" t="str">
        <f>'[1]FROP (Internal)'!K35</f>
        <v>N/A</v>
      </c>
      <c r="H32" s="89" t="str">
        <f>'[1]FROP (Internal)'!L35</f>
        <v>N/A</v>
      </c>
      <c r="I32" s="89" t="str">
        <f>'[1]FROP (Internal)'!M35</f>
        <v>N/A</v>
      </c>
      <c r="J32" s="44" t="str">
        <f>'[1]FROP (Internal)'!N35</f>
        <v>x</v>
      </c>
      <c r="K32" s="96" t="str">
        <f>'[1]FROP (Internal)'!O35</f>
        <v>N/A</v>
      </c>
      <c r="L32" s="96" t="str">
        <f>'[1]FROP (Internal)'!P35</f>
        <v>N/A</v>
      </c>
      <c r="M32" s="12"/>
      <c r="N32" s="12"/>
      <c r="O32" s="97"/>
      <c r="P32" s="131" t="str">
        <f>'[1]FROP (Internal)'!T35</f>
        <v>QM</v>
      </c>
      <c r="Q32" s="91">
        <f>'[1]FROP (Internal)'!U35</f>
        <v>0</v>
      </c>
      <c r="R32" s="92">
        <f>'[1]FROP (Internal)'!V35</f>
        <v>0</v>
      </c>
      <c r="S32" s="93">
        <f>'[1]FROP (Internal)'!W35</f>
        <v>0</v>
      </c>
      <c r="T32" s="93">
        <f>'[1]FROP (Internal)'!X35</f>
        <v>0</v>
      </c>
      <c r="U32" s="93">
        <f>'[1]FROP (Internal)'!Y35</f>
        <v>2</v>
      </c>
      <c r="V32" s="93">
        <f>'[1]FROP (Internal)'!Z35</f>
        <v>0</v>
      </c>
      <c r="W32" s="93">
        <f>'[1]FROP (Internal)'!AA35</f>
        <v>3</v>
      </c>
      <c r="X32" s="93">
        <f>'[1]FROP (Internal)'!AB35</f>
        <v>0</v>
      </c>
      <c r="Y32" s="93">
        <f>'[1]FROP (Internal)'!AC35</f>
        <v>0</v>
      </c>
      <c r="Z32" s="93">
        <f>'[1]FROP (Internal)'!AD35</f>
        <v>3</v>
      </c>
      <c r="AA32" s="93">
        <f>'[1]FROP (Internal)'!AE35</f>
        <v>0</v>
      </c>
      <c r="AB32" s="93">
        <f>'[1]FROP (Internal)'!AF35</f>
        <v>0</v>
      </c>
      <c r="AC32" s="94">
        <f>'[1]FROP (Internal)'!AG35</f>
        <v>3</v>
      </c>
      <c r="AD32" s="95">
        <f>'[1]FROP (Internal)'!AH35</f>
        <v>0</v>
      </c>
      <c r="AE32" s="93">
        <f>'[1]FROP (Internal)'!AI35</f>
        <v>0</v>
      </c>
      <c r="AF32" s="93">
        <f>'[1]FROP (Internal)'!AJ35</f>
        <v>3</v>
      </c>
      <c r="AG32" s="93">
        <f>'[1]FROP (Internal)'!AK35</f>
        <v>0</v>
      </c>
      <c r="AH32" s="93">
        <f>'[1]FROP (Internal)'!AL35</f>
        <v>4</v>
      </c>
      <c r="AI32" s="93">
        <f>'[1]FROP (Internal)'!AM35</f>
        <v>0</v>
      </c>
      <c r="AJ32" s="93">
        <f>'[1]FROP (Internal)'!AN35</f>
        <v>0</v>
      </c>
      <c r="AK32" s="93">
        <f>'[1]FROP (Internal)'!AO35</f>
        <v>4</v>
      </c>
      <c r="AL32" s="93">
        <f>'[1]FROP (Internal)'!AP35</f>
        <v>0</v>
      </c>
      <c r="AM32" s="93">
        <f>'[1]FROP (Internal)'!AQ35</f>
        <v>0</v>
      </c>
      <c r="AN32" s="93">
        <f>'[1]FROP (Internal)'!AR35</f>
        <v>4</v>
      </c>
      <c r="AO32" s="94">
        <f>'[1]FROP (Internal)'!AS35</f>
        <v>0</v>
      </c>
      <c r="AP32" s="95">
        <f>'[1]FROP (Internal)'!AT35</f>
        <v>0</v>
      </c>
      <c r="AQ32" s="93">
        <f>'[1]FROP (Internal)'!AU35</f>
        <v>4</v>
      </c>
      <c r="AR32" s="93">
        <f>'[1]FROP (Internal)'!AV35</f>
        <v>0</v>
      </c>
      <c r="AS32" s="93">
        <f>'[1]FROP (Internal)'!AW35</f>
        <v>5</v>
      </c>
      <c r="AT32" s="93">
        <f>'[1]FROP (Internal)'!AX35</f>
        <v>0</v>
      </c>
      <c r="AU32" s="93">
        <f>'[1]FROP (Internal)'!AY35</f>
        <v>0</v>
      </c>
      <c r="AV32" s="93">
        <f>'[1]FROP (Internal)'!AZ35</f>
        <v>5</v>
      </c>
      <c r="AW32" s="93">
        <f>'[1]FROP (Internal)'!BA35</f>
        <v>0</v>
      </c>
      <c r="AX32" s="93">
        <f>'[1]FROP (Internal)'!BB35</f>
        <v>0</v>
      </c>
      <c r="AY32" s="93">
        <f>'[1]FROP (Internal)'!BC35</f>
        <v>0</v>
      </c>
      <c r="AZ32" s="93">
        <f>'[1]FROP (Internal)'!BD35</f>
        <v>0</v>
      </c>
      <c r="BA32" s="94">
        <f>'[1]FROP (Internal)'!BE35</f>
        <v>0</v>
      </c>
      <c r="BB32" s="95">
        <f>'[1]FROP (Internal)'!BF35</f>
        <v>0</v>
      </c>
      <c r="BC32" s="93">
        <f>'[1]FROP (Internal)'!BG35</f>
        <v>0</v>
      </c>
      <c r="BD32" s="93">
        <f>'[1]FROP (Internal)'!BH35</f>
        <v>0</v>
      </c>
      <c r="BE32" s="93">
        <f>'[1]FROP (Internal)'!BI35</f>
        <v>0</v>
      </c>
      <c r="BF32" s="93">
        <f>'[1]FROP (Internal)'!BJ35</f>
        <v>0</v>
      </c>
      <c r="BG32" s="93">
        <f>'[1]FROP (Internal)'!BK35</f>
        <v>0</v>
      </c>
      <c r="BH32" s="93">
        <f>'[1]FROP (Internal)'!BL35</f>
        <v>0</v>
      </c>
      <c r="BI32" s="93">
        <f>'[1]FROP (Internal)'!BM35</f>
        <v>0</v>
      </c>
      <c r="BJ32" s="93">
        <f>'[1]FROP (Internal)'!BN35</f>
        <v>0</v>
      </c>
      <c r="BK32" s="93">
        <f>'[1]FROP (Internal)'!BO35</f>
        <v>0</v>
      </c>
      <c r="BL32" s="93">
        <f>'[1]FROP (Internal)'!BP35</f>
        <v>0</v>
      </c>
      <c r="BM32" s="94">
        <f>'[1]FROP (Internal)'!BQ35</f>
        <v>0</v>
      </c>
      <c r="BN32" s="95">
        <f>'[1]FROP (Internal)'!BR35</f>
        <v>0</v>
      </c>
      <c r="BO32" s="93">
        <f>'[1]FROP (Internal)'!BS35</f>
        <v>0</v>
      </c>
      <c r="BP32" s="93">
        <f>'[1]FROP (Internal)'!BT35</f>
        <v>0</v>
      </c>
      <c r="BQ32" s="93">
        <f>'[1]FROP (Internal)'!BU35</f>
        <v>0</v>
      </c>
      <c r="BR32" s="93">
        <f>'[1]FROP (Internal)'!BV35</f>
        <v>0</v>
      </c>
      <c r="BS32" s="94">
        <f>'[1]FROP (Internal)'!BW35</f>
        <v>0</v>
      </c>
    </row>
    <row r="33" spans="1:71" ht="20.100000000000001" hidden="1" customHeight="1">
      <c r="A33" s="44" t="s">
        <v>1056</v>
      </c>
      <c r="B33" s="16" t="s">
        <v>1057</v>
      </c>
      <c r="C33" s="5" t="s">
        <v>708</v>
      </c>
      <c r="D33" s="89" t="str">
        <f>IF(AND('[1]FROP (Internal)'!G36="x",'[1]FROP (Internal)'!F36="N/A"),"x","N/A")</f>
        <v>N/A</v>
      </c>
      <c r="E33" s="89" t="str">
        <f>'[1]FROP (Internal)'!I36</f>
        <v>N/A</v>
      </c>
      <c r="F33" s="89" t="str">
        <f>'[1]FROP (Internal)'!J36</f>
        <v>N/A</v>
      </c>
      <c r="G33" s="89" t="str">
        <f>'[1]FROP (Internal)'!K36</f>
        <v>N/A</v>
      </c>
      <c r="H33" s="89" t="str">
        <f>'[1]FROP (Internal)'!L36</f>
        <v>N/A</v>
      </c>
      <c r="I33" s="89" t="str">
        <f>'[1]FROP (Internal)'!M36</f>
        <v>N/A</v>
      </c>
      <c r="J33" s="44" t="str">
        <f>'[1]FROP (Internal)'!N36</f>
        <v>N/A</v>
      </c>
      <c r="K33" s="96" t="str">
        <f>'[1]FROP (Internal)'!O36</f>
        <v>N/A</v>
      </c>
      <c r="L33" s="96" t="str">
        <f>'[1]FROP (Internal)'!P36</f>
        <v>N/A</v>
      </c>
      <c r="M33" s="12"/>
      <c r="N33" s="12"/>
      <c r="O33" s="97"/>
      <c r="P33" s="34" t="str">
        <f>'[1]FROP (Internal)'!T36</f>
        <v>N/A</v>
      </c>
      <c r="Q33" s="91">
        <f>'[1]FROP (Internal)'!U36</f>
        <v>0</v>
      </c>
      <c r="R33" s="92">
        <f>'[1]FROP (Internal)'!V36</f>
        <v>0</v>
      </c>
      <c r="S33" s="93">
        <f>'[1]FROP (Internal)'!W36</f>
        <v>0</v>
      </c>
      <c r="T33" s="93">
        <f>'[1]FROP (Internal)'!X36</f>
        <v>0</v>
      </c>
      <c r="U33" s="93">
        <f>'[1]FROP (Internal)'!Y36</f>
        <v>0</v>
      </c>
      <c r="V33" s="93">
        <f>'[1]FROP (Internal)'!Z36</f>
        <v>0</v>
      </c>
      <c r="W33" s="93">
        <f>'[1]FROP (Internal)'!AA36</f>
        <v>0</v>
      </c>
      <c r="X33" s="93">
        <f>'[1]FROP (Internal)'!AB36</f>
        <v>0</v>
      </c>
      <c r="Y33" s="93">
        <f>'[1]FROP (Internal)'!AC36</f>
        <v>0</v>
      </c>
      <c r="Z33" s="93">
        <f>'[1]FROP (Internal)'!AD36</f>
        <v>0</v>
      </c>
      <c r="AA33" s="93">
        <f>'[1]FROP (Internal)'!AE36</f>
        <v>0</v>
      </c>
      <c r="AB33" s="93">
        <f>'[1]FROP (Internal)'!AF36</f>
        <v>0</v>
      </c>
      <c r="AC33" s="94">
        <f>'[1]FROP (Internal)'!AG36</f>
        <v>0</v>
      </c>
      <c r="AD33" s="95">
        <f>'[1]FROP (Internal)'!AH36</f>
        <v>0</v>
      </c>
      <c r="AE33" s="93">
        <f>'[1]FROP (Internal)'!AI36</f>
        <v>0</v>
      </c>
      <c r="AF33" s="93">
        <f>'[1]FROP (Internal)'!AJ36</f>
        <v>0</v>
      </c>
      <c r="AG33" s="93">
        <f>'[1]FROP (Internal)'!AK36</f>
        <v>0</v>
      </c>
      <c r="AH33" s="93">
        <f>'[1]FROP (Internal)'!AL36</f>
        <v>0</v>
      </c>
      <c r="AI33" s="93">
        <f>'[1]FROP (Internal)'!AM36</f>
        <v>0</v>
      </c>
      <c r="AJ33" s="93">
        <f>'[1]FROP (Internal)'!AN36</f>
        <v>0</v>
      </c>
      <c r="AK33" s="93">
        <f>'[1]FROP (Internal)'!AO36</f>
        <v>0</v>
      </c>
      <c r="AL33" s="93">
        <f>'[1]FROP (Internal)'!AP36</f>
        <v>0</v>
      </c>
      <c r="AM33" s="93">
        <f>'[1]FROP (Internal)'!AQ36</f>
        <v>0</v>
      </c>
      <c r="AN33" s="93">
        <f>'[1]FROP (Internal)'!AR36</f>
        <v>0</v>
      </c>
      <c r="AO33" s="94">
        <f>'[1]FROP (Internal)'!AS36</f>
        <v>0</v>
      </c>
      <c r="AP33" s="95">
        <f>'[1]FROP (Internal)'!AT36</f>
        <v>0</v>
      </c>
      <c r="AQ33" s="93">
        <f>'[1]FROP (Internal)'!AU36</f>
        <v>0</v>
      </c>
      <c r="AR33" s="93">
        <f>'[1]FROP (Internal)'!AV36</f>
        <v>0</v>
      </c>
      <c r="AS33" s="93">
        <f>'[1]FROP (Internal)'!AW36</f>
        <v>0</v>
      </c>
      <c r="AT33" s="93">
        <f>'[1]FROP (Internal)'!AX36</f>
        <v>0</v>
      </c>
      <c r="AU33" s="93">
        <f>'[1]FROP (Internal)'!AY36</f>
        <v>0</v>
      </c>
      <c r="AV33" s="93">
        <f>'[1]FROP (Internal)'!AZ36</f>
        <v>0</v>
      </c>
      <c r="AW33" s="93">
        <f>'[1]FROP (Internal)'!BA36</f>
        <v>0</v>
      </c>
      <c r="AX33" s="93">
        <f>'[1]FROP (Internal)'!BB36</f>
        <v>0</v>
      </c>
      <c r="AY33" s="93">
        <f>'[1]FROP (Internal)'!BC36</f>
        <v>0</v>
      </c>
      <c r="AZ33" s="93">
        <f>'[1]FROP (Internal)'!BD36</f>
        <v>0</v>
      </c>
      <c r="BA33" s="94">
        <f>'[1]FROP (Internal)'!BE36</f>
        <v>0</v>
      </c>
      <c r="BB33" s="95">
        <f>'[1]FROP (Internal)'!BF36</f>
        <v>0</v>
      </c>
      <c r="BC33" s="93">
        <f>'[1]FROP (Internal)'!BG36</f>
        <v>0</v>
      </c>
      <c r="BD33" s="93">
        <f>'[1]FROP (Internal)'!BH36</f>
        <v>0</v>
      </c>
      <c r="BE33" s="93">
        <f>'[1]FROP (Internal)'!BI36</f>
        <v>0</v>
      </c>
      <c r="BF33" s="93">
        <f>'[1]FROP (Internal)'!BJ36</f>
        <v>0</v>
      </c>
      <c r="BG33" s="93">
        <f>'[1]FROP (Internal)'!BK36</f>
        <v>0</v>
      </c>
      <c r="BH33" s="93">
        <f>'[1]FROP (Internal)'!BL36</f>
        <v>0</v>
      </c>
      <c r="BI33" s="93">
        <f>'[1]FROP (Internal)'!BM36</f>
        <v>0</v>
      </c>
      <c r="BJ33" s="93">
        <f>'[1]FROP (Internal)'!BN36</f>
        <v>0</v>
      </c>
      <c r="BK33" s="93">
        <f>'[1]FROP (Internal)'!BO36</f>
        <v>0</v>
      </c>
      <c r="BL33" s="93">
        <f>'[1]FROP (Internal)'!BP36</f>
        <v>0</v>
      </c>
      <c r="BM33" s="94">
        <f>'[1]FROP (Internal)'!BQ36</f>
        <v>0</v>
      </c>
      <c r="BN33" s="95">
        <f>'[1]FROP (Internal)'!BR36</f>
        <v>0</v>
      </c>
      <c r="BO33" s="93">
        <f>'[1]FROP (Internal)'!BS36</f>
        <v>0</v>
      </c>
      <c r="BP33" s="93">
        <f>'[1]FROP (Internal)'!BT36</f>
        <v>0</v>
      </c>
      <c r="BQ33" s="93">
        <f>'[1]FROP (Internal)'!BU36</f>
        <v>0</v>
      </c>
      <c r="BR33" s="93">
        <f>'[1]FROP (Internal)'!BV36</f>
        <v>0</v>
      </c>
      <c r="BS33" s="94">
        <f>'[1]FROP (Internal)'!BW36</f>
        <v>0</v>
      </c>
    </row>
    <row r="34" spans="1:71" ht="20.100000000000001" hidden="1" customHeight="1">
      <c r="A34" s="44" t="s">
        <v>1058</v>
      </c>
      <c r="B34" s="662" t="s">
        <v>1059</v>
      </c>
      <c r="C34" s="5" t="s">
        <v>1060</v>
      </c>
      <c r="D34" s="89" t="str">
        <f>IF(AND('[1]FROP (Internal)'!G37="x",'[1]FROP (Internal)'!F37="N/A"),"x","N/A")</f>
        <v>N/A</v>
      </c>
      <c r="E34" s="89" t="str">
        <f>'[1]FROP (Internal)'!I37</f>
        <v>N/A</v>
      </c>
      <c r="F34" s="89" t="str">
        <f>'[1]FROP (Internal)'!J37</f>
        <v>N/A</v>
      </c>
      <c r="G34" s="89" t="str">
        <f>'[1]FROP (Internal)'!K37</f>
        <v>N/A</v>
      </c>
      <c r="H34" s="89" t="str">
        <f>'[1]FROP (Internal)'!L37</f>
        <v>N/A</v>
      </c>
      <c r="I34" s="89" t="str">
        <f>'[1]FROP (Internal)'!M37</f>
        <v>N/A</v>
      </c>
      <c r="J34" s="44" t="str">
        <f>'[1]FROP (Internal)'!N37</f>
        <v>N/A</v>
      </c>
      <c r="K34" s="96" t="str">
        <f>'[1]FROP (Internal)'!O37</f>
        <v>N/A</v>
      </c>
      <c r="L34" s="96" t="str">
        <f>'[1]FROP (Internal)'!P37</f>
        <v>N/A</v>
      </c>
      <c r="M34" s="96" t="str">
        <f>'[1]FROP (Internal)'!Q37</f>
        <v>N/A</v>
      </c>
      <c r="N34" s="96" t="str">
        <f>'[1]FROP (Internal)'!R37</f>
        <v>N/A</v>
      </c>
      <c r="O34" s="99" t="str">
        <f>'[1]FROP (Internal)'!S37</f>
        <v>N/A</v>
      </c>
      <c r="P34" s="34" t="str">
        <f>'[1]FROP (Internal)'!T37</f>
        <v>N/A</v>
      </c>
      <c r="Q34" s="91">
        <f>'[1]FROP (Internal)'!U37</f>
        <v>0</v>
      </c>
      <c r="R34" s="92">
        <f>'[1]FROP (Internal)'!V37</f>
        <v>0</v>
      </c>
      <c r="S34" s="93">
        <f>'[1]FROP (Internal)'!W37</f>
        <v>0</v>
      </c>
      <c r="T34" s="93">
        <f>'[1]FROP (Internal)'!X37</f>
        <v>0</v>
      </c>
      <c r="U34" s="93">
        <f>'[1]FROP (Internal)'!Y37</f>
        <v>0</v>
      </c>
      <c r="V34" s="93">
        <f>'[1]FROP (Internal)'!Z37</f>
        <v>0</v>
      </c>
      <c r="W34" s="93">
        <f>'[1]FROP (Internal)'!AA37</f>
        <v>0</v>
      </c>
      <c r="X34" s="93">
        <f>'[1]FROP (Internal)'!AB37</f>
        <v>0</v>
      </c>
      <c r="Y34" s="93">
        <f>'[1]FROP (Internal)'!AC37</f>
        <v>0</v>
      </c>
      <c r="Z34" s="93">
        <f>'[1]FROP (Internal)'!AD37</f>
        <v>0</v>
      </c>
      <c r="AA34" s="93">
        <f>'[1]FROP (Internal)'!AE37</f>
        <v>0</v>
      </c>
      <c r="AB34" s="93">
        <f>'[1]FROP (Internal)'!AF37</f>
        <v>0</v>
      </c>
      <c r="AC34" s="94">
        <f>'[1]FROP (Internal)'!AG37</f>
        <v>0</v>
      </c>
      <c r="AD34" s="95">
        <f>'[1]FROP (Internal)'!AH37</f>
        <v>0</v>
      </c>
      <c r="AE34" s="93">
        <f>'[1]FROP (Internal)'!AI37</f>
        <v>0</v>
      </c>
      <c r="AF34" s="93">
        <f>'[1]FROP (Internal)'!AJ37</f>
        <v>0</v>
      </c>
      <c r="AG34" s="93">
        <f>'[1]FROP (Internal)'!AK37</f>
        <v>0</v>
      </c>
      <c r="AH34" s="93">
        <f>'[1]FROP (Internal)'!AL37</f>
        <v>0</v>
      </c>
      <c r="AI34" s="93">
        <f>'[1]FROP (Internal)'!AM37</f>
        <v>0</v>
      </c>
      <c r="AJ34" s="93">
        <f>'[1]FROP (Internal)'!AN37</f>
        <v>0</v>
      </c>
      <c r="AK34" s="93">
        <f>'[1]FROP (Internal)'!AO37</f>
        <v>0</v>
      </c>
      <c r="AL34" s="93">
        <f>'[1]FROP (Internal)'!AP37</f>
        <v>0</v>
      </c>
      <c r="AM34" s="93">
        <f>'[1]FROP (Internal)'!AQ37</f>
        <v>0</v>
      </c>
      <c r="AN34" s="93">
        <f>'[1]FROP (Internal)'!AR37</f>
        <v>0</v>
      </c>
      <c r="AO34" s="94">
        <f>'[1]FROP (Internal)'!AS37</f>
        <v>0</v>
      </c>
      <c r="AP34" s="95">
        <f>'[1]FROP (Internal)'!AT37</f>
        <v>0</v>
      </c>
      <c r="AQ34" s="93">
        <f>'[1]FROP (Internal)'!AU37</f>
        <v>0</v>
      </c>
      <c r="AR34" s="93">
        <f>'[1]FROP (Internal)'!AV37</f>
        <v>0</v>
      </c>
      <c r="AS34" s="93">
        <f>'[1]FROP (Internal)'!AW37</f>
        <v>0</v>
      </c>
      <c r="AT34" s="93">
        <f>'[1]FROP (Internal)'!AX37</f>
        <v>0</v>
      </c>
      <c r="AU34" s="93">
        <f>'[1]FROP (Internal)'!AY37</f>
        <v>0</v>
      </c>
      <c r="AV34" s="93">
        <f>'[1]FROP (Internal)'!AZ37</f>
        <v>0</v>
      </c>
      <c r="AW34" s="93">
        <f>'[1]FROP (Internal)'!BA37</f>
        <v>0</v>
      </c>
      <c r="AX34" s="93">
        <f>'[1]FROP (Internal)'!BB37</f>
        <v>0</v>
      </c>
      <c r="AY34" s="93">
        <f>'[1]FROP (Internal)'!BC37</f>
        <v>0</v>
      </c>
      <c r="AZ34" s="93">
        <f>'[1]FROP (Internal)'!BD37</f>
        <v>0</v>
      </c>
      <c r="BA34" s="94">
        <f>'[1]FROP (Internal)'!BE37</f>
        <v>0</v>
      </c>
      <c r="BB34" s="95">
        <f>'[1]FROP (Internal)'!BF37</f>
        <v>0</v>
      </c>
      <c r="BC34" s="93">
        <f>'[1]FROP (Internal)'!BG37</f>
        <v>0</v>
      </c>
      <c r="BD34" s="93">
        <f>'[1]FROP (Internal)'!BH37</f>
        <v>0</v>
      </c>
      <c r="BE34" s="93">
        <f>'[1]FROP (Internal)'!BI37</f>
        <v>0</v>
      </c>
      <c r="BF34" s="93">
        <f>'[1]FROP (Internal)'!BJ37</f>
        <v>0</v>
      </c>
      <c r="BG34" s="93">
        <f>'[1]FROP (Internal)'!BK37</f>
        <v>0</v>
      </c>
      <c r="BH34" s="93">
        <f>'[1]FROP (Internal)'!BL37</f>
        <v>0</v>
      </c>
      <c r="BI34" s="93">
        <f>'[1]FROP (Internal)'!BM37</f>
        <v>0</v>
      </c>
      <c r="BJ34" s="93">
        <f>'[1]FROP (Internal)'!BN37</f>
        <v>0</v>
      </c>
      <c r="BK34" s="93">
        <f>'[1]FROP (Internal)'!BO37</f>
        <v>0</v>
      </c>
      <c r="BL34" s="93">
        <f>'[1]FROP (Internal)'!BP37</f>
        <v>0</v>
      </c>
      <c r="BM34" s="94">
        <f>'[1]FROP (Internal)'!BQ37</f>
        <v>0</v>
      </c>
      <c r="BN34" s="95">
        <f>'[1]FROP (Internal)'!BR37</f>
        <v>0</v>
      </c>
      <c r="BO34" s="93">
        <f>'[1]FROP (Internal)'!BS37</f>
        <v>0</v>
      </c>
      <c r="BP34" s="93">
        <f>'[1]FROP (Internal)'!BT37</f>
        <v>0</v>
      </c>
      <c r="BQ34" s="93">
        <f>'[1]FROP (Internal)'!BU37</f>
        <v>0</v>
      </c>
      <c r="BR34" s="93">
        <f>'[1]FROP (Internal)'!BV37</f>
        <v>0</v>
      </c>
      <c r="BS34" s="94">
        <f>'[1]FROP (Internal)'!BW37</f>
        <v>0</v>
      </c>
    </row>
    <row r="35" spans="1:71" ht="20.100000000000001" hidden="1" customHeight="1">
      <c r="A35" s="44" t="s">
        <v>1061</v>
      </c>
      <c r="B35" s="662"/>
      <c r="C35" s="5" t="s">
        <v>732</v>
      </c>
      <c r="D35" s="89" t="str">
        <f>IF(AND('[1]FROP (Internal)'!G38="x",'[1]FROP (Internal)'!F38="N/A"),"x","N/A")</f>
        <v>N/A</v>
      </c>
      <c r="E35" s="89" t="str">
        <f>'[1]FROP (Internal)'!I38</f>
        <v>N/A</v>
      </c>
      <c r="F35" s="89" t="str">
        <f>'[1]FROP (Internal)'!J38</f>
        <v>N/A</v>
      </c>
      <c r="G35" s="89" t="str">
        <f>'[1]FROP (Internal)'!K38</f>
        <v>N/A</v>
      </c>
      <c r="H35" s="89" t="str">
        <f>'[1]FROP (Internal)'!L38</f>
        <v>N/A</v>
      </c>
      <c r="I35" s="89" t="str">
        <f>'[1]FROP (Internal)'!M38</f>
        <v>N/A</v>
      </c>
      <c r="J35" s="44" t="str">
        <f>'[1]FROP (Internal)'!N38</f>
        <v>N/A</v>
      </c>
      <c r="K35" s="96" t="str">
        <f>'[1]FROP (Internal)'!O38</f>
        <v>N/A</v>
      </c>
      <c r="L35" s="96" t="str">
        <f>'[1]FROP (Internal)'!P38</f>
        <v>N/A</v>
      </c>
      <c r="M35" s="12"/>
      <c r="N35" s="12"/>
      <c r="O35" s="97"/>
      <c r="P35" s="34" t="str">
        <f>'[1]FROP (Internal)'!T38</f>
        <v>N/A</v>
      </c>
      <c r="Q35" s="91">
        <f>'[1]FROP (Internal)'!U38</f>
        <v>0</v>
      </c>
      <c r="R35" s="92">
        <f>'[1]FROP (Internal)'!V38</f>
        <v>0</v>
      </c>
      <c r="S35" s="93">
        <f>'[1]FROP (Internal)'!W38</f>
        <v>0</v>
      </c>
      <c r="T35" s="93">
        <f>'[1]FROP (Internal)'!X38</f>
        <v>0</v>
      </c>
      <c r="U35" s="93">
        <f>'[1]FROP (Internal)'!Y38</f>
        <v>0</v>
      </c>
      <c r="V35" s="93">
        <f>'[1]FROP (Internal)'!Z38</f>
        <v>0</v>
      </c>
      <c r="W35" s="93">
        <f>'[1]FROP (Internal)'!AA38</f>
        <v>0</v>
      </c>
      <c r="X35" s="93">
        <f>'[1]FROP (Internal)'!AB38</f>
        <v>0</v>
      </c>
      <c r="Y35" s="93">
        <f>'[1]FROP (Internal)'!AC38</f>
        <v>0</v>
      </c>
      <c r="Z35" s="93">
        <f>'[1]FROP (Internal)'!AD38</f>
        <v>0</v>
      </c>
      <c r="AA35" s="93">
        <f>'[1]FROP (Internal)'!AE38</f>
        <v>0</v>
      </c>
      <c r="AB35" s="93">
        <f>'[1]FROP (Internal)'!AF38</f>
        <v>0</v>
      </c>
      <c r="AC35" s="94">
        <f>'[1]FROP (Internal)'!AG38</f>
        <v>0</v>
      </c>
      <c r="AD35" s="95">
        <f>'[1]FROP (Internal)'!AH38</f>
        <v>0</v>
      </c>
      <c r="AE35" s="93">
        <f>'[1]FROP (Internal)'!AI38</f>
        <v>0</v>
      </c>
      <c r="AF35" s="93">
        <f>'[1]FROP (Internal)'!AJ38</f>
        <v>0</v>
      </c>
      <c r="AG35" s="93">
        <f>'[1]FROP (Internal)'!AK38</f>
        <v>0</v>
      </c>
      <c r="AH35" s="93">
        <f>'[1]FROP (Internal)'!AL38</f>
        <v>0</v>
      </c>
      <c r="AI35" s="93">
        <f>'[1]FROP (Internal)'!AM38</f>
        <v>0</v>
      </c>
      <c r="AJ35" s="93">
        <f>'[1]FROP (Internal)'!AN38</f>
        <v>0</v>
      </c>
      <c r="AK35" s="93">
        <f>'[1]FROP (Internal)'!AO38</f>
        <v>0</v>
      </c>
      <c r="AL35" s="93">
        <f>'[1]FROP (Internal)'!AP38</f>
        <v>0</v>
      </c>
      <c r="AM35" s="93">
        <f>'[1]FROP (Internal)'!AQ38</f>
        <v>0</v>
      </c>
      <c r="AN35" s="93">
        <f>'[1]FROP (Internal)'!AR38</f>
        <v>0</v>
      </c>
      <c r="AO35" s="94">
        <f>'[1]FROP (Internal)'!AS38</f>
        <v>0</v>
      </c>
      <c r="AP35" s="95">
        <f>'[1]FROP (Internal)'!AT38</f>
        <v>0</v>
      </c>
      <c r="AQ35" s="93">
        <f>'[1]FROP (Internal)'!AU38</f>
        <v>0</v>
      </c>
      <c r="AR35" s="93">
        <f>'[1]FROP (Internal)'!AV38</f>
        <v>0</v>
      </c>
      <c r="AS35" s="93">
        <f>'[1]FROP (Internal)'!AW38</f>
        <v>0</v>
      </c>
      <c r="AT35" s="93">
        <f>'[1]FROP (Internal)'!AX38</f>
        <v>0</v>
      </c>
      <c r="AU35" s="93">
        <f>'[1]FROP (Internal)'!AY38</f>
        <v>0</v>
      </c>
      <c r="AV35" s="93">
        <f>'[1]FROP (Internal)'!AZ38</f>
        <v>0</v>
      </c>
      <c r="AW35" s="93">
        <f>'[1]FROP (Internal)'!BA38</f>
        <v>0</v>
      </c>
      <c r="AX35" s="93">
        <f>'[1]FROP (Internal)'!BB38</f>
        <v>0</v>
      </c>
      <c r="AY35" s="93">
        <f>'[1]FROP (Internal)'!BC38</f>
        <v>0</v>
      </c>
      <c r="AZ35" s="93">
        <f>'[1]FROP (Internal)'!BD38</f>
        <v>0</v>
      </c>
      <c r="BA35" s="94">
        <f>'[1]FROP (Internal)'!BE38</f>
        <v>0</v>
      </c>
      <c r="BB35" s="95">
        <f>'[1]FROP (Internal)'!BF38</f>
        <v>0</v>
      </c>
      <c r="BC35" s="93">
        <f>'[1]FROP (Internal)'!BG38</f>
        <v>0</v>
      </c>
      <c r="BD35" s="93">
        <f>'[1]FROP (Internal)'!BH38</f>
        <v>0</v>
      </c>
      <c r="BE35" s="93">
        <f>'[1]FROP (Internal)'!BI38</f>
        <v>0</v>
      </c>
      <c r="BF35" s="93">
        <f>'[1]FROP (Internal)'!BJ38</f>
        <v>0</v>
      </c>
      <c r="BG35" s="93">
        <f>'[1]FROP (Internal)'!BK38</f>
        <v>0</v>
      </c>
      <c r="BH35" s="93">
        <f>'[1]FROP (Internal)'!BL38</f>
        <v>0</v>
      </c>
      <c r="BI35" s="93">
        <f>'[1]FROP (Internal)'!BM38</f>
        <v>0</v>
      </c>
      <c r="BJ35" s="93">
        <f>'[1]FROP (Internal)'!BN38</f>
        <v>0</v>
      </c>
      <c r="BK35" s="93">
        <f>'[1]FROP (Internal)'!BO38</f>
        <v>0</v>
      </c>
      <c r="BL35" s="93">
        <f>'[1]FROP (Internal)'!BP38</f>
        <v>0</v>
      </c>
      <c r="BM35" s="94">
        <f>'[1]FROP (Internal)'!BQ38</f>
        <v>0</v>
      </c>
      <c r="BN35" s="95">
        <f>'[1]FROP (Internal)'!BR38</f>
        <v>0</v>
      </c>
      <c r="BO35" s="93">
        <f>'[1]FROP (Internal)'!BS38</f>
        <v>0</v>
      </c>
      <c r="BP35" s="93">
        <f>'[1]FROP (Internal)'!BT38</f>
        <v>0</v>
      </c>
      <c r="BQ35" s="93">
        <f>'[1]FROP (Internal)'!BU38</f>
        <v>0</v>
      </c>
      <c r="BR35" s="93">
        <f>'[1]FROP (Internal)'!BV38</f>
        <v>0</v>
      </c>
      <c r="BS35" s="94">
        <f>'[1]FROP (Internal)'!BW38</f>
        <v>0</v>
      </c>
    </row>
    <row r="36" spans="1:71" ht="20.100000000000001" hidden="1" customHeight="1">
      <c r="A36" s="44" t="s">
        <v>1062</v>
      </c>
      <c r="B36" s="662"/>
      <c r="C36" s="5" t="s">
        <v>748</v>
      </c>
      <c r="D36" s="89" t="str">
        <f>IF(AND('[1]FROP (Internal)'!G39="x",'[1]FROP (Internal)'!F39="N/A"),"x","N/A")</f>
        <v>N/A</v>
      </c>
      <c r="E36" s="89" t="str">
        <f>'[1]FROP (Internal)'!I39</f>
        <v>N/A</v>
      </c>
      <c r="F36" s="89" t="str">
        <f>'[1]FROP (Internal)'!J39</f>
        <v>N/A</v>
      </c>
      <c r="G36" s="89" t="str">
        <f>'[1]FROP (Internal)'!K39</f>
        <v>N/A</v>
      </c>
      <c r="H36" s="89" t="str">
        <f>'[1]FROP (Internal)'!L39</f>
        <v>N/A</v>
      </c>
      <c r="I36" s="89" t="str">
        <f>'[1]FROP (Internal)'!M39</f>
        <v>N/A</v>
      </c>
      <c r="J36" s="44" t="str">
        <f>'[1]FROP (Internal)'!N39</f>
        <v>N/A</v>
      </c>
      <c r="K36" s="96" t="str">
        <f>'[1]FROP (Internal)'!O39</f>
        <v>N/A</v>
      </c>
      <c r="L36" s="96" t="str">
        <f>'[1]FROP (Internal)'!P39</f>
        <v>N/A</v>
      </c>
      <c r="M36" s="12"/>
      <c r="N36" s="12"/>
      <c r="O36" s="97"/>
      <c r="P36" s="34" t="str">
        <f>'[1]FROP (Internal)'!T39</f>
        <v>N/A</v>
      </c>
      <c r="Q36" s="91">
        <f>'[1]FROP (Internal)'!U39</f>
        <v>0</v>
      </c>
      <c r="R36" s="92">
        <f>'[1]FROP (Internal)'!V39</f>
        <v>0</v>
      </c>
      <c r="S36" s="93">
        <f>'[1]FROP (Internal)'!W39</f>
        <v>0</v>
      </c>
      <c r="T36" s="93">
        <f>'[1]FROP (Internal)'!X39</f>
        <v>0</v>
      </c>
      <c r="U36" s="93">
        <f>'[1]FROP (Internal)'!Y39</f>
        <v>0</v>
      </c>
      <c r="V36" s="93">
        <f>'[1]FROP (Internal)'!Z39</f>
        <v>0</v>
      </c>
      <c r="W36" s="93">
        <f>'[1]FROP (Internal)'!AA39</f>
        <v>0</v>
      </c>
      <c r="X36" s="93">
        <f>'[1]FROP (Internal)'!AB39</f>
        <v>0</v>
      </c>
      <c r="Y36" s="93">
        <f>'[1]FROP (Internal)'!AC39</f>
        <v>0</v>
      </c>
      <c r="Z36" s="93">
        <f>'[1]FROP (Internal)'!AD39</f>
        <v>0</v>
      </c>
      <c r="AA36" s="93">
        <f>'[1]FROP (Internal)'!AE39</f>
        <v>0</v>
      </c>
      <c r="AB36" s="93">
        <f>'[1]FROP (Internal)'!AF39</f>
        <v>0</v>
      </c>
      <c r="AC36" s="94">
        <f>'[1]FROP (Internal)'!AG39</f>
        <v>0</v>
      </c>
      <c r="AD36" s="95">
        <f>'[1]FROP (Internal)'!AH39</f>
        <v>0</v>
      </c>
      <c r="AE36" s="93">
        <f>'[1]FROP (Internal)'!AI39</f>
        <v>0</v>
      </c>
      <c r="AF36" s="93">
        <f>'[1]FROP (Internal)'!AJ39</f>
        <v>0</v>
      </c>
      <c r="AG36" s="93">
        <f>'[1]FROP (Internal)'!AK39</f>
        <v>0</v>
      </c>
      <c r="AH36" s="93">
        <f>'[1]FROP (Internal)'!AL39</f>
        <v>0</v>
      </c>
      <c r="AI36" s="93">
        <f>'[1]FROP (Internal)'!AM39</f>
        <v>0</v>
      </c>
      <c r="AJ36" s="93">
        <f>'[1]FROP (Internal)'!AN39</f>
        <v>0</v>
      </c>
      <c r="AK36" s="93">
        <f>'[1]FROP (Internal)'!AO39</f>
        <v>0</v>
      </c>
      <c r="AL36" s="93">
        <f>'[1]FROP (Internal)'!AP39</f>
        <v>0</v>
      </c>
      <c r="AM36" s="93">
        <f>'[1]FROP (Internal)'!AQ39</f>
        <v>0</v>
      </c>
      <c r="AN36" s="93">
        <f>'[1]FROP (Internal)'!AR39</f>
        <v>0</v>
      </c>
      <c r="AO36" s="94">
        <f>'[1]FROP (Internal)'!AS39</f>
        <v>0</v>
      </c>
      <c r="AP36" s="95">
        <f>'[1]FROP (Internal)'!AT39</f>
        <v>0</v>
      </c>
      <c r="AQ36" s="93">
        <f>'[1]FROP (Internal)'!AU39</f>
        <v>0</v>
      </c>
      <c r="AR36" s="93">
        <f>'[1]FROP (Internal)'!AV39</f>
        <v>0</v>
      </c>
      <c r="AS36" s="93">
        <f>'[1]FROP (Internal)'!AW39</f>
        <v>0</v>
      </c>
      <c r="AT36" s="93">
        <f>'[1]FROP (Internal)'!AX39</f>
        <v>0</v>
      </c>
      <c r="AU36" s="93">
        <f>'[1]FROP (Internal)'!AY39</f>
        <v>0</v>
      </c>
      <c r="AV36" s="93">
        <f>'[1]FROP (Internal)'!AZ39</f>
        <v>0</v>
      </c>
      <c r="AW36" s="93">
        <f>'[1]FROP (Internal)'!BA39</f>
        <v>0</v>
      </c>
      <c r="AX36" s="93">
        <f>'[1]FROP (Internal)'!BB39</f>
        <v>0</v>
      </c>
      <c r="AY36" s="93">
        <f>'[1]FROP (Internal)'!BC39</f>
        <v>0</v>
      </c>
      <c r="AZ36" s="93">
        <f>'[1]FROP (Internal)'!BD39</f>
        <v>0</v>
      </c>
      <c r="BA36" s="94">
        <f>'[1]FROP (Internal)'!BE39</f>
        <v>0</v>
      </c>
      <c r="BB36" s="95">
        <f>'[1]FROP (Internal)'!BF39</f>
        <v>0</v>
      </c>
      <c r="BC36" s="93">
        <f>'[1]FROP (Internal)'!BG39</f>
        <v>0</v>
      </c>
      <c r="BD36" s="93">
        <f>'[1]FROP (Internal)'!BH39</f>
        <v>0</v>
      </c>
      <c r="BE36" s="93">
        <f>'[1]FROP (Internal)'!BI39</f>
        <v>0</v>
      </c>
      <c r="BF36" s="93">
        <f>'[1]FROP (Internal)'!BJ39</f>
        <v>0</v>
      </c>
      <c r="BG36" s="93">
        <f>'[1]FROP (Internal)'!BK39</f>
        <v>0</v>
      </c>
      <c r="BH36" s="93">
        <f>'[1]FROP (Internal)'!BL39</f>
        <v>0</v>
      </c>
      <c r="BI36" s="93">
        <f>'[1]FROP (Internal)'!BM39</f>
        <v>0</v>
      </c>
      <c r="BJ36" s="93">
        <f>'[1]FROP (Internal)'!BN39</f>
        <v>0</v>
      </c>
      <c r="BK36" s="93">
        <f>'[1]FROP (Internal)'!BO39</f>
        <v>0</v>
      </c>
      <c r="BL36" s="93">
        <f>'[1]FROP (Internal)'!BP39</f>
        <v>0</v>
      </c>
      <c r="BM36" s="94">
        <f>'[1]FROP (Internal)'!BQ39</f>
        <v>0</v>
      </c>
      <c r="BN36" s="95">
        <f>'[1]FROP (Internal)'!BR39</f>
        <v>0</v>
      </c>
      <c r="BO36" s="93">
        <f>'[1]FROP (Internal)'!BS39</f>
        <v>0</v>
      </c>
      <c r="BP36" s="93">
        <f>'[1]FROP (Internal)'!BT39</f>
        <v>0</v>
      </c>
      <c r="BQ36" s="93">
        <f>'[1]FROP (Internal)'!BU39</f>
        <v>0</v>
      </c>
      <c r="BR36" s="93">
        <f>'[1]FROP (Internal)'!BV39</f>
        <v>0</v>
      </c>
      <c r="BS36" s="94">
        <f>'[1]FROP (Internal)'!BW39</f>
        <v>0</v>
      </c>
    </row>
    <row r="37" spans="1:71" ht="20.100000000000001" hidden="1" customHeight="1">
      <c r="A37" s="44" t="s">
        <v>1318</v>
      </c>
      <c r="B37" s="662"/>
      <c r="C37" s="5" t="s">
        <v>1302</v>
      </c>
      <c r="D37" s="89" t="str">
        <f>IF(AND('[1]FROP (Internal)'!G40="x",'[1]FROP (Internal)'!F40="N/A"),"x","N/A")</f>
        <v>N/A</v>
      </c>
      <c r="E37" s="89" t="str">
        <f>'[1]FROP (Internal)'!I40</f>
        <v>N/A</v>
      </c>
      <c r="F37" s="89" t="str">
        <f>'[1]FROP (Internal)'!J40</f>
        <v>N/A</v>
      </c>
      <c r="G37" s="89" t="str">
        <f>'[1]FROP (Internal)'!K40</f>
        <v>N/A</v>
      </c>
      <c r="H37" s="89" t="str">
        <f>'[1]FROP (Internal)'!L40</f>
        <v>N/A</v>
      </c>
      <c r="I37" s="89" t="str">
        <f>'[1]FROP (Internal)'!M40</f>
        <v>N/A</v>
      </c>
      <c r="J37" s="44" t="str">
        <f>'[1]FROP (Internal)'!N40</f>
        <v>N/A</v>
      </c>
      <c r="K37" s="96" t="str">
        <f>'[1]FROP (Internal)'!O40</f>
        <v>N/A</v>
      </c>
      <c r="L37" s="96" t="str">
        <f>'[1]FROP (Internal)'!P40</f>
        <v>N/A</v>
      </c>
      <c r="M37" s="12"/>
      <c r="N37" s="12"/>
      <c r="O37" s="97"/>
      <c r="P37" s="34" t="str">
        <f>'[1]FROP (Internal)'!T40</f>
        <v>N/A</v>
      </c>
      <c r="Q37" s="91">
        <f>'[1]FROP (Internal)'!U40</f>
        <v>0</v>
      </c>
      <c r="R37" s="92">
        <f>'[1]FROP (Internal)'!V40</f>
        <v>0</v>
      </c>
      <c r="S37" s="93">
        <f>'[1]FROP (Internal)'!W40</f>
        <v>0</v>
      </c>
      <c r="T37" s="93">
        <f>'[1]FROP (Internal)'!X40</f>
        <v>0</v>
      </c>
      <c r="U37" s="93">
        <f>'[1]FROP (Internal)'!Y40</f>
        <v>0</v>
      </c>
      <c r="V37" s="93">
        <f>'[1]FROP (Internal)'!Z40</f>
        <v>0</v>
      </c>
      <c r="W37" s="93">
        <f>'[1]FROP (Internal)'!AA40</f>
        <v>0</v>
      </c>
      <c r="X37" s="93">
        <f>'[1]FROP (Internal)'!AB40</f>
        <v>0</v>
      </c>
      <c r="Y37" s="93">
        <f>'[1]FROP (Internal)'!AC40</f>
        <v>0</v>
      </c>
      <c r="Z37" s="93">
        <f>'[1]FROP (Internal)'!AD40</f>
        <v>0</v>
      </c>
      <c r="AA37" s="93">
        <f>'[1]FROP (Internal)'!AE40</f>
        <v>0</v>
      </c>
      <c r="AB37" s="93">
        <f>'[1]FROP (Internal)'!AF40</f>
        <v>0</v>
      </c>
      <c r="AC37" s="94">
        <f>'[1]FROP (Internal)'!AG40</f>
        <v>0</v>
      </c>
      <c r="AD37" s="95">
        <f>'[1]FROP (Internal)'!AH40</f>
        <v>0</v>
      </c>
      <c r="AE37" s="93">
        <f>'[1]FROP (Internal)'!AI40</f>
        <v>0</v>
      </c>
      <c r="AF37" s="93">
        <f>'[1]FROP (Internal)'!AJ40</f>
        <v>0</v>
      </c>
      <c r="AG37" s="93">
        <f>'[1]FROP (Internal)'!AK40</f>
        <v>0</v>
      </c>
      <c r="AH37" s="93">
        <f>'[1]FROP (Internal)'!AL40</f>
        <v>0</v>
      </c>
      <c r="AI37" s="93">
        <f>'[1]FROP (Internal)'!AM40</f>
        <v>0</v>
      </c>
      <c r="AJ37" s="93">
        <f>'[1]FROP (Internal)'!AN40</f>
        <v>0</v>
      </c>
      <c r="AK37" s="93">
        <f>'[1]FROP (Internal)'!AO40</f>
        <v>0</v>
      </c>
      <c r="AL37" s="93">
        <f>'[1]FROP (Internal)'!AP40</f>
        <v>0</v>
      </c>
      <c r="AM37" s="93">
        <f>'[1]FROP (Internal)'!AQ40</f>
        <v>0</v>
      </c>
      <c r="AN37" s="93">
        <f>'[1]FROP (Internal)'!AR40</f>
        <v>0</v>
      </c>
      <c r="AO37" s="94">
        <f>'[1]FROP (Internal)'!AS40</f>
        <v>0</v>
      </c>
      <c r="AP37" s="95">
        <f>'[1]FROP (Internal)'!AT40</f>
        <v>0</v>
      </c>
      <c r="AQ37" s="93">
        <f>'[1]FROP (Internal)'!AU40</f>
        <v>0</v>
      </c>
      <c r="AR37" s="93">
        <f>'[1]FROP (Internal)'!AV40</f>
        <v>0</v>
      </c>
      <c r="AS37" s="93">
        <f>'[1]FROP (Internal)'!AW40</f>
        <v>0</v>
      </c>
      <c r="AT37" s="93">
        <f>'[1]FROP (Internal)'!AX40</f>
        <v>0</v>
      </c>
      <c r="AU37" s="93">
        <f>'[1]FROP (Internal)'!AY40</f>
        <v>0</v>
      </c>
      <c r="AV37" s="93">
        <f>'[1]FROP (Internal)'!AZ40</f>
        <v>0</v>
      </c>
      <c r="AW37" s="93">
        <f>'[1]FROP (Internal)'!BA40</f>
        <v>0</v>
      </c>
      <c r="AX37" s="93">
        <f>'[1]FROP (Internal)'!BB40</f>
        <v>0</v>
      </c>
      <c r="AY37" s="93">
        <f>'[1]FROP (Internal)'!BC40</f>
        <v>0</v>
      </c>
      <c r="AZ37" s="93">
        <f>'[1]FROP (Internal)'!BD40</f>
        <v>0</v>
      </c>
      <c r="BA37" s="94">
        <f>'[1]FROP (Internal)'!BE40</f>
        <v>0</v>
      </c>
      <c r="BB37" s="95">
        <f>'[1]FROP (Internal)'!BF40</f>
        <v>0</v>
      </c>
      <c r="BC37" s="93">
        <f>'[1]FROP (Internal)'!BG40</f>
        <v>0</v>
      </c>
      <c r="BD37" s="93">
        <f>'[1]FROP (Internal)'!BH40</f>
        <v>0</v>
      </c>
      <c r="BE37" s="93">
        <f>'[1]FROP (Internal)'!BI40</f>
        <v>0</v>
      </c>
      <c r="BF37" s="93">
        <f>'[1]FROP (Internal)'!BJ40</f>
        <v>0</v>
      </c>
      <c r="BG37" s="93">
        <f>'[1]FROP (Internal)'!BK40</f>
        <v>0</v>
      </c>
      <c r="BH37" s="93">
        <f>'[1]FROP (Internal)'!BL40</f>
        <v>0</v>
      </c>
      <c r="BI37" s="93">
        <f>'[1]FROP (Internal)'!BM40</f>
        <v>0</v>
      </c>
      <c r="BJ37" s="93">
        <f>'[1]FROP (Internal)'!BN40</f>
        <v>0</v>
      </c>
      <c r="BK37" s="93">
        <f>'[1]FROP (Internal)'!BO40</f>
        <v>0</v>
      </c>
      <c r="BL37" s="93">
        <f>'[1]FROP (Internal)'!BP40</f>
        <v>0</v>
      </c>
      <c r="BM37" s="94">
        <f>'[1]FROP (Internal)'!BQ40</f>
        <v>0</v>
      </c>
      <c r="BN37" s="95">
        <f>'[1]FROP (Internal)'!BR40</f>
        <v>0</v>
      </c>
      <c r="BO37" s="93">
        <f>'[1]FROP (Internal)'!BS40</f>
        <v>0</v>
      </c>
      <c r="BP37" s="93">
        <f>'[1]FROP (Internal)'!BT40</f>
        <v>0</v>
      </c>
      <c r="BQ37" s="93">
        <f>'[1]FROP (Internal)'!BU40</f>
        <v>0</v>
      </c>
      <c r="BR37" s="93">
        <f>'[1]FROP (Internal)'!BV40</f>
        <v>0</v>
      </c>
      <c r="BS37" s="94">
        <f>'[1]FROP (Internal)'!BW40</f>
        <v>0</v>
      </c>
    </row>
    <row r="38" spans="1:71" ht="20.100000000000001" hidden="1" customHeight="1">
      <c r="A38" s="44" t="s">
        <v>1065</v>
      </c>
      <c r="B38" s="662"/>
      <c r="C38" s="5" t="s">
        <v>734</v>
      </c>
      <c r="D38" s="89" t="str">
        <f>IF(AND('[1]FROP (Internal)'!G41="x",'[1]FROP (Internal)'!F41="N/A"),"x","N/A")</f>
        <v>N/A</v>
      </c>
      <c r="E38" s="89" t="str">
        <f>'[1]FROP (Internal)'!I41</f>
        <v>N/A</v>
      </c>
      <c r="F38" s="89" t="str">
        <f>'[1]FROP (Internal)'!J41</f>
        <v>N/A</v>
      </c>
      <c r="G38" s="89" t="str">
        <f>'[1]FROP (Internal)'!K41</f>
        <v>N/A</v>
      </c>
      <c r="H38" s="89" t="str">
        <f>'[1]FROP (Internal)'!L41</f>
        <v>N/A</v>
      </c>
      <c r="I38" s="89" t="str">
        <f>'[1]FROP (Internal)'!M41</f>
        <v>N/A</v>
      </c>
      <c r="J38" s="44" t="str">
        <f>'[1]FROP (Internal)'!N41</f>
        <v>N/A</v>
      </c>
      <c r="K38" s="96" t="str">
        <f>'[1]FROP (Internal)'!O41</f>
        <v>N/A</v>
      </c>
      <c r="L38" s="96" t="str">
        <f>'[1]FROP (Internal)'!P41</f>
        <v>N/A</v>
      </c>
      <c r="M38" s="12"/>
      <c r="N38" s="12"/>
      <c r="O38" s="97"/>
      <c r="P38" s="34" t="str">
        <f>'[1]FROP (Internal)'!T41</f>
        <v>N/A</v>
      </c>
      <c r="Q38" s="91">
        <f>'[1]FROP (Internal)'!U41</f>
        <v>0</v>
      </c>
      <c r="R38" s="92">
        <f>'[1]FROP (Internal)'!V41</f>
        <v>0</v>
      </c>
      <c r="S38" s="93">
        <f>'[1]FROP (Internal)'!W41</f>
        <v>0</v>
      </c>
      <c r="T38" s="93">
        <f>'[1]FROP (Internal)'!X41</f>
        <v>0</v>
      </c>
      <c r="U38" s="93">
        <f>'[1]FROP (Internal)'!Y41</f>
        <v>0</v>
      </c>
      <c r="V38" s="93">
        <f>'[1]FROP (Internal)'!Z41</f>
        <v>0</v>
      </c>
      <c r="W38" s="93">
        <f>'[1]FROP (Internal)'!AA41</f>
        <v>0</v>
      </c>
      <c r="X38" s="93">
        <f>'[1]FROP (Internal)'!AB41</f>
        <v>0</v>
      </c>
      <c r="Y38" s="93">
        <f>'[1]FROP (Internal)'!AC41</f>
        <v>0</v>
      </c>
      <c r="Z38" s="93">
        <f>'[1]FROP (Internal)'!AD41</f>
        <v>0</v>
      </c>
      <c r="AA38" s="93">
        <f>'[1]FROP (Internal)'!AE41</f>
        <v>0</v>
      </c>
      <c r="AB38" s="93">
        <f>'[1]FROP (Internal)'!AF41</f>
        <v>0</v>
      </c>
      <c r="AC38" s="94">
        <f>'[1]FROP (Internal)'!AG41</f>
        <v>0</v>
      </c>
      <c r="AD38" s="95">
        <f>'[1]FROP (Internal)'!AH41</f>
        <v>0</v>
      </c>
      <c r="AE38" s="93">
        <f>'[1]FROP (Internal)'!AI41</f>
        <v>0</v>
      </c>
      <c r="AF38" s="93">
        <f>'[1]FROP (Internal)'!AJ41</f>
        <v>0</v>
      </c>
      <c r="AG38" s="93">
        <f>'[1]FROP (Internal)'!AK41</f>
        <v>0</v>
      </c>
      <c r="AH38" s="93">
        <f>'[1]FROP (Internal)'!AL41</f>
        <v>0</v>
      </c>
      <c r="AI38" s="93">
        <f>'[1]FROP (Internal)'!AM41</f>
        <v>0</v>
      </c>
      <c r="AJ38" s="93">
        <f>'[1]FROP (Internal)'!AN41</f>
        <v>0</v>
      </c>
      <c r="AK38" s="93">
        <f>'[1]FROP (Internal)'!AO41</f>
        <v>0</v>
      </c>
      <c r="AL38" s="93">
        <f>'[1]FROP (Internal)'!AP41</f>
        <v>0</v>
      </c>
      <c r="AM38" s="93">
        <f>'[1]FROP (Internal)'!AQ41</f>
        <v>0</v>
      </c>
      <c r="AN38" s="93">
        <f>'[1]FROP (Internal)'!AR41</f>
        <v>0</v>
      </c>
      <c r="AO38" s="94">
        <f>'[1]FROP (Internal)'!AS41</f>
        <v>0</v>
      </c>
      <c r="AP38" s="95">
        <f>'[1]FROP (Internal)'!AT41</f>
        <v>0</v>
      </c>
      <c r="AQ38" s="93">
        <f>'[1]FROP (Internal)'!AU41</f>
        <v>0</v>
      </c>
      <c r="AR38" s="93">
        <f>'[1]FROP (Internal)'!AV41</f>
        <v>0</v>
      </c>
      <c r="AS38" s="93">
        <f>'[1]FROP (Internal)'!AW41</f>
        <v>0</v>
      </c>
      <c r="AT38" s="93">
        <f>'[1]FROP (Internal)'!AX41</f>
        <v>0</v>
      </c>
      <c r="AU38" s="93">
        <f>'[1]FROP (Internal)'!AY41</f>
        <v>0</v>
      </c>
      <c r="AV38" s="93">
        <f>'[1]FROP (Internal)'!AZ41</f>
        <v>0</v>
      </c>
      <c r="AW38" s="93">
        <f>'[1]FROP (Internal)'!BA41</f>
        <v>0</v>
      </c>
      <c r="AX38" s="93">
        <f>'[1]FROP (Internal)'!BB41</f>
        <v>0</v>
      </c>
      <c r="AY38" s="93">
        <f>'[1]FROP (Internal)'!BC41</f>
        <v>0</v>
      </c>
      <c r="AZ38" s="93">
        <f>'[1]FROP (Internal)'!BD41</f>
        <v>0</v>
      </c>
      <c r="BA38" s="94">
        <f>'[1]FROP (Internal)'!BE41</f>
        <v>0</v>
      </c>
      <c r="BB38" s="95">
        <f>'[1]FROP (Internal)'!BF41</f>
        <v>0</v>
      </c>
      <c r="BC38" s="93">
        <f>'[1]FROP (Internal)'!BG41</f>
        <v>0</v>
      </c>
      <c r="BD38" s="93">
        <f>'[1]FROP (Internal)'!BH41</f>
        <v>0</v>
      </c>
      <c r="BE38" s="93">
        <f>'[1]FROP (Internal)'!BI41</f>
        <v>0</v>
      </c>
      <c r="BF38" s="93">
        <f>'[1]FROP (Internal)'!BJ41</f>
        <v>0</v>
      </c>
      <c r="BG38" s="93">
        <f>'[1]FROP (Internal)'!BK41</f>
        <v>0</v>
      </c>
      <c r="BH38" s="93">
        <f>'[1]FROP (Internal)'!BL41</f>
        <v>0</v>
      </c>
      <c r="BI38" s="93">
        <f>'[1]FROP (Internal)'!BM41</f>
        <v>0</v>
      </c>
      <c r="BJ38" s="93">
        <f>'[1]FROP (Internal)'!BN41</f>
        <v>0</v>
      </c>
      <c r="BK38" s="93">
        <f>'[1]FROP (Internal)'!BO41</f>
        <v>0</v>
      </c>
      <c r="BL38" s="93">
        <f>'[1]FROP (Internal)'!BP41</f>
        <v>0</v>
      </c>
      <c r="BM38" s="94">
        <f>'[1]FROP (Internal)'!BQ41</f>
        <v>0</v>
      </c>
      <c r="BN38" s="95">
        <f>'[1]FROP (Internal)'!BR41</f>
        <v>0</v>
      </c>
      <c r="BO38" s="93">
        <f>'[1]FROP (Internal)'!BS41</f>
        <v>0</v>
      </c>
      <c r="BP38" s="93">
        <f>'[1]FROP (Internal)'!BT41</f>
        <v>0</v>
      </c>
      <c r="BQ38" s="93">
        <f>'[1]FROP (Internal)'!BU41</f>
        <v>0</v>
      </c>
      <c r="BR38" s="93">
        <f>'[1]FROP (Internal)'!BV41</f>
        <v>0</v>
      </c>
      <c r="BS38" s="94">
        <f>'[1]FROP (Internal)'!BW41</f>
        <v>0</v>
      </c>
    </row>
    <row r="39" spans="1:71" ht="20.100000000000001" hidden="1" customHeight="1">
      <c r="A39" s="44" t="s">
        <v>1066</v>
      </c>
      <c r="B39" s="662"/>
      <c r="C39" s="5" t="s">
        <v>730</v>
      </c>
      <c r="D39" s="89" t="str">
        <f>IF(AND('[1]FROP (Internal)'!G42="x",'[1]FROP (Internal)'!F42="N/A"),"x","N/A")</f>
        <v>N/A</v>
      </c>
      <c r="E39" s="89" t="str">
        <f>'[1]FROP (Internal)'!I42</f>
        <v>N/A</v>
      </c>
      <c r="F39" s="89" t="str">
        <f>'[1]FROP (Internal)'!J42</f>
        <v>N/A</v>
      </c>
      <c r="G39" s="89" t="str">
        <f>'[1]FROP (Internal)'!K42</f>
        <v>N/A</v>
      </c>
      <c r="H39" s="89" t="str">
        <f>'[1]FROP (Internal)'!L42</f>
        <v>N/A</v>
      </c>
      <c r="I39" s="89" t="str">
        <f>'[1]FROP (Internal)'!M42</f>
        <v>N/A</v>
      </c>
      <c r="J39" s="44" t="str">
        <f>'[1]FROP (Internal)'!N42</f>
        <v>N/A</v>
      </c>
      <c r="K39" s="96" t="str">
        <f>'[1]FROP (Internal)'!O42</f>
        <v>N/A</v>
      </c>
      <c r="L39" s="96" t="str">
        <f>'[1]FROP (Internal)'!P42</f>
        <v>N/A</v>
      </c>
      <c r="M39" s="12"/>
      <c r="N39" s="12"/>
      <c r="O39" s="97"/>
      <c r="P39" s="34" t="str">
        <f>'[1]FROP (Internal)'!T42</f>
        <v>N/A</v>
      </c>
      <c r="Q39" s="91">
        <f>'[1]FROP (Internal)'!U42</f>
        <v>0</v>
      </c>
      <c r="R39" s="92">
        <f>'[1]FROP (Internal)'!V42</f>
        <v>0</v>
      </c>
      <c r="S39" s="93">
        <f>'[1]FROP (Internal)'!W42</f>
        <v>0</v>
      </c>
      <c r="T39" s="93">
        <f>'[1]FROP (Internal)'!X42</f>
        <v>0</v>
      </c>
      <c r="U39" s="93">
        <f>'[1]FROP (Internal)'!Y42</f>
        <v>0</v>
      </c>
      <c r="V39" s="93">
        <f>'[1]FROP (Internal)'!Z42</f>
        <v>0</v>
      </c>
      <c r="W39" s="93">
        <f>'[1]FROP (Internal)'!AA42</f>
        <v>0</v>
      </c>
      <c r="X39" s="93">
        <f>'[1]FROP (Internal)'!AB42</f>
        <v>0</v>
      </c>
      <c r="Y39" s="93">
        <f>'[1]FROP (Internal)'!AC42</f>
        <v>0</v>
      </c>
      <c r="Z39" s="93">
        <f>'[1]FROP (Internal)'!AD42</f>
        <v>0</v>
      </c>
      <c r="AA39" s="93">
        <f>'[1]FROP (Internal)'!AE42</f>
        <v>0</v>
      </c>
      <c r="AB39" s="93">
        <f>'[1]FROP (Internal)'!AF42</f>
        <v>0</v>
      </c>
      <c r="AC39" s="94">
        <f>'[1]FROP (Internal)'!AG42</f>
        <v>0</v>
      </c>
      <c r="AD39" s="95">
        <f>'[1]FROP (Internal)'!AH42</f>
        <v>0</v>
      </c>
      <c r="AE39" s="93">
        <f>'[1]FROP (Internal)'!AI42</f>
        <v>0</v>
      </c>
      <c r="AF39" s="93">
        <f>'[1]FROP (Internal)'!AJ42</f>
        <v>0</v>
      </c>
      <c r="AG39" s="93">
        <f>'[1]FROP (Internal)'!AK42</f>
        <v>0</v>
      </c>
      <c r="AH39" s="93">
        <f>'[1]FROP (Internal)'!AL42</f>
        <v>0</v>
      </c>
      <c r="AI39" s="93">
        <f>'[1]FROP (Internal)'!AM42</f>
        <v>0</v>
      </c>
      <c r="AJ39" s="93">
        <f>'[1]FROP (Internal)'!AN42</f>
        <v>0</v>
      </c>
      <c r="AK39" s="93">
        <f>'[1]FROP (Internal)'!AO42</f>
        <v>0</v>
      </c>
      <c r="AL39" s="93">
        <f>'[1]FROP (Internal)'!AP42</f>
        <v>0</v>
      </c>
      <c r="AM39" s="93">
        <f>'[1]FROP (Internal)'!AQ42</f>
        <v>0</v>
      </c>
      <c r="AN39" s="93">
        <f>'[1]FROP (Internal)'!AR42</f>
        <v>0</v>
      </c>
      <c r="AO39" s="94">
        <f>'[1]FROP (Internal)'!AS42</f>
        <v>0</v>
      </c>
      <c r="AP39" s="95">
        <f>'[1]FROP (Internal)'!AT42</f>
        <v>0</v>
      </c>
      <c r="AQ39" s="93">
        <f>'[1]FROP (Internal)'!AU42</f>
        <v>0</v>
      </c>
      <c r="AR39" s="93">
        <f>'[1]FROP (Internal)'!AV42</f>
        <v>0</v>
      </c>
      <c r="AS39" s="93">
        <f>'[1]FROP (Internal)'!AW42</f>
        <v>0</v>
      </c>
      <c r="AT39" s="93">
        <f>'[1]FROP (Internal)'!AX42</f>
        <v>0</v>
      </c>
      <c r="AU39" s="93">
        <f>'[1]FROP (Internal)'!AY42</f>
        <v>0</v>
      </c>
      <c r="AV39" s="93">
        <f>'[1]FROP (Internal)'!AZ42</f>
        <v>0</v>
      </c>
      <c r="AW39" s="93">
        <f>'[1]FROP (Internal)'!BA42</f>
        <v>0</v>
      </c>
      <c r="AX39" s="93">
        <f>'[1]FROP (Internal)'!BB42</f>
        <v>0</v>
      </c>
      <c r="AY39" s="93">
        <f>'[1]FROP (Internal)'!BC42</f>
        <v>0</v>
      </c>
      <c r="AZ39" s="93">
        <f>'[1]FROP (Internal)'!BD42</f>
        <v>0</v>
      </c>
      <c r="BA39" s="94">
        <f>'[1]FROP (Internal)'!BE42</f>
        <v>0</v>
      </c>
      <c r="BB39" s="95">
        <f>'[1]FROP (Internal)'!BF42</f>
        <v>0</v>
      </c>
      <c r="BC39" s="93">
        <f>'[1]FROP (Internal)'!BG42</f>
        <v>0</v>
      </c>
      <c r="BD39" s="93">
        <f>'[1]FROP (Internal)'!BH42</f>
        <v>0</v>
      </c>
      <c r="BE39" s="93">
        <f>'[1]FROP (Internal)'!BI42</f>
        <v>0</v>
      </c>
      <c r="BF39" s="93">
        <f>'[1]FROP (Internal)'!BJ42</f>
        <v>0</v>
      </c>
      <c r="BG39" s="93">
        <f>'[1]FROP (Internal)'!BK42</f>
        <v>0</v>
      </c>
      <c r="BH39" s="93">
        <f>'[1]FROP (Internal)'!BL42</f>
        <v>0</v>
      </c>
      <c r="BI39" s="93">
        <f>'[1]FROP (Internal)'!BM42</f>
        <v>0</v>
      </c>
      <c r="BJ39" s="93">
        <f>'[1]FROP (Internal)'!BN42</f>
        <v>0</v>
      </c>
      <c r="BK39" s="93">
        <f>'[1]FROP (Internal)'!BO42</f>
        <v>0</v>
      </c>
      <c r="BL39" s="93">
        <f>'[1]FROP (Internal)'!BP42</f>
        <v>0</v>
      </c>
      <c r="BM39" s="94">
        <f>'[1]FROP (Internal)'!BQ42</f>
        <v>0</v>
      </c>
      <c r="BN39" s="95">
        <f>'[1]FROP (Internal)'!BR42</f>
        <v>0</v>
      </c>
      <c r="BO39" s="93">
        <f>'[1]FROP (Internal)'!BS42</f>
        <v>0</v>
      </c>
      <c r="BP39" s="93">
        <f>'[1]FROP (Internal)'!BT42</f>
        <v>0</v>
      </c>
      <c r="BQ39" s="93">
        <f>'[1]FROP (Internal)'!BU42</f>
        <v>0</v>
      </c>
      <c r="BR39" s="93">
        <f>'[1]FROP (Internal)'!BV42</f>
        <v>0</v>
      </c>
      <c r="BS39" s="94">
        <f>'[1]FROP (Internal)'!BW42</f>
        <v>0</v>
      </c>
    </row>
    <row r="40" spans="1:71" ht="20.100000000000001" hidden="1" customHeight="1">
      <c r="A40" s="44" t="s">
        <v>1067</v>
      </c>
      <c r="B40" s="662" t="s">
        <v>1068</v>
      </c>
      <c r="C40" s="5" t="s">
        <v>722</v>
      </c>
      <c r="D40" s="89" t="str">
        <f>IF(AND('[1]FROP (Internal)'!G43="x",'[1]FROP (Internal)'!F43="N/A"),"x","N/A")</f>
        <v>N/A</v>
      </c>
      <c r="E40" s="89" t="str">
        <f>'[1]FROP (Internal)'!I43</f>
        <v>N/A</v>
      </c>
      <c r="F40" s="89" t="str">
        <f>'[1]FROP (Internal)'!J43</f>
        <v>N/A</v>
      </c>
      <c r="G40" s="89" t="str">
        <f>'[1]FROP (Internal)'!K43</f>
        <v>N/A</v>
      </c>
      <c r="H40" s="89" t="str">
        <f>'[1]FROP (Internal)'!L43</f>
        <v>N/A</v>
      </c>
      <c r="I40" s="89" t="str">
        <f>'[1]FROP (Internal)'!M43</f>
        <v>N/A</v>
      </c>
      <c r="J40" s="44" t="str">
        <f>'[1]FROP (Internal)'!N43</f>
        <v>N/A</v>
      </c>
      <c r="K40" s="96" t="str">
        <f>'[1]FROP (Internal)'!O43</f>
        <v>N/A</v>
      </c>
      <c r="L40" s="96" t="str">
        <f>'[1]FROP (Internal)'!P43</f>
        <v>N/A</v>
      </c>
      <c r="M40" s="12"/>
      <c r="N40" s="12"/>
      <c r="O40" s="97"/>
      <c r="P40" s="34" t="str">
        <f>'[1]FROP (Internal)'!T43</f>
        <v>N/A</v>
      </c>
      <c r="Q40" s="91">
        <f>'[1]FROP (Internal)'!U43</f>
        <v>0</v>
      </c>
      <c r="R40" s="92">
        <f>'[1]FROP (Internal)'!V43</f>
        <v>0</v>
      </c>
      <c r="S40" s="93">
        <f>'[1]FROP (Internal)'!W43</f>
        <v>0</v>
      </c>
      <c r="T40" s="93">
        <f>'[1]FROP (Internal)'!X43</f>
        <v>0</v>
      </c>
      <c r="U40" s="93">
        <f>'[1]FROP (Internal)'!Y43</f>
        <v>0</v>
      </c>
      <c r="V40" s="93">
        <f>'[1]FROP (Internal)'!Z43</f>
        <v>0</v>
      </c>
      <c r="W40" s="93">
        <f>'[1]FROP (Internal)'!AA43</f>
        <v>0</v>
      </c>
      <c r="X40" s="93">
        <f>'[1]FROP (Internal)'!AB43</f>
        <v>0</v>
      </c>
      <c r="Y40" s="93">
        <f>'[1]FROP (Internal)'!AC43</f>
        <v>0</v>
      </c>
      <c r="Z40" s="93">
        <f>'[1]FROP (Internal)'!AD43</f>
        <v>0</v>
      </c>
      <c r="AA40" s="93">
        <f>'[1]FROP (Internal)'!AE43</f>
        <v>0</v>
      </c>
      <c r="AB40" s="93">
        <f>'[1]FROP (Internal)'!AF43</f>
        <v>0</v>
      </c>
      <c r="AC40" s="94">
        <f>'[1]FROP (Internal)'!AG43</f>
        <v>0</v>
      </c>
      <c r="AD40" s="95">
        <f>'[1]FROP (Internal)'!AH43</f>
        <v>0</v>
      </c>
      <c r="AE40" s="93">
        <f>'[1]FROP (Internal)'!AI43</f>
        <v>0</v>
      </c>
      <c r="AF40" s="93">
        <f>'[1]FROP (Internal)'!AJ43</f>
        <v>0</v>
      </c>
      <c r="AG40" s="93">
        <f>'[1]FROP (Internal)'!AK43</f>
        <v>0</v>
      </c>
      <c r="AH40" s="93">
        <f>'[1]FROP (Internal)'!AL43</f>
        <v>0</v>
      </c>
      <c r="AI40" s="93">
        <f>'[1]FROP (Internal)'!AM43</f>
        <v>0</v>
      </c>
      <c r="AJ40" s="93">
        <f>'[1]FROP (Internal)'!AN43</f>
        <v>0</v>
      </c>
      <c r="AK40" s="93">
        <f>'[1]FROP (Internal)'!AO43</f>
        <v>0</v>
      </c>
      <c r="AL40" s="93">
        <f>'[1]FROP (Internal)'!AP43</f>
        <v>0</v>
      </c>
      <c r="AM40" s="93">
        <f>'[1]FROP (Internal)'!AQ43</f>
        <v>0</v>
      </c>
      <c r="AN40" s="93">
        <f>'[1]FROP (Internal)'!AR43</f>
        <v>0</v>
      </c>
      <c r="AO40" s="94">
        <f>'[1]FROP (Internal)'!AS43</f>
        <v>0</v>
      </c>
      <c r="AP40" s="95">
        <f>'[1]FROP (Internal)'!AT43</f>
        <v>0</v>
      </c>
      <c r="AQ40" s="93">
        <f>'[1]FROP (Internal)'!AU43</f>
        <v>0</v>
      </c>
      <c r="AR40" s="93">
        <f>'[1]FROP (Internal)'!AV43</f>
        <v>0</v>
      </c>
      <c r="AS40" s="93">
        <f>'[1]FROP (Internal)'!AW43</f>
        <v>0</v>
      </c>
      <c r="AT40" s="93">
        <f>'[1]FROP (Internal)'!AX43</f>
        <v>0</v>
      </c>
      <c r="AU40" s="93">
        <f>'[1]FROP (Internal)'!AY43</f>
        <v>0</v>
      </c>
      <c r="AV40" s="93">
        <f>'[1]FROP (Internal)'!AZ43</f>
        <v>0</v>
      </c>
      <c r="AW40" s="93">
        <f>'[1]FROP (Internal)'!BA43</f>
        <v>0</v>
      </c>
      <c r="AX40" s="93">
        <f>'[1]FROP (Internal)'!BB43</f>
        <v>0</v>
      </c>
      <c r="AY40" s="93">
        <f>'[1]FROP (Internal)'!BC43</f>
        <v>0</v>
      </c>
      <c r="AZ40" s="93">
        <f>'[1]FROP (Internal)'!BD43</f>
        <v>0</v>
      </c>
      <c r="BA40" s="94">
        <f>'[1]FROP (Internal)'!BE43</f>
        <v>0</v>
      </c>
      <c r="BB40" s="95">
        <f>'[1]FROP (Internal)'!BF43</f>
        <v>0</v>
      </c>
      <c r="BC40" s="93">
        <f>'[1]FROP (Internal)'!BG43</f>
        <v>0</v>
      </c>
      <c r="BD40" s="93">
        <f>'[1]FROP (Internal)'!BH43</f>
        <v>0</v>
      </c>
      <c r="BE40" s="93">
        <f>'[1]FROP (Internal)'!BI43</f>
        <v>0</v>
      </c>
      <c r="BF40" s="93">
        <f>'[1]FROP (Internal)'!BJ43</f>
        <v>0</v>
      </c>
      <c r="BG40" s="93">
        <f>'[1]FROP (Internal)'!BK43</f>
        <v>0</v>
      </c>
      <c r="BH40" s="93">
        <f>'[1]FROP (Internal)'!BL43</f>
        <v>0</v>
      </c>
      <c r="BI40" s="93">
        <f>'[1]FROP (Internal)'!BM43</f>
        <v>0</v>
      </c>
      <c r="BJ40" s="93">
        <f>'[1]FROP (Internal)'!BN43</f>
        <v>0</v>
      </c>
      <c r="BK40" s="93">
        <f>'[1]FROP (Internal)'!BO43</f>
        <v>0</v>
      </c>
      <c r="BL40" s="93">
        <f>'[1]FROP (Internal)'!BP43</f>
        <v>0</v>
      </c>
      <c r="BM40" s="94">
        <f>'[1]FROP (Internal)'!BQ43</f>
        <v>0</v>
      </c>
      <c r="BN40" s="95">
        <f>'[1]FROP (Internal)'!BR43</f>
        <v>0</v>
      </c>
      <c r="BO40" s="93">
        <f>'[1]FROP (Internal)'!BS43</f>
        <v>0</v>
      </c>
      <c r="BP40" s="93">
        <f>'[1]FROP (Internal)'!BT43</f>
        <v>0</v>
      </c>
      <c r="BQ40" s="93">
        <f>'[1]FROP (Internal)'!BU43</f>
        <v>0</v>
      </c>
      <c r="BR40" s="93">
        <f>'[1]FROP (Internal)'!BV43</f>
        <v>0</v>
      </c>
      <c r="BS40" s="94">
        <f>'[1]FROP (Internal)'!BW43</f>
        <v>0</v>
      </c>
    </row>
    <row r="41" spans="1:71" ht="20.100000000000001" customHeight="1">
      <c r="A41" s="44" t="s">
        <v>1069</v>
      </c>
      <c r="B41" s="662"/>
      <c r="C41" s="5" t="s">
        <v>726</v>
      </c>
      <c r="D41" s="89" t="str">
        <f>IF(AND('[1]FROP (Internal)'!G44="x",'[1]FROP (Internal)'!F44="N/A"),"x","N/A")</f>
        <v>x</v>
      </c>
      <c r="E41" s="89" t="str">
        <f>'[1]FROP (Internal)'!I44</f>
        <v>x</v>
      </c>
      <c r="F41" s="89" t="str">
        <f>'[1]FROP (Internal)'!J44</f>
        <v>N/A</v>
      </c>
      <c r="G41" s="89" t="str">
        <f>'[1]FROP (Internal)'!K44</f>
        <v>N/A</v>
      </c>
      <c r="H41" s="89" t="str">
        <f>'[1]FROP (Internal)'!L44</f>
        <v>N/A</v>
      </c>
      <c r="I41" s="89" t="str">
        <f>'[1]FROP (Internal)'!M44</f>
        <v>N/A</v>
      </c>
      <c r="J41" s="44" t="str">
        <f>'[1]FROP (Internal)'!N44</f>
        <v>x</v>
      </c>
      <c r="K41" s="96" t="str">
        <f>'[1]FROP (Internal)'!O44</f>
        <v>N/A</v>
      </c>
      <c r="L41" s="96" t="str">
        <f>'[1]FROP (Internal)'!P44</f>
        <v>N/A</v>
      </c>
      <c r="M41" s="12"/>
      <c r="N41" s="12"/>
      <c r="O41" s="97"/>
      <c r="P41" s="131" t="str">
        <f>'[1]FROP (Internal)'!T44</f>
        <v>QM</v>
      </c>
      <c r="Q41" s="91">
        <f>'[1]FROP (Internal)'!U44</f>
        <v>0</v>
      </c>
      <c r="R41" s="92">
        <f>'[1]FROP (Internal)'!V44</f>
        <v>0</v>
      </c>
      <c r="S41" s="93">
        <f>'[1]FROP (Internal)'!W44</f>
        <v>0</v>
      </c>
      <c r="T41" s="93">
        <f>'[1]FROP (Internal)'!X44</f>
        <v>0</v>
      </c>
      <c r="U41" s="93">
        <f>'[1]FROP (Internal)'!Y44</f>
        <v>2</v>
      </c>
      <c r="V41" s="93">
        <f>'[1]FROP (Internal)'!Z44</f>
        <v>0</v>
      </c>
      <c r="W41" s="93">
        <f>'[1]FROP (Internal)'!AA44</f>
        <v>3</v>
      </c>
      <c r="X41" s="93">
        <f>'[1]FROP (Internal)'!AB44</f>
        <v>0</v>
      </c>
      <c r="Y41" s="93">
        <f>'[1]FROP (Internal)'!AC44</f>
        <v>0</v>
      </c>
      <c r="Z41" s="93">
        <f>'[1]FROP (Internal)'!AD44</f>
        <v>3</v>
      </c>
      <c r="AA41" s="93">
        <f>'[1]FROP (Internal)'!AE44</f>
        <v>0</v>
      </c>
      <c r="AB41" s="93">
        <f>'[1]FROP (Internal)'!AF44</f>
        <v>0</v>
      </c>
      <c r="AC41" s="94">
        <f>'[1]FROP (Internal)'!AG44</f>
        <v>3</v>
      </c>
      <c r="AD41" s="95">
        <f>'[1]FROP (Internal)'!AH44</f>
        <v>0</v>
      </c>
      <c r="AE41" s="93">
        <f>'[1]FROP (Internal)'!AI44</f>
        <v>0</v>
      </c>
      <c r="AF41" s="93">
        <f>'[1]FROP (Internal)'!AJ44</f>
        <v>3</v>
      </c>
      <c r="AG41" s="93">
        <f>'[1]FROP (Internal)'!AK44</f>
        <v>0</v>
      </c>
      <c r="AH41" s="93">
        <f>'[1]FROP (Internal)'!AL44</f>
        <v>4</v>
      </c>
      <c r="AI41" s="93">
        <f>'[1]FROP (Internal)'!AM44</f>
        <v>0</v>
      </c>
      <c r="AJ41" s="93">
        <f>'[1]FROP (Internal)'!AN44</f>
        <v>0</v>
      </c>
      <c r="AK41" s="93">
        <f>'[1]FROP (Internal)'!AO44</f>
        <v>4</v>
      </c>
      <c r="AL41" s="93">
        <f>'[1]FROP (Internal)'!AP44</f>
        <v>0</v>
      </c>
      <c r="AM41" s="93">
        <f>'[1]FROP (Internal)'!AQ44</f>
        <v>0</v>
      </c>
      <c r="AN41" s="93">
        <f>'[1]FROP (Internal)'!AR44</f>
        <v>4</v>
      </c>
      <c r="AO41" s="94">
        <f>'[1]FROP (Internal)'!AS44</f>
        <v>0</v>
      </c>
      <c r="AP41" s="95">
        <f>'[1]FROP (Internal)'!AT44</f>
        <v>0</v>
      </c>
      <c r="AQ41" s="93">
        <f>'[1]FROP (Internal)'!AU44</f>
        <v>4</v>
      </c>
      <c r="AR41" s="93">
        <f>'[1]FROP (Internal)'!AV44</f>
        <v>0</v>
      </c>
      <c r="AS41" s="93">
        <f>'[1]FROP (Internal)'!AW44</f>
        <v>5</v>
      </c>
      <c r="AT41" s="93">
        <f>'[1]FROP (Internal)'!AX44</f>
        <v>0</v>
      </c>
      <c r="AU41" s="93">
        <f>'[1]FROP (Internal)'!AY44</f>
        <v>0</v>
      </c>
      <c r="AV41" s="93">
        <f>'[1]FROP (Internal)'!AZ44</f>
        <v>5</v>
      </c>
      <c r="AW41" s="93">
        <f>'[1]FROP (Internal)'!BA44</f>
        <v>0</v>
      </c>
      <c r="AX41" s="93">
        <f>'[1]FROP (Internal)'!BB44</f>
        <v>0</v>
      </c>
      <c r="AY41" s="93">
        <f>'[1]FROP (Internal)'!BC44</f>
        <v>0</v>
      </c>
      <c r="AZ41" s="93">
        <f>'[1]FROP (Internal)'!BD44</f>
        <v>0</v>
      </c>
      <c r="BA41" s="94">
        <f>'[1]FROP (Internal)'!BE44</f>
        <v>0</v>
      </c>
      <c r="BB41" s="95">
        <f>'[1]FROP (Internal)'!BF44</f>
        <v>0</v>
      </c>
      <c r="BC41" s="93">
        <f>'[1]FROP (Internal)'!BG44</f>
        <v>0</v>
      </c>
      <c r="BD41" s="93">
        <f>'[1]FROP (Internal)'!BH44</f>
        <v>0</v>
      </c>
      <c r="BE41" s="93">
        <f>'[1]FROP (Internal)'!BI44</f>
        <v>0</v>
      </c>
      <c r="BF41" s="93">
        <f>'[1]FROP (Internal)'!BJ44</f>
        <v>0</v>
      </c>
      <c r="BG41" s="93">
        <f>'[1]FROP (Internal)'!BK44</f>
        <v>0</v>
      </c>
      <c r="BH41" s="93">
        <f>'[1]FROP (Internal)'!BL44</f>
        <v>0</v>
      </c>
      <c r="BI41" s="93">
        <f>'[1]FROP (Internal)'!BM44</f>
        <v>0</v>
      </c>
      <c r="BJ41" s="93">
        <f>'[1]FROP (Internal)'!BN44</f>
        <v>0</v>
      </c>
      <c r="BK41" s="93">
        <f>'[1]FROP (Internal)'!BO44</f>
        <v>0</v>
      </c>
      <c r="BL41" s="93">
        <f>'[1]FROP (Internal)'!BP44</f>
        <v>0</v>
      </c>
      <c r="BM41" s="94">
        <f>'[1]FROP (Internal)'!BQ44</f>
        <v>0</v>
      </c>
      <c r="BN41" s="95">
        <f>'[1]FROP (Internal)'!BR44</f>
        <v>0</v>
      </c>
      <c r="BO41" s="93">
        <f>'[1]FROP (Internal)'!BS44</f>
        <v>0</v>
      </c>
      <c r="BP41" s="93">
        <f>'[1]FROP (Internal)'!BT44</f>
        <v>0</v>
      </c>
      <c r="BQ41" s="93">
        <f>'[1]FROP (Internal)'!BU44</f>
        <v>0</v>
      </c>
      <c r="BR41" s="93">
        <f>'[1]FROP (Internal)'!BV44</f>
        <v>0</v>
      </c>
      <c r="BS41" s="94">
        <f>'[1]FROP (Internal)'!BW44</f>
        <v>0</v>
      </c>
    </row>
    <row r="42" spans="1:71" ht="20.100000000000001" hidden="1" customHeight="1">
      <c r="A42" s="44" t="s">
        <v>1070</v>
      </c>
      <c r="B42" s="662"/>
      <c r="C42" s="5" t="s">
        <v>720</v>
      </c>
      <c r="D42" s="89" t="str">
        <f>IF(AND('[1]FROP (Internal)'!G45="x",'[1]FROP (Internal)'!F45="N/A"),"x","N/A")</f>
        <v>N/A</v>
      </c>
      <c r="E42" s="89" t="str">
        <f>'[1]FROP (Internal)'!I45</f>
        <v>N/A</v>
      </c>
      <c r="F42" s="89" t="str">
        <f>'[1]FROP (Internal)'!J45</f>
        <v>N/A</v>
      </c>
      <c r="G42" s="89" t="str">
        <f>'[1]FROP (Internal)'!K45</f>
        <v>N/A</v>
      </c>
      <c r="H42" s="89" t="str">
        <f>'[1]FROP (Internal)'!L45</f>
        <v>N/A</v>
      </c>
      <c r="I42" s="89" t="str">
        <f>'[1]FROP (Internal)'!M45</f>
        <v>N/A</v>
      </c>
      <c r="J42" s="44" t="str">
        <f>'[1]FROP (Internal)'!N45</f>
        <v>N/A</v>
      </c>
      <c r="K42" s="96" t="str">
        <f>'[1]FROP (Internal)'!O45</f>
        <v>N/A</v>
      </c>
      <c r="L42" s="96" t="str">
        <f>'[1]FROP (Internal)'!P45</f>
        <v>N/A</v>
      </c>
      <c r="M42" s="12"/>
      <c r="N42" s="12"/>
      <c r="O42" s="97"/>
      <c r="P42" s="34" t="str">
        <f>'[1]FROP (Internal)'!T45</f>
        <v>N/A</v>
      </c>
      <c r="Q42" s="91">
        <f>'[1]FROP (Internal)'!U45</f>
        <v>0</v>
      </c>
      <c r="R42" s="92">
        <f>'[1]FROP (Internal)'!V45</f>
        <v>0</v>
      </c>
      <c r="S42" s="93">
        <f>'[1]FROP (Internal)'!W45</f>
        <v>0</v>
      </c>
      <c r="T42" s="93">
        <f>'[1]FROP (Internal)'!X45</f>
        <v>0</v>
      </c>
      <c r="U42" s="93">
        <f>'[1]FROP (Internal)'!Y45</f>
        <v>0</v>
      </c>
      <c r="V42" s="93">
        <f>'[1]FROP (Internal)'!Z45</f>
        <v>0</v>
      </c>
      <c r="W42" s="93">
        <f>'[1]FROP (Internal)'!AA45</f>
        <v>0</v>
      </c>
      <c r="X42" s="93">
        <f>'[1]FROP (Internal)'!AB45</f>
        <v>0</v>
      </c>
      <c r="Y42" s="93">
        <f>'[1]FROP (Internal)'!AC45</f>
        <v>0</v>
      </c>
      <c r="Z42" s="93">
        <f>'[1]FROP (Internal)'!AD45</f>
        <v>0</v>
      </c>
      <c r="AA42" s="93">
        <f>'[1]FROP (Internal)'!AE45</f>
        <v>0</v>
      </c>
      <c r="AB42" s="93">
        <f>'[1]FROP (Internal)'!AF45</f>
        <v>0</v>
      </c>
      <c r="AC42" s="94">
        <f>'[1]FROP (Internal)'!AG45</f>
        <v>0</v>
      </c>
      <c r="AD42" s="95">
        <f>'[1]FROP (Internal)'!AH45</f>
        <v>0</v>
      </c>
      <c r="AE42" s="93">
        <f>'[1]FROP (Internal)'!AI45</f>
        <v>0</v>
      </c>
      <c r="AF42" s="93">
        <f>'[1]FROP (Internal)'!AJ45</f>
        <v>0</v>
      </c>
      <c r="AG42" s="93">
        <f>'[1]FROP (Internal)'!AK45</f>
        <v>0</v>
      </c>
      <c r="AH42" s="93">
        <f>'[1]FROP (Internal)'!AL45</f>
        <v>0</v>
      </c>
      <c r="AI42" s="93">
        <f>'[1]FROP (Internal)'!AM45</f>
        <v>0</v>
      </c>
      <c r="AJ42" s="93">
        <f>'[1]FROP (Internal)'!AN45</f>
        <v>0</v>
      </c>
      <c r="AK42" s="93">
        <f>'[1]FROP (Internal)'!AO45</f>
        <v>0</v>
      </c>
      <c r="AL42" s="93">
        <f>'[1]FROP (Internal)'!AP45</f>
        <v>0</v>
      </c>
      <c r="AM42" s="93">
        <f>'[1]FROP (Internal)'!AQ45</f>
        <v>0</v>
      </c>
      <c r="AN42" s="93">
        <f>'[1]FROP (Internal)'!AR45</f>
        <v>0</v>
      </c>
      <c r="AO42" s="94">
        <f>'[1]FROP (Internal)'!AS45</f>
        <v>0</v>
      </c>
      <c r="AP42" s="95">
        <f>'[1]FROP (Internal)'!AT45</f>
        <v>0</v>
      </c>
      <c r="AQ42" s="93">
        <f>'[1]FROP (Internal)'!AU45</f>
        <v>0</v>
      </c>
      <c r="AR42" s="93">
        <f>'[1]FROP (Internal)'!AV45</f>
        <v>0</v>
      </c>
      <c r="AS42" s="93">
        <f>'[1]FROP (Internal)'!AW45</f>
        <v>0</v>
      </c>
      <c r="AT42" s="93">
        <f>'[1]FROP (Internal)'!AX45</f>
        <v>0</v>
      </c>
      <c r="AU42" s="93">
        <f>'[1]FROP (Internal)'!AY45</f>
        <v>0</v>
      </c>
      <c r="AV42" s="93">
        <f>'[1]FROP (Internal)'!AZ45</f>
        <v>0</v>
      </c>
      <c r="AW42" s="93">
        <f>'[1]FROP (Internal)'!BA45</f>
        <v>0</v>
      </c>
      <c r="AX42" s="93">
        <f>'[1]FROP (Internal)'!BB45</f>
        <v>0</v>
      </c>
      <c r="AY42" s="93">
        <f>'[1]FROP (Internal)'!BC45</f>
        <v>0</v>
      </c>
      <c r="AZ42" s="93">
        <f>'[1]FROP (Internal)'!BD45</f>
        <v>0</v>
      </c>
      <c r="BA42" s="94">
        <f>'[1]FROP (Internal)'!BE45</f>
        <v>0</v>
      </c>
      <c r="BB42" s="95">
        <f>'[1]FROP (Internal)'!BF45</f>
        <v>0</v>
      </c>
      <c r="BC42" s="93">
        <f>'[1]FROP (Internal)'!BG45</f>
        <v>0</v>
      </c>
      <c r="BD42" s="93">
        <f>'[1]FROP (Internal)'!BH45</f>
        <v>0</v>
      </c>
      <c r="BE42" s="93">
        <f>'[1]FROP (Internal)'!BI45</f>
        <v>0</v>
      </c>
      <c r="BF42" s="93">
        <f>'[1]FROP (Internal)'!BJ45</f>
        <v>0</v>
      </c>
      <c r="BG42" s="93">
        <f>'[1]FROP (Internal)'!BK45</f>
        <v>0</v>
      </c>
      <c r="BH42" s="93">
        <f>'[1]FROP (Internal)'!BL45</f>
        <v>0</v>
      </c>
      <c r="BI42" s="93">
        <f>'[1]FROP (Internal)'!BM45</f>
        <v>0</v>
      </c>
      <c r="BJ42" s="93">
        <f>'[1]FROP (Internal)'!BN45</f>
        <v>0</v>
      </c>
      <c r="BK42" s="93">
        <f>'[1]FROP (Internal)'!BO45</f>
        <v>0</v>
      </c>
      <c r="BL42" s="93">
        <f>'[1]FROP (Internal)'!BP45</f>
        <v>0</v>
      </c>
      <c r="BM42" s="94">
        <f>'[1]FROP (Internal)'!BQ45</f>
        <v>0</v>
      </c>
      <c r="BN42" s="95">
        <f>'[1]FROP (Internal)'!BR45</f>
        <v>0</v>
      </c>
      <c r="BO42" s="93">
        <f>'[1]FROP (Internal)'!BS45</f>
        <v>0</v>
      </c>
      <c r="BP42" s="93">
        <f>'[1]FROP (Internal)'!BT45</f>
        <v>0</v>
      </c>
      <c r="BQ42" s="93">
        <f>'[1]FROP (Internal)'!BU45</f>
        <v>0</v>
      </c>
      <c r="BR42" s="93">
        <f>'[1]FROP (Internal)'!BV45</f>
        <v>0</v>
      </c>
      <c r="BS42" s="94">
        <f>'[1]FROP (Internal)'!BW45</f>
        <v>0</v>
      </c>
    </row>
    <row r="43" spans="1:71" ht="20.100000000000001" hidden="1" customHeight="1">
      <c r="A43" s="44" t="s">
        <v>1071</v>
      </c>
      <c r="B43" s="662"/>
      <c r="C43" s="5" t="s">
        <v>718</v>
      </c>
      <c r="D43" s="89" t="str">
        <f>IF(AND('[1]FROP (Internal)'!G46="x",'[1]FROP (Internal)'!F46="N/A"),"x","N/A")</f>
        <v>N/A</v>
      </c>
      <c r="E43" s="89" t="str">
        <f>'[1]FROP (Internal)'!I46</f>
        <v>N/A</v>
      </c>
      <c r="F43" s="89" t="str">
        <f>'[1]FROP (Internal)'!J46</f>
        <v>N/A</v>
      </c>
      <c r="G43" s="89" t="str">
        <f>'[1]FROP (Internal)'!K46</f>
        <v>N/A</v>
      </c>
      <c r="H43" s="89" t="str">
        <f>'[1]FROP (Internal)'!L46</f>
        <v>N/A</v>
      </c>
      <c r="I43" s="89" t="str">
        <f>'[1]FROP (Internal)'!M46</f>
        <v>N/A</v>
      </c>
      <c r="J43" s="44" t="str">
        <f>'[1]FROP (Internal)'!N46</f>
        <v>N/A</v>
      </c>
      <c r="K43" s="96" t="str">
        <f>'[1]FROP (Internal)'!O46</f>
        <v>N/A</v>
      </c>
      <c r="L43" s="96" t="str">
        <f>'[1]FROP (Internal)'!P46</f>
        <v>N/A</v>
      </c>
      <c r="M43" s="12"/>
      <c r="N43" s="12"/>
      <c r="O43" s="97"/>
      <c r="P43" s="34" t="str">
        <f>'[1]FROP (Internal)'!T46</f>
        <v>N/A</v>
      </c>
      <c r="Q43" s="91">
        <f>'[1]FROP (Internal)'!U46</f>
        <v>0</v>
      </c>
      <c r="R43" s="92">
        <f>'[1]FROP (Internal)'!V46</f>
        <v>0</v>
      </c>
      <c r="S43" s="93">
        <f>'[1]FROP (Internal)'!W46</f>
        <v>0</v>
      </c>
      <c r="T43" s="93">
        <f>'[1]FROP (Internal)'!X46</f>
        <v>0</v>
      </c>
      <c r="U43" s="93">
        <f>'[1]FROP (Internal)'!Y46</f>
        <v>0</v>
      </c>
      <c r="V43" s="93">
        <f>'[1]FROP (Internal)'!Z46</f>
        <v>0</v>
      </c>
      <c r="W43" s="93">
        <f>'[1]FROP (Internal)'!AA46</f>
        <v>0</v>
      </c>
      <c r="X43" s="93">
        <f>'[1]FROP (Internal)'!AB46</f>
        <v>0</v>
      </c>
      <c r="Y43" s="93">
        <f>'[1]FROP (Internal)'!AC46</f>
        <v>0</v>
      </c>
      <c r="Z43" s="93">
        <f>'[1]FROP (Internal)'!AD46</f>
        <v>0</v>
      </c>
      <c r="AA43" s="93">
        <f>'[1]FROP (Internal)'!AE46</f>
        <v>0</v>
      </c>
      <c r="AB43" s="93">
        <f>'[1]FROP (Internal)'!AF46</f>
        <v>0</v>
      </c>
      <c r="AC43" s="94">
        <f>'[1]FROP (Internal)'!AG46</f>
        <v>0</v>
      </c>
      <c r="AD43" s="95">
        <f>'[1]FROP (Internal)'!AH46</f>
        <v>0</v>
      </c>
      <c r="AE43" s="93">
        <f>'[1]FROP (Internal)'!AI46</f>
        <v>0</v>
      </c>
      <c r="AF43" s="93">
        <f>'[1]FROP (Internal)'!AJ46</f>
        <v>0</v>
      </c>
      <c r="AG43" s="93">
        <f>'[1]FROP (Internal)'!AK46</f>
        <v>0</v>
      </c>
      <c r="AH43" s="93">
        <f>'[1]FROP (Internal)'!AL46</f>
        <v>0</v>
      </c>
      <c r="AI43" s="93">
        <f>'[1]FROP (Internal)'!AM46</f>
        <v>0</v>
      </c>
      <c r="AJ43" s="93">
        <f>'[1]FROP (Internal)'!AN46</f>
        <v>0</v>
      </c>
      <c r="AK43" s="93">
        <f>'[1]FROP (Internal)'!AO46</f>
        <v>0</v>
      </c>
      <c r="AL43" s="93">
        <f>'[1]FROP (Internal)'!AP46</f>
        <v>0</v>
      </c>
      <c r="AM43" s="93">
        <f>'[1]FROP (Internal)'!AQ46</f>
        <v>0</v>
      </c>
      <c r="AN43" s="93">
        <f>'[1]FROP (Internal)'!AR46</f>
        <v>0</v>
      </c>
      <c r="AO43" s="94">
        <f>'[1]FROP (Internal)'!AS46</f>
        <v>0</v>
      </c>
      <c r="AP43" s="95">
        <f>'[1]FROP (Internal)'!AT46</f>
        <v>0</v>
      </c>
      <c r="AQ43" s="93">
        <f>'[1]FROP (Internal)'!AU46</f>
        <v>0</v>
      </c>
      <c r="AR43" s="93">
        <f>'[1]FROP (Internal)'!AV46</f>
        <v>0</v>
      </c>
      <c r="AS43" s="93">
        <f>'[1]FROP (Internal)'!AW46</f>
        <v>0</v>
      </c>
      <c r="AT43" s="93">
        <f>'[1]FROP (Internal)'!AX46</f>
        <v>0</v>
      </c>
      <c r="AU43" s="93">
        <f>'[1]FROP (Internal)'!AY46</f>
        <v>0</v>
      </c>
      <c r="AV43" s="93">
        <f>'[1]FROP (Internal)'!AZ46</f>
        <v>0</v>
      </c>
      <c r="AW43" s="93">
        <f>'[1]FROP (Internal)'!BA46</f>
        <v>0</v>
      </c>
      <c r="AX43" s="93">
        <f>'[1]FROP (Internal)'!BB46</f>
        <v>0</v>
      </c>
      <c r="AY43" s="93">
        <f>'[1]FROP (Internal)'!BC46</f>
        <v>0</v>
      </c>
      <c r="AZ43" s="93">
        <f>'[1]FROP (Internal)'!BD46</f>
        <v>0</v>
      </c>
      <c r="BA43" s="94">
        <f>'[1]FROP (Internal)'!BE46</f>
        <v>0</v>
      </c>
      <c r="BB43" s="95">
        <f>'[1]FROP (Internal)'!BF46</f>
        <v>0</v>
      </c>
      <c r="BC43" s="93">
        <f>'[1]FROP (Internal)'!BG46</f>
        <v>0</v>
      </c>
      <c r="BD43" s="93">
        <f>'[1]FROP (Internal)'!BH46</f>
        <v>0</v>
      </c>
      <c r="BE43" s="93">
        <f>'[1]FROP (Internal)'!BI46</f>
        <v>0</v>
      </c>
      <c r="BF43" s="93">
        <f>'[1]FROP (Internal)'!BJ46</f>
        <v>0</v>
      </c>
      <c r="BG43" s="93">
        <f>'[1]FROP (Internal)'!BK46</f>
        <v>0</v>
      </c>
      <c r="BH43" s="93">
        <f>'[1]FROP (Internal)'!BL46</f>
        <v>0</v>
      </c>
      <c r="BI43" s="93">
        <f>'[1]FROP (Internal)'!BM46</f>
        <v>0</v>
      </c>
      <c r="BJ43" s="93">
        <f>'[1]FROP (Internal)'!BN46</f>
        <v>0</v>
      </c>
      <c r="BK43" s="93">
        <f>'[1]FROP (Internal)'!BO46</f>
        <v>0</v>
      </c>
      <c r="BL43" s="93">
        <f>'[1]FROP (Internal)'!BP46</f>
        <v>0</v>
      </c>
      <c r="BM43" s="94">
        <f>'[1]FROP (Internal)'!BQ46</f>
        <v>0</v>
      </c>
      <c r="BN43" s="95">
        <f>'[1]FROP (Internal)'!BR46</f>
        <v>0</v>
      </c>
      <c r="BO43" s="93">
        <f>'[1]FROP (Internal)'!BS46</f>
        <v>0</v>
      </c>
      <c r="BP43" s="93">
        <f>'[1]FROP (Internal)'!BT46</f>
        <v>0</v>
      </c>
      <c r="BQ43" s="93">
        <f>'[1]FROP (Internal)'!BU46</f>
        <v>0</v>
      </c>
      <c r="BR43" s="93">
        <f>'[1]FROP (Internal)'!BV46</f>
        <v>0</v>
      </c>
      <c r="BS43" s="94">
        <f>'[1]FROP (Internal)'!BW46</f>
        <v>0</v>
      </c>
    </row>
    <row r="44" spans="1:71" ht="20.100000000000001" hidden="1" customHeight="1">
      <c r="A44" s="44" t="s">
        <v>1072</v>
      </c>
      <c r="B44" s="662"/>
      <c r="C44" s="5" t="s">
        <v>714</v>
      </c>
      <c r="D44" s="89" t="str">
        <f>IF(AND('[1]FROP (Internal)'!G47="x",'[1]FROP (Internal)'!F47="N/A"),"x","N/A")</f>
        <v>N/A</v>
      </c>
      <c r="E44" s="89" t="str">
        <f>'[1]FROP (Internal)'!I47</f>
        <v>N/A</v>
      </c>
      <c r="F44" s="89" t="str">
        <f>'[1]FROP (Internal)'!J47</f>
        <v>N/A</v>
      </c>
      <c r="G44" s="89" t="str">
        <f>'[1]FROP (Internal)'!K47</f>
        <v>N/A</v>
      </c>
      <c r="H44" s="89" t="str">
        <f>'[1]FROP (Internal)'!L47</f>
        <v>N/A</v>
      </c>
      <c r="I44" s="89" t="str">
        <f>'[1]FROP (Internal)'!M47</f>
        <v>N/A</v>
      </c>
      <c r="J44" s="44" t="str">
        <f>'[1]FROP (Internal)'!N47</f>
        <v>N/A</v>
      </c>
      <c r="K44" s="96" t="str">
        <f>'[1]FROP (Internal)'!O47</f>
        <v>N/A</v>
      </c>
      <c r="L44" s="96" t="str">
        <f>'[1]FROP (Internal)'!P47</f>
        <v>N/A</v>
      </c>
      <c r="M44" s="12"/>
      <c r="N44" s="12"/>
      <c r="O44" s="97"/>
      <c r="P44" s="34" t="str">
        <f>'[1]FROP (Internal)'!T47</f>
        <v>N/A</v>
      </c>
      <c r="Q44" s="91">
        <f>'[1]FROP (Internal)'!U47</f>
        <v>0</v>
      </c>
      <c r="R44" s="92">
        <f>'[1]FROP (Internal)'!V47</f>
        <v>0</v>
      </c>
      <c r="S44" s="93">
        <f>'[1]FROP (Internal)'!W47</f>
        <v>0</v>
      </c>
      <c r="T44" s="93">
        <f>'[1]FROP (Internal)'!X47</f>
        <v>0</v>
      </c>
      <c r="U44" s="93">
        <f>'[1]FROP (Internal)'!Y47</f>
        <v>0</v>
      </c>
      <c r="V44" s="93">
        <f>'[1]FROP (Internal)'!Z47</f>
        <v>0</v>
      </c>
      <c r="W44" s="93">
        <f>'[1]FROP (Internal)'!AA47</f>
        <v>0</v>
      </c>
      <c r="X44" s="93">
        <f>'[1]FROP (Internal)'!AB47</f>
        <v>0</v>
      </c>
      <c r="Y44" s="93">
        <f>'[1]FROP (Internal)'!AC47</f>
        <v>0</v>
      </c>
      <c r="Z44" s="93">
        <f>'[1]FROP (Internal)'!AD47</f>
        <v>0</v>
      </c>
      <c r="AA44" s="93">
        <f>'[1]FROP (Internal)'!AE47</f>
        <v>0</v>
      </c>
      <c r="AB44" s="93">
        <f>'[1]FROP (Internal)'!AF47</f>
        <v>0</v>
      </c>
      <c r="AC44" s="94">
        <f>'[1]FROP (Internal)'!AG47</f>
        <v>0</v>
      </c>
      <c r="AD44" s="95">
        <f>'[1]FROP (Internal)'!AH47</f>
        <v>0</v>
      </c>
      <c r="AE44" s="93">
        <f>'[1]FROP (Internal)'!AI47</f>
        <v>0</v>
      </c>
      <c r="AF44" s="93">
        <f>'[1]FROP (Internal)'!AJ47</f>
        <v>0</v>
      </c>
      <c r="AG44" s="93">
        <f>'[1]FROP (Internal)'!AK47</f>
        <v>0</v>
      </c>
      <c r="AH44" s="93">
        <f>'[1]FROP (Internal)'!AL47</f>
        <v>0</v>
      </c>
      <c r="AI44" s="93">
        <f>'[1]FROP (Internal)'!AM47</f>
        <v>0</v>
      </c>
      <c r="AJ44" s="93">
        <f>'[1]FROP (Internal)'!AN47</f>
        <v>0</v>
      </c>
      <c r="AK44" s="93">
        <f>'[1]FROP (Internal)'!AO47</f>
        <v>0</v>
      </c>
      <c r="AL44" s="93">
        <f>'[1]FROP (Internal)'!AP47</f>
        <v>0</v>
      </c>
      <c r="AM44" s="93">
        <f>'[1]FROP (Internal)'!AQ47</f>
        <v>0</v>
      </c>
      <c r="AN44" s="93">
        <f>'[1]FROP (Internal)'!AR47</f>
        <v>0</v>
      </c>
      <c r="AO44" s="94">
        <f>'[1]FROP (Internal)'!AS47</f>
        <v>0</v>
      </c>
      <c r="AP44" s="95">
        <f>'[1]FROP (Internal)'!AT47</f>
        <v>0</v>
      </c>
      <c r="AQ44" s="93">
        <f>'[1]FROP (Internal)'!AU47</f>
        <v>0</v>
      </c>
      <c r="AR44" s="93">
        <f>'[1]FROP (Internal)'!AV47</f>
        <v>0</v>
      </c>
      <c r="AS44" s="93">
        <f>'[1]FROP (Internal)'!AW47</f>
        <v>0</v>
      </c>
      <c r="AT44" s="93">
        <f>'[1]FROP (Internal)'!AX47</f>
        <v>0</v>
      </c>
      <c r="AU44" s="93">
        <f>'[1]FROP (Internal)'!AY47</f>
        <v>0</v>
      </c>
      <c r="AV44" s="93">
        <f>'[1]FROP (Internal)'!AZ47</f>
        <v>0</v>
      </c>
      <c r="AW44" s="93">
        <f>'[1]FROP (Internal)'!BA47</f>
        <v>0</v>
      </c>
      <c r="AX44" s="93">
        <f>'[1]FROP (Internal)'!BB47</f>
        <v>0</v>
      </c>
      <c r="AY44" s="93">
        <f>'[1]FROP (Internal)'!BC47</f>
        <v>0</v>
      </c>
      <c r="AZ44" s="93">
        <f>'[1]FROP (Internal)'!BD47</f>
        <v>0</v>
      </c>
      <c r="BA44" s="94">
        <f>'[1]FROP (Internal)'!BE47</f>
        <v>0</v>
      </c>
      <c r="BB44" s="95">
        <f>'[1]FROP (Internal)'!BF47</f>
        <v>0</v>
      </c>
      <c r="BC44" s="93">
        <f>'[1]FROP (Internal)'!BG47</f>
        <v>0</v>
      </c>
      <c r="BD44" s="93">
        <f>'[1]FROP (Internal)'!BH47</f>
        <v>0</v>
      </c>
      <c r="BE44" s="93">
        <f>'[1]FROP (Internal)'!BI47</f>
        <v>0</v>
      </c>
      <c r="BF44" s="93">
        <f>'[1]FROP (Internal)'!BJ47</f>
        <v>0</v>
      </c>
      <c r="BG44" s="93">
        <f>'[1]FROP (Internal)'!BK47</f>
        <v>0</v>
      </c>
      <c r="BH44" s="93">
        <f>'[1]FROP (Internal)'!BL47</f>
        <v>0</v>
      </c>
      <c r="BI44" s="93">
        <f>'[1]FROP (Internal)'!BM47</f>
        <v>0</v>
      </c>
      <c r="BJ44" s="93">
        <f>'[1]FROP (Internal)'!BN47</f>
        <v>0</v>
      </c>
      <c r="BK44" s="93">
        <f>'[1]FROP (Internal)'!BO47</f>
        <v>0</v>
      </c>
      <c r="BL44" s="93">
        <f>'[1]FROP (Internal)'!BP47</f>
        <v>0</v>
      </c>
      <c r="BM44" s="94">
        <f>'[1]FROP (Internal)'!BQ47</f>
        <v>0</v>
      </c>
      <c r="BN44" s="95">
        <f>'[1]FROP (Internal)'!BR47</f>
        <v>0</v>
      </c>
      <c r="BO44" s="93">
        <f>'[1]FROP (Internal)'!BS47</f>
        <v>0</v>
      </c>
      <c r="BP44" s="93">
        <f>'[1]FROP (Internal)'!BT47</f>
        <v>0</v>
      </c>
      <c r="BQ44" s="93">
        <f>'[1]FROP (Internal)'!BU47</f>
        <v>0</v>
      </c>
      <c r="BR44" s="93">
        <f>'[1]FROP (Internal)'!BV47</f>
        <v>0</v>
      </c>
      <c r="BS44" s="94">
        <f>'[1]FROP (Internal)'!BW47</f>
        <v>0</v>
      </c>
    </row>
    <row r="45" spans="1:71" ht="20.100000000000001" customHeight="1">
      <c r="A45" s="44" t="s">
        <v>1073</v>
      </c>
      <c r="B45" s="16" t="s">
        <v>1074</v>
      </c>
      <c r="C45" s="5" t="s">
        <v>456</v>
      </c>
      <c r="D45" s="89" t="str">
        <f>IF(AND('[1]FROP (Internal)'!G48="x",'[1]FROP (Internal)'!F48="N/A"),"x","N/A")</f>
        <v>x</v>
      </c>
      <c r="E45" s="89" t="str">
        <f>'[1]FROP (Internal)'!I48</f>
        <v>x</v>
      </c>
      <c r="F45" s="89" t="str">
        <f>'[1]FROP (Internal)'!J48</f>
        <v>N/A</v>
      </c>
      <c r="G45" s="89" t="str">
        <f>'[1]FROP (Internal)'!K48</f>
        <v>N/A</v>
      </c>
      <c r="H45" s="89" t="str">
        <f>'[1]FROP (Internal)'!L48</f>
        <v>N/A</v>
      </c>
      <c r="I45" s="89" t="str">
        <f>'[1]FROP (Internal)'!M48</f>
        <v>N/A</v>
      </c>
      <c r="J45" s="44" t="str">
        <f>'[1]FROP (Internal)'!N48</f>
        <v>x</v>
      </c>
      <c r="K45" s="96" t="str">
        <f>'[1]FROP (Internal)'!O48</f>
        <v>N/A</v>
      </c>
      <c r="L45" s="96" t="str">
        <f>'[1]FROP (Internal)'!P48</f>
        <v>N/A</v>
      </c>
      <c r="M45" s="12"/>
      <c r="N45" s="12"/>
      <c r="O45" s="97"/>
      <c r="P45" s="131" t="str">
        <f>'[1]FROP (Internal)'!T48</f>
        <v>QM</v>
      </c>
      <c r="Q45" s="91">
        <f>'[1]FROP (Internal)'!U48</f>
        <v>0</v>
      </c>
      <c r="R45" s="92">
        <f>'[1]FROP (Internal)'!V48</f>
        <v>0</v>
      </c>
      <c r="S45" s="93">
        <f>'[1]FROP (Internal)'!W48</f>
        <v>0</v>
      </c>
      <c r="T45" s="93">
        <f>'[1]FROP (Internal)'!X48</f>
        <v>0</v>
      </c>
      <c r="U45" s="93">
        <f>'[1]FROP (Internal)'!Y48</f>
        <v>2</v>
      </c>
      <c r="V45" s="93">
        <f>'[1]FROP (Internal)'!Z48</f>
        <v>0</v>
      </c>
      <c r="W45" s="93">
        <f>'[1]FROP (Internal)'!AA48</f>
        <v>3</v>
      </c>
      <c r="X45" s="93">
        <f>'[1]FROP (Internal)'!AB48</f>
        <v>0</v>
      </c>
      <c r="Y45" s="93">
        <f>'[1]FROP (Internal)'!AC48</f>
        <v>0</v>
      </c>
      <c r="Z45" s="93">
        <f>'[1]FROP (Internal)'!AD48</f>
        <v>3</v>
      </c>
      <c r="AA45" s="93">
        <f>'[1]FROP (Internal)'!AE48</f>
        <v>0</v>
      </c>
      <c r="AB45" s="93">
        <f>'[1]FROP (Internal)'!AF48</f>
        <v>0</v>
      </c>
      <c r="AC45" s="94">
        <f>'[1]FROP (Internal)'!AG48</f>
        <v>3</v>
      </c>
      <c r="AD45" s="95">
        <f>'[1]FROP (Internal)'!AH48</f>
        <v>0</v>
      </c>
      <c r="AE45" s="93">
        <f>'[1]FROP (Internal)'!AI48</f>
        <v>0</v>
      </c>
      <c r="AF45" s="93">
        <f>'[1]FROP (Internal)'!AJ48</f>
        <v>3</v>
      </c>
      <c r="AG45" s="93">
        <f>'[1]FROP (Internal)'!AK48</f>
        <v>0</v>
      </c>
      <c r="AH45" s="93">
        <f>'[1]FROP (Internal)'!AL48</f>
        <v>4</v>
      </c>
      <c r="AI45" s="93">
        <f>'[1]FROP (Internal)'!AM48</f>
        <v>0</v>
      </c>
      <c r="AJ45" s="93">
        <f>'[1]FROP (Internal)'!AN48</f>
        <v>0</v>
      </c>
      <c r="AK45" s="93">
        <f>'[1]FROP (Internal)'!AO48</f>
        <v>4</v>
      </c>
      <c r="AL45" s="93">
        <f>'[1]FROP (Internal)'!AP48</f>
        <v>0</v>
      </c>
      <c r="AM45" s="93">
        <f>'[1]FROP (Internal)'!AQ48</f>
        <v>0</v>
      </c>
      <c r="AN45" s="93">
        <f>'[1]FROP (Internal)'!AR48</f>
        <v>4</v>
      </c>
      <c r="AO45" s="94">
        <f>'[1]FROP (Internal)'!AS48</f>
        <v>0</v>
      </c>
      <c r="AP45" s="95">
        <f>'[1]FROP (Internal)'!AT48</f>
        <v>0</v>
      </c>
      <c r="AQ45" s="93">
        <f>'[1]FROP (Internal)'!AU48</f>
        <v>4</v>
      </c>
      <c r="AR45" s="93">
        <f>'[1]FROP (Internal)'!AV48</f>
        <v>0</v>
      </c>
      <c r="AS45" s="93">
        <f>'[1]FROP (Internal)'!AW48</f>
        <v>5</v>
      </c>
      <c r="AT45" s="93">
        <f>'[1]FROP (Internal)'!AX48</f>
        <v>0</v>
      </c>
      <c r="AU45" s="93">
        <f>'[1]FROP (Internal)'!AY48</f>
        <v>0</v>
      </c>
      <c r="AV45" s="93">
        <f>'[1]FROP (Internal)'!AZ48</f>
        <v>5</v>
      </c>
      <c r="AW45" s="93">
        <f>'[1]FROP (Internal)'!BA48</f>
        <v>0</v>
      </c>
      <c r="AX45" s="93">
        <f>'[1]FROP (Internal)'!BB48</f>
        <v>0</v>
      </c>
      <c r="AY45" s="93">
        <f>'[1]FROP (Internal)'!BC48</f>
        <v>0</v>
      </c>
      <c r="AZ45" s="93">
        <f>'[1]FROP (Internal)'!BD48</f>
        <v>0</v>
      </c>
      <c r="BA45" s="94">
        <f>'[1]FROP (Internal)'!BE48</f>
        <v>0</v>
      </c>
      <c r="BB45" s="95">
        <f>'[1]FROP (Internal)'!BF48</f>
        <v>0</v>
      </c>
      <c r="BC45" s="93">
        <f>'[1]FROP (Internal)'!BG48</f>
        <v>0</v>
      </c>
      <c r="BD45" s="93">
        <f>'[1]FROP (Internal)'!BH48</f>
        <v>0</v>
      </c>
      <c r="BE45" s="93">
        <f>'[1]FROP (Internal)'!BI48</f>
        <v>0</v>
      </c>
      <c r="BF45" s="93">
        <f>'[1]FROP (Internal)'!BJ48</f>
        <v>0</v>
      </c>
      <c r="BG45" s="93">
        <f>'[1]FROP (Internal)'!BK48</f>
        <v>0</v>
      </c>
      <c r="BH45" s="93">
        <f>'[1]FROP (Internal)'!BL48</f>
        <v>0</v>
      </c>
      <c r="BI45" s="93">
        <f>'[1]FROP (Internal)'!BM48</f>
        <v>0</v>
      </c>
      <c r="BJ45" s="93">
        <f>'[1]FROP (Internal)'!BN48</f>
        <v>0</v>
      </c>
      <c r="BK45" s="93">
        <f>'[1]FROP (Internal)'!BO48</f>
        <v>0</v>
      </c>
      <c r="BL45" s="93">
        <f>'[1]FROP (Internal)'!BP48</f>
        <v>0</v>
      </c>
      <c r="BM45" s="94">
        <f>'[1]FROP (Internal)'!BQ48</f>
        <v>0</v>
      </c>
      <c r="BN45" s="95">
        <f>'[1]FROP (Internal)'!BR48</f>
        <v>0</v>
      </c>
      <c r="BO45" s="93">
        <f>'[1]FROP (Internal)'!BS48</f>
        <v>0</v>
      </c>
      <c r="BP45" s="93">
        <f>'[1]FROP (Internal)'!BT48</f>
        <v>0</v>
      </c>
      <c r="BQ45" s="93">
        <f>'[1]FROP (Internal)'!BU48</f>
        <v>0</v>
      </c>
      <c r="BR45" s="93">
        <f>'[1]FROP (Internal)'!BV48</f>
        <v>0</v>
      </c>
      <c r="BS45" s="94">
        <f>'[1]FROP (Internal)'!BW48</f>
        <v>0</v>
      </c>
    </row>
    <row r="46" spans="1:71" ht="20.100000000000001" customHeight="1">
      <c r="A46" s="45" t="s">
        <v>1075</v>
      </c>
      <c r="B46" s="662" t="s">
        <v>1076</v>
      </c>
      <c r="C46" s="5" t="s">
        <v>692</v>
      </c>
      <c r="D46" s="89" t="str">
        <f>IF(AND('[1]FROP (Internal)'!G49="x",'[1]FROP (Internal)'!F49="N/A"),"x","N/A")</f>
        <v>x</v>
      </c>
      <c r="E46" s="89" t="str">
        <f>'[1]FROP (Internal)'!I49</f>
        <v>x</v>
      </c>
      <c r="F46" s="89" t="str">
        <f>'[1]FROP (Internal)'!J49</f>
        <v>N/A</v>
      </c>
      <c r="G46" s="89" t="str">
        <f>'[1]FROP (Internal)'!K49</f>
        <v>N/A</v>
      </c>
      <c r="H46" s="89" t="str">
        <f>'[1]FROP (Internal)'!L49</f>
        <v>N/A</v>
      </c>
      <c r="I46" s="89" t="str">
        <f>'[1]FROP (Internal)'!M49</f>
        <v>N/A</v>
      </c>
      <c r="J46" s="44" t="str">
        <f>'[1]FROP (Internal)'!N49</f>
        <v>x</v>
      </c>
      <c r="K46" s="96" t="str">
        <f>'[1]FROP (Internal)'!O49</f>
        <v>N/A</v>
      </c>
      <c r="L46" s="96" t="str">
        <f>'[1]FROP (Internal)'!P49</f>
        <v>N/A</v>
      </c>
      <c r="M46" s="12"/>
      <c r="N46" s="12"/>
      <c r="O46" s="97"/>
      <c r="P46" s="131" t="str">
        <f>'[1]FROP (Internal)'!T49</f>
        <v>QM</v>
      </c>
      <c r="Q46" s="91">
        <f>'[1]FROP (Internal)'!U49</f>
        <v>0</v>
      </c>
      <c r="R46" s="92">
        <f>'[1]FROP (Internal)'!V49</f>
        <v>0</v>
      </c>
      <c r="S46" s="93">
        <f>'[1]FROP (Internal)'!W49</f>
        <v>0</v>
      </c>
      <c r="T46" s="93">
        <f>'[1]FROP (Internal)'!X49</f>
        <v>0</v>
      </c>
      <c r="U46" s="93">
        <f>'[1]FROP (Internal)'!Y49</f>
        <v>2</v>
      </c>
      <c r="V46" s="93">
        <f>'[1]FROP (Internal)'!Z49</f>
        <v>0</v>
      </c>
      <c r="W46" s="93">
        <f>'[1]FROP (Internal)'!AA49</f>
        <v>3</v>
      </c>
      <c r="X46" s="93">
        <f>'[1]FROP (Internal)'!AB49</f>
        <v>0</v>
      </c>
      <c r="Y46" s="93">
        <f>'[1]FROP (Internal)'!AC49</f>
        <v>0</v>
      </c>
      <c r="Z46" s="93">
        <f>'[1]FROP (Internal)'!AD49</f>
        <v>3</v>
      </c>
      <c r="AA46" s="93">
        <f>'[1]FROP (Internal)'!AE49</f>
        <v>0</v>
      </c>
      <c r="AB46" s="93">
        <f>'[1]FROP (Internal)'!AF49</f>
        <v>0</v>
      </c>
      <c r="AC46" s="94">
        <f>'[1]FROP (Internal)'!AG49</f>
        <v>3</v>
      </c>
      <c r="AD46" s="95">
        <f>'[1]FROP (Internal)'!AH49</f>
        <v>0</v>
      </c>
      <c r="AE46" s="93">
        <f>'[1]FROP (Internal)'!AI49</f>
        <v>0</v>
      </c>
      <c r="AF46" s="93">
        <f>'[1]FROP (Internal)'!AJ49</f>
        <v>3</v>
      </c>
      <c r="AG46" s="93">
        <f>'[1]FROP (Internal)'!AK49</f>
        <v>0</v>
      </c>
      <c r="AH46" s="93">
        <f>'[1]FROP (Internal)'!AL49</f>
        <v>4</v>
      </c>
      <c r="AI46" s="93">
        <f>'[1]FROP (Internal)'!AM49</f>
        <v>0</v>
      </c>
      <c r="AJ46" s="93">
        <f>'[1]FROP (Internal)'!AN49</f>
        <v>0</v>
      </c>
      <c r="AK46" s="93">
        <f>'[1]FROP (Internal)'!AO49</f>
        <v>4</v>
      </c>
      <c r="AL46" s="93">
        <f>'[1]FROP (Internal)'!AP49</f>
        <v>0</v>
      </c>
      <c r="AM46" s="93">
        <f>'[1]FROP (Internal)'!AQ49</f>
        <v>0</v>
      </c>
      <c r="AN46" s="93">
        <f>'[1]FROP (Internal)'!AR49</f>
        <v>4</v>
      </c>
      <c r="AO46" s="94">
        <f>'[1]FROP (Internal)'!AS49</f>
        <v>0</v>
      </c>
      <c r="AP46" s="95">
        <f>'[1]FROP (Internal)'!AT49</f>
        <v>0</v>
      </c>
      <c r="AQ46" s="93">
        <f>'[1]FROP (Internal)'!AU49</f>
        <v>4</v>
      </c>
      <c r="AR46" s="93">
        <f>'[1]FROP (Internal)'!AV49</f>
        <v>0</v>
      </c>
      <c r="AS46" s="93">
        <f>'[1]FROP (Internal)'!AW49</f>
        <v>5</v>
      </c>
      <c r="AT46" s="93">
        <f>'[1]FROP (Internal)'!AX49</f>
        <v>0</v>
      </c>
      <c r="AU46" s="93">
        <f>'[1]FROP (Internal)'!AY49</f>
        <v>0</v>
      </c>
      <c r="AV46" s="93">
        <f>'[1]FROP (Internal)'!AZ49</f>
        <v>5</v>
      </c>
      <c r="AW46" s="93">
        <f>'[1]FROP (Internal)'!BA49</f>
        <v>0</v>
      </c>
      <c r="AX46" s="93">
        <f>'[1]FROP (Internal)'!BB49</f>
        <v>0</v>
      </c>
      <c r="AY46" s="93">
        <f>'[1]FROP (Internal)'!BC49</f>
        <v>0</v>
      </c>
      <c r="AZ46" s="93">
        <f>'[1]FROP (Internal)'!BD49</f>
        <v>0</v>
      </c>
      <c r="BA46" s="94">
        <f>'[1]FROP (Internal)'!BE49</f>
        <v>0</v>
      </c>
      <c r="BB46" s="95">
        <f>'[1]FROP (Internal)'!BF49</f>
        <v>0</v>
      </c>
      <c r="BC46" s="93">
        <f>'[1]FROP (Internal)'!BG49</f>
        <v>0</v>
      </c>
      <c r="BD46" s="93">
        <f>'[1]FROP (Internal)'!BH49</f>
        <v>0</v>
      </c>
      <c r="BE46" s="93">
        <f>'[1]FROP (Internal)'!BI49</f>
        <v>0</v>
      </c>
      <c r="BF46" s="93">
        <f>'[1]FROP (Internal)'!BJ49</f>
        <v>0</v>
      </c>
      <c r="BG46" s="93">
        <f>'[1]FROP (Internal)'!BK49</f>
        <v>0</v>
      </c>
      <c r="BH46" s="93">
        <f>'[1]FROP (Internal)'!BL49</f>
        <v>0</v>
      </c>
      <c r="BI46" s="93">
        <f>'[1]FROP (Internal)'!BM49</f>
        <v>0</v>
      </c>
      <c r="BJ46" s="93">
        <f>'[1]FROP (Internal)'!BN49</f>
        <v>0</v>
      </c>
      <c r="BK46" s="93">
        <f>'[1]FROP (Internal)'!BO49</f>
        <v>0</v>
      </c>
      <c r="BL46" s="93">
        <f>'[1]FROP (Internal)'!BP49</f>
        <v>0</v>
      </c>
      <c r="BM46" s="94">
        <f>'[1]FROP (Internal)'!BQ49</f>
        <v>0</v>
      </c>
      <c r="BN46" s="95">
        <f>'[1]FROP (Internal)'!BR49</f>
        <v>0</v>
      </c>
      <c r="BO46" s="93">
        <f>'[1]FROP (Internal)'!BS49</f>
        <v>0</v>
      </c>
      <c r="BP46" s="93">
        <f>'[1]FROP (Internal)'!BT49</f>
        <v>0</v>
      </c>
      <c r="BQ46" s="93">
        <f>'[1]FROP (Internal)'!BU49</f>
        <v>0</v>
      </c>
      <c r="BR46" s="93">
        <f>'[1]FROP (Internal)'!BV49</f>
        <v>0</v>
      </c>
      <c r="BS46" s="94">
        <f>'[1]FROP (Internal)'!BW49</f>
        <v>0</v>
      </c>
    </row>
    <row r="47" spans="1:71" ht="20.100000000000001" hidden="1" customHeight="1">
      <c r="A47" s="45" t="s">
        <v>1077</v>
      </c>
      <c r="B47" s="662"/>
      <c r="C47" s="5" t="s">
        <v>694</v>
      </c>
      <c r="D47" s="89" t="str">
        <f>IF(AND('[1]FROP (Internal)'!G50="x",'[1]FROP (Internal)'!F50="N/A"),"x","N/A")</f>
        <v>N/A</v>
      </c>
      <c r="E47" s="89" t="str">
        <f>'[1]FROP (Internal)'!I50</f>
        <v>N/A</v>
      </c>
      <c r="F47" s="89" t="str">
        <f>'[1]FROP (Internal)'!J50</f>
        <v>N/A</v>
      </c>
      <c r="G47" s="89" t="str">
        <f>'[1]FROP (Internal)'!K50</f>
        <v>N/A</v>
      </c>
      <c r="H47" s="89" t="str">
        <f>'[1]FROP (Internal)'!L50</f>
        <v>N/A</v>
      </c>
      <c r="I47" s="89" t="str">
        <f>'[1]FROP (Internal)'!M50</f>
        <v>N/A</v>
      </c>
      <c r="J47" s="44" t="str">
        <f>'[1]FROP (Internal)'!N50</f>
        <v>N/A</v>
      </c>
      <c r="K47" s="96" t="str">
        <f>'[1]FROP (Internal)'!O50</f>
        <v>N/A</v>
      </c>
      <c r="L47" s="96" t="str">
        <f>'[1]FROP (Internal)'!P50</f>
        <v>N/A</v>
      </c>
      <c r="M47" s="12"/>
      <c r="N47" s="12"/>
      <c r="O47" s="97"/>
      <c r="P47" s="34" t="str">
        <f>'[1]FROP (Internal)'!T50</f>
        <v>N/A</v>
      </c>
      <c r="Q47" s="91">
        <f>'[1]FROP (Internal)'!U50</f>
        <v>0</v>
      </c>
      <c r="R47" s="92">
        <f>'[1]FROP (Internal)'!V50</f>
        <v>0</v>
      </c>
      <c r="S47" s="93">
        <f>'[1]FROP (Internal)'!W50</f>
        <v>0</v>
      </c>
      <c r="T47" s="93">
        <f>'[1]FROP (Internal)'!X50</f>
        <v>0</v>
      </c>
      <c r="U47" s="93">
        <f>'[1]FROP (Internal)'!Y50</f>
        <v>0</v>
      </c>
      <c r="V47" s="93">
        <f>'[1]FROP (Internal)'!Z50</f>
        <v>0</v>
      </c>
      <c r="W47" s="93">
        <f>'[1]FROP (Internal)'!AA50</f>
        <v>0</v>
      </c>
      <c r="X47" s="93">
        <f>'[1]FROP (Internal)'!AB50</f>
        <v>0</v>
      </c>
      <c r="Y47" s="93">
        <f>'[1]FROP (Internal)'!AC50</f>
        <v>0</v>
      </c>
      <c r="Z47" s="93">
        <f>'[1]FROP (Internal)'!AD50</f>
        <v>0</v>
      </c>
      <c r="AA47" s="93">
        <f>'[1]FROP (Internal)'!AE50</f>
        <v>0</v>
      </c>
      <c r="AB47" s="93">
        <f>'[1]FROP (Internal)'!AF50</f>
        <v>0</v>
      </c>
      <c r="AC47" s="94">
        <f>'[1]FROP (Internal)'!AG50</f>
        <v>0</v>
      </c>
      <c r="AD47" s="95">
        <f>'[1]FROP (Internal)'!AH50</f>
        <v>0</v>
      </c>
      <c r="AE47" s="93">
        <f>'[1]FROP (Internal)'!AI50</f>
        <v>0</v>
      </c>
      <c r="AF47" s="93">
        <f>'[1]FROP (Internal)'!AJ50</f>
        <v>0</v>
      </c>
      <c r="AG47" s="93">
        <f>'[1]FROP (Internal)'!AK50</f>
        <v>0</v>
      </c>
      <c r="AH47" s="93">
        <f>'[1]FROP (Internal)'!AL50</f>
        <v>0</v>
      </c>
      <c r="AI47" s="93">
        <f>'[1]FROP (Internal)'!AM50</f>
        <v>0</v>
      </c>
      <c r="AJ47" s="93">
        <f>'[1]FROP (Internal)'!AN50</f>
        <v>0</v>
      </c>
      <c r="AK47" s="93">
        <f>'[1]FROP (Internal)'!AO50</f>
        <v>0</v>
      </c>
      <c r="AL47" s="93">
        <f>'[1]FROP (Internal)'!AP50</f>
        <v>0</v>
      </c>
      <c r="AM47" s="93">
        <f>'[1]FROP (Internal)'!AQ50</f>
        <v>0</v>
      </c>
      <c r="AN47" s="93">
        <f>'[1]FROP (Internal)'!AR50</f>
        <v>0</v>
      </c>
      <c r="AO47" s="94">
        <f>'[1]FROP (Internal)'!AS50</f>
        <v>0</v>
      </c>
      <c r="AP47" s="95">
        <f>'[1]FROP (Internal)'!AT50</f>
        <v>0</v>
      </c>
      <c r="AQ47" s="93">
        <f>'[1]FROP (Internal)'!AU50</f>
        <v>0</v>
      </c>
      <c r="AR47" s="93">
        <f>'[1]FROP (Internal)'!AV50</f>
        <v>0</v>
      </c>
      <c r="AS47" s="93">
        <f>'[1]FROP (Internal)'!AW50</f>
        <v>0</v>
      </c>
      <c r="AT47" s="93">
        <f>'[1]FROP (Internal)'!AX50</f>
        <v>0</v>
      </c>
      <c r="AU47" s="93">
        <f>'[1]FROP (Internal)'!AY50</f>
        <v>0</v>
      </c>
      <c r="AV47" s="93">
        <f>'[1]FROP (Internal)'!AZ50</f>
        <v>0</v>
      </c>
      <c r="AW47" s="93">
        <f>'[1]FROP (Internal)'!BA50</f>
        <v>0</v>
      </c>
      <c r="AX47" s="93">
        <f>'[1]FROP (Internal)'!BB50</f>
        <v>0</v>
      </c>
      <c r="AY47" s="93">
        <f>'[1]FROP (Internal)'!BC50</f>
        <v>0</v>
      </c>
      <c r="AZ47" s="93">
        <f>'[1]FROP (Internal)'!BD50</f>
        <v>0</v>
      </c>
      <c r="BA47" s="94">
        <f>'[1]FROP (Internal)'!BE50</f>
        <v>0</v>
      </c>
      <c r="BB47" s="95">
        <f>'[1]FROP (Internal)'!BF50</f>
        <v>0</v>
      </c>
      <c r="BC47" s="93">
        <f>'[1]FROP (Internal)'!BG50</f>
        <v>0</v>
      </c>
      <c r="BD47" s="93">
        <f>'[1]FROP (Internal)'!BH50</f>
        <v>0</v>
      </c>
      <c r="BE47" s="93">
        <f>'[1]FROP (Internal)'!BI50</f>
        <v>0</v>
      </c>
      <c r="BF47" s="93">
        <f>'[1]FROP (Internal)'!BJ50</f>
        <v>0</v>
      </c>
      <c r="BG47" s="93">
        <f>'[1]FROP (Internal)'!BK50</f>
        <v>0</v>
      </c>
      <c r="BH47" s="93">
        <f>'[1]FROP (Internal)'!BL50</f>
        <v>0</v>
      </c>
      <c r="BI47" s="93">
        <f>'[1]FROP (Internal)'!BM50</f>
        <v>0</v>
      </c>
      <c r="BJ47" s="93">
        <f>'[1]FROP (Internal)'!BN50</f>
        <v>0</v>
      </c>
      <c r="BK47" s="93">
        <f>'[1]FROP (Internal)'!BO50</f>
        <v>0</v>
      </c>
      <c r="BL47" s="93">
        <f>'[1]FROP (Internal)'!BP50</f>
        <v>0</v>
      </c>
      <c r="BM47" s="94">
        <f>'[1]FROP (Internal)'!BQ50</f>
        <v>0</v>
      </c>
      <c r="BN47" s="95">
        <f>'[1]FROP (Internal)'!BR50</f>
        <v>0</v>
      </c>
      <c r="BO47" s="93">
        <f>'[1]FROP (Internal)'!BS50</f>
        <v>0</v>
      </c>
      <c r="BP47" s="93">
        <f>'[1]FROP (Internal)'!BT50</f>
        <v>0</v>
      </c>
      <c r="BQ47" s="93">
        <f>'[1]FROP (Internal)'!BU50</f>
        <v>0</v>
      </c>
      <c r="BR47" s="93">
        <f>'[1]FROP (Internal)'!BV50</f>
        <v>0</v>
      </c>
      <c r="BS47" s="94">
        <f>'[1]FROP (Internal)'!BW50</f>
        <v>0</v>
      </c>
    </row>
    <row r="48" spans="1:71" ht="20.100000000000001" hidden="1" customHeight="1">
      <c r="A48" s="45" t="s">
        <v>1078</v>
      </c>
      <c r="B48" s="662"/>
      <c r="C48" s="5" t="s">
        <v>695</v>
      </c>
      <c r="D48" s="89" t="str">
        <f>IF(AND('[1]FROP (Internal)'!G51="x",'[1]FROP (Internal)'!F51="N/A"),"x","N/A")</f>
        <v>N/A</v>
      </c>
      <c r="E48" s="89" t="str">
        <f>'[1]FROP (Internal)'!I51</f>
        <v>N/A</v>
      </c>
      <c r="F48" s="89" t="str">
        <f>'[1]FROP (Internal)'!J51</f>
        <v>N/A</v>
      </c>
      <c r="G48" s="89" t="str">
        <f>'[1]FROP (Internal)'!K51</f>
        <v>N/A</v>
      </c>
      <c r="H48" s="89" t="str">
        <f>'[1]FROP (Internal)'!L51</f>
        <v>N/A</v>
      </c>
      <c r="I48" s="89" t="str">
        <f>'[1]FROP (Internal)'!M51</f>
        <v>N/A</v>
      </c>
      <c r="J48" s="44" t="str">
        <f>'[1]FROP (Internal)'!N51</f>
        <v>N/A</v>
      </c>
      <c r="K48" s="96" t="str">
        <f>'[1]FROP (Internal)'!O51</f>
        <v>N/A</v>
      </c>
      <c r="L48" s="96" t="str">
        <f>'[1]FROP (Internal)'!P51</f>
        <v>N/A</v>
      </c>
      <c r="M48" s="12"/>
      <c r="N48" s="12"/>
      <c r="O48" s="97"/>
      <c r="P48" s="34" t="str">
        <f>'[1]FROP (Internal)'!T51</f>
        <v>N/A</v>
      </c>
      <c r="Q48" s="91">
        <f>'[1]FROP (Internal)'!U51</f>
        <v>0</v>
      </c>
      <c r="R48" s="92">
        <f>'[1]FROP (Internal)'!V51</f>
        <v>0</v>
      </c>
      <c r="S48" s="93">
        <f>'[1]FROP (Internal)'!W51</f>
        <v>0</v>
      </c>
      <c r="T48" s="93">
        <f>'[1]FROP (Internal)'!X51</f>
        <v>0</v>
      </c>
      <c r="U48" s="93">
        <f>'[1]FROP (Internal)'!Y51</f>
        <v>0</v>
      </c>
      <c r="V48" s="93">
        <f>'[1]FROP (Internal)'!Z51</f>
        <v>0</v>
      </c>
      <c r="W48" s="93">
        <f>'[1]FROP (Internal)'!AA51</f>
        <v>0</v>
      </c>
      <c r="X48" s="93">
        <f>'[1]FROP (Internal)'!AB51</f>
        <v>0</v>
      </c>
      <c r="Y48" s="93">
        <f>'[1]FROP (Internal)'!AC51</f>
        <v>0</v>
      </c>
      <c r="Z48" s="93">
        <f>'[1]FROP (Internal)'!AD51</f>
        <v>0</v>
      </c>
      <c r="AA48" s="93">
        <f>'[1]FROP (Internal)'!AE51</f>
        <v>0</v>
      </c>
      <c r="AB48" s="93">
        <f>'[1]FROP (Internal)'!AF51</f>
        <v>0</v>
      </c>
      <c r="AC48" s="94">
        <f>'[1]FROP (Internal)'!AG51</f>
        <v>0</v>
      </c>
      <c r="AD48" s="95">
        <f>'[1]FROP (Internal)'!AH51</f>
        <v>0</v>
      </c>
      <c r="AE48" s="93">
        <f>'[1]FROP (Internal)'!AI51</f>
        <v>0</v>
      </c>
      <c r="AF48" s="93">
        <f>'[1]FROP (Internal)'!AJ51</f>
        <v>0</v>
      </c>
      <c r="AG48" s="93">
        <f>'[1]FROP (Internal)'!AK51</f>
        <v>0</v>
      </c>
      <c r="AH48" s="93">
        <f>'[1]FROP (Internal)'!AL51</f>
        <v>0</v>
      </c>
      <c r="AI48" s="93">
        <f>'[1]FROP (Internal)'!AM51</f>
        <v>0</v>
      </c>
      <c r="AJ48" s="93">
        <f>'[1]FROP (Internal)'!AN51</f>
        <v>0</v>
      </c>
      <c r="AK48" s="93">
        <f>'[1]FROP (Internal)'!AO51</f>
        <v>0</v>
      </c>
      <c r="AL48" s="93">
        <f>'[1]FROP (Internal)'!AP51</f>
        <v>0</v>
      </c>
      <c r="AM48" s="93">
        <f>'[1]FROP (Internal)'!AQ51</f>
        <v>0</v>
      </c>
      <c r="AN48" s="93">
        <f>'[1]FROP (Internal)'!AR51</f>
        <v>0</v>
      </c>
      <c r="AO48" s="94">
        <f>'[1]FROP (Internal)'!AS51</f>
        <v>0</v>
      </c>
      <c r="AP48" s="95">
        <f>'[1]FROP (Internal)'!AT51</f>
        <v>0</v>
      </c>
      <c r="AQ48" s="93">
        <f>'[1]FROP (Internal)'!AU51</f>
        <v>0</v>
      </c>
      <c r="AR48" s="93">
        <f>'[1]FROP (Internal)'!AV51</f>
        <v>0</v>
      </c>
      <c r="AS48" s="93">
        <f>'[1]FROP (Internal)'!AW51</f>
        <v>0</v>
      </c>
      <c r="AT48" s="93">
        <f>'[1]FROP (Internal)'!AX51</f>
        <v>0</v>
      </c>
      <c r="AU48" s="93">
        <f>'[1]FROP (Internal)'!AY51</f>
        <v>0</v>
      </c>
      <c r="AV48" s="93">
        <f>'[1]FROP (Internal)'!AZ51</f>
        <v>0</v>
      </c>
      <c r="AW48" s="93">
        <f>'[1]FROP (Internal)'!BA51</f>
        <v>0</v>
      </c>
      <c r="AX48" s="93">
        <f>'[1]FROP (Internal)'!BB51</f>
        <v>0</v>
      </c>
      <c r="AY48" s="93">
        <f>'[1]FROP (Internal)'!BC51</f>
        <v>0</v>
      </c>
      <c r="AZ48" s="93">
        <f>'[1]FROP (Internal)'!BD51</f>
        <v>0</v>
      </c>
      <c r="BA48" s="94">
        <f>'[1]FROP (Internal)'!BE51</f>
        <v>0</v>
      </c>
      <c r="BB48" s="95">
        <f>'[1]FROP (Internal)'!BF51</f>
        <v>0</v>
      </c>
      <c r="BC48" s="93">
        <f>'[1]FROP (Internal)'!BG51</f>
        <v>0</v>
      </c>
      <c r="BD48" s="93">
        <f>'[1]FROP (Internal)'!BH51</f>
        <v>0</v>
      </c>
      <c r="BE48" s="93">
        <f>'[1]FROP (Internal)'!BI51</f>
        <v>0</v>
      </c>
      <c r="BF48" s="93">
        <f>'[1]FROP (Internal)'!BJ51</f>
        <v>0</v>
      </c>
      <c r="BG48" s="93">
        <f>'[1]FROP (Internal)'!BK51</f>
        <v>0</v>
      </c>
      <c r="BH48" s="93">
        <f>'[1]FROP (Internal)'!BL51</f>
        <v>0</v>
      </c>
      <c r="BI48" s="93">
        <f>'[1]FROP (Internal)'!BM51</f>
        <v>0</v>
      </c>
      <c r="BJ48" s="93">
        <f>'[1]FROP (Internal)'!BN51</f>
        <v>0</v>
      </c>
      <c r="BK48" s="93">
        <f>'[1]FROP (Internal)'!BO51</f>
        <v>0</v>
      </c>
      <c r="BL48" s="93">
        <f>'[1]FROP (Internal)'!BP51</f>
        <v>0</v>
      </c>
      <c r="BM48" s="94">
        <f>'[1]FROP (Internal)'!BQ51</f>
        <v>0</v>
      </c>
      <c r="BN48" s="95">
        <f>'[1]FROP (Internal)'!BR51</f>
        <v>0</v>
      </c>
      <c r="BO48" s="93">
        <f>'[1]FROP (Internal)'!BS51</f>
        <v>0</v>
      </c>
      <c r="BP48" s="93">
        <f>'[1]FROP (Internal)'!BT51</f>
        <v>0</v>
      </c>
      <c r="BQ48" s="93">
        <f>'[1]FROP (Internal)'!BU51</f>
        <v>0</v>
      </c>
      <c r="BR48" s="93">
        <f>'[1]FROP (Internal)'!BV51</f>
        <v>0</v>
      </c>
      <c r="BS48" s="94">
        <f>'[1]FROP (Internal)'!BW51</f>
        <v>0</v>
      </c>
    </row>
    <row r="49" spans="1:71" ht="20.100000000000001" customHeight="1">
      <c r="A49" s="45" t="s">
        <v>1079</v>
      </c>
      <c r="B49" s="662"/>
      <c r="C49" s="5" t="s">
        <v>697</v>
      </c>
      <c r="D49" s="89" t="str">
        <f>IF(AND('[1]FROP (Internal)'!G52="x",'[1]FROP (Internal)'!F52="N/A"),"x","N/A")</f>
        <v>x</v>
      </c>
      <c r="E49" s="89" t="str">
        <f>'[1]FROP (Internal)'!I52</f>
        <v>x</v>
      </c>
      <c r="F49" s="89" t="str">
        <f>'[1]FROP (Internal)'!J52</f>
        <v>N/A</v>
      </c>
      <c r="G49" s="89" t="str">
        <f>'[1]FROP (Internal)'!K52</f>
        <v>N/A</v>
      </c>
      <c r="H49" s="89" t="str">
        <f>'[1]FROP (Internal)'!L52</f>
        <v>N/A</v>
      </c>
      <c r="I49" s="89" t="str">
        <f>'[1]FROP (Internal)'!M52</f>
        <v>N/A</v>
      </c>
      <c r="J49" s="44" t="str">
        <f>'[1]FROP (Internal)'!N52</f>
        <v>x</v>
      </c>
      <c r="K49" s="96" t="str">
        <f>'[1]FROP (Internal)'!O52</f>
        <v>N/A</v>
      </c>
      <c r="L49" s="96" t="str">
        <f>'[1]FROP (Internal)'!P52</f>
        <v>N/A</v>
      </c>
      <c r="M49" s="12"/>
      <c r="N49" s="12"/>
      <c r="O49" s="97"/>
      <c r="P49" s="131" t="str">
        <f>'[1]FROP (Internal)'!T52</f>
        <v>QM</v>
      </c>
      <c r="Q49" s="91">
        <f>'[1]FROP (Internal)'!U52</f>
        <v>0</v>
      </c>
      <c r="R49" s="92">
        <f>'[1]FROP (Internal)'!V52</f>
        <v>0</v>
      </c>
      <c r="S49" s="93">
        <f>'[1]FROP (Internal)'!W52</f>
        <v>0</v>
      </c>
      <c r="T49" s="93">
        <f>'[1]FROP (Internal)'!X52</f>
        <v>0</v>
      </c>
      <c r="U49" s="93">
        <f>'[1]FROP (Internal)'!Y52</f>
        <v>2</v>
      </c>
      <c r="V49" s="93">
        <f>'[1]FROP (Internal)'!Z52</f>
        <v>0</v>
      </c>
      <c r="W49" s="93">
        <f>'[1]FROP (Internal)'!AA52</f>
        <v>3</v>
      </c>
      <c r="X49" s="93">
        <f>'[1]FROP (Internal)'!AB52</f>
        <v>0</v>
      </c>
      <c r="Y49" s="93">
        <f>'[1]FROP (Internal)'!AC52</f>
        <v>0</v>
      </c>
      <c r="Z49" s="93">
        <f>'[1]FROP (Internal)'!AD52</f>
        <v>3</v>
      </c>
      <c r="AA49" s="93">
        <f>'[1]FROP (Internal)'!AE52</f>
        <v>0</v>
      </c>
      <c r="AB49" s="93">
        <f>'[1]FROP (Internal)'!AF52</f>
        <v>0</v>
      </c>
      <c r="AC49" s="94">
        <f>'[1]FROP (Internal)'!AG52</f>
        <v>3</v>
      </c>
      <c r="AD49" s="95">
        <f>'[1]FROP (Internal)'!AH52</f>
        <v>0</v>
      </c>
      <c r="AE49" s="93">
        <f>'[1]FROP (Internal)'!AI52</f>
        <v>0</v>
      </c>
      <c r="AF49" s="93">
        <f>'[1]FROP (Internal)'!AJ52</f>
        <v>3</v>
      </c>
      <c r="AG49" s="93">
        <f>'[1]FROP (Internal)'!AK52</f>
        <v>0</v>
      </c>
      <c r="AH49" s="93">
        <f>'[1]FROP (Internal)'!AL52</f>
        <v>4</v>
      </c>
      <c r="AI49" s="93">
        <f>'[1]FROP (Internal)'!AM52</f>
        <v>0</v>
      </c>
      <c r="AJ49" s="93">
        <f>'[1]FROP (Internal)'!AN52</f>
        <v>0</v>
      </c>
      <c r="AK49" s="93">
        <f>'[1]FROP (Internal)'!AO52</f>
        <v>4</v>
      </c>
      <c r="AL49" s="93">
        <f>'[1]FROP (Internal)'!AP52</f>
        <v>0</v>
      </c>
      <c r="AM49" s="93">
        <f>'[1]FROP (Internal)'!AQ52</f>
        <v>0</v>
      </c>
      <c r="AN49" s="93">
        <f>'[1]FROP (Internal)'!AR52</f>
        <v>4</v>
      </c>
      <c r="AO49" s="94">
        <f>'[1]FROP (Internal)'!AS52</f>
        <v>0</v>
      </c>
      <c r="AP49" s="95">
        <f>'[1]FROP (Internal)'!AT52</f>
        <v>0</v>
      </c>
      <c r="AQ49" s="93">
        <f>'[1]FROP (Internal)'!AU52</f>
        <v>4</v>
      </c>
      <c r="AR49" s="93">
        <f>'[1]FROP (Internal)'!AV52</f>
        <v>0</v>
      </c>
      <c r="AS49" s="93">
        <f>'[1]FROP (Internal)'!AW52</f>
        <v>5</v>
      </c>
      <c r="AT49" s="93">
        <f>'[1]FROP (Internal)'!AX52</f>
        <v>0</v>
      </c>
      <c r="AU49" s="93">
        <f>'[1]FROP (Internal)'!AY52</f>
        <v>0</v>
      </c>
      <c r="AV49" s="93">
        <f>'[1]FROP (Internal)'!AZ52</f>
        <v>5</v>
      </c>
      <c r="AW49" s="93">
        <f>'[1]FROP (Internal)'!BA52</f>
        <v>0</v>
      </c>
      <c r="AX49" s="93">
        <f>'[1]FROP (Internal)'!BB52</f>
        <v>0</v>
      </c>
      <c r="AY49" s="93">
        <f>'[1]FROP (Internal)'!BC52</f>
        <v>0</v>
      </c>
      <c r="AZ49" s="93">
        <f>'[1]FROP (Internal)'!BD52</f>
        <v>0</v>
      </c>
      <c r="BA49" s="94">
        <f>'[1]FROP (Internal)'!BE52</f>
        <v>0</v>
      </c>
      <c r="BB49" s="95">
        <f>'[1]FROP (Internal)'!BF52</f>
        <v>0</v>
      </c>
      <c r="BC49" s="93">
        <f>'[1]FROP (Internal)'!BG52</f>
        <v>0</v>
      </c>
      <c r="BD49" s="93">
        <f>'[1]FROP (Internal)'!BH52</f>
        <v>0</v>
      </c>
      <c r="BE49" s="93">
        <f>'[1]FROP (Internal)'!BI52</f>
        <v>0</v>
      </c>
      <c r="BF49" s="93">
        <f>'[1]FROP (Internal)'!BJ52</f>
        <v>0</v>
      </c>
      <c r="BG49" s="93">
        <f>'[1]FROP (Internal)'!BK52</f>
        <v>0</v>
      </c>
      <c r="BH49" s="93">
        <f>'[1]FROP (Internal)'!BL52</f>
        <v>0</v>
      </c>
      <c r="BI49" s="93">
        <f>'[1]FROP (Internal)'!BM52</f>
        <v>0</v>
      </c>
      <c r="BJ49" s="93">
        <f>'[1]FROP (Internal)'!BN52</f>
        <v>0</v>
      </c>
      <c r="BK49" s="93">
        <f>'[1]FROP (Internal)'!BO52</f>
        <v>0</v>
      </c>
      <c r="BL49" s="93">
        <f>'[1]FROP (Internal)'!BP52</f>
        <v>0</v>
      </c>
      <c r="BM49" s="94">
        <f>'[1]FROP (Internal)'!BQ52</f>
        <v>0</v>
      </c>
      <c r="BN49" s="95">
        <f>'[1]FROP (Internal)'!BR52</f>
        <v>0</v>
      </c>
      <c r="BO49" s="93">
        <f>'[1]FROP (Internal)'!BS52</f>
        <v>0</v>
      </c>
      <c r="BP49" s="93">
        <f>'[1]FROP (Internal)'!BT52</f>
        <v>0</v>
      </c>
      <c r="BQ49" s="93">
        <f>'[1]FROP (Internal)'!BU52</f>
        <v>0</v>
      </c>
      <c r="BR49" s="93">
        <f>'[1]FROP (Internal)'!BV52</f>
        <v>0</v>
      </c>
      <c r="BS49" s="94">
        <f>'[1]FROP (Internal)'!BW52</f>
        <v>0</v>
      </c>
    </row>
    <row r="50" spans="1:71" ht="20.100000000000001" customHeight="1">
      <c r="A50" s="44" t="s">
        <v>1080</v>
      </c>
      <c r="B50" s="16" t="s">
        <v>1081</v>
      </c>
      <c r="C50" s="5" t="s">
        <v>457</v>
      </c>
      <c r="D50" s="89" t="str">
        <f>IF(AND('[1]FROP (Internal)'!G53="x",'[1]FROP (Internal)'!F53="N/A"),"x","N/A")</f>
        <v>x</v>
      </c>
      <c r="E50" s="89" t="str">
        <f>'[1]FROP (Internal)'!I53</f>
        <v>x</v>
      </c>
      <c r="F50" s="89" t="str">
        <f>'[1]FROP (Internal)'!J53</f>
        <v>N/A</v>
      </c>
      <c r="G50" s="89" t="str">
        <f>'[1]FROP (Internal)'!K53</f>
        <v>N/A</v>
      </c>
      <c r="H50" s="89" t="str">
        <f>'[1]FROP (Internal)'!L53</f>
        <v>N/A</v>
      </c>
      <c r="I50" s="89" t="str">
        <f>'[1]FROP (Internal)'!M53</f>
        <v>N/A</v>
      </c>
      <c r="J50" s="44" t="str">
        <f>'[1]FROP (Internal)'!N53</f>
        <v>x</v>
      </c>
      <c r="K50" s="96" t="str">
        <f>'[1]FROP (Internal)'!O53</f>
        <v>N/A</v>
      </c>
      <c r="L50" s="96" t="str">
        <f>'[1]FROP (Internal)'!P53</f>
        <v>N/A</v>
      </c>
      <c r="M50" s="12"/>
      <c r="N50" s="12"/>
      <c r="O50" s="97"/>
      <c r="P50" s="131" t="str">
        <f>'[1]FROP (Internal)'!T53</f>
        <v>QM</v>
      </c>
      <c r="Q50" s="91">
        <f>'[1]FROP (Internal)'!U53</f>
        <v>0</v>
      </c>
      <c r="R50" s="92">
        <f>'[1]FROP (Internal)'!V53</f>
        <v>0</v>
      </c>
      <c r="S50" s="93">
        <f>'[1]FROP (Internal)'!W53</f>
        <v>0</v>
      </c>
      <c r="T50" s="93">
        <f>'[1]FROP (Internal)'!X53</f>
        <v>0</v>
      </c>
      <c r="U50" s="93">
        <f>'[1]FROP (Internal)'!Y53</f>
        <v>2</v>
      </c>
      <c r="V50" s="93">
        <f>'[1]FROP (Internal)'!Z53</f>
        <v>0</v>
      </c>
      <c r="W50" s="93">
        <f>'[1]FROP (Internal)'!AA53</f>
        <v>3</v>
      </c>
      <c r="X50" s="93">
        <f>'[1]FROP (Internal)'!AB53</f>
        <v>0</v>
      </c>
      <c r="Y50" s="93">
        <f>'[1]FROP (Internal)'!AC53</f>
        <v>0</v>
      </c>
      <c r="Z50" s="93">
        <f>'[1]FROP (Internal)'!AD53</f>
        <v>3</v>
      </c>
      <c r="AA50" s="93">
        <f>'[1]FROP (Internal)'!AE53</f>
        <v>0</v>
      </c>
      <c r="AB50" s="93">
        <f>'[1]FROP (Internal)'!AF53</f>
        <v>0</v>
      </c>
      <c r="AC50" s="94">
        <f>'[1]FROP (Internal)'!AG53</f>
        <v>3</v>
      </c>
      <c r="AD50" s="95">
        <f>'[1]FROP (Internal)'!AH53</f>
        <v>0</v>
      </c>
      <c r="AE50" s="93">
        <f>'[1]FROP (Internal)'!AI53</f>
        <v>0</v>
      </c>
      <c r="AF50" s="93">
        <f>'[1]FROP (Internal)'!AJ53</f>
        <v>3</v>
      </c>
      <c r="AG50" s="93">
        <f>'[1]FROP (Internal)'!AK53</f>
        <v>0</v>
      </c>
      <c r="AH50" s="93">
        <f>'[1]FROP (Internal)'!AL53</f>
        <v>4</v>
      </c>
      <c r="AI50" s="93">
        <f>'[1]FROP (Internal)'!AM53</f>
        <v>0</v>
      </c>
      <c r="AJ50" s="93">
        <f>'[1]FROP (Internal)'!AN53</f>
        <v>0</v>
      </c>
      <c r="AK50" s="93">
        <f>'[1]FROP (Internal)'!AO53</f>
        <v>4</v>
      </c>
      <c r="AL50" s="93">
        <f>'[1]FROP (Internal)'!AP53</f>
        <v>0</v>
      </c>
      <c r="AM50" s="93">
        <f>'[1]FROP (Internal)'!AQ53</f>
        <v>0</v>
      </c>
      <c r="AN50" s="93">
        <f>'[1]FROP (Internal)'!AR53</f>
        <v>4</v>
      </c>
      <c r="AO50" s="94">
        <f>'[1]FROP (Internal)'!AS53</f>
        <v>0</v>
      </c>
      <c r="AP50" s="95">
        <f>'[1]FROP (Internal)'!AT53</f>
        <v>0</v>
      </c>
      <c r="AQ50" s="93">
        <f>'[1]FROP (Internal)'!AU53</f>
        <v>4</v>
      </c>
      <c r="AR50" s="93">
        <f>'[1]FROP (Internal)'!AV53</f>
        <v>0</v>
      </c>
      <c r="AS50" s="93">
        <f>'[1]FROP (Internal)'!AW53</f>
        <v>5</v>
      </c>
      <c r="AT50" s="93">
        <f>'[1]FROP (Internal)'!AX53</f>
        <v>0</v>
      </c>
      <c r="AU50" s="93">
        <f>'[1]FROP (Internal)'!AY53</f>
        <v>0</v>
      </c>
      <c r="AV50" s="93">
        <f>'[1]FROP (Internal)'!AZ53</f>
        <v>5</v>
      </c>
      <c r="AW50" s="93">
        <f>'[1]FROP (Internal)'!BA53</f>
        <v>0</v>
      </c>
      <c r="AX50" s="93">
        <f>'[1]FROP (Internal)'!BB53</f>
        <v>0</v>
      </c>
      <c r="AY50" s="93">
        <f>'[1]FROP (Internal)'!BC53</f>
        <v>0</v>
      </c>
      <c r="AZ50" s="93">
        <f>'[1]FROP (Internal)'!BD53</f>
        <v>0</v>
      </c>
      <c r="BA50" s="94">
        <f>'[1]FROP (Internal)'!BE53</f>
        <v>0</v>
      </c>
      <c r="BB50" s="95">
        <f>'[1]FROP (Internal)'!BF53</f>
        <v>0</v>
      </c>
      <c r="BC50" s="93">
        <f>'[1]FROP (Internal)'!BG53</f>
        <v>0</v>
      </c>
      <c r="BD50" s="93">
        <f>'[1]FROP (Internal)'!BH53</f>
        <v>0</v>
      </c>
      <c r="BE50" s="93">
        <f>'[1]FROP (Internal)'!BI53</f>
        <v>0</v>
      </c>
      <c r="BF50" s="93">
        <f>'[1]FROP (Internal)'!BJ53</f>
        <v>0</v>
      </c>
      <c r="BG50" s="93">
        <f>'[1]FROP (Internal)'!BK53</f>
        <v>0</v>
      </c>
      <c r="BH50" s="93">
        <f>'[1]FROP (Internal)'!BL53</f>
        <v>0</v>
      </c>
      <c r="BI50" s="93">
        <f>'[1]FROP (Internal)'!BM53</f>
        <v>0</v>
      </c>
      <c r="BJ50" s="93">
        <f>'[1]FROP (Internal)'!BN53</f>
        <v>0</v>
      </c>
      <c r="BK50" s="93">
        <f>'[1]FROP (Internal)'!BO53</f>
        <v>0</v>
      </c>
      <c r="BL50" s="93">
        <f>'[1]FROP (Internal)'!BP53</f>
        <v>0</v>
      </c>
      <c r="BM50" s="94">
        <f>'[1]FROP (Internal)'!BQ53</f>
        <v>0</v>
      </c>
      <c r="BN50" s="95">
        <f>'[1]FROP (Internal)'!BR53</f>
        <v>0</v>
      </c>
      <c r="BO50" s="93">
        <f>'[1]FROP (Internal)'!BS53</f>
        <v>0</v>
      </c>
      <c r="BP50" s="93">
        <f>'[1]FROP (Internal)'!BT53</f>
        <v>0</v>
      </c>
      <c r="BQ50" s="93">
        <f>'[1]FROP (Internal)'!BU53</f>
        <v>0</v>
      </c>
      <c r="BR50" s="93">
        <f>'[1]FROP (Internal)'!BV53</f>
        <v>0</v>
      </c>
      <c r="BS50" s="94">
        <f>'[1]FROP (Internal)'!BW53</f>
        <v>0</v>
      </c>
    </row>
    <row r="51" spans="1:71" ht="20.100000000000001" hidden="1" customHeight="1">
      <c r="A51" s="44" t="s">
        <v>1082</v>
      </c>
      <c r="B51" s="16" t="s">
        <v>1083</v>
      </c>
      <c r="C51" s="5" t="s">
        <v>636</v>
      </c>
      <c r="D51" s="89" t="str">
        <f>IF(AND('[1]FROP (Internal)'!G54="x",'[1]FROP (Internal)'!F54="N/A"),"x","N/A")</f>
        <v>N/A</v>
      </c>
      <c r="E51" s="89" t="str">
        <f>'[1]FROP (Internal)'!I54</f>
        <v>N/A</v>
      </c>
      <c r="F51" s="89" t="str">
        <f>'[1]FROP (Internal)'!J54</f>
        <v>N/A</v>
      </c>
      <c r="G51" s="89" t="str">
        <f>'[1]FROP (Internal)'!K54</f>
        <v>N/A</v>
      </c>
      <c r="H51" s="89" t="str">
        <f>'[1]FROP (Internal)'!L54</f>
        <v>N/A</v>
      </c>
      <c r="I51" s="89" t="str">
        <f>'[1]FROP (Internal)'!M54</f>
        <v>N/A</v>
      </c>
      <c r="J51" s="44" t="str">
        <f>'[1]FROP (Internal)'!N54</f>
        <v>N/A</v>
      </c>
      <c r="K51" s="96" t="str">
        <f>'[1]FROP (Internal)'!O54</f>
        <v>N/A</v>
      </c>
      <c r="L51" s="96" t="str">
        <f>'[1]FROP (Internal)'!P54</f>
        <v>N/A</v>
      </c>
      <c r="M51" s="12"/>
      <c r="N51" s="12"/>
      <c r="O51" s="97"/>
      <c r="P51" s="34" t="str">
        <f>'[1]FROP (Internal)'!T54</f>
        <v>QM</v>
      </c>
      <c r="Q51" s="91">
        <f>'[1]FROP (Internal)'!U54</f>
        <v>0</v>
      </c>
      <c r="R51" s="92">
        <f>'[1]FROP (Internal)'!V54</f>
        <v>0</v>
      </c>
      <c r="S51" s="93">
        <f>'[1]FROP (Internal)'!W54</f>
        <v>0</v>
      </c>
      <c r="T51" s="93">
        <f>'[1]FROP (Internal)'!X54</f>
        <v>0</v>
      </c>
      <c r="U51" s="93">
        <f>'[1]FROP (Internal)'!Y54</f>
        <v>0</v>
      </c>
      <c r="V51" s="93">
        <f>'[1]FROP (Internal)'!Z54</f>
        <v>0</v>
      </c>
      <c r="W51" s="93">
        <f>'[1]FROP (Internal)'!AA54</f>
        <v>0</v>
      </c>
      <c r="X51" s="93">
        <f>'[1]FROP (Internal)'!AB54</f>
        <v>0</v>
      </c>
      <c r="Y51" s="93">
        <f>'[1]FROP (Internal)'!AC54</f>
        <v>0</v>
      </c>
      <c r="Z51" s="93">
        <f>'[1]FROP (Internal)'!AD54</f>
        <v>0</v>
      </c>
      <c r="AA51" s="93">
        <f>'[1]FROP (Internal)'!AE54</f>
        <v>0</v>
      </c>
      <c r="AB51" s="93">
        <f>'[1]FROP (Internal)'!AF54</f>
        <v>0</v>
      </c>
      <c r="AC51" s="94">
        <f>'[1]FROP (Internal)'!AG54</f>
        <v>0</v>
      </c>
      <c r="AD51" s="95">
        <f>'[1]FROP (Internal)'!AH54</f>
        <v>0</v>
      </c>
      <c r="AE51" s="93">
        <f>'[1]FROP (Internal)'!AI54</f>
        <v>0</v>
      </c>
      <c r="AF51" s="93">
        <f>'[1]FROP (Internal)'!AJ54</f>
        <v>0</v>
      </c>
      <c r="AG51" s="93">
        <f>'[1]FROP (Internal)'!AK54</f>
        <v>0</v>
      </c>
      <c r="AH51" s="93">
        <f>'[1]FROP (Internal)'!AL54</f>
        <v>0</v>
      </c>
      <c r="AI51" s="93">
        <f>'[1]FROP (Internal)'!AM54</f>
        <v>0</v>
      </c>
      <c r="AJ51" s="93">
        <f>'[1]FROP (Internal)'!AN54</f>
        <v>0</v>
      </c>
      <c r="AK51" s="93">
        <f>'[1]FROP (Internal)'!AO54</f>
        <v>0</v>
      </c>
      <c r="AL51" s="93">
        <f>'[1]FROP (Internal)'!AP54</f>
        <v>0</v>
      </c>
      <c r="AM51" s="93">
        <f>'[1]FROP (Internal)'!AQ54</f>
        <v>0</v>
      </c>
      <c r="AN51" s="93">
        <f>'[1]FROP (Internal)'!AR54</f>
        <v>0</v>
      </c>
      <c r="AO51" s="94">
        <f>'[1]FROP (Internal)'!AS54</f>
        <v>0</v>
      </c>
      <c r="AP51" s="95">
        <f>'[1]FROP (Internal)'!AT54</f>
        <v>0</v>
      </c>
      <c r="AQ51" s="93">
        <f>'[1]FROP (Internal)'!AU54</f>
        <v>0</v>
      </c>
      <c r="AR51" s="93">
        <f>'[1]FROP (Internal)'!AV54</f>
        <v>0</v>
      </c>
      <c r="AS51" s="93">
        <f>'[1]FROP (Internal)'!AW54</f>
        <v>0</v>
      </c>
      <c r="AT51" s="93">
        <f>'[1]FROP (Internal)'!AX54</f>
        <v>0</v>
      </c>
      <c r="AU51" s="93">
        <f>'[1]FROP (Internal)'!AY54</f>
        <v>0</v>
      </c>
      <c r="AV51" s="93">
        <f>'[1]FROP (Internal)'!AZ54</f>
        <v>0</v>
      </c>
      <c r="AW51" s="93">
        <f>'[1]FROP (Internal)'!BA54</f>
        <v>0</v>
      </c>
      <c r="AX51" s="93">
        <f>'[1]FROP (Internal)'!BB54</f>
        <v>0</v>
      </c>
      <c r="AY51" s="93">
        <f>'[1]FROP (Internal)'!BC54</f>
        <v>0</v>
      </c>
      <c r="AZ51" s="93">
        <f>'[1]FROP (Internal)'!BD54</f>
        <v>0</v>
      </c>
      <c r="BA51" s="94">
        <f>'[1]FROP (Internal)'!BE54</f>
        <v>0</v>
      </c>
      <c r="BB51" s="95">
        <f>'[1]FROP (Internal)'!BF54</f>
        <v>0</v>
      </c>
      <c r="BC51" s="93">
        <f>'[1]FROP (Internal)'!BG54</f>
        <v>0</v>
      </c>
      <c r="BD51" s="93">
        <f>'[1]FROP (Internal)'!BH54</f>
        <v>0</v>
      </c>
      <c r="BE51" s="93">
        <f>'[1]FROP (Internal)'!BI54</f>
        <v>0</v>
      </c>
      <c r="BF51" s="93">
        <f>'[1]FROP (Internal)'!BJ54</f>
        <v>0</v>
      </c>
      <c r="BG51" s="93">
        <f>'[1]FROP (Internal)'!BK54</f>
        <v>0</v>
      </c>
      <c r="BH51" s="93">
        <f>'[1]FROP (Internal)'!BL54</f>
        <v>0</v>
      </c>
      <c r="BI51" s="93">
        <f>'[1]FROP (Internal)'!BM54</f>
        <v>0</v>
      </c>
      <c r="BJ51" s="93">
        <f>'[1]FROP (Internal)'!BN54</f>
        <v>0</v>
      </c>
      <c r="BK51" s="93">
        <f>'[1]FROP (Internal)'!BO54</f>
        <v>0</v>
      </c>
      <c r="BL51" s="93">
        <f>'[1]FROP (Internal)'!BP54</f>
        <v>0</v>
      </c>
      <c r="BM51" s="94">
        <f>'[1]FROP (Internal)'!BQ54</f>
        <v>0</v>
      </c>
      <c r="BN51" s="95">
        <f>'[1]FROP (Internal)'!BR54</f>
        <v>0</v>
      </c>
      <c r="BO51" s="93">
        <f>'[1]FROP (Internal)'!BS54</f>
        <v>0</v>
      </c>
      <c r="BP51" s="93">
        <f>'[1]FROP (Internal)'!BT54</f>
        <v>0</v>
      </c>
      <c r="BQ51" s="93">
        <f>'[1]FROP (Internal)'!BU54</f>
        <v>0</v>
      </c>
      <c r="BR51" s="93">
        <f>'[1]FROP (Internal)'!BV54</f>
        <v>0</v>
      </c>
      <c r="BS51" s="94">
        <f>'[1]FROP (Internal)'!BW54</f>
        <v>0</v>
      </c>
    </row>
    <row r="52" spans="1:71" ht="20.100000000000001" customHeight="1">
      <c r="A52" s="46" t="s">
        <v>1084</v>
      </c>
      <c r="B52" s="662" t="s">
        <v>1085</v>
      </c>
      <c r="C52" s="16" t="s">
        <v>432</v>
      </c>
      <c r="D52" s="89" t="str">
        <f>IF(AND('[1]FROP (Internal)'!G55="x",'[1]FROP (Internal)'!F55="N/A"),"x","N/A")</f>
        <v>x</v>
      </c>
      <c r="E52" s="89" t="str">
        <f>'[1]FROP (Internal)'!I55</f>
        <v>x</v>
      </c>
      <c r="F52" s="89" t="str">
        <f>'[1]FROP (Internal)'!J55</f>
        <v>N/A</v>
      </c>
      <c r="G52" s="89" t="str">
        <f>'[1]FROP (Internal)'!K55</f>
        <v>N/A</v>
      </c>
      <c r="H52" s="89" t="str">
        <f>'[1]FROP (Internal)'!L55</f>
        <v>N/A</v>
      </c>
      <c r="I52" s="89" t="str">
        <f>'[1]FROP (Internal)'!M55</f>
        <v>N/A</v>
      </c>
      <c r="J52" s="44" t="str">
        <f>'[1]FROP (Internal)'!N55</f>
        <v>x</v>
      </c>
      <c r="K52" s="96" t="str">
        <f>'[1]FROP (Internal)'!O55</f>
        <v>N/A</v>
      </c>
      <c r="L52" s="96" t="str">
        <f>'[1]FROP (Internal)'!P55</f>
        <v>N/A</v>
      </c>
      <c r="M52" s="12"/>
      <c r="N52" s="12"/>
      <c r="O52" s="97"/>
      <c r="P52" s="131" t="str">
        <f>'[1]FROP (Internal)'!T55</f>
        <v>QM</v>
      </c>
      <c r="Q52" s="91">
        <f>'[1]FROP (Internal)'!U55</f>
        <v>0</v>
      </c>
      <c r="R52" s="92">
        <f>'[1]FROP (Internal)'!V55</f>
        <v>0</v>
      </c>
      <c r="S52" s="93">
        <f>'[1]FROP (Internal)'!W55</f>
        <v>0</v>
      </c>
      <c r="T52" s="93">
        <f>'[1]FROP (Internal)'!X55</f>
        <v>0</v>
      </c>
      <c r="U52" s="93">
        <f>'[1]FROP (Internal)'!Y55</f>
        <v>2</v>
      </c>
      <c r="V52" s="93">
        <f>'[1]FROP (Internal)'!Z55</f>
        <v>0</v>
      </c>
      <c r="W52" s="93">
        <f>'[1]FROP (Internal)'!AA55</f>
        <v>3</v>
      </c>
      <c r="X52" s="93">
        <f>'[1]FROP (Internal)'!AB55</f>
        <v>0</v>
      </c>
      <c r="Y52" s="93">
        <f>'[1]FROP (Internal)'!AC55</f>
        <v>0</v>
      </c>
      <c r="Z52" s="93">
        <f>'[1]FROP (Internal)'!AD55</f>
        <v>3</v>
      </c>
      <c r="AA52" s="93">
        <f>'[1]FROP (Internal)'!AE55</f>
        <v>0</v>
      </c>
      <c r="AB52" s="93">
        <f>'[1]FROP (Internal)'!AF55</f>
        <v>0</v>
      </c>
      <c r="AC52" s="94">
        <f>'[1]FROP (Internal)'!AG55</f>
        <v>3</v>
      </c>
      <c r="AD52" s="95">
        <f>'[1]FROP (Internal)'!AH55</f>
        <v>0</v>
      </c>
      <c r="AE52" s="93">
        <f>'[1]FROP (Internal)'!AI55</f>
        <v>0</v>
      </c>
      <c r="AF52" s="93">
        <f>'[1]FROP (Internal)'!AJ55</f>
        <v>3</v>
      </c>
      <c r="AG52" s="93">
        <f>'[1]FROP (Internal)'!AK55</f>
        <v>0</v>
      </c>
      <c r="AH52" s="93">
        <f>'[1]FROP (Internal)'!AL55</f>
        <v>4</v>
      </c>
      <c r="AI52" s="93">
        <f>'[1]FROP (Internal)'!AM55</f>
        <v>0</v>
      </c>
      <c r="AJ52" s="93">
        <f>'[1]FROP (Internal)'!AN55</f>
        <v>0</v>
      </c>
      <c r="AK52" s="93">
        <f>'[1]FROP (Internal)'!AO55</f>
        <v>4</v>
      </c>
      <c r="AL52" s="93">
        <f>'[1]FROP (Internal)'!AP55</f>
        <v>0</v>
      </c>
      <c r="AM52" s="93">
        <f>'[1]FROP (Internal)'!AQ55</f>
        <v>0</v>
      </c>
      <c r="AN52" s="93">
        <f>'[1]FROP (Internal)'!AR55</f>
        <v>4</v>
      </c>
      <c r="AO52" s="94">
        <f>'[1]FROP (Internal)'!AS55</f>
        <v>0</v>
      </c>
      <c r="AP52" s="95">
        <f>'[1]FROP (Internal)'!AT55</f>
        <v>0</v>
      </c>
      <c r="AQ52" s="93">
        <f>'[1]FROP (Internal)'!AU55</f>
        <v>4</v>
      </c>
      <c r="AR52" s="93">
        <f>'[1]FROP (Internal)'!AV55</f>
        <v>0</v>
      </c>
      <c r="AS52" s="93">
        <f>'[1]FROP (Internal)'!AW55</f>
        <v>5</v>
      </c>
      <c r="AT52" s="93">
        <f>'[1]FROP (Internal)'!AX55</f>
        <v>0</v>
      </c>
      <c r="AU52" s="93">
        <f>'[1]FROP (Internal)'!AY55</f>
        <v>0</v>
      </c>
      <c r="AV52" s="93">
        <f>'[1]FROP (Internal)'!AZ55</f>
        <v>5</v>
      </c>
      <c r="AW52" s="93">
        <f>'[1]FROP (Internal)'!BA55</f>
        <v>0</v>
      </c>
      <c r="AX52" s="93">
        <f>'[1]FROP (Internal)'!BB55</f>
        <v>0</v>
      </c>
      <c r="AY52" s="93">
        <f>'[1]FROP (Internal)'!BC55</f>
        <v>0</v>
      </c>
      <c r="AZ52" s="93">
        <f>'[1]FROP (Internal)'!BD55</f>
        <v>0</v>
      </c>
      <c r="BA52" s="94">
        <f>'[1]FROP (Internal)'!BE55</f>
        <v>0</v>
      </c>
      <c r="BB52" s="95">
        <f>'[1]FROP (Internal)'!BF55</f>
        <v>0</v>
      </c>
      <c r="BC52" s="93">
        <f>'[1]FROP (Internal)'!BG55</f>
        <v>0</v>
      </c>
      <c r="BD52" s="93">
        <f>'[1]FROP (Internal)'!BH55</f>
        <v>0</v>
      </c>
      <c r="BE52" s="93">
        <f>'[1]FROP (Internal)'!BI55</f>
        <v>0</v>
      </c>
      <c r="BF52" s="93">
        <f>'[1]FROP (Internal)'!BJ55</f>
        <v>0</v>
      </c>
      <c r="BG52" s="93">
        <f>'[1]FROP (Internal)'!BK55</f>
        <v>0</v>
      </c>
      <c r="BH52" s="93">
        <f>'[1]FROP (Internal)'!BL55</f>
        <v>0</v>
      </c>
      <c r="BI52" s="93">
        <f>'[1]FROP (Internal)'!BM55</f>
        <v>0</v>
      </c>
      <c r="BJ52" s="93">
        <f>'[1]FROP (Internal)'!BN55</f>
        <v>0</v>
      </c>
      <c r="BK52" s="93">
        <f>'[1]FROP (Internal)'!BO55</f>
        <v>0</v>
      </c>
      <c r="BL52" s="93">
        <f>'[1]FROP (Internal)'!BP55</f>
        <v>0</v>
      </c>
      <c r="BM52" s="94">
        <f>'[1]FROP (Internal)'!BQ55</f>
        <v>0</v>
      </c>
      <c r="BN52" s="95">
        <f>'[1]FROP (Internal)'!BR55</f>
        <v>0</v>
      </c>
      <c r="BO52" s="93">
        <f>'[1]FROP (Internal)'!BS55</f>
        <v>0</v>
      </c>
      <c r="BP52" s="93">
        <f>'[1]FROP (Internal)'!BT55</f>
        <v>0</v>
      </c>
      <c r="BQ52" s="93">
        <f>'[1]FROP (Internal)'!BU55</f>
        <v>0</v>
      </c>
      <c r="BR52" s="93">
        <f>'[1]FROP (Internal)'!BV55</f>
        <v>0</v>
      </c>
      <c r="BS52" s="94">
        <f>'[1]FROP (Internal)'!BW55</f>
        <v>0</v>
      </c>
    </row>
    <row r="53" spans="1:71" ht="20.100000000000001" hidden="1" customHeight="1">
      <c r="A53" s="44" t="s">
        <v>1086</v>
      </c>
      <c r="B53" s="662"/>
      <c r="C53" s="5" t="s">
        <v>461</v>
      </c>
      <c r="D53" s="89" t="str">
        <f>IF(AND('[1]FROP (Internal)'!G56="x",'[1]FROP (Internal)'!F56="N/A"),"x","N/A")</f>
        <v>N/A</v>
      </c>
      <c r="E53" s="89" t="str">
        <f>'[1]FROP (Internal)'!I56</f>
        <v>N/A</v>
      </c>
      <c r="F53" s="89" t="str">
        <f>'[1]FROP (Internal)'!J56</f>
        <v>N/A</v>
      </c>
      <c r="G53" s="89" t="str">
        <f>'[1]FROP (Internal)'!K56</f>
        <v>N/A</v>
      </c>
      <c r="H53" s="89" t="str">
        <f>'[1]FROP (Internal)'!L56</f>
        <v>N/A</v>
      </c>
      <c r="I53" s="89" t="str">
        <f>'[1]FROP (Internal)'!M56</f>
        <v>N/A</v>
      </c>
      <c r="J53" s="44" t="str">
        <f>'[1]FROP (Internal)'!N56</f>
        <v>N/A</v>
      </c>
      <c r="K53" s="96" t="str">
        <f>'[1]FROP (Internal)'!O56</f>
        <v>N/A</v>
      </c>
      <c r="L53" s="96" t="str">
        <f>'[1]FROP (Internal)'!P56</f>
        <v>N/A</v>
      </c>
      <c r="M53" s="12"/>
      <c r="N53" s="12"/>
      <c r="O53" s="97"/>
      <c r="P53" s="34" t="str">
        <f>'[1]FROP (Internal)'!T56</f>
        <v>QM</v>
      </c>
      <c r="Q53" s="91">
        <f>'[1]FROP (Internal)'!U56</f>
        <v>0</v>
      </c>
      <c r="R53" s="92">
        <f>'[1]FROP (Internal)'!V56</f>
        <v>0</v>
      </c>
      <c r="S53" s="93">
        <f>'[1]FROP (Internal)'!W56</f>
        <v>0</v>
      </c>
      <c r="T53" s="93">
        <f>'[1]FROP (Internal)'!X56</f>
        <v>0</v>
      </c>
      <c r="U53" s="93">
        <f>'[1]FROP (Internal)'!Y56</f>
        <v>0</v>
      </c>
      <c r="V53" s="93">
        <f>'[1]FROP (Internal)'!Z56</f>
        <v>0</v>
      </c>
      <c r="W53" s="93">
        <f>'[1]FROP (Internal)'!AA56</f>
        <v>0</v>
      </c>
      <c r="X53" s="93">
        <f>'[1]FROP (Internal)'!AB56</f>
        <v>0</v>
      </c>
      <c r="Y53" s="93">
        <f>'[1]FROP (Internal)'!AC56</f>
        <v>0</v>
      </c>
      <c r="Z53" s="93">
        <f>'[1]FROP (Internal)'!AD56</f>
        <v>0</v>
      </c>
      <c r="AA53" s="93">
        <f>'[1]FROP (Internal)'!AE56</f>
        <v>0</v>
      </c>
      <c r="AB53" s="93">
        <f>'[1]FROP (Internal)'!AF56</f>
        <v>0</v>
      </c>
      <c r="AC53" s="94">
        <f>'[1]FROP (Internal)'!AG56</f>
        <v>0</v>
      </c>
      <c r="AD53" s="95">
        <f>'[1]FROP (Internal)'!AH56</f>
        <v>0</v>
      </c>
      <c r="AE53" s="93">
        <f>'[1]FROP (Internal)'!AI56</f>
        <v>0</v>
      </c>
      <c r="AF53" s="93">
        <f>'[1]FROP (Internal)'!AJ56</f>
        <v>0</v>
      </c>
      <c r="AG53" s="93">
        <f>'[1]FROP (Internal)'!AK56</f>
        <v>0</v>
      </c>
      <c r="AH53" s="93">
        <f>'[1]FROP (Internal)'!AL56</f>
        <v>0</v>
      </c>
      <c r="AI53" s="93">
        <f>'[1]FROP (Internal)'!AM56</f>
        <v>0</v>
      </c>
      <c r="AJ53" s="93">
        <f>'[1]FROP (Internal)'!AN56</f>
        <v>0</v>
      </c>
      <c r="AK53" s="93">
        <f>'[1]FROP (Internal)'!AO56</f>
        <v>0</v>
      </c>
      <c r="AL53" s="93">
        <f>'[1]FROP (Internal)'!AP56</f>
        <v>0</v>
      </c>
      <c r="AM53" s="93">
        <f>'[1]FROP (Internal)'!AQ56</f>
        <v>0</v>
      </c>
      <c r="AN53" s="93">
        <f>'[1]FROP (Internal)'!AR56</f>
        <v>0</v>
      </c>
      <c r="AO53" s="94">
        <f>'[1]FROP (Internal)'!AS56</f>
        <v>0</v>
      </c>
      <c r="AP53" s="95">
        <f>'[1]FROP (Internal)'!AT56</f>
        <v>0</v>
      </c>
      <c r="AQ53" s="93">
        <f>'[1]FROP (Internal)'!AU56</f>
        <v>0</v>
      </c>
      <c r="AR53" s="93">
        <f>'[1]FROP (Internal)'!AV56</f>
        <v>0</v>
      </c>
      <c r="AS53" s="93">
        <f>'[1]FROP (Internal)'!AW56</f>
        <v>0</v>
      </c>
      <c r="AT53" s="93">
        <f>'[1]FROP (Internal)'!AX56</f>
        <v>0</v>
      </c>
      <c r="AU53" s="93">
        <f>'[1]FROP (Internal)'!AY56</f>
        <v>0</v>
      </c>
      <c r="AV53" s="93">
        <f>'[1]FROP (Internal)'!AZ56</f>
        <v>0</v>
      </c>
      <c r="AW53" s="93">
        <f>'[1]FROP (Internal)'!BA56</f>
        <v>0</v>
      </c>
      <c r="AX53" s="93">
        <f>'[1]FROP (Internal)'!BB56</f>
        <v>0</v>
      </c>
      <c r="AY53" s="93">
        <f>'[1]FROP (Internal)'!BC56</f>
        <v>0</v>
      </c>
      <c r="AZ53" s="93">
        <f>'[1]FROP (Internal)'!BD56</f>
        <v>0</v>
      </c>
      <c r="BA53" s="94">
        <f>'[1]FROP (Internal)'!BE56</f>
        <v>0</v>
      </c>
      <c r="BB53" s="95">
        <f>'[1]FROP (Internal)'!BF56</f>
        <v>0</v>
      </c>
      <c r="BC53" s="93">
        <f>'[1]FROP (Internal)'!BG56</f>
        <v>0</v>
      </c>
      <c r="BD53" s="93">
        <f>'[1]FROP (Internal)'!BH56</f>
        <v>0</v>
      </c>
      <c r="BE53" s="93">
        <f>'[1]FROP (Internal)'!BI56</f>
        <v>0</v>
      </c>
      <c r="BF53" s="93">
        <f>'[1]FROP (Internal)'!BJ56</f>
        <v>0</v>
      </c>
      <c r="BG53" s="93">
        <f>'[1]FROP (Internal)'!BK56</f>
        <v>0</v>
      </c>
      <c r="BH53" s="93">
        <f>'[1]FROP (Internal)'!BL56</f>
        <v>0</v>
      </c>
      <c r="BI53" s="93">
        <f>'[1]FROP (Internal)'!BM56</f>
        <v>0</v>
      </c>
      <c r="BJ53" s="93">
        <f>'[1]FROP (Internal)'!BN56</f>
        <v>0</v>
      </c>
      <c r="BK53" s="93">
        <f>'[1]FROP (Internal)'!BO56</f>
        <v>0</v>
      </c>
      <c r="BL53" s="93">
        <f>'[1]FROP (Internal)'!BP56</f>
        <v>0</v>
      </c>
      <c r="BM53" s="94">
        <f>'[1]FROP (Internal)'!BQ56</f>
        <v>0</v>
      </c>
      <c r="BN53" s="95">
        <f>'[1]FROP (Internal)'!BR56</f>
        <v>0</v>
      </c>
      <c r="BO53" s="93">
        <f>'[1]FROP (Internal)'!BS56</f>
        <v>0</v>
      </c>
      <c r="BP53" s="93">
        <f>'[1]FROP (Internal)'!BT56</f>
        <v>0</v>
      </c>
      <c r="BQ53" s="93">
        <f>'[1]FROP (Internal)'!BU56</f>
        <v>0</v>
      </c>
      <c r="BR53" s="93">
        <f>'[1]FROP (Internal)'!BV56</f>
        <v>0</v>
      </c>
      <c r="BS53" s="94">
        <f>'[1]FROP (Internal)'!BW56</f>
        <v>0</v>
      </c>
    </row>
    <row r="54" spans="1:71" ht="20.100000000000001" hidden="1" customHeight="1">
      <c r="A54" s="46" t="s">
        <v>1087</v>
      </c>
      <c r="B54" s="662"/>
      <c r="C54" s="16" t="s">
        <v>710</v>
      </c>
      <c r="D54" s="89" t="str">
        <f>IF(AND('[1]FROP (Internal)'!G57="x",'[1]FROP (Internal)'!F57="N/A"),"x","N/A")</f>
        <v>N/A</v>
      </c>
      <c r="E54" s="89" t="str">
        <f>'[1]FROP (Internal)'!I57</f>
        <v>N/A</v>
      </c>
      <c r="F54" s="89" t="str">
        <f>'[1]FROP (Internal)'!J57</f>
        <v>N/A</v>
      </c>
      <c r="G54" s="89" t="str">
        <f>'[1]FROP (Internal)'!K57</f>
        <v>N/A</v>
      </c>
      <c r="H54" s="89" t="str">
        <f>'[1]FROP (Internal)'!L57</f>
        <v>N/A</v>
      </c>
      <c r="I54" s="89" t="str">
        <f>'[1]FROP (Internal)'!M57</f>
        <v>N/A</v>
      </c>
      <c r="J54" s="44" t="str">
        <f>'[1]FROP (Internal)'!N57</f>
        <v>N/A</v>
      </c>
      <c r="K54" s="96" t="str">
        <f>'[1]FROP (Internal)'!O57</f>
        <v>N/A</v>
      </c>
      <c r="L54" s="96" t="str">
        <f>'[1]FROP (Internal)'!P57</f>
        <v>N/A</v>
      </c>
      <c r="M54" s="12"/>
      <c r="N54" s="12"/>
      <c r="O54" s="97"/>
      <c r="P54" s="34" t="str">
        <f>'[1]FROP (Internal)'!T57</f>
        <v>QM</v>
      </c>
      <c r="Q54" s="91">
        <f>'[1]FROP (Internal)'!U57</f>
        <v>0</v>
      </c>
      <c r="R54" s="92">
        <f>'[1]FROP (Internal)'!V57</f>
        <v>0</v>
      </c>
      <c r="S54" s="93">
        <f>'[1]FROP (Internal)'!W57</f>
        <v>0</v>
      </c>
      <c r="T54" s="93">
        <f>'[1]FROP (Internal)'!X57</f>
        <v>0</v>
      </c>
      <c r="U54" s="93">
        <f>'[1]FROP (Internal)'!Y57</f>
        <v>0</v>
      </c>
      <c r="V54" s="93">
        <f>'[1]FROP (Internal)'!Z57</f>
        <v>0</v>
      </c>
      <c r="W54" s="93">
        <f>'[1]FROP (Internal)'!AA57</f>
        <v>0</v>
      </c>
      <c r="X54" s="93">
        <f>'[1]FROP (Internal)'!AB57</f>
        <v>0</v>
      </c>
      <c r="Y54" s="93">
        <f>'[1]FROP (Internal)'!AC57</f>
        <v>0</v>
      </c>
      <c r="Z54" s="93">
        <f>'[1]FROP (Internal)'!AD57</f>
        <v>0</v>
      </c>
      <c r="AA54" s="93">
        <f>'[1]FROP (Internal)'!AE57</f>
        <v>0</v>
      </c>
      <c r="AB54" s="93">
        <f>'[1]FROP (Internal)'!AF57</f>
        <v>0</v>
      </c>
      <c r="AC54" s="94">
        <f>'[1]FROP (Internal)'!AG57</f>
        <v>0</v>
      </c>
      <c r="AD54" s="95">
        <f>'[1]FROP (Internal)'!AH57</f>
        <v>0</v>
      </c>
      <c r="AE54" s="93">
        <f>'[1]FROP (Internal)'!AI57</f>
        <v>0</v>
      </c>
      <c r="AF54" s="93">
        <f>'[1]FROP (Internal)'!AJ57</f>
        <v>0</v>
      </c>
      <c r="AG54" s="93">
        <f>'[1]FROP (Internal)'!AK57</f>
        <v>0</v>
      </c>
      <c r="AH54" s="93">
        <f>'[1]FROP (Internal)'!AL57</f>
        <v>0</v>
      </c>
      <c r="AI54" s="93">
        <f>'[1]FROP (Internal)'!AM57</f>
        <v>0</v>
      </c>
      <c r="AJ54" s="93">
        <f>'[1]FROP (Internal)'!AN57</f>
        <v>0</v>
      </c>
      <c r="AK54" s="93">
        <f>'[1]FROP (Internal)'!AO57</f>
        <v>0</v>
      </c>
      <c r="AL54" s="93">
        <f>'[1]FROP (Internal)'!AP57</f>
        <v>0</v>
      </c>
      <c r="AM54" s="93">
        <f>'[1]FROP (Internal)'!AQ57</f>
        <v>0</v>
      </c>
      <c r="AN54" s="93">
        <f>'[1]FROP (Internal)'!AR57</f>
        <v>0</v>
      </c>
      <c r="AO54" s="94">
        <f>'[1]FROP (Internal)'!AS57</f>
        <v>0</v>
      </c>
      <c r="AP54" s="95">
        <f>'[1]FROP (Internal)'!AT57</f>
        <v>0</v>
      </c>
      <c r="AQ54" s="93">
        <f>'[1]FROP (Internal)'!AU57</f>
        <v>0</v>
      </c>
      <c r="AR54" s="93">
        <f>'[1]FROP (Internal)'!AV57</f>
        <v>0</v>
      </c>
      <c r="AS54" s="93">
        <f>'[1]FROP (Internal)'!AW57</f>
        <v>0</v>
      </c>
      <c r="AT54" s="93">
        <f>'[1]FROP (Internal)'!AX57</f>
        <v>0</v>
      </c>
      <c r="AU54" s="93">
        <f>'[1]FROP (Internal)'!AY57</f>
        <v>0</v>
      </c>
      <c r="AV54" s="93">
        <f>'[1]FROP (Internal)'!AZ57</f>
        <v>0</v>
      </c>
      <c r="AW54" s="93">
        <f>'[1]FROP (Internal)'!BA57</f>
        <v>0</v>
      </c>
      <c r="AX54" s="93">
        <f>'[1]FROP (Internal)'!BB57</f>
        <v>0</v>
      </c>
      <c r="AY54" s="93">
        <f>'[1]FROP (Internal)'!BC57</f>
        <v>0</v>
      </c>
      <c r="AZ54" s="93">
        <f>'[1]FROP (Internal)'!BD57</f>
        <v>0</v>
      </c>
      <c r="BA54" s="94">
        <f>'[1]FROP (Internal)'!BE57</f>
        <v>0</v>
      </c>
      <c r="BB54" s="95">
        <f>'[1]FROP (Internal)'!BF57</f>
        <v>0</v>
      </c>
      <c r="BC54" s="93">
        <f>'[1]FROP (Internal)'!BG57</f>
        <v>0</v>
      </c>
      <c r="BD54" s="93">
        <f>'[1]FROP (Internal)'!BH57</f>
        <v>0</v>
      </c>
      <c r="BE54" s="93">
        <f>'[1]FROP (Internal)'!BI57</f>
        <v>0</v>
      </c>
      <c r="BF54" s="93">
        <f>'[1]FROP (Internal)'!BJ57</f>
        <v>0</v>
      </c>
      <c r="BG54" s="93">
        <f>'[1]FROP (Internal)'!BK57</f>
        <v>0</v>
      </c>
      <c r="BH54" s="93">
        <f>'[1]FROP (Internal)'!BL57</f>
        <v>0</v>
      </c>
      <c r="BI54" s="93">
        <f>'[1]FROP (Internal)'!BM57</f>
        <v>0</v>
      </c>
      <c r="BJ54" s="93">
        <f>'[1]FROP (Internal)'!BN57</f>
        <v>0</v>
      </c>
      <c r="BK54" s="93">
        <f>'[1]FROP (Internal)'!BO57</f>
        <v>0</v>
      </c>
      <c r="BL54" s="93">
        <f>'[1]FROP (Internal)'!BP57</f>
        <v>0</v>
      </c>
      <c r="BM54" s="94">
        <f>'[1]FROP (Internal)'!BQ57</f>
        <v>0</v>
      </c>
      <c r="BN54" s="95">
        <f>'[1]FROP (Internal)'!BR57</f>
        <v>0</v>
      </c>
      <c r="BO54" s="93">
        <f>'[1]FROP (Internal)'!BS57</f>
        <v>0</v>
      </c>
      <c r="BP54" s="93">
        <f>'[1]FROP (Internal)'!BT57</f>
        <v>0</v>
      </c>
      <c r="BQ54" s="93">
        <f>'[1]FROP (Internal)'!BU57</f>
        <v>0</v>
      </c>
      <c r="BR54" s="93">
        <f>'[1]FROP (Internal)'!BV57</f>
        <v>0</v>
      </c>
      <c r="BS54" s="94">
        <f>'[1]FROP (Internal)'!BW57</f>
        <v>0</v>
      </c>
    </row>
    <row r="55" spans="1:71" ht="20.100000000000001" customHeight="1">
      <c r="A55" s="46" t="s">
        <v>1088</v>
      </c>
      <c r="B55" s="662" t="s">
        <v>1089</v>
      </c>
      <c r="C55" s="16" t="s">
        <v>702</v>
      </c>
      <c r="D55" s="89" t="str">
        <f>IF(AND('[1]FROP (Internal)'!G58="x",'[1]FROP (Internal)'!F58="N/A"),"x","N/A")</f>
        <v>x</v>
      </c>
      <c r="E55" s="89" t="str">
        <f>'[1]FROP (Internal)'!I58</f>
        <v>x</v>
      </c>
      <c r="F55" s="89" t="str">
        <f>'[1]FROP (Internal)'!J58</f>
        <v>N/A</v>
      </c>
      <c r="G55" s="89" t="str">
        <f>'[1]FROP (Internal)'!K58</f>
        <v>N/A</v>
      </c>
      <c r="H55" s="89" t="str">
        <f>'[1]FROP (Internal)'!L58</f>
        <v>N/A</v>
      </c>
      <c r="I55" s="89" t="str">
        <f>'[1]FROP (Internal)'!M58</f>
        <v>N/A</v>
      </c>
      <c r="J55" s="44" t="str">
        <f>'[1]FROP (Internal)'!N58</f>
        <v>x</v>
      </c>
      <c r="K55" s="96" t="str">
        <f>'[1]FROP (Internal)'!O58</f>
        <v>N/A</v>
      </c>
      <c r="L55" s="96" t="str">
        <f>'[1]FROP (Internal)'!P58</f>
        <v>N/A</v>
      </c>
      <c r="M55" s="12"/>
      <c r="N55" s="12"/>
      <c r="O55" s="97"/>
      <c r="P55" s="131" t="str">
        <f>'[1]FROP (Internal)'!T58</f>
        <v>QM</v>
      </c>
      <c r="Q55" s="91">
        <f>'[1]FROP (Internal)'!U58</f>
        <v>0</v>
      </c>
      <c r="R55" s="92">
        <f>'[1]FROP (Internal)'!V58</f>
        <v>0</v>
      </c>
      <c r="S55" s="93">
        <f>'[1]FROP (Internal)'!W58</f>
        <v>0</v>
      </c>
      <c r="T55" s="93">
        <f>'[1]FROP (Internal)'!X58</f>
        <v>0</v>
      </c>
      <c r="U55" s="93">
        <f>'[1]FROP (Internal)'!Y58</f>
        <v>2</v>
      </c>
      <c r="V55" s="93">
        <f>'[1]FROP (Internal)'!Z58</f>
        <v>0</v>
      </c>
      <c r="W55" s="93">
        <f>'[1]FROP (Internal)'!AA58</f>
        <v>3</v>
      </c>
      <c r="X55" s="93">
        <f>'[1]FROP (Internal)'!AB58</f>
        <v>0</v>
      </c>
      <c r="Y55" s="93">
        <f>'[1]FROP (Internal)'!AC58</f>
        <v>0</v>
      </c>
      <c r="Z55" s="93">
        <f>'[1]FROP (Internal)'!AD58</f>
        <v>3</v>
      </c>
      <c r="AA55" s="93">
        <f>'[1]FROP (Internal)'!AE58</f>
        <v>0</v>
      </c>
      <c r="AB55" s="93">
        <f>'[1]FROP (Internal)'!AF58</f>
        <v>0</v>
      </c>
      <c r="AC55" s="94">
        <f>'[1]FROP (Internal)'!AG58</f>
        <v>3</v>
      </c>
      <c r="AD55" s="95">
        <f>'[1]FROP (Internal)'!AH58</f>
        <v>0</v>
      </c>
      <c r="AE55" s="93">
        <f>'[1]FROP (Internal)'!AI58</f>
        <v>0</v>
      </c>
      <c r="AF55" s="93">
        <f>'[1]FROP (Internal)'!AJ58</f>
        <v>3</v>
      </c>
      <c r="AG55" s="93">
        <f>'[1]FROP (Internal)'!AK58</f>
        <v>0</v>
      </c>
      <c r="AH55" s="93">
        <f>'[1]FROP (Internal)'!AL58</f>
        <v>4</v>
      </c>
      <c r="AI55" s="93">
        <f>'[1]FROP (Internal)'!AM58</f>
        <v>0</v>
      </c>
      <c r="AJ55" s="93">
        <f>'[1]FROP (Internal)'!AN58</f>
        <v>0</v>
      </c>
      <c r="AK55" s="93">
        <f>'[1]FROP (Internal)'!AO58</f>
        <v>4</v>
      </c>
      <c r="AL55" s="93">
        <f>'[1]FROP (Internal)'!AP58</f>
        <v>0</v>
      </c>
      <c r="AM55" s="93">
        <f>'[1]FROP (Internal)'!AQ58</f>
        <v>0</v>
      </c>
      <c r="AN55" s="93">
        <f>'[1]FROP (Internal)'!AR58</f>
        <v>4</v>
      </c>
      <c r="AO55" s="94">
        <f>'[1]FROP (Internal)'!AS58</f>
        <v>0</v>
      </c>
      <c r="AP55" s="95">
        <f>'[1]FROP (Internal)'!AT58</f>
        <v>0</v>
      </c>
      <c r="AQ55" s="93">
        <f>'[1]FROP (Internal)'!AU58</f>
        <v>4</v>
      </c>
      <c r="AR55" s="93">
        <f>'[1]FROP (Internal)'!AV58</f>
        <v>0</v>
      </c>
      <c r="AS55" s="93">
        <f>'[1]FROP (Internal)'!AW58</f>
        <v>5</v>
      </c>
      <c r="AT55" s="93">
        <f>'[1]FROP (Internal)'!AX58</f>
        <v>0</v>
      </c>
      <c r="AU55" s="93">
        <f>'[1]FROP (Internal)'!AY58</f>
        <v>0</v>
      </c>
      <c r="AV55" s="93">
        <f>'[1]FROP (Internal)'!AZ58</f>
        <v>5</v>
      </c>
      <c r="AW55" s="93">
        <f>'[1]FROP (Internal)'!BA58</f>
        <v>0</v>
      </c>
      <c r="AX55" s="93">
        <f>'[1]FROP (Internal)'!BB58</f>
        <v>0</v>
      </c>
      <c r="AY55" s="93">
        <f>'[1]FROP (Internal)'!BC58</f>
        <v>0</v>
      </c>
      <c r="AZ55" s="93">
        <f>'[1]FROP (Internal)'!BD58</f>
        <v>0</v>
      </c>
      <c r="BA55" s="94">
        <f>'[1]FROP (Internal)'!BE58</f>
        <v>0</v>
      </c>
      <c r="BB55" s="95">
        <f>'[1]FROP (Internal)'!BF58</f>
        <v>0</v>
      </c>
      <c r="BC55" s="93">
        <f>'[1]FROP (Internal)'!BG58</f>
        <v>0</v>
      </c>
      <c r="BD55" s="93">
        <f>'[1]FROP (Internal)'!BH58</f>
        <v>0</v>
      </c>
      <c r="BE55" s="93">
        <f>'[1]FROP (Internal)'!BI58</f>
        <v>0</v>
      </c>
      <c r="BF55" s="93">
        <f>'[1]FROP (Internal)'!BJ58</f>
        <v>0</v>
      </c>
      <c r="BG55" s="93">
        <f>'[1]FROP (Internal)'!BK58</f>
        <v>0</v>
      </c>
      <c r="BH55" s="93">
        <f>'[1]FROP (Internal)'!BL58</f>
        <v>0</v>
      </c>
      <c r="BI55" s="93">
        <f>'[1]FROP (Internal)'!BM58</f>
        <v>0</v>
      </c>
      <c r="BJ55" s="93">
        <f>'[1]FROP (Internal)'!BN58</f>
        <v>0</v>
      </c>
      <c r="BK55" s="93">
        <f>'[1]FROP (Internal)'!BO58</f>
        <v>0</v>
      </c>
      <c r="BL55" s="93">
        <f>'[1]FROP (Internal)'!BP58</f>
        <v>0</v>
      </c>
      <c r="BM55" s="94">
        <f>'[1]FROP (Internal)'!BQ58</f>
        <v>0</v>
      </c>
      <c r="BN55" s="95">
        <f>'[1]FROP (Internal)'!BR58</f>
        <v>0</v>
      </c>
      <c r="BO55" s="93">
        <f>'[1]FROP (Internal)'!BS58</f>
        <v>0</v>
      </c>
      <c r="BP55" s="93">
        <f>'[1]FROP (Internal)'!BT58</f>
        <v>0</v>
      </c>
      <c r="BQ55" s="93">
        <f>'[1]FROP (Internal)'!BU58</f>
        <v>0</v>
      </c>
      <c r="BR55" s="93">
        <f>'[1]FROP (Internal)'!BV58</f>
        <v>0</v>
      </c>
      <c r="BS55" s="94">
        <f>'[1]FROP (Internal)'!BW58</f>
        <v>0</v>
      </c>
    </row>
    <row r="56" spans="1:71" ht="20.100000000000001" customHeight="1">
      <c r="A56" s="46" t="s">
        <v>1090</v>
      </c>
      <c r="B56" s="662"/>
      <c r="C56" s="16" t="s">
        <v>700</v>
      </c>
      <c r="D56" s="89" t="str">
        <f>IF(AND('[1]FROP (Internal)'!G59="x",'[1]FROP (Internal)'!F59="N/A"),"x","N/A")</f>
        <v>x</v>
      </c>
      <c r="E56" s="89" t="str">
        <f>'[1]FROP (Internal)'!I59</f>
        <v>x</v>
      </c>
      <c r="F56" s="89" t="str">
        <f>'[1]FROP (Internal)'!J59</f>
        <v>N/A</v>
      </c>
      <c r="G56" s="89" t="str">
        <f>'[1]FROP (Internal)'!K59</f>
        <v>N/A</v>
      </c>
      <c r="H56" s="89" t="str">
        <f>'[1]FROP (Internal)'!L59</f>
        <v>N/A</v>
      </c>
      <c r="I56" s="89" t="str">
        <f>'[1]FROP (Internal)'!M59</f>
        <v>N/A</v>
      </c>
      <c r="J56" s="44" t="str">
        <f>'[1]FROP (Internal)'!N59</f>
        <v>x</v>
      </c>
      <c r="K56" s="96" t="str">
        <f>'[1]FROP (Internal)'!O59</f>
        <v>N/A</v>
      </c>
      <c r="L56" s="96" t="str">
        <f>'[1]FROP (Internal)'!P59</f>
        <v>N/A</v>
      </c>
      <c r="M56" s="12"/>
      <c r="N56" s="12"/>
      <c r="O56" s="97"/>
      <c r="P56" s="131" t="str">
        <f>'[1]FROP (Internal)'!T59</f>
        <v>QM</v>
      </c>
      <c r="Q56" s="91">
        <f>'[1]FROP (Internal)'!U59</f>
        <v>0</v>
      </c>
      <c r="R56" s="92">
        <f>'[1]FROP (Internal)'!V59</f>
        <v>0</v>
      </c>
      <c r="S56" s="93">
        <f>'[1]FROP (Internal)'!W59</f>
        <v>0</v>
      </c>
      <c r="T56" s="93">
        <f>'[1]FROP (Internal)'!X59</f>
        <v>0</v>
      </c>
      <c r="U56" s="93">
        <f>'[1]FROP (Internal)'!Y59</f>
        <v>2</v>
      </c>
      <c r="V56" s="93">
        <f>'[1]FROP (Internal)'!Z59</f>
        <v>0</v>
      </c>
      <c r="W56" s="93">
        <f>'[1]FROP (Internal)'!AA59</f>
        <v>3</v>
      </c>
      <c r="X56" s="93">
        <f>'[1]FROP (Internal)'!AB59</f>
        <v>0</v>
      </c>
      <c r="Y56" s="93">
        <f>'[1]FROP (Internal)'!AC59</f>
        <v>0</v>
      </c>
      <c r="Z56" s="93">
        <f>'[1]FROP (Internal)'!AD59</f>
        <v>3</v>
      </c>
      <c r="AA56" s="93">
        <f>'[1]FROP (Internal)'!AE59</f>
        <v>0</v>
      </c>
      <c r="AB56" s="93">
        <f>'[1]FROP (Internal)'!AF59</f>
        <v>0</v>
      </c>
      <c r="AC56" s="94">
        <f>'[1]FROP (Internal)'!AG59</f>
        <v>3</v>
      </c>
      <c r="AD56" s="95">
        <f>'[1]FROP (Internal)'!AH59</f>
        <v>0</v>
      </c>
      <c r="AE56" s="93">
        <f>'[1]FROP (Internal)'!AI59</f>
        <v>0</v>
      </c>
      <c r="AF56" s="93">
        <f>'[1]FROP (Internal)'!AJ59</f>
        <v>3</v>
      </c>
      <c r="AG56" s="93">
        <f>'[1]FROP (Internal)'!AK59</f>
        <v>0</v>
      </c>
      <c r="AH56" s="93">
        <f>'[1]FROP (Internal)'!AL59</f>
        <v>4</v>
      </c>
      <c r="AI56" s="93">
        <f>'[1]FROP (Internal)'!AM59</f>
        <v>0</v>
      </c>
      <c r="AJ56" s="93">
        <f>'[1]FROP (Internal)'!AN59</f>
        <v>0</v>
      </c>
      <c r="AK56" s="93">
        <f>'[1]FROP (Internal)'!AO59</f>
        <v>4</v>
      </c>
      <c r="AL56" s="93">
        <f>'[1]FROP (Internal)'!AP59</f>
        <v>0</v>
      </c>
      <c r="AM56" s="93">
        <f>'[1]FROP (Internal)'!AQ59</f>
        <v>0</v>
      </c>
      <c r="AN56" s="93">
        <f>'[1]FROP (Internal)'!AR59</f>
        <v>4</v>
      </c>
      <c r="AO56" s="94">
        <f>'[1]FROP (Internal)'!AS59</f>
        <v>0</v>
      </c>
      <c r="AP56" s="95">
        <f>'[1]FROP (Internal)'!AT59</f>
        <v>0</v>
      </c>
      <c r="AQ56" s="93">
        <f>'[1]FROP (Internal)'!AU59</f>
        <v>4</v>
      </c>
      <c r="AR56" s="93">
        <f>'[1]FROP (Internal)'!AV59</f>
        <v>0</v>
      </c>
      <c r="AS56" s="93">
        <f>'[1]FROP (Internal)'!AW59</f>
        <v>5</v>
      </c>
      <c r="AT56" s="93">
        <f>'[1]FROP (Internal)'!AX59</f>
        <v>0</v>
      </c>
      <c r="AU56" s="93">
        <f>'[1]FROP (Internal)'!AY59</f>
        <v>0</v>
      </c>
      <c r="AV56" s="93">
        <f>'[1]FROP (Internal)'!AZ59</f>
        <v>5</v>
      </c>
      <c r="AW56" s="93">
        <f>'[1]FROP (Internal)'!BA59</f>
        <v>0</v>
      </c>
      <c r="AX56" s="93">
        <f>'[1]FROP (Internal)'!BB59</f>
        <v>0</v>
      </c>
      <c r="AY56" s="93">
        <f>'[1]FROP (Internal)'!BC59</f>
        <v>0</v>
      </c>
      <c r="AZ56" s="93">
        <f>'[1]FROP (Internal)'!BD59</f>
        <v>0</v>
      </c>
      <c r="BA56" s="94">
        <f>'[1]FROP (Internal)'!BE59</f>
        <v>0</v>
      </c>
      <c r="BB56" s="95">
        <f>'[1]FROP (Internal)'!BF59</f>
        <v>0</v>
      </c>
      <c r="BC56" s="93">
        <f>'[1]FROP (Internal)'!BG59</f>
        <v>0</v>
      </c>
      <c r="BD56" s="93">
        <f>'[1]FROP (Internal)'!BH59</f>
        <v>0</v>
      </c>
      <c r="BE56" s="93">
        <f>'[1]FROP (Internal)'!BI59</f>
        <v>0</v>
      </c>
      <c r="BF56" s="93">
        <f>'[1]FROP (Internal)'!BJ59</f>
        <v>0</v>
      </c>
      <c r="BG56" s="93">
        <f>'[1]FROP (Internal)'!BK59</f>
        <v>0</v>
      </c>
      <c r="BH56" s="93">
        <f>'[1]FROP (Internal)'!BL59</f>
        <v>0</v>
      </c>
      <c r="BI56" s="93">
        <f>'[1]FROP (Internal)'!BM59</f>
        <v>0</v>
      </c>
      <c r="BJ56" s="93">
        <f>'[1]FROP (Internal)'!BN59</f>
        <v>0</v>
      </c>
      <c r="BK56" s="93">
        <f>'[1]FROP (Internal)'!BO59</f>
        <v>0</v>
      </c>
      <c r="BL56" s="93">
        <f>'[1]FROP (Internal)'!BP59</f>
        <v>0</v>
      </c>
      <c r="BM56" s="94">
        <f>'[1]FROP (Internal)'!BQ59</f>
        <v>0</v>
      </c>
      <c r="BN56" s="95">
        <f>'[1]FROP (Internal)'!BR59</f>
        <v>0</v>
      </c>
      <c r="BO56" s="93">
        <f>'[1]FROP (Internal)'!BS59</f>
        <v>0</v>
      </c>
      <c r="BP56" s="93">
        <f>'[1]FROP (Internal)'!BT59</f>
        <v>0</v>
      </c>
      <c r="BQ56" s="93">
        <f>'[1]FROP (Internal)'!BU59</f>
        <v>0</v>
      </c>
      <c r="BR56" s="93">
        <f>'[1]FROP (Internal)'!BV59</f>
        <v>0</v>
      </c>
      <c r="BS56" s="94">
        <f>'[1]FROP (Internal)'!BW59</f>
        <v>0</v>
      </c>
    </row>
    <row r="57" spans="1:71" ht="20.100000000000001" customHeight="1">
      <c r="A57" s="46" t="s">
        <v>1091</v>
      </c>
      <c r="B57" s="662"/>
      <c r="C57" s="16" t="s">
        <v>704</v>
      </c>
      <c r="D57" s="89" t="str">
        <f>IF(AND('[1]FROP (Internal)'!G60="x",'[1]FROP (Internal)'!F60="N/A"),"x","N/A")</f>
        <v>x</v>
      </c>
      <c r="E57" s="89" t="str">
        <f>'[1]FROP (Internal)'!I60</f>
        <v>x</v>
      </c>
      <c r="F57" s="89" t="str">
        <f>'[1]FROP (Internal)'!J60</f>
        <v>N/A</v>
      </c>
      <c r="G57" s="89" t="str">
        <f>'[1]FROP (Internal)'!K60</f>
        <v>N/A</v>
      </c>
      <c r="H57" s="89" t="str">
        <f>'[1]FROP (Internal)'!L60</f>
        <v>N/A</v>
      </c>
      <c r="I57" s="89" t="str">
        <f>'[1]FROP (Internal)'!M60</f>
        <v>N/A</v>
      </c>
      <c r="J57" s="44" t="str">
        <f>'[1]FROP (Internal)'!N60</f>
        <v>x</v>
      </c>
      <c r="K57" s="96" t="str">
        <f>'[1]FROP (Internal)'!O60</f>
        <v>N/A</v>
      </c>
      <c r="L57" s="96" t="str">
        <f>'[1]FROP (Internal)'!P60</f>
        <v>N/A</v>
      </c>
      <c r="M57" s="12"/>
      <c r="N57" s="12"/>
      <c r="O57" s="97"/>
      <c r="P57" s="131" t="str">
        <f>'[1]FROP (Internal)'!T60</f>
        <v>QM</v>
      </c>
      <c r="Q57" s="91">
        <f>'[1]FROP (Internal)'!U60</f>
        <v>0</v>
      </c>
      <c r="R57" s="92">
        <f>'[1]FROP (Internal)'!V60</f>
        <v>0</v>
      </c>
      <c r="S57" s="93">
        <f>'[1]FROP (Internal)'!W60</f>
        <v>0</v>
      </c>
      <c r="T57" s="93">
        <f>'[1]FROP (Internal)'!X60</f>
        <v>0</v>
      </c>
      <c r="U57" s="93">
        <f>'[1]FROP (Internal)'!Y60</f>
        <v>2</v>
      </c>
      <c r="V57" s="93">
        <f>'[1]FROP (Internal)'!Z60</f>
        <v>0</v>
      </c>
      <c r="W57" s="93">
        <f>'[1]FROP (Internal)'!AA60</f>
        <v>3</v>
      </c>
      <c r="X57" s="93">
        <f>'[1]FROP (Internal)'!AB60</f>
        <v>0</v>
      </c>
      <c r="Y57" s="93">
        <f>'[1]FROP (Internal)'!AC60</f>
        <v>0</v>
      </c>
      <c r="Z57" s="93">
        <f>'[1]FROP (Internal)'!AD60</f>
        <v>3</v>
      </c>
      <c r="AA57" s="93">
        <f>'[1]FROP (Internal)'!AE60</f>
        <v>0</v>
      </c>
      <c r="AB57" s="93">
        <f>'[1]FROP (Internal)'!AF60</f>
        <v>0</v>
      </c>
      <c r="AC57" s="94">
        <f>'[1]FROP (Internal)'!AG60</f>
        <v>3</v>
      </c>
      <c r="AD57" s="95">
        <f>'[1]FROP (Internal)'!AH60</f>
        <v>0</v>
      </c>
      <c r="AE57" s="93">
        <f>'[1]FROP (Internal)'!AI60</f>
        <v>0</v>
      </c>
      <c r="AF57" s="93">
        <f>'[1]FROP (Internal)'!AJ60</f>
        <v>3</v>
      </c>
      <c r="AG57" s="93">
        <f>'[1]FROP (Internal)'!AK60</f>
        <v>0</v>
      </c>
      <c r="AH57" s="93">
        <f>'[1]FROP (Internal)'!AL60</f>
        <v>4</v>
      </c>
      <c r="AI57" s="93">
        <f>'[1]FROP (Internal)'!AM60</f>
        <v>0</v>
      </c>
      <c r="AJ57" s="93">
        <f>'[1]FROP (Internal)'!AN60</f>
        <v>0</v>
      </c>
      <c r="AK57" s="93">
        <f>'[1]FROP (Internal)'!AO60</f>
        <v>4</v>
      </c>
      <c r="AL57" s="93">
        <f>'[1]FROP (Internal)'!AP60</f>
        <v>0</v>
      </c>
      <c r="AM57" s="93">
        <f>'[1]FROP (Internal)'!AQ60</f>
        <v>0</v>
      </c>
      <c r="AN57" s="93">
        <f>'[1]FROP (Internal)'!AR60</f>
        <v>4</v>
      </c>
      <c r="AO57" s="94">
        <f>'[1]FROP (Internal)'!AS60</f>
        <v>0</v>
      </c>
      <c r="AP57" s="95">
        <f>'[1]FROP (Internal)'!AT60</f>
        <v>0</v>
      </c>
      <c r="AQ57" s="93">
        <f>'[1]FROP (Internal)'!AU60</f>
        <v>4</v>
      </c>
      <c r="AR57" s="93">
        <f>'[1]FROP (Internal)'!AV60</f>
        <v>0</v>
      </c>
      <c r="AS57" s="93">
        <f>'[1]FROP (Internal)'!AW60</f>
        <v>5</v>
      </c>
      <c r="AT57" s="93">
        <f>'[1]FROP (Internal)'!AX60</f>
        <v>0</v>
      </c>
      <c r="AU57" s="93">
        <f>'[1]FROP (Internal)'!AY60</f>
        <v>0</v>
      </c>
      <c r="AV57" s="93">
        <f>'[1]FROP (Internal)'!AZ60</f>
        <v>5</v>
      </c>
      <c r="AW57" s="93">
        <f>'[1]FROP (Internal)'!BA60</f>
        <v>0</v>
      </c>
      <c r="AX57" s="93">
        <f>'[1]FROP (Internal)'!BB60</f>
        <v>0</v>
      </c>
      <c r="AY57" s="93">
        <f>'[1]FROP (Internal)'!BC60</f>
        <v>0</v>
      </c>
      <c r="AZ57" s="93">
        <f>'[1]FROP (Internal)'!BD60</f>
        <v>0</v>
      </c>
      <c r="BA57" s="94">
        <f>'[1]FROP (Internal)'!BE60</f>
        <v>0</v>
      </c>
      <c r="BB57" s="95">
        <f>'[1]FROP (Internal)'!BF60</f>
        <v>0</v>
      </c>
      <c r="BC57" s="93">
        <f>'[1]FROP (Internal)'!BG60</f>
        <v>0</v>
      </c>
      <c r="BD57" s="93">
        <f>'[1]FROP (Internal)'!BH60</f>
        <v>0</v>
      </c>
      <c r="BE57" s="93">
        <f>'[1]FROP (Internal)'!BI60</f>
        <v>0</v>
      </c>
      <c r="BF57" s="93">
        <f>'[1]FROP (Internal)'!BJ60</f>
        <v>0</v>
      </c>
      <c r="BG57" s="93">
        <f>'[1]FROP (Internal)'!BK60</f>
        <v>0</v>
      </c>
      <c r="BH57" s="93">
        <f>'[1]FROP (Internal)'!BL60</f>
        <v>0</v>
      </c>
      <c r="BI57" s="93">
        <f>'[1]FROP (Internal)'!BM60</f>
        <v>0</v>
      </c>
      <c r="BJ57" s="93">
        <f>'[1]FROP (Internal)'!BN60</f>
        <v>0</v>
      </c>
      <c r="BK57" s="93">
        <f>'[1]FROP (Internal)'!BO60</f>
        <v>0</v>
      </c>
      <c r="BL57" s="93">
        <f>'[1]FROP (Internal)'!BP60</f>
        <v>0</v>
      </c>
      <c r="BM57" s="94">
        <f>'[1]FROP (Internal)'!BQ60</f>
        <v>0</v>
      </c>
      <c r="BN57" s="95">
        <f>'[1]FROP (Internal)'!BR60</f>
        <v>0</v>
      </c>
      <c r="BO57" s="93">
        <f>'[1]FROP (Internal)'!BS60</f>
        <v>0</v>
      </c>
      <c r="BP57" s="93">
        <f>'[1]FROP (Internal)'!BT60</f>
        <v>0</v>
      </c>
      <c r="BQ57" s="93">
        <f>'[1]FROP (Internal)'!BU60</f>
        <v>0</v>
      </c>
      <c r="BR57" s="93">
        <f>'[1]FROP (Internal)'!BV60</f>
        <v>0</v>
      </c>
      <c r="BS57" s="94">
        <f>'[1]FROP (Internal)'!BW60</f>
        <v>0</v>
      </c>
    </row>
    <row r="58" spans="1:71" ht="20.100000000000001" customHeight="1">
      <c r="A58" s="44" t="s">
        <v>1092</v>
      </c>
      <c r="B58" s="16" t="s">
        <v>1093</v>
      </c>
      <c r="C58" s="5" t="s">
        <v>460</v>
      </c>
      <c r="D58" s="89" t="str">
        <f>IF(AND('[1]FROP (Internal)'!G61="x",'[1]FROP (Internal)'!F61="N/A"),"x","N/A")</f>
        <v>x</v>
      </c>
      <c r="E58" s="89" t="str">
        <f>'[1]FROP (Internal)'!I61</f>
        <v>x</v>
      </c>
      <c r="F58" s="89" t="str">
        <f>'[1]FROP (Internal)'!J61</f>
        <v>N/A</v>
      </c>
      <c r="G58" s="89" t="str">
        <f>'[1]FROP (Internal)'!K61</f>
        <v>N/A</v>
      </c>
      <c r="H58" s="89" t="str">
        <f>'[1]FROP (Internal)'!L61</f>
        <v>N/A</v>
      </c>
      <c r="I58" s="89" t="str">
        <f>'[1]FROP (Internal)'!M61</f>
        <v>N/A</v>
      </c>
      <c r="J58" s="44" t="str">
        <f>'[1]FROP (Internal)'!N61</f>
        <v>x</v>
      </c>
      <c r="K58" s="96" t="str">
        <f>'[1]FROP (Internal)'!O61</f>
        <v>N/A</v>
      </c>
      <c r="L58" s="96" t="str">
        <f>'[1]FROP (Internal)'!P61</f>
        <v>N/A</v>
      </c>
      <c r="M58" s="12"/>
      <c r="N58" s="12"/>
      <c r="O58" s="97"/>
      <c r="P58" s="131" t="str">
        <f>'[1]FROP (Internal)'!T61</f>
        <v>QM</v>
      </c>
      <c r="Q58" s="91">
        <f>'[1]FROP (Internal)'!U61</f>
        <v>0</v>
      </c>
      <c r="R58" s="92">
        <f>'[1]FROP (Internal)'!V61</f>
        <v>0</v>
      </c>
      <c r="S58" s="93">
        <f>'[1]FROP (Internal)'!W61</f>
        <v>0</v>
      </c>
      <c r="T58" s="93">
        <f>'[1]FROP (Internal)'!X61</f>
        <v>0</v>
      </c>
      <c r="U58" s="93">
        <f>'[1]FROP (Internal)'!Y61</f>
        <v>2</v>
      </c>
      <c r="V58" s="93">
        <f>'[1]FROP (Internal)'!Z61</f>
        <v>0</v>
      </c>
      <c r="W58" s="93">
        <f>'[1]FROP (Internal)'!AA61</f>
        <v>3</v>
      </c>
      <c r="X58" s="93">
        <f>'[1]FROP (Internal)'!AB61</f>
        <v>0</v>
      </c>
      <c r="Y58" s="93">
        <f>'[1]FROP (Internal)'!AC61</f>
        <v>0</v>
      </c>
      <c r="Z58" s="93">
        <f>'[1]FROP (Internal)'!AD61</f>
        <v>3</v>
      </c>
      <c r="AA58" s="93">
        <f>'[1]FROP (Internal)'!AE61</f>
        <v>0</v>
      </c>
      <c r="AB58" s="93">
        <f>'[1]FROP (Internal)'!AF61</f>
        <v>0</v>
      </c>
      <c r="AC58" s="94">
        <f>'[1]FROP (Internal)'!AG61</f>
        <v>3</v>
      </c>
      <c r="AD58" s="95">
        <f>'[1]FROP (Internal)'!AH61</f>
        <v>0</v>
      </c>
      <c r="AE58" s="93">
        <f>'[1]FROP (Internal)'!AI61</f>
        <v>0</v>
      </c>
      <c r="AF58" s="93">
        <f>'[1]FROP (Internal)'!AJ61</f>
        <v>3</v>
      </c>
      <c r="AG58" s="93">
        <f>'[1]FROP (Internal)'!AK61</f>
        <v>0</v>
      </c>
      <c r="AH58" s="93">
        <f>'[1]FROP (Internal)'!AL61</f>
        <v>4</v>
      </c>
      <c r="AI58" s="93">
        <f>'[1]FROP (Internal)'!AM61</f>
        <v>0</v>
      </c>
      <c r="AJ58" s="93">
        <f>'[1]FROP (Internal)'!AN61</f>
        <v>0</v>
      </c>
      <c r="AK58" s="93">
        <f>'[1]FROP (Internal)'!AO61</f>
        <v>4</v>
      </c>
      <c r="AL58" s="93">
        <f>'[1]FROP (Internal)'!AP61</f>
        <v>0</v>
      </c>
      <c r="AM58" s="93">
        <f>'[1]FROP (Internal)'!AQ61</f>
        <v>0</v>
      </c>
      <c r="AN58" s="93">
        <f>'[1]FROP (Internal)'!AR61</f>
        <v>4</v>
      </c>
      <c r="AO58" s="94">
        <f>'[1]FROP (Internal)'!AS61</f>
        <v>0</v>
      </c>
      <c r="AP58" s="95">
        <f>'[1]FROP (Internal)'!AT61</f>
        <v>0</v>
      </c>
      <c r="AQ58" s="93">
        <f>'[1]FROP (Internal)'!AU61</f>
        <v>4</v>
      </c>
      <c r="AR58" s="93">
        <f>'[1]FROP (Internal)'!AV61</f>
        <v>0</v>
      </c>
      <c r="AS58" s="93">
        <f>'[1]FROP (Internal)'!AW61</f>
        <v>5</v>
      </c>
      <c r="AT58" s="93">
        <f>'[1]FROP (Internal)'!AX61</f>
        <v>0</v>
      </c>
      <c r="AU58" s="93">
        <f>'[1]FROP (Internal)'!AY61</f>
        <v>0</v>
      </c>
      <c r="AV58" s="93">
        <f>'[1]FROP (Internal)'!AZ61</f>
        <v>5</v>
      </c>
      <c r="AW58" s="93">
        <f>'[1]FROP (Internal)'!BA61</f>
        <v>0</v>
      </c>
      <c r="AX58" s="93">
        <f>'[1]FROP (Internal)'!BB61</f>
        <v>0</v>
      </c>
      <c r="AY58" s="93">
        <f>'[1]FROP (Internal)'!BC61</f>
        <v>0</v>
      </c>
      <c r="AZ58" s="93">
        <f>'[1]FROP (Internal)'!BD61</f>
        <v>0</v>
      </c>
      <c r="BA58" s="94">
        <f>'[1]FROP (Internal)'!BE61</f>
        <v>0</v>
      </c>
      <c r="BB58" s="95">
        <f>'[1]FROP (Internal)'!BF61</f>
        <v>0</v>
      </c>
      <c r="BC58" s="93">
        <f>'[1]FROP (Internal)'!BG61</f>
        <v>0</v>
      </c>
      <c r="BD58" s="93">
        <f>'[1]FROP (Internal)'!BH61</f>
        <v>0</v>
      </c>
      <c r="BE58" s="93">
        <f>'[1]FROP (Internal)'!BI61</f>
        <v>0</v>
      </c>
      <c r="BF58" s="93">
        <f>'[1]FROP (Internal)'!BJ61</f>
        <v>0</v>
      </c>
      <c r="BG58" s="93">
        <f>'[1]FROP (Internal)'!BK61</f>
        <v>0</v>
      </c>
      <c r="BH58" s="93">
        <f>'[1]FROP (Internal)'!BL61</f>
        <v>0</v>
      </c>
      <c r="BI58" s="93">
        <f>'[1]FROP (Internal)'!BM61</f>
        <v>0</v>
      </c>
      <c r="BJ58" s="93">
        <f>'[1]FROP (Internal)'!BN61</f>
        <v>0</v>
      </c>
      <c r="BK58" s="93">
        <f>'[1]FROP (Internal)'!BO61</f>
        <v>0</v>
      </c>
      <c r="BL58" s="93">
        <f>'[1]FROP (Internal)'!BP61</f>
        <v>0</v>
      </c>
      <c r="BM58" s="94">
        <f>'[1]FROP (Internal)'!BQ61</f>
        <v>0</v>
      </c>
      <c r="BN58" s="95">
        <f>'[1]FROP (Internal)'!BR61</f>
        <v>0</v>
      </c>
      <c r="BO58" s="93">
        <f>'[1]FROP (Internal)'!BS61</f>
        <v>0</v>
      </c>
      <c r="BP58" s="93">
        <f>'[1]FROP (Internal)'!BT61</f>
        <v>0</v>
      </c>
      <c r="BQ58" s="93">
        <f>'[1]FROP (Internal)'!BU61</f>
        <v>0</v>
      </c>
      <c r="BR58" s="93">
        <f>'[1]FROP (Internal)'!BV61</f>
        <v>0</v>
      </c>
      <c r="BS58" s="94">
        <f>'[1]FROP (Internal)'!BW61</f>
        <v>0</v>
      </c>
    </row>
    <row r="59" spans="1:71" ht="20.100000000000001" customHeight="1">
      <c r="A59" s="44" t="s">
        <v>1094</v>
      </c>
      <c r="B59" s="662" t="s">
        <v>1095</v>
      </c>
      <c r="C59" s="5" t="s">
        <v>590</v>
      </c>
      <c r="D59" s="89" t="str">
        <f>IF(AND('[1]FROP (Internal)'!G62="x",'[1]FROP (Internal)'!F62="N/A"),"x","N/A")</f>
        <v>x</v>
      </c>
      <c r="E59" s="89" t="str">
        <f>'[1]FROP (Internal)'!I62</f>
        <v>x</v>
      </c>
      <c r="F59" s="89" t="str">
        <f>'[1]FROP (Internal)'!J62</f>
        <v>N/A</v>
      </c>
      <c r="G59" s="89" t="str">
        <f>'[1]FROP (Internal)'!K62</f>
        <v>N/A</v>
      </c>
      <c r="H59" s="89" t="str">
        <f>'[1]FROP (Internal)'!L62</f>
        <v>N/A</v>
      </c>
      <c r="I59" s="89" t="str">
        <f>'[1]FROP (Internal)'!M62</f>
        <v>N/A</v>
      </c>
      <c r="J59" s="44" t="str">
        <f>'[1]FROP (Internal)'!N62</f>
        <v>x</v>
      </c>
      <c r="K59" s="96" t="str">
        <f>'[1]FROP (Internal)'!O62</f>
        <v>N/A</v>
      </c>
      <c r="L59" s="96" t="str">
        <f>'[1]FROP (Internal)'!P62</f>
        <v>N/A</v>
      </c>
      <c r="M59" s="12"/>
      <c r="N59" s="12"/>
      <c r="O59" s="97"/>
      <c r="P59" s="131" t="str">
        <f>'[1]FROP (Internal)'!T62</f>
        <v>QM</v>
      </c>
      <c r="Q59" s="91">
        <f>'[1]FROP (Internal)'!U62</f>
        <v>0</v>
      </c>
      <c r="R59" s="92">
        <f>'[1]FROP (Internal)'!V62</f>
        <v>0</v>
      </c>
      <c r="S59" s="93">
        <f>'[1]FROP (Internal)'!W62</f>
        <v>0</v>
      </c>
      <c r="T59" s="93">
        <f>'[1]FROP (Internal)'!X62</f>
        <v>0</v>
      </c>
      <c r="U59" s="93">
        <f>'[1]FROP (Internal)'!Y62</f>
        <v>2</v>
      </c>
      <c r="V59" s="93">
        <f>'[1]FROP (Internal)'!Z62</f>
        <v>0</v>
      </c>
      <c r="W59" s="93">
        <f>'[1]FROP (Internal)'!AA62</f>
        <v>3</v>
      </c>
      <c r="X59" s="93">
        <f>'[1]FROP (Internal)'!AB62</f>
        <v>0</v>
      </c>
      <c r="Y59" s="93">
        <f>'[1]FROP (Internal)'!AC62</f>
        <v>0</v>
      </c>
      <c r="Z59" s="93">
        <f>'[1]FROP (Internal)'!AD62</f>
        <v>3</v>
      </c>
      <c r="AA59" s="93">
        <f>'[1]FROP (Internal)'!AE62</f>
        <v>0</v>
      </c>
      <c r="AB59" s="93">
        <f>'[1]FROP (Internal)'!AF62</f>
        <v>0</v>
      </c>
      <c r="AC59" s="94">
        <f>'[1]FROP (Internal)'!AG62</f>
        <v>3</v>
      </c>
      <c r="AD59" s="95">
        <f>'[1]FROP (Internal)'!AH62</f>
        <v>0</v>
      </c>
      <c r="AE59" s="93">
        <f>'[1]FROP (Internal)'!AI62</f>
        <v>0</v>
      </c>
      <c r="AF59" s="93">
        <f>'[1]FROP (Internal)'!AJ62</f>
        <v>3</v>
      </c>
      <c r="AG59" s="93">
        <f>'[1]FROP (Internal)'!AK62</f>
        <v>0</v>
      </c>
      <c r="AH59" s="93">
        <f>'[1]FROP (Internal)'!AL62</f>
        <v>4</v>
      </c>
      <c r="AI59" s="93">
        <f>'[1]FROP (Internal)'!AM62</f>
        <v>0</v>
      </c>
      <c r="AJ59" s="93">
        <f>'[1]FROP (Internal)'!AN62</f>
        <v>0</v>
      </c>
      <c r="AK59" s="93">
        <f>'[1]FROP (Internal)'!AO62</f>
        <v>4</v>
      </c>
      <c r="AL59" s="93">
        <f>'[1]FROP (Internal)'!AP62</f>
        <v>0</v>
      </c>
      <c r="AM59" s="93">
        <f>'[1]FROP (Internal)'!AQ62</f>
        <v>0</v>
      </c>
      <c r="AN59" s="93">
        <f>'[1]FROP (Internal)'!AR62</f>
        <v>4</v>
      </c>
      <c r="AO59" s="94">
        <f>'[1]FROP (Internal)'!AS62</f>
        <v>0</v>
      </c>
      <c r="AP59" s="95">
        <f>'[1]FROP (Internal)'!AT62</f>
        <v>0</v>
      </c>
      <c r="AQ59" s="93">
        <f>'[1]FROP (Internal)'!AU62</f>
        <v>4</v>
      </c>
      <c r="AR59" s="93">
        <f>'[1]FROP (Internal)'!AV62</f>
        <v>0</v>
      </c>
      <c r="AS59" s="93">
        <f>'[1]FROP (Internal)'!AW62</f>
        <v>5</v>
      </c>
      <c r="AT59" s="93">
        <f>'[1]FROP (Internal)'!AX62</f>
        <v>0</v>
      </c>
      <c r="AU59" s="93">
        <f>'[1]FROP (Internal)'!AY62</f>
        <v>0</v>
      </c>
      <c r="AV59" s="93">
        <f>'[1]FROP (Internal)'!AZ62</f>
        <v>5</v>
      </c>
      <c r="AW59" s="93">
        <f>'[1]FROP (Internal)'!BA62</f>
        <v>0</v>
      </c>
      <c r="AX59" s="93">
        <f>'[1]FROP (Internal)'!BB62</f>
        <v>0</v>
      </c>
      <c r="AY59" s="93">
        <f>'[1]FROP (Internal)'!BC62</f>
        <v>0</v>
      </c>
      <c r="AZ59" s="93">
        <f>'[1]FROP (Internal)'!BD62</f>
        <v>0</v>
      </c>
      <c r="BA59" s="94">
        <f>'[1]FROP (Internal)'!BE62</f>
        <v>0</v>
      </c>
      <c r="BB59" s="95">
        <f>'[1]FROP (Internal)'!BF62</f>
        <v>0</v>
      </c>
      <c r="BC59" s="93">
        <f>'[1]FROP (Internal)'!BG62</f>
        <v>0</v>
      </c>
      <c r="BD59" s="93">
        <f>'[1]FROP (Internal)'!BH62</f>
        <v>0</v>
      </c>
      <c r="BE59" s="93">
        <f>'[1]FROP (Internal)'!BI62</f>
        <v>0</v>
      </c>
      <c r="BF59" s="93">
        <f>'[1]FROP (Internal)'!BJ62</f>
        <v>0</v>
      </c>
      <c r="BG59" s="93">
        <f>'[1]FROP (Internal)'!BK62</f>
        <v>0</v>
      </c>
      <c r="BH59" s="93">
        <f>'[1]FROP (Internal)'!BL62</f>
        <v>0</v>
      </c>
      <c r="BI59" s="93">
        <f>'[1]FROP (Internal)'!BM62</f>
        <v>0</v>
      </c>
      <c r="BJ59" s="93">
        <f>'[1]FROP (Internal)'!BN62</f>
        <v>0</v>
      </c>
      <c r="BK59" s="93">
        <f>'[1]FROP (Internal)'!BO62</f>
        <v>0</v>
      </c>
      <c r="BL59" s="93">
        <f>'[1]FROP (Internal)'!BP62</f>
        <v>0</v>
      </c>
      <c r="BM59" s="94">
        <f>'[1]FROP (Internal)'!BQ62</f>
        <v>0</v>
      </c>
      <c r="BN59" s="95">
        <f>'[1]FROP (Internal)'!BR62</f>
        <v>0</v>
      </c>
      <c r="BO59" s="93">
        <f>'[1]FROP (Internal)'!BS62</f>
        <v>0</v>
      </c>
      <c r="BP59" s="93">
        <f>'[1]FROP (Internal)'!BT62</f>
        <v>0</v>
      </c>
      <c r="BQ59" s="93">
        <f>'[1]FROP (Internal)'!BU62</f>
        <v>0</v>
      </c>
      <c r="BR59" s="93">
        <f>'[1]FROP (Internal)'!BV62</f>
        <v>0</v>
      </c>
      <c r="BS59" s="94">
        <f>'[1]FROP (Internal)'!BW62</f>
        <v>0</v>
      </c>
    </row>
    <row r="60" spans="1:71" ht="20.100000000000001" hidden="1" customHeight="1">
      <c r="A60" s="44" t="s">
        <v>1096</v>
      </c>
      <c r="B60" s="662"/>
      <c r="C60" s="5" t="s">
        <v>588</v>
      </c>
      <c r="D60" s="89" t="str">
        <f>IF(AND('[1]FROP (Internal)'!G63="x",'[1]FROP (Internal)'!F63="N/A"),"x","N/A")</f>
        <v>N/A</v>
      </c>
      <c r="E60" s="89" t="str">
        <f>'[1]FROP (Internal)'!I63</f>
        <v>N/A</v>
      </c>
      <c r="F60" s="89" t="str">
        <f>'[1]FROP (Internal)'!J63</f>
        <v>N/A</v>
      </c>
      <c r="G60" s="89" t="str">
        <f>'[1]FROP (Internal)'!K63</f>
        <v>N/A</v>
      </c>
      <c r="H60" s="89" t="str">
        <f>'[1]FROP (Internal)'!L63</f>
        <v>N/A</v>
      </c>
      <c r="I60" s="89" t="str">
        <f>'[1]FROP (Internal)'!M63</f>
        <v>N/A</v>
      </c>
      <c r="J60" s="44" t="str">
        <f>'[1]FROP (Internal)'!N63</f>
        <v>N/A</v>
      </c>
      <c r="K60" s="96" t="str">
        <f>'[1]FROP (Internal)'!O63</f>
        <v>N/A</v>
      </c>
      <c r="L60" s="96" t="str">
        <f>'[1]FROP (Internal)'!P63</f>
        <v>N/A</v>
      </c>
      <c r="M60" s="12"/>
      <c r="N60" s="12"/>
      <c r="O60" s="97"/>
      <c r="P60" s="34" t="str">
        <f>'[1]FROP (Internal)'!T63</f>
        <v>QM</v>
      </c>
      <c r="Q60" s="91">
        <f>'[1]FROP (Internal)'!U63</f>
        <v>0</v>
      </c>
      <c r="R60" s="92">
        <f>'[1]FROP (Internal)'!V63</f>
        <v>0</v>
      </c>
      <c r="S60" s="93">
        <f>'[1]FROP (Internal)'!W63</f>
        <v>0</v>
      </c>
      <c r="T60" s="93">
        <f>'[1]FROP (Internal)'!X63</f>
        <v>0</v>
      </c>
      <c r="U60" s="93">
        <f>'[1]FROP (Internal)'!Y63</f>
        <v>0</v>
      </c>
      <c r="V60" s="93">
        <f>'[1]FROP (Internal)'!Z63</f>
        <v>0</v>
      </c>
      <c r="W60" s="93">
        <f>'[1]FROP (Internal)'!AA63</f>
        <v>0</v>
      </c>
      <c r="X60" s="93">
        <f>'[1]FROP (Internal)'!AB63</f>
        <v>0</v>
      </c>
      <c r="Y60" s="93">
        <f>'[1]FROP (Internal)'!AC63</f>
        <v>0</v>
      </c>
      <c r="Z60" s="93">
        <f>'[1]FROP (Internal)'!AD63</f>
        <v>0</v>
      </c>
      <c r="AA60" s="93">
        <f>'[1]FROP (Internal)'!AE63</f>
        <v>0</v>
      </c>
      <c r="AB60" s="93">
        <f>'[1]FROP (Internal)'!AF63</f>
        <v>0</v>
      </c>
      <c r="AC60" s="94">
        <f>'[1]FROP (Internal)'!AG63</f>
        <v>0</v>
      </c>
      <c r="AD60" s="95">
        <f>'[1]FROP (Internal)'!AH63</f>
        <v>0</v>
      </c>
      <c r="AE60" s="93">
        <f>'[1]FROP (Internal)'!AI63</f>
        <v>0</v>
      </c>
      <c r="AF60" s="93">
        <f>'[1]FROP (Internal)'!AJ63</f>
        <v>0</v>
      </c>
      <c r="AG60" s="93">
        <f>'[1]FROP (Internal)'!AK63</f>
        <v>0</v>
      </c>
      <c r="AH60" s="93">
        <f>'[1]FROP (Internal)'!AL63</f>
        <v>0</v>
      </c>
      <c r="AI60" s="93">
        <f>'[1]FROP (Internal)'!AM63</f>
        <v>0</v>
      </c>
      <c r="AJ60" s="93">
        <f>'[1]FROP (Internal)'!AN63</f>
        <v>0</v>
      </c>
      <c r="AK60" s="93">
        <f>'[1]FROP (Internal)'!AO63</f>
        <v>0</v>
      </c>
      <c r="AL60" s="93">
        <f>'[1]FROP (Internal)'!AP63</f>
        <v>0</v>
      </c>
      <c r="AM60" s="93">
        <f>'[1]FROP (Internal)'!AQ63</f>
        <v>0</v>
      </c>
      <c r="AN60" s="93">
        <f>'[1]FROP (Internal)'!AR63</f>
        <v>0</v>
      </c>
      <c r="AO60" s="94">
        <f>'[1]FROP (Internal)'!AS63</f>
        <v>0</v>
      </c>
      <c r="AP60" s="95">
        <f>'[1]FROP (Internal)'!AT63</f>
        <v>0</v>
      </c>
      <c r="AQ60" s="93">
        <f>'[1]FROP (Internal)'!AU63</f>
        <v>0</v>
      </c>
      <c r="AR60" s="93">
        <f>'[1]FROP (Internal)'!AV63</f>
        <v>0</v>
      </c>
      <c r="AS60" s="93">
        <f>'[1]FROP (Internal)'!AW63</f>
        <v>0</v>
      </c>
      <c r="AT60" s="93">
        <f>'[1]FROP (Internal)'!AX63</f>
        <v>0</v>
      </c>
      <c r="AU60" s="93">
        <f>'[1]FROP (Internal)'!AY63</f>
        <v>0</v>
      </c>
      <c r="AV60" s="93">
        <f>'[1]FROP (Internal)'!AZ63</f>
        <v>0</v>
      </c>
      <c r="AW60" s="93">
        <f>'[1]FROP (Internal)'!BA63</f>
        <v>0</v>
      </c>
      <c r="AX60" s="93">
        <f>'[1]FROP (Internal)'!BB63</f>
        <v>0</v>
      </c>
      <c r="AY60" s="93">
        <f>'[1]FROP (Internal)'!BC63</f>
        <v>0</v>
      </c>
      <c r="AZ60" s="93">
        <f>'[1]FROP (Internal)'!BD63</f>
        <v>0</v>
      </c>
      <c r="BA60" s="94">
        <f>'[1]FROP (Internal)'!BE63</f>
        <v>0</v>
      </c>
      <c r="BB60" s="95">
        <f>'[1]FROP (Internal)'!BF63</f>
        <v>0</v>
      </c>
      <c r="BC60" s="93">
        <f>'[1]FROP (Internal)'!BG63</f>
        <v>0</v>
      </c>
      <c r="BD60" s="93">
        <f>'[1]FROP (Internal)'!BH63</f>
        <v>0</v>
      </c>
      <c r="BE60" s="93">
        <f>'[1]FROP (Internal)'!BI63</f>
        <v>0</v>
      </c>
      <c r="BF60" s="93">
        <f>'[1]FROP (Internal)'!BJ63</f>
        <v>0</v>
      </c>
      <c r="BG60" s="93">
        <f>'[1]FROP (Internal)'!BK63</f>
        <v>0</v>
      </c>
      <c r="BH60" s="93">
        <f>'[1]FROP (Internal)'!BL63</f>
        <v>0</v>
      </c>
      <c r="BI60" s="93">
        <f>'[1]FROP (Internal)'!BM63</f>
        <v>0</v>
      </c>
      <c r="BJ60" s="93">
        <f>'[1]FROP (Internal)'!BN63</f>
        <v>0</v>
      </c>
      <c r="BK60" s="93">
        <f>'[1]FROP (Internal)'!BO63</f>
        <v>0</v>
      </c>
      <c r="BL60" s="93">
        <f>'[1]FROP (Internal)'!BP63</f>
        <v>0</v>
      </c>
      <c r="BM60" s="94">
        <f>'[1]FROP (Internal)'!BQ63</f>
        <v>0</v>
      </c>
      <c r="BN60" s="95">
        <f>'[1]FROP (Internal)'!BR63</f>
        <v>0</v>
      </c>
      <c r="BO60" s="93">
        <f>'[1]FROP (Internal)'!BS63</f>
        <v>0</v>
      </c>
      <c r="BP60" s="93">
        <f>'[1]FROP (Internal)'!BT63</f>
        <v>0</v>
      </c>
      <c r="BQ60" s="93">
        <f>'[1]FROP (Internal)'!BU63</f>
        <v>0</v>
      </c>
      <c r="BR60" s="93">
        <f>'[1]FROP (Internal)'!BV63</f>
        <v>0</v>
      </c>
      <c r="BS60" s="94">
        <f>'[1]FROP (Internal)'!BW63</f>
        <v>0</v>
      </c>
    </row>
    <row r="61" spans="1:71" ht="20.100000000000001" customHeight="1">
      <c r="A61" s="44" t="s">
        <v>1097</v>
      </c>
      <c r="B61" s="663" t="s">
        <v>1098</v>
      </c>
      <c r="C61" s="6" t="s">
        <v>584</v>
      </c>
      <c r="D61" s="89" t="str">
        <f>IF(AND('[1]FROP (Internal)'!G64="x",'[1]FROP (Internal)'!F64="N/A"),"x","N/A")</f>
        <v>x</v>
      </c>
      <c r="E61" s="89" t="str">
        <f>'[1]FROP (Internal)'!I64</f>
        <v>x</v>
      </c>
      <c r="F61" s="89" t="str">
        <f>'[1]FROP (Internal)'!J64</f>
        <v>N/A</v>
      </c>
      <c r="G61" s="89" t="str">
        <f>'[1]FROP (Internal)'!K64</f>
        <v>N/A</v>
      </c>
      <c r="H61" s="89" t="str">
        <f>'[1]FROP (Internal)'!L64</f>
        <v>N/A</v>
      </c>
      <c r="I61" s="89" t="str">
        <f>'[1]FROP (Internal)'!M64</f>
        <v>N/A</v>
      </c>
      <c r="J61" s="44" t="str">
        <f>'[1]FROP (Internal)'!N64</f>
        <v>x</v>
      </c>
      <c r="K61" s="96" t="str">
        <f>'[1]FROP (Internal)'!O64</f>
        <v>N/A</v>
      </c>
      <c r="L61" s="96" t="str">
        <f>'[1]FROP (Internal)'!P64</f>
        <v>N/A</v>
      </c>
      <c r="M61" s="12"/>
      <c r="N61" s="12"/>
      <c r="O61" s="97"/>
      <c r="P61" s="131" t="str">
        <f>'[1]FROP (Internal)'!T64</f>
        <v>QM</v>
      </c>
      <c r="Q61" s="91">
        <f>'[1]FROP (Internal)'!U64</f>
        <v>0</v>
      </c>
      <c r="R61" s="92">
        <f>'[1]FROP (Internal)'!V64</f>
        <v>0</v>
      </c>
      <c r="S61" s="93">
        <f>'[1]FROP (Internal)'!W64</f>
        <v>0</v>
      </c>
      <c r="T61" s="93">
        <f>'[1]FROP (Internal)'!X64</f>
        <v>0</v>
      </c>
      <c r="U61" s="93">
        <f>'[1]FROP (Internal)'!Y64</f>
        <v>2</v>
      </c>
      <c r="V61" s="93">
        <f>'[1]FROP (Internal)'!Z64</f>
        <v>0</v>
      </c>
      <c r="W61" s="93">
        <f>'[1]FROP (Internal)'!AA64</f>
        <v>3</v>
      </c>
      <c r="X61" s="93">
        <f>'[1]FROP (Internal)'!AB64</f>
        <v>0</v>
      </c>
      <c r="Y61" s="93">
        <f>'[1]FROP (Internal)'!AC64</f>
        <v>0</v>
      </c>
      <c r="Z61" s="93">
        <f>'[1]FROP (Internal)'!AD64</f>
        <v>3</v>
      </c>
      <c r="AA61" s="93">
        <f>'[1]FROP (Internal)'!AE64</f>
        <v>0</v>
      </c>
      <c r="AB61" s="93">
        <f>'[1]FROP (Internal)'!AF64</f>
        <v>0</v>
      </c>
      <c r="AC61" s="94">
        <f>'[1]FROP (Internal)'!AG64</f>
        <v>3</v>
      </c>
      <c r="AD61" s="95">
        <f>'[1]FROP (Internal)'!AH64</f>
        <v>0</v>
      </c>
      <c r="AE61" s="93">
        <f>'[1]FROP (Internal)'!AI64</f>
        <v>0</v>
      </c>
      <c r="AF61" s="93">
        <f>'[1]FROP (Internal)'!AJ64</f>
        <v>3</v>
      </c>
      <c r="AG61" s="93">
        <f>'[1]FROP (Internal)'!AK64</f>
        <v>0</v>
      </c>
      <c r="AH61" s="93">
        <f>'[1]FROP (Internal)'!AL64</f>
        <v>4</v>
      </c>
      <c r="AI61" s="93">
        <f>'[1]FROP (Internal)'!AM64</f>
        <v>0</v>
      </c>
      <c r="AJ61" s="93">
        <f>'[1]FROP (Internal)'!AN64</f>
        <v>0</v>
      </c>
      <c r="AK61" s="93">
        <f>'[1]FROP (Internal)'!AO64</f>
        <v>4</v>
      </c>
      <c r="AL61" s="93">
        <f>'[1]FROP (Internal)'!AP64</f>
        <v>0</v>
      </c>
      <c r="AM61" s="93">
        <f>'[1]FROP (Internal)'!AQ64</f>
        <v>0</v>
      </c>
      <c r="AN61" s="93">
        <f>'[1]FROP (Internal)'!AR64</f>
        <v>4</v>
      </c>
      <c r="AO61" s="94">
        <f>'[1]FROP (Internal)'!AS64</f>
        <v>0</v>
      </c>
      <c r="AP61" s="95">
        <f>'[1]FROP (Internal)'!AT64</f>
        <v>0</v>
      </c>
      <c r="AQ61" s="93">
        <f>'[1]FROP (Internal)'!AU64</f>
        <v>4</v>
      </c>
      <c r="AR61" s="93">
        <f>'[1]FROP (Internal)'!AV64</f>
        <v>0</v>
      </c>
      <c r="AS61" s="93">
        <f>'[1]FROP (Internal)'!AW64</f>
        <v>5</v>
      </c>
      <c r="AT61" s="93">
        <f>'[1]FROP (Internal)'!AX64</f>
        <v>0</v>
      </c>
      <c r="AU61" s="93">
        <f>'[1]FROP (Internal)'!AY64</f>
        <v>0</v>
      </c>
      <c r="AV61" s="93">
        <f>'[1]FROP (Internal)'!AZ64</f>
        <v>5</v>
      </c>
      <c r="AW61" s="93">
        <f>'[1]FROP (Internal)'!BA64</f>
        <v>0</v>
      </c>
      <c r="AX61" s="93">
        <f>'[1]FROP (Internal)'!BB64</f>
        <v>0</v>
      </c>
      <c r="AY61" s="93">
        <f>'[1]FROP (Internal)'!BC64</f>
        <v>0</v>
      </c>
      <c r="AZ61" s="93">
        <f>'[1]FROP (Internal)'!BD64</f>
        <v>0</v>
      </c>
      <c r="BA61" s="94">
        <f>'[1]FROP (Internal)'!BE64</f>
        <v>0</v>
      </c>
      <c r="BB61" s="95">
        <f>'[1]FROP (Internal)'!BF64</f>
        <v>0</v>
      </c>
      <c r="BC61" s="93">
        <f>'[1]FROP (Internal)'!BG64</f>
        <v>0</v>
      </c>
      <c r="BD61" s="93">
        <f>'[1]FROP (Internal)'!BH64</f>
        <v>0</v>
      </c>
      <c r="BE61" s="93">
        <f>'[1]FROP (Internal)'!BI64</f>
        <v>0</v>
      </c>
      <c r="BF61" s="93">
        <f>'[1]FROP (Internal)'!BJ64</f>
        <v>0</v>
      </c>
      <c r="BG61" s="93">
        <f>'[1]FROP (Internal)'!BK64</f>
        <v>0</v>
      </c>
      <c r="BH61" s="93">
        <f>'[1]FROP (Internal)'!BL64</f>
        <v>0</v>
      </c>
      <c r="BI61" s="93">
        <f>'[1]FROP (Internal)'!BM64</f>
        <v>0</v>
      </c>
      <c r="BJ61" s="93">
        <f>'[1]FROP (Internal)'!BN64</f>
        <v>0</v>
      </c>
      <c r="BK61" s="93">
        <f>'[1]FROP (Internal)'!BO64</f>
        <v>0</v>
      </c>
      <c r="BL61" s="93">
        <f>'[1]FROP (Internal)'!BP64</f>
        <v>0</v>
      </c>
      <c r="BM61" s="94">
        <f>'[1]FROP (Internal)'!BQ64</f>
        <v>0</v>
      </c>
      <c r="BN61" s="95">
        <f>'[1]FROP (Internal)'!BR64</f>
        <v>0</v>
      </c>
      <c r="BO61" s="93">
        <f>'[1]FROP (Internal)'!BS64</f>
        <v>0</v>
      </c>
      <c r="BP61" s="93">
        <f>'[1]FROP (Internal)'!BT64</f>
        <v>0</v>
      </c>
      <c r="BQ61" s="93">
        <f>'[1]FROP (Internal)'!BU64</f>
        <v>0</v>
      </c>
      <c r="BR61" s="93">
        <f>'[1]FROP (Internal)'!BV64</f>
        <v>0</v>
      </c>
      <c r="BS61" s="94">
        <f>'[1]FROP (Internal)'!BW64</f>
        <v>0</v>
      </c>
    </row>
    <row r="62" spans="1:71" ht="20.100000000000001" hidden="1" customHeight="1">
      <c r="A62" s="44" t="s">
        <v>1099</v>
      </c>
      <c r="B62" s="663"/>
      <c r="C62" s="5" t="s">
        <v>586</v>
      </c>
      <c r="D62" s="89" t="str">
        <f>IF(AND('[1]FROP (Internal)'!G65="x",'[1]FROP (Internal)'!F65="N/A"),"x","N/A")</f>
        <v>N/A</v>
      </c>
      <c r="E62" s="89" t="str">
        <f>'[1]FROP (Internal)'!I65</f>
        <v>N/A</v>
      </c>
      <c r="F62" s="89" t="str">
        <f>'[1]FROP (Internal)'!J65</f>
        <v>N/A</v>
      </c>
      <c r="G62" s="89" t="str">
        <f>'[1]FROP (Internal)'!K65</f>
        <v>N/A</v>
      </c>
      <c r="H62" s="89" t="str">
        <f>'[1]FROP (Internal)'!L65</f>
        <v>N/A</v>
      </c>
      <c r="I62" s="89" t="str">
        <f>'[1]FROP (Internal)'!M65</f>
        <v>N/A</v>
      </c>
      <c r="J62" s="44" t="str">
        <f>'[1]FROP (Internal)'!N65</f>
        <v>N/A</v>
      </c>
      <c r="K62" s="96" t="str">
        <f>'[1]FROP (Internal)'!O65</f>
        <v>N/A</v>
      </c>
      <c r="L62" s="96" t="str">
        <f>'[1]FROP (Internal)'!P65</f>
        <v>N/A</v>
      </c>
      <c r="M62" s="12"/>
      <c r="N62" s="12"/>
      <c r="O62" s="97"/>
      <c r="P62" s="34" t="str">
        <f>'[1]FROP (Internal)'!T65</f>
        <v>QM</v>
      </c>
      <c r="Q62" s="91">
        <f>'[1]FROP (Internal)'!U65</f>
        <v>0</v>
      </c>
      <c r="R62" s="92">
        <f>'[1]FROP (Internal)'!V65</f>
        <v>0</v>
      </c>
      <c r="S62" s="93">
        <f>'[1]FROP (Internal)'!W65</f>
        <v>0</v>
      </c>
      <c r="T62" s="93">
        <f>'[1]FROP (Internal)'!X65</f>
        <v>0</v>
      </c>
      <c r="U62" s="93">
        <f>'[1]FROP (Internal)'!Y65</f>
        <v>0</v>
      </c>
      <c r="V62" s="93">
        <f>'[1]FROP (Internal)'!Z65</f>
        <v>0</v>
      </c>
      <c r="W62" s="93">
        <f>'[1]FROP (Internal)'!AA65</f>
        <v>0</v>
      </c>
      <c r="X62" s="93">
        <f>'[1]FROP (Internal)'!AB65</f>
        <v>0</v>
      </c>
      <c r="Y62" s="93">
        <f>'[1]FROP (Internal)'!AC65</f>
        <v>0</v>
      </c>
      <c r="Z62" s="93">
        <f>'[1]FROP (Internal)'!AD65</f>
        <v>0</v>
      </c>
      <c r="AA62" s="93">
        <f>'[1]FROP (Internal)'!AE65</f>
        <v>0</v>
      </c>
      <c r="AB62" s="93">
        <f>'[1]FROP (Internal)'!AF65</f>
        <v>0</v>
      </c>
      <c r="AC62" s="94">
        <f>'[1]FROP (Internal)'!AG65</f>
        <v>0</v>
      </c>
      <c r="AD62" s="95">
        <f>'[1]FROP (Internal)'!AH65</f>
        <v>0</v>
      </c>
      <c r="AE62" s="93">
        <f>'[1]FROP (Internal)'!AI65</f>
        <v>0</v>
      </c>
      <c r="AF62" s="93">
        <f>'[1]FROP (Internal)'!AJ65</f>
        <v>0</v>
      </c>
      <c r="AG62" s="93">
        <f>'[1]FROP (Internal)'!AK65</f>
        <v>0</v>
      </c>
      <c r="AH62" s="93">
        <f>'[1]FROP (Internal)'!AL65</f>
        <v>0</v>
      </c>
      <c r="AI62" s="93">
        <f>'[1]FROP (Internal)'!AM65</f>
        <v>0</v>
      </c>
      <c r="AJ62" s="93">
        <f>'[1]FROP (Internal)'!AN65</f>
        <v>0</v>
      </c>
      <c r="AK62" s="93">
        <f>'[1]FROP (Internal)'!AO65</f>
        <v>0</v>
      </c>
      <c r="AL62" s="93">
        <f>'[1]FROP (Internal)'!AP65</f>
        <v>0</v>
      </c>
      <c r="AM62" s="93">
        <f>'[1]FROP (Internal)'!AQ65</f>
        <v>0</v>
      </c>
      <c r="AN62" s="93">
        <f>'[1]FROP (Internal)'!AR65</f>
        <v>0</v>
      </c>
      <c r="AO62" s="94">
        <f>'[1]FROP (Internal)'!AS65</f>
        <v>0</v>
      </c>
      <c r="AP62" s="95">
        <f>'[1]FROP (Internal)'!AT65</f>
        <v>0</v>
      </c>
      <c r="AQ62" s="93">
        <f>'[1]FROP (Internal)'!AU65</f>
        <v>0</v>
      </c>
      <c r="AR62" s="93">
        <f>'[1]FROP (Internal)'!AV65</f>
        <v>0</v>
      </c>
      <c r="AS62" s="93">
        <f>'[1]FROP (Internal)'!AW65</f>
        <v>0</v>
      </c>
      <c r="AT62" s="93">
        <f>'[1]FROP (Internal)'!AX65</f>
        <v>0</v>
      </c>
      <c r="AU62" s="93">
        <f>'[1]FROP (Internal)'!AY65</f>
        <v>0</v>
      </c>
      <c r="AV62" s="93">
        <f>'[1]FROP (Internal)'!AZ65</f>
        <v>0</v>
      </c>
      <c r="AW62" s="93">
        <f>'[1]FROP (Internal)'!BA65</f>
        <v>0</v>
      </c>
      <c r="AX62" s="93">
        <f>'[1]FROP (Internal)'!BB65</f>
        <v>0</v>
      </c>
      <c r="AY62" s="93">
        <f>'[1]FROP (Internal)'!BC65</f>
        <v>0</v>
      </c>
      <c r="AZ62" s="93">
        <f>'[1]FROP (Internal)'!BD65</f>
        <v>0</v>
      </c>
      <c r="BA62" s="94">
        <f>'[1]FROP (Internal)'!BE65</f>
        <v>0</v>
      </c>
      <c r="BB62" s="95">
        <f>'[1]FROP (Internal)'!BF65</f>
        <v>0</v>
      </c>
      <c r="BC62" s="93">
        <f>'[1]FROP (Internal)'!BG65</f>
        <v>0</v>
      </c>
      <c r="BD62" s="93">
        <f>'[1]FROP (Internal)'!BH65</f>
        <v>0</v>
      </c>
      <c r="BE62" s="93">
        <f>'[1]FROP (Internal)'!BI65</f>
        <v>0</v>
      </c>
      <c r="BF62" s="93">
        <f>'[1]FROP (Internal)'!BJ65</f>
        <v>0</v>
      </c>
      <c r="BG62" s="93">
        <f>'[1]FROP (Internal)'!BK65</f>
        <v>0</v>
      </c>
      <c r="BH62" s="93">
        <f>'[1]FROP (Internal)'!BL65</f>
        <v>0</v>
      </c>
      <c r="BI62" s="93">
        <f>'[1]FROP (Internal)'!BM65</f>
        <v>0</v>
      </c>
      <c r="BJ62" s="93">
        <f>'[1]FROP (Internal)'!BN65</f>
        <v>0</v>
      </c>
      <c r="BK62" s="93">
        <f>'[1]FROP (Internal)'!BO65</f>
        <v>0</v>
      </c>
      <c r="BL62" s="93">
        <f>'[1]FROP (Internal)'!BP65</f>
        <v>0</v>
      </c>
      <c r="BM62" s="94">
        <f>'[1]FROP (Internal)'!BQ65</f>
        <v>0</v>
      </c>
      <c r="BN62" s="95">
        <f>'[1]FROP (Internal)'!BR65</f>
        <v>0</v>
      </c>
      <c r="BO62" s="93">
        <f>'[1]FROP (Internal)'!BS65</f>
        <v>0</v>
      </c>
      <c r="BP62" s="93">
        <f>'[1]FROP (Internal)'!BT65</f>
        <v>0</v>
      </c>
      <c r="BQ62" s="93">
        <f>'[1]FROP (Internal)'!BU65</f>
        <v>0</v>
      </c>
      <c r="BR62" s="93">
        <f>'[1]FROP (Internal)'!BV65</f>
        <v>0</v>
      </c>
      <c r="BS62" s="94">
        <f>'[1]FROP (Internal)'!BW65</f>
        <v>0</v>
      </c>
    </row>
    <row r="63" spans="1:71" ht="20.100000000000001" hidden="1" customHeight="1">
      <c r="A63" s="44" t="s">
        <v>1100</v>
      </c>
      <c r="B63" s="16" t="s">
        <v>1101</v>
      </c>
      <c r="C63" s="5" t="s">
        <v>449</v>
      </c>
      <c r="D63" s="89" t="str">
        <f>IF(AND('[1]FROP (Internal)'!G66="x",'[1]FROP (Internal)'!F66="N/A"),"x","N/A")</f>
        <v>N/A</v>
      </c>
      <c r="E63" s="89" t="str">
        <f>'[1]FROP (Internal)'!I66</f>
        <v>N/A</v>
      </c>
      <c r="F63" s="89" t="str">
        <f>'[1]FROP (Internal)'!J66</f>
        <v>N/A</v>
      </c>
      <c r="G63" s="89" t="str">
        <f>'[1]FROP (Internal)'!K66</f>
        <v>N/A</v>
      </c>
      <c r="H63" s="89" t="str">
        <f>'[1]FROP (Internal)'!L66</f>
        <v>N/A</v>
      </c>
      <c r="I63" s="89" t="str">
        <f>'[1]FROP (Internal)'!M66</f>
        <v>N/A</v>
      </c>
      <c r="J63" s="44" t="str">
        <f>'[1]FROP (Internal)'!N66</f>
        <v>N/A</v>
      </c>
      <c r="K63" s="96" t="str">
        <f>'[1]FROP (Internal)'!O66</f>
        <v>N/A</v>
      </c>
      <c r="L63" s="96" t="str">
        <f>'[1]FROP (Internal)'!P66</f>
        <v>N/A</v>
      </c>
      <c r="M63" s="12"/>
      <c r="N63" s="12"/>
      <c r="O63" s="97"/>
      <c r="P63" s="34" t="str">
        <f>'[1]FROP (Internal)'!T66</f>
        <v>QM</v>
      </c>
      <c r="Q63" s="91">
        <f>'[1]FROP (Internal)'!U66</f>
        <v>0</v>
      </c>
      <c r="R63" s="92">
        <f>'[1]FROP (Internal)'!V66</f>
        <v>0</v>
      </c>
      <c r="S63" s="93">
        <f>'[1]FROP (Internal)'!W66</f>
        <v>0</v>
      </c>
      <c r="T63" s="93">
        <f>'[1]FROP (Internal)'!X66</f>
        <v>0</v>
      </c>
      <c r="U63" s="93">
        <f>'[1]FROP (Internal)'!Y66</f>
        <v>0</v>
      </c>
      <c r="V63" s="93">
        <f>'[1]FROP (Internal)'!Z66</f>
        <v>0</v>
      </c>
      <c r="W63" s="93">
        <f>'[1]FROP (Internal)'!AA66</f>
        <v>0</v>
      </c>
      <c r="X63" s="93">
        <f>'[1]FROP (Internal)'!AB66</f>
        <v>0</v>
      </c>
      <c r="Y63" s="93">
        <f>'[1]FROP (Internal)'!AC66</f>
        <v>0</v>
      </c>
      <c r="Z63" s="93">
        <f>'[1]FROP (Internal)'!AD66</f>
        <v>0</v>
      </c>
      <c r="AA63" s="93">
        <f>'[1]FROP (Internal)'!AE66</f>
        <v>0</v>
      </c>
      <c r="AB63" s="93">
        <f>'[1]FROP (Internal)'!AF66</f>
        <v>0</v>
      </c>
      <c r="AC63" s="94">
        <f>'[1]FROP (Internal)'!AG66</f>
        <v>0</v>
      </c>
      <c r="AD63" s="95">
        <f>'[1]FROP (Internal)'!AH66</f>
        <v>0</v>
      </c>
      <c r="AE63" s="93">
        <f>'[1]FROP (Internal)'!AI66</f>
        <v>0</v>
      </c>
      <c r="AF63" s="93">
        <f>'[1]FROP (Internal)'!AJ66</f>
        <v>0</v>
      </c>
      <c r="AG63" s="93">
        <f>'[1]FROP (Internal)'!AK66</f>
        <v>0</v>
      </c>
      <c r="AH63" s="93">
        <f>'[1]FROP (Internal)'!AL66</f>
        <v>0</v>
      </c>
      <c r="AI63" s="93">
        <f>'[1]FROP (Internal)'!AM66</f>
        <v>0</v>
      </c>
      <c r="AJ63" s="93">
        <f>'[1]FROP (Internal)'!AN66</f>
        <v>0</v>
      </c>
      <c r="AK63" s="93">
        <f>'[1]FROP (Internal)'!AO66</f>
        <v>0</v>
      </c>
      <c r="AL63" s="93">
        <f>'[1]FROP (Internal)'!AP66</f>
        <v>0</v>
      </c>
      <c r="AM63" s="93">
        <f>'[1]FROP (Internal)'!AQ66</f>
        <v>0</v>
      </c>
      <c r="AN63" s="93">
        <f>'[1]FROP (Internal)'!AR66</f>
        <v>0</v>
      </c>
      <c r="AO63" s="94">
        <f>'[1]FROP (Internal)'!AS66</f>
        <v>0</v>
      </c>
      <c r="AP63" s="95">
        <f>'[1]FROP (Internal)'!AT66</f>
        <v>0</v>
      </c>
      <c r="AQ63" s="93">
        <f>'[1]FROP (Internal)'!AU66</f>
        <v>0</v>
      </c>
      <c r="AR63" s="93">
        <f>'[1]FROP (Internal)'!AV66</f>
        <v>0</v>
      </c>
      <c r="AS63" s="93">
        <f>'[1]FROP (Internal)'!AW66</f>
        <v>0</v>
      </c>
      <c r="AT63" s="93">
        <f>'[1]FROP (Internal)'!AX66</f>
        <v>0</v>
      </c>
      <c r="AU63" s="93">
        <f>'[1]FROP (Internal)'!AY66</f>
        <v>0</v>
      </c>
      <c r="AV63" s="93">
        <f>'[1]FROP (Internal)'!AZ66</f>
        <v>0</v>
      </c>
      <c r="AW63" s="93">
        <f>'[1]FROP (Internal)'!BA66</f>
        <v>0</v>
      </c>
      <c r="AX63" s="93">
        <f>'[1]FROP (Internal)'!BB66</f>
        <v>0</v>
      </c>
      <c r="AY63" s="93">
        <f>'[1]FROP (Internal)'!BC66</f>
        <v>0</v>
      </c>
      <c r="AZ63" s="93">
        <f>'[1]FROP (Internal)'!BD66</f>
        <v>0</v>
      </c>
      <c r="BA63" s="94">
        <f>'[1]FROP (Internal)'!BE66</f>
        <v>0</v>
      </c>
      <c r="BB63" s="95">
        <f>'[1]FROP (Internal)'!BF66</f>
        <v>0</v>
      </c>
      <c r="BC63" s="93">
        <f>'[1]FROP (Internal)'!BG66</f>
        <v>0</v>
      </c>
      <c r="BD63" s="93">
        <f>'[1]FROP (Internal)'!BH66</f>
        <v>0</v>
      </c>
      <c r="BE63" s="93">
        <f>'[1]FROP (Internal)'!BI66</f>
        <v>0</v>
      </c>
      <c r="BF63" s="93">
        <f>'[1]FROP (Internal)'!BJ66</f>
        <v>0</v>
      </c>
      <c r="BG63" s="93">
        <f>'[1]FROP (Internal)'!BK66</f>
        <v>0</v>
      </c>
      <c r="BH63" s="93">
        <f>'[1]FROP (Internal)'!BL66</f>
        <v>0</v>
      </c>
      <c r="BI63" s="93">
        <f>'[1]FROP (Internal)'!BM66</f>
        <v>0</v>
      </c>
      <c r="BJ63" s="93">
        <f>'[1]FROP (Internal)'!BN66</f>
        <v>0</v>
      </c>
      <c r="BK63" s="93">
        <f>'[1]FROP (Internal)'!BO66</f>
        <v>0</v>
      </c>
      <c r="BL63" s="93">
        <f>'[1]FROP (Internal)'!BP66</f>
        <v>0</v>
      </c>
      <c r="BM63" s="94">
        <f>'[1]FROP (Internal)'!BQ66</f>
        <v>0</v>
      </c>
      <c r="BN63" s="95">
        <f>'[1]FROP (Internal)'!BR66</f>
        <v>0</v>
      </c>
      <c r="BO63" s="93">
        <f>'[1]FROP (Internal)'!BS66</f>
        <v>0</v>
      </c>
      <c r="BP63" s="93">
        <f>'[1]FROP (Internal)'!BT66</f>
        <v>0</v>
      </c>
      <c r="BQ63" s="93">
        <f>'[1]FROP (Internal)'!BU66</f>
        <v>0</v>
      </c>
      <c r="BR63" s="93">
        <f>'[1]FROP (Internal)'!BV66</f>
        <v>0</v>
      </c>
      <c r="BS63" s="94">
        <f>'[1]FROP (Internal)'!BW66</f>
        <v>0</v>
      </c>
    </row>
    <row r="64" spans="1:71" ht="20.100000000000001" hidden="1" customHeight="1">
      <c r="A64" s="44" t="s">
        <v>1102</v>
      </c>
      <c r="B64" s="16" t="s">
        <v>1103</v>
      </c>
      <c r="C64" s="5" t="s">
        <v>1104</v>
      </c>
      <c r="D64" s="89" t="str">
        <f>IF(AND('[1]FROP (Internal)'!G67="x",'[1]FROP (Internal)'!F67="N/A"),"x","N/A")</f>
        <v>N/A</v>
      </c>
      <c r="E64" s="89" t="str">
        <f>'[1]FROP (Internal)'!I67</f>
        <v>N/A</v>
      </c>
      <c r="F64" s="89" t="str">
        <f>'[1]FROP (Internal)'!J67</f>
        <v>N/A</v>
      </c>
      <c r="G64" s="89" t="str">
        <f>'[1]FROP (Internal)'!K67</f>
        <v>N/A</v>
      </c>
      <c r="H64" s="89" t="str">
        <f>'[1]FROP (Internal)'!L67</f>
        <v>N/A</v>
      </c>
      <c r="I64" s="89" t="str">
        <f>'[1]FROP (Internal)'!M67</f>
        <v>N/A</v>
      </c>
      <c r="J64" s="44" t="str">
        <f>'[1]FROP (Internal)'!N67</f>
        <v>N/A</v>
      </c>
      <c r="K64" s="96" t="str">
        <f>'[1]FROP (Internal)'!O67</f>
        <v>N/A</v>
      </c>
      <c r="L64" s="96" t="str">
        <f>'[1]FROP (Internal)'!P67</f>
        <v>N/A</v>
      </c>
      <c r="M64" s="12"/>
      <c r="N64" s="12"/>
      <c r="O64" s="97"/>
      <c r="P64" s="34" t="str">
        <f>'[1]FROP (Internal)'!T67</f>
        <v>QM</v>
      </c>
      <c r="Q64" s="91">
        <f>'[1]FROP (Internal)'!U67</f>
        <v>0</v>
      </c>
      <c r="R64" s="92">
        <f>'[1]FROP (Internal)'!V67</f>
        <v>0</v>
      </c>
      <c r="S64" s="93">
        <f>'[1]FROP (Internal)'!W67</f>
        <v>0</v>
      </c>
      <c r="T64" s="93">
        <f>'[1]FROP (Internal)'!X67</f>
        <v>0</v>
      </c>
      <c r="U64" s="93">
        <f>'[1]FROP (Internal)'!Y67</f>
        <v>0</v>
      </c>
      <c r="V64" s="93">
        <f>'[1]FROP (Internal)'!Z67</f>
        <v>0</v>
      </c>
      <c r="W64" s="93">
        <f>'[1]FROP (Internal)'!AA67</f>
        <v>0</v>
      </c>
      <c r="X64" s="93">
        <f>'[1]FROP (Internal)'!AB67</f>
        <v>0</v>
      </c>
      <c r="Y64" s="93">
        <f>'[1]FROP (Internal)'!AC67</f>
        <v>0</v>
      </c>
      <c r="Z64" s="93">
        <f>'[1]FROP (Internal)'!AD67</f>
        <v>0</v>
      </c>
      <c r="AA64" s="93">
        <f>'[1]FROP (Internal)'!AE67</f>
        <v>0</v>
      </c>
      <c r="AB64" s="93">
        <f>'[1]FROP (Internal)'!AF67</f>
        <v>0</v>
      </c>
      <c r="AC64" s="94">
        <f>'[1]FROP (Internal)'!AG67</f>
        <v>0</v>
      </c>
      <c r="AD64" s="95">
        <f>'[1]FROP (Internal)'!AH67</f>
        <v>0</v>
      </c>
      <c r="AE64" s="93">
        <f>'[1]FROP (Internal)'!AI67</f>
        <v>0</v>
      </c>
      <c r="AF64" s="93">
        <f>'[1]FROP (Internal)'!AJ67</f>
        <v>0</v>
      </c>
      <c r="AG64" s="93">
        <f>'[1]FROP (Internal)'!AK67</f>
        <v>0</v>
      </c>
      <c r="AH64" s="93">
        <f>'[1]FROP (Internal)'!AL67</f>
        <v>0</v>
      </c>
      <c r="AI64" s="93">
        <f>'[1]FROP (Internal)'!AM67</f>
        <v>0</v>
      </c>
      <c r="AJ64" s="93">
        <f>'[1]FROP (Internal)'!AN67</f>
        <v>0</v>
      </c>
      <c r="AK64" s="93">
        <f>'[1]FROP (Internal)'!AO67</f>
        <v>0</v>
      </c>
      <c r="AL64" s="93">
        <f>'[1]FROP (Internal)'!AP67</f>
        <v>0</v>
      </c>
      <c r="AM64" s="93">
        <f>'[1]FROP (Internal)'!AQ67</f>
        <v>0</v>
      </c>
      <c r="AN64" s="93">
        <f>'[1]FROP (Internal)'!AR67</f>
        <v>0</v>
      </c>
      <c r="AO64" s="94">
        <f>'[1]FROP (Internal)'!AS67</f>
        <v>0</v>
      </c>
      <c r="AP64" s="95">
        <f>'[1]FROP (Internal)'!AT67</f>
        <v>0</v>
      </c>
      <c r="AQ64" s="93">
        <f>'[1]FROP (Internal)'!AU67</f>
        <v>0</v>
      </c>
      <c r="AR64" s="93">
        <f>'[1]FROP (Internal)'!AV67</f>
        <v>0</v>
      </c>
      <c r="AS64" s="93">
        <f>'[1]FROP (Internal)'!AW67</f>
        <v>0</v>
      </c>
      <c r="AT64" s="93">
        <f>'[1]FROP (Internal)'!AX67</f>
        <v>0</v>
      </c>
      <c r="AU64" s="93">
        <f>'[1]FROP (Internal)'!AY67</f>
        <v>0</v>
      </c>
      <c r="AV64" s="93">
        <f>'[1]FROP (Internal)'!AZ67</f>
        <v>0</v>
      </c>
      <c r="AW64" s="93">
        <f>'[1]FROP (Internal)'!BA67</f>
        <v>0</v>
      </c>
      <c r="AX64" s="93">
        <f>'[1]FROP (Internal)'!BB67</f>
        <v>0</v>
      </c>
      <c r="AY64" s="93">
        <f>'[1]FROP (Internal)'!BC67</f>
        <v>0</v>
      </c>
      <c r="AZ64" s="93">
        <f>'[1]FROP (Internal)'!BD67</f>
        <v>0</v>
      </c>
      <c r="BA64" s="94">
        <f>'[1]FROP (Internal)'!BE67</f>
        <v>0</v>
      </c>
      <c r="BB64" s="95">
        <f>'[1]FROP (Internal)'!BF67</f>
        <v>0</v>
      </c>
      <c r="BC64" s="93">
        <f>'[1]FROP (Internal)'!BG67</f>
        <v>0</v>
      </c>
      <c r="BD64" s="93">
        <f>'[1]FROP (Internal)'!BH67</f>
        <v>0</v>
      </c>
      <c r="BE64" s="93">
        <f>'[1]FROP (Internal)'!BI67</f>
        <v>0</v>
      </c>
      <c r="BF64" s="93">
        <f>'[1]FROP (Internal)'!BJ67</f>
        <v>0</v>
      </c>
      <c r="BG64" s="93">
        <f>'[1]FROP (Internal)'!BK67</f>
        <v>0</v>
      </c>
      <c r="BH64" s="93">
        <f>'[1]FROP (Internal)'!BL67</f>
        <v>0</v>
      </c>
      <c r="BI64" s="93">
        <f>'[1]FROP (Internal)'!BM67</f>
        <v>0</v>
      </c>
      <c r="BJ64" s="93">
        <f>'[1]FROP (Internal)'!BN67</f>
        <v>0</v>
      </c>
      <c r="BK64" s="93">
        <f>'[1]FROP (Internal)'!BO67</f>
        <v>0</v>
      </c>
      <c r="BL64" s="93">
        <f>'[1]FROP (Internal)'!BP67</f>
        <v>0</v>
      </c>
      <c r="BM64" s="94">
        <f>'[1]FROP (Internal)'!BQ67</f>
        <v>0</v>
      </c>
      <c r="BN64" s="95">
        <f>'[1]FROP (Internal)'!BR67</f>
        <v>0</v>
      </c>
      <c r="BO64" s="93">
        <f>'[1]FROP (Internal)'!BS67</f>
        <v>0</v>
      </c>
      <c r="BP64" s="93">
        <f>'[1]FROP (Internal)'!BT67</f>
        <v>0</v>
      </c>
      <c r="BQ64" s="93">
        <f>'[1]FROP (Internal)'!BU67</f>
        <v>0</v>
      </c>
      <c r="BR64" s="93">
        <f>'[1]FROP (Internal)'!BV67</f>
        <v>0</v>
      </c>
      <c r="BS64" s="94">
        <f>'[1]FROP (Internal)'!BW67</f>
        <v>0</v>
      </c>
    </row>
    <row r="65" spans="1:71" ht="20.100000000000001" customHeight="1">
      <c r="A65" s="44" t="s">
        <v>1105</v>
      </c>
      <c r="B65" s="16" t="s">
        <v>1106</v>
      </c>
      <c r="C65" s="5" t="s">
        <v>420</v>
      </c>
      <c r="D65" s="89" t="str">
        <f>IF(AND('[1]FROP (Internal)'!G68="x",'[1]FROP (Internal)'!F68="N/A"),"x","N/A")</f>
        <v>x</v>
      </c>
      <c r="E65" s="89" t="str">
        <f>'[1]FROP (Internal)'!I68</f>
        <v>x</v>
      </c>
      <c r="F65" s="89" t="str">
        <f>'[1]FROP (Internal)'!J68</f>
        <v>N/A</v>
      </c>
      <c r="G65" s="89" t="str">
        <f>'[1]FROP (Internal)'!K68</f>
        <v>N/A</v>
      </c>
      <c r="H65" s="89" t="str">
        <f>'[1]FROP (Internal)'!L68</f>
        <v>N/A</v>
      </c>
      <c r="I65" s="89" t="str">
        <f>'[1]FROP (Internal)'!M68</f>
        <v>N/A</v>
      </c>
      <c r="J65" s="44" t="str">
        <f>'[1]FROP (Internal)'!N68</f>
        <v>x</v>
      </c>
      <c r="K65" s="96" t="str">
        <f>'[1]FROP (Internal)'!O68</f>
        <v>N/A</v>
      </c>
      <c r="L65" s="96" t="str">
        <f>'[1]FROP (Internal)'!P68</f>
        <v>N/A</v>
      </c>
      <c r="M65" s="12"/>
      <c r="N65" s="12"/>
      <c r="O65" s="97"/>
      <c r="P65" s="131" t="str">
        <f>'[1]FROP (Internal)'!T68</f>
        <v>QM</v>
      </c>
      <c r="Q65" s="91">
        <f>'[1]FROP (Internal)'!U68</f>
        <v>0</v>
      </c>
      <c r="R65" s="92">
        <f>'[1]FROP (Internal)'!V68</f>
        <v>0</v>
      </c>
      <c r="S65" s="93">
        <f>'[1]FROP (Internal)'!W68</f>
        <v>0</v>
      </c>
      <c r="T65" s="93">
        <f>'[1]FROP (Internal)'!X68</f>
        <v>0</v>
      </c>
      <c r="U65" s="93">
        <f>'[1]FROP (Internal)'!Y68</f>
        <v>2</v>
      </c>
      <c r="V65" s="93">
        <f>'[1]FROP (Internal)'!Z68</f>
        <v>0</v>
      </c>
      <c r="W65" s="93">
        <f>'[1]FROP (Internal)'!AA68</f>
        <v>3</v>
      </c>
      <c r="X65" s="93">
        <f>'[1]FROP (Internal)'!AB68</f>
        <v>0</v>
      </c>
      <c r="Y65" s="93">
        <f>'[1]FROP (Internal)'!AC68</f>
        <v>0</v>
      </c>
      <c r="Z65" s="93">
        <f>'[1]FROP (Internal)'!AD68</f>
        <v>3</v>
      </c>
      <c r="AA65" s="93">
        <f>'[1]FROP (Internal)'!AE68</f>
        <v>0</v>
      </c>
      <c r="AB65" s="93">
        <f>'[1]FROP (Internal)'!AF68</f>
        <v>0</v>
      </c>
      <c r="AC65" s="94">
        <f>'[1]FROP (Internal)'!AG68</f>
        <v>3</v>
      </c>
      <c r="AD65" s="95">
        <f>'[1]FROP (Internal)'!AH68</f>
        <v>0</v>
      </c>
      <c r="AE65" s="93">
        <f>'[1]FROP (Internal)'!AI68</f>
        <v>0</v>
      </c>
      <c r="AF65" s="93">
        <f>'[1]FROP (Internal)'!AJ68</f>
        <v>3</v>
      </c>
      <c r="AG65" s="93">
        <f>'[1]FROP (Internal)'!AK68</f>
        <v>0</v>
      </c>
      <c r="AH65" s="93">
        <f>'[1]FROP (Internal)'!AL68</f>
        <v>4</v>
      </c>
      <c r="AI65" s="93">
        <f>'[1]FROP (Internal)'!AM68</f>
        <v>0</v>
      </c>
      <c r="AJ65" s="93">
        <f>'[1]FROP (Internal)'!AN68</f>
        <v>0</v>
      </c>
      <c r="AK65" s="93">
        <f>'[1]FROP (Internal)'!AO68</f>
        <v>4</v>
      </c>
      <c r="AL65" s="93">
        <f>'[1]FROP (Internal)'!AP68</f>
        <v>0</v>
      </c>
      <c r="AM65" s="93">
        <f>'[1]FROP (Internal)'!AQ68</f>
        <v>0</v>
      </c>
      <c r="AN65" s="93">
        <f>'[1]FROP (Internal)'!AR68</f>
        <v>4</v>
      </c>
      <c r="AO65" s="94">
        <f>'[1]FROP (Internal)'!AS68</f>
        <v>0</v>
      </c>
      <c r="AP65" s="95">
        <f>'[1]FROP (Internal)'!AT68</f>
        <v>0</v>
      </c>
      <c r="AQ65" s="93">
        <f>'[1]FROP (Internal)'!AU68</f>
        <v>4</v>
      </c>
      <c r="AR65" s="93">
        <f>'[1]FROP (Internal)'!AV68</f>
        <v>0</v>
      </c>
      <c r="AS65" s="93">
        <f>'[1]FROP (Internal)'!AW68</f>
        <v>5</v>
      </c>
      <c r="AT65" s="93">
        <f>'[1]FROP (Internal)'!AX68</f>
        <v>0</v>
      </c>
      <c r="AU65" s="93">
        <f>'[1]FROP (Internal)'!AY68</f>
        <v>0</v>
      </c>
      <c r="AV65" s="93">
        <f>'[1]FROP (Internal)'!AZ68</f>
        <v>5</v>
      </c>
      <c r="AW65" s="93">
        <f>'[1]FROP (Internal)'!BA68</f>
        <v>0</v>
      </c>
      <c r="AX65" s="93">
        <f>'[1]FROP (Internal)'!BB68</f>
        <v>0</v>
      </c>
      <c r="AY65" s="93">
        <f>'[1]FROP (Internal)'!BC68</f>
        <v>0</v>
      </c>
      <c r="AZ65" s="93">
        <f>'[1]FROP (Internal)'!BD68</f>
        <v>0</v>
      </c>
      <c r="BA65" s="94">
        <f>'[1]FROP (Internal)'!BE68</f>
        <v>0</v>
      </c>
      <c r="BB65" s="95">
        <f>'[1]FROP (Internal)'!BF68</f>
        <v>0</v>
      </c>
      <c r="BC65" s="93">
        <f>'[1]FROP (Internal)'!BG68</f>
        <v>0</v>
      </c>
      <c r="BD65" s="93">
        <f>'[1]FROP (Internal)'!BH68</f>
        <v>0</v>
      </c>
      <c r="BE65" s="93">
        <f>'[1]FROP (Internal)'!BI68</f>
        <v>0</v>
      </c>
      <c r="BF65" s="93">
        <f>'[1]FROP (Internal)'!BJ68</f>
        <v>0</v>
      </c>
      <c r="BG65" s="93">
        <f>'[1]FROP (Internal)'!BK68</f>
        <v>0</v>
      </c>
      <c r="BH65" s="93">
        <f>'[1]FROP (Internal)'!BL68</f>
        <v>0</v>
      </c>
      <c r="BI65" s="93">
        <f>'[1]FROP (Internal)'!BM68</f>
        <v>0</v>
      </c>
      <c r="BJ65" s="93">
        <f>'[1]FROP (Internal)'!BN68</f>
        <v>0</v>
      </c>
      <c r="BK65" s="93">
        <f>'[1]FROP (Internal)'!BO68</f>
        <v>0</v>
      </c>
      <c r="BL65" s="93">
        <f>'[1]FROP (Internal)'!BP68</f>
        <v>0</v>
      </c>
      <c r="BM65" s="94">
        <f>'[1]FROP (Internal)'!BQ68</f>
        <v>0</v>
      </c>
      <c r="BN65" s="95">
        <f>'[1]FROP (Internal)'!BR68</f>
        <v>0</v>
      </c>
      <c r="BO65" s="93">
        <f>'[1]FROP (Internal)'!BS68</f>
        <v>0</v>
      </c>
      <c r="BP65" s="93">
        <f>'[1]FROP (Internal)'!BT68</f>
        <v>0</v>
      </c>
      <c r="BQ65" s="93">
        <f>'[1]FROP (Internal)'!BU68</f>
        <v>0</v>
      </c>
      <c r="BR65" s="93">
        <f>'[1]FROP (Internal)'!BV68</f>
        <v>0</v>
      </c>
      <c r="BS65" s="94">
        <f>'[1]FROP (Internal)'!BW68</f>
        <v>0</v>
      </c>
    </row>
    <row r="66" spans="1:71" ht="35.1" customHeight="1">
      <c r="A66" s="44" t="s">
        <v>1107</v>
      </c>
      <c r="B66" s="16" t="s">
        <v>1108</v>
      </c>
      <c r="C66" s="5" t="s">
        <v>428</v>
      </c>
      <c r="D66" s="89" t="str">
        <f>IF(AND('[1]FROP (Internal)'!G69="x",'[1]FROP (Internal)'!F69="N/A"),"x","N/A")</f>
        <v>x</v>
      </c>
      <c r="E66" s="89" t="str">
        <f>'[1]FROP (Internal)'!I69</f>
        <v>x</v>
      </c>
      <c r="F66" s="89" t="str">
        <f>'[1]FROP (Internal)'!J69</f>
        <v>N/A</v>
      </c>
      <c r="G66" s="89" t="str">
        <f>'[1]FROP (Internal)'!K69</f>
        <v>N/A</v>
      </c>
      <c r="H66" s="89" t="str">
        <f>'[1]FROP (Internal)'!L69</f>
        <v>N/A</v>
      </c>
      <c r="I66" s="89" t="str">
        <f>'[1]FROP (Internal)'!M69</f>
        <v>N/A</v>
      </c>
      <c r="J66" s="44" t="str">
        <f>'[1]FROP (Internal)'!N69</f>
        <v>x</v>
      </c>
      <c r="K66" s="12"/>
      <c r="L66" s="12"/>
      <c r="M66" s="12"/>
      <c r="N66" s="12"/>
      <c r="O66" s="97"/>
      <c r="P66" s="131" t="str">
        <f>'[1]FROP (Internal)'!T69</f>
        <v>QM</v>
      </c>
      <c r="Q66" s="91">
        <f>'[1]FROP (Internal)'!U69</f>
        <v>0</v>
      </c>
      <c r="R66" s="92">
        <f>'[1]FROP (Internal)'!V69</f>
        <v>0</v>
      </c>
      <c r="S66" s="93">
        <f>'[1]FROP (Internal)'!W69</f>
        <v>0</v>
      </c>
      <c r="T66" s="93">
        <f>'[1]FROP (Internal)'!X69</f>
        <v>0</v>
      </c>
      <c r="U66" s="93">
        <f>'[1]FROP (Internal)'!Y69</f>
        <v>2</v>
      </c>
      <c r="V66" s="93">
        <f>'[1]FROP (Internal)'!Z69</f>
        <v>0</v>
      </c>
      <c r="W66" s="93">
        <f>'[1]FROP (Internal)'!AA69</f>
        <v>3</v>
      </c>
      <c r="X66" s="93">
        <f>'[1]FROP (Internal)'!AB69</f>
        <v>0</v>
      </c>
      <c r="Y66" s="93">
        <f>'[1]FROP (Internal)'!AC69</f>
        <v>0</v>
      </c>
      <c r="Z66" s="93">
        <f>'[1]FROP (Internal)'!AD69</f>
        <v>3</v>
      </c>
      <c r="AA66" s="93">
        <f>'[1]FROP (Internal)'!AE69</f>
        <v>0</v>
      </c>
      <c r="AB66" s="93">
        <f>'[1]FROP (Internal)'!AF69</f>
        <v>0</v>
      </c>
      <c r="AC66" s="94">
        <f>'[1]FROP (Internal)'!AG69</f>
        <v>3</v>
      </c>
      <c r="AD66" s="95">
        <f>'[1]FROP (Internal)'!AH69</f>
        <v>0</v>
      </c>
      <c r="AE66" s="93">
        <f>'[1]FROP (Internal)'!AI69</f>
        <v>0</v>
      </c>
      <c r="AF66" s="93">
        <f>'[1]FROP (Internal)'!AJ69</f>
        <v>3</v>
      </c>
      <c r="AG66" s="93">
        <f>'[1]FROP (Internal)'!AK69</f>
        <v>0</v>
      </c>
      <c r="AH66" s="93">
        <f>'[1]FROP (Internal)'!AL69</f>
        <v>4</v>
      </c>
      <c r="AI66" s="93">
        <f>'[1]FROP (Internal)'!AM69</f>
        <v>0</v>
      </c>
      <c r="AJ66" s="93">
        <f>'[1]FROP (Internal)'!AN69</f>
        <v>0</v>
      </c>
      <c r="AK66" s="93">
        <f>'[1]FROP (Internal)'!AO69</f>
        <v>4</v>
      </c>
      <c r="AL66" s="93">
        <f>'[1]FROP (Internal)'!AP69</f>
        <v>0</v>
      </c>
      <c r="AM66" s="93">
        <f>'[1]FROP (Internal)'!AQ69</f>
        <v>0</v>
      </c>
      <c r="AN66" s="93">
        <f>'[1]FROP (Internal)'!AR69</f>
        <v>4</v>
      </c>
      <c r="AO66" s="94">
        <f>'[1]FROP (Internal)'!AS69</f>
        <v>0</v>
      </c>
      <c r="AP66" s="95">
        <f>'[1]FROP (Internal)'!AT69</f>
        <v>0</v>
      </c>
      <c r="AQ66" s="93">
        <f>'[1]FROP (Internal)'!AU69</f>
        <v>4</v>
      </c>
      <c r="AR66" s="93">
        <f>'[1]FROP (Internal)'!AV69</f>
        <v>0</v>
      </c>
      <c r="AS66" s="93">
        <f>'[1]FROP (Internal)'!AW69</f>
        <v>5</v>
      </c>
      <c r="AT66" s="93">
        <f>'[1]FROP (Internal)'!AX69</f>
        <v>0</v>
      </c>
      <c r="AU66" s="93">
        <f>'[1]FROP (Internal)'!AY69</f>
        <v>0</v>
      </c>
      <c r="AV66" s="93">
        <f>'[1]FROP (Internal)'!AZ69</f>
        <v>5</v>
      </c>
      <c r="AW66" s="93">
        <f>'[1]FROP (Internal)'!BA69</f>
        <v>0</v>
      </c>
      <c r="AX66" s="93">
        <f>'[1]FROP (Internal)'!BB69</f>
        <v>0</v>
      </c>
      <c r="AY66" s="93">
        <f>'[1]FROP (Internal)'!BC69</f>
        <v>0</v>
      </c>
      <c r="AZ66" s="93">
        <f>'[1]FROP (Internal)'!BD69</f>
        <v>0</v>
      </c>
      <c r="BA66" s="94">
        <f>'[1]FROP (Internal)'!BE69</f>
        <v>0</v>
      </c>
      <c r="BB66" s="95">
        <f>'[1]FROP (Internal)'!BF69</f>
        <v>0</v>
      </c>
      <c r="BC66" s="93">
        <f>'[1]FROP (Internal)'!BG69</f>
        <v>0</v>
      </c>
      <c r="BD66" s="93">
        <f>'[1]FROP (Internal)'!BH69</f>
        <v>0</v>
      </c>
      <c r="BE66" s="93">
        <f>'[1]FROP (Internal)'!BI69</f>
        <v>0</v>
      </c>
      <c r="BF66" s="93">
        <f>'[1]FROP (Internal)'!BJ69</f>
        <v>0</v>
      </c>
      <c r="BG66" s="93">
        <f>'[1]FROP (Internal)'!BK69</f>
        <v>0</v>
      </c>
      <c r="BH66" s="93">
        <f>'[1]FROP (Internal)'!BL69</f>
        <v>0</v>
      </c>
      <c r="BI66" s="93">
        <f>'[1]FROP (Internal)'!BM69</f>
        <v>0</v>
      </c>
      <c r="BJ66" s="93">
        <f>'[1]FROP (Internal)'!BN69</f>
        <v>0</v>
      </c>
      <c r="BK66" s="93">
        <f>'[1]FROP (Internal)'!BO69</f>
        <v>0</v>
      </c>
      <c r="BL66" s="93">
        <f>'[1]FROP (Internal)'!BP69</f>
        <v>0</v>
      </c>
      <c r="BM66" s="94">
        <f>'[1]FROP (Internal)'!BQ69</f>
        <v>0</v>
      </c>
      <c r="BN66" s="95">
        <f>'[1]FROP (Internal)'!BR69</f>
        <v>0</v>
      </c>
      <c r="BO66" s="93">
        <f>'[1]FROP (Internal)'!BS69</f>
        <v>0</v>
      </c>
      <c r="BP66" s="93">
        <f>'[1]FROP (Internal)'!BT69</f>
        <v>0</v>
      </c>
      <c r="BQ66" s="93">
        <f>'[1]FROP (Internal)'!BU69</f>
        <v>0</v>
      </c>
      <c r="BR66" s="93">
        <f>'[1]FROP (Internal)'!BV69</f>
        <v>0</v>
      </c>
      <c r="BS66" s="94">
        <f>'[1]FROP (Internal)'!BW69</f>
        <v>0</v>
      </c>
    </row>
    <row r="67" spans="1:71" ht="20.100000000000001" hidden="1" customHeight="1">
      <c r="A67" s="44" t="s">
        <v>1109</v>
      </c>
      <c r="B67" s="662" t="s">
        <v>1110</v>
      </c>
      <c r="C67" s="5" t="s">
        <v>576</v>
      </c>
      <c r="D67" s="89" t="str">
        <f>IF(AND('[1]FROP (Internal)'!G70="x",'[1]FROP (Internal)'!F70="N/A"),"x","N/A")</f>
        <v>N/A</v>
      </c>
      <c r="E67" s="89" t="str">
        <f>'[1]FROP (Internal)'!I70</f>
        <v>N/A</v>
      </c>
      <c r="F67" s="89" t="str">
        <f>'[1]FROP (Internal)'!J70</f>
        <v>N/A</v>
      </c>
      <c r="G67" s="89" t="str">
        <f>'[1]FROP (Internal)'!K70</f>
        <v>N/A</v>
      </c>
      <c r="H67" s="89" t="str">
        <f>'[1]FROP (Internal)'!L70</f>
        <v>N/A</v>
      </c>
      <c r="I67" s="89" t="str">
        <f>'[1]FROP (Internal)'!M70</f>
        <v>N/A</v>
      </c>
      <c r="J67" s="44" t="str">
        <f>'[1]FROP (Internal)'!N70</f>
        <v>N/A</v>
      </c>
      <c r="K67" s="96" t="str">
        <f>'[1]FROP (Internal)'!O70</f>
        <v>N/A</v>
      </c>
      <c r="L67" s="96" t="str">
        <f>'[1]FROP (Internal)'!P70</f>
        <v>N/A</v>
      </c>
      <c r="M67" s="12"/>
      <c r="N67" s="12"/>
      <c r="O67" s="97"/>
      <c r="P67" s="34" t="str">
        <f>'[1]FROP (Internal)'!T70</f>
        <v>QM</v>
      </c>
      <c r="Q67" s="91">
        <f>'[1]FROP (Internal)'!U70</f>
        <v>0</v>
      </c>
      <c r="R67" s="92">
        <f>'[1]FROP (Internal)'!V70</f>
        <v>0</v>
      </c>
      <c r="S67" s="93">
        <f>'[1]FROP (Internal)'!W70</f>
        <v>0</v>
      </c>
      <c r="T67" s="93">
        <f>'[1]FROP (Internal)'!X70</f>
        <v>0</v>
      </c>
      <c r="U67" s="93">
        <f>'[1]FROP (Internal)'!Y70</f>
        <v>0</v>
      </c>
      <c r="V67" s="93">
        <f>'[1]FROP (Internal)'!Z70</f>
        <v>0</v>
      </c>
      <c r="W67" s="93">
        <f>'[1]FROP (Internal)'!AA70</f>
        <v>0</v>
      </c>
      <c r="X67" s="93">
        <f>'[1]FROP (Internal)'!AB70</f>
        <v>0</v>
      </c>
      <c r="Y67" s="93">
        <f>'[1]FROP (Internal)'!AC70</f>
        <v>0</v>
      </c>
      <c r="Z67" s="93">
        <f>'[1]FROP (Internal)'!AD70</f>
        <v>0</v>
      </c>
      <c r="AA67" s="93">
        <f>'[1]FROP (Internal)'!AE70</f>
        <v>0</v>
      </c>
      <c r="AB67" s="93">
        <f>'[1]FROP (Internal)'!AF70</f>
        <v>0</v>
      </c>
      <c r="AC67" s="94">
        <f>'[1]FROP (Internal)'!AG70</f>
        <v>0</v>
      </c>
      <c r="AD67" s="95">
        <f>'[1]FROP (Internal)'!AH70</f>
        <v>0</v>
      </c>
      <c r="AE67" s="93">
        <f>'[1]FROP (Internal)'!AI70</f>
        <v>0</v>
      </c>
      <c r="AF67" s="93">
        <f>'[1]FROP (Internal)'!AJ70</f>
        <v>0</v>
      </c>
      <c r="AG67" s="93">
        <f>'[1]FROP (Internal)'!AK70</f>
        <v>0</v>
      </c>
      <c r="AH67" s="93">
        <f>'[1]FROP (Internal)'!AL70</f>
        <v>0</v>
      </c>
      <c r="AI67" s="93">
        <f>'[1]FROP (Internal)'!AM70</f>
        <v>0</v>
      </c>
      <c r="AJ67" s="93">
        <f>'[1]FROP (Internal)'!AN70</f>
        <v>0</v>
      </c>
      <c r="AK67" s="93">
        <f>'[1]FROP (Internal)'!AO70</f>
        <v>0</v>
      </c>
      <c r="AL67" s="93">
        <f>'[1]FROP (Internal)'!AP70</f>
        <v>0</v>
      </c>
      <c r="AM67" s="93">
        <f>'[1]FROP (Internal)'!AQ70</f>
        <v>0</v>
      </c>
      <c r="AN67" s="93">
        <f>'[1]FROP (Internal)'!AR70</f>
        <v>0</v>
      </c>
      <c r="AO67" s="94">
        <f>'[1]FROP (Internal)'!AS70</f>
        <v>0</v>
      </c>
      <c r="AP67" s="95">
        <f>'[1]FROP (Internal)'!AT70</f>
        <v>0</v>
      </c>
      <c r="AQ67" s="93">
        <f>'[1]FROP (Internal)'!AU70</f>
        <v>0</v>
      </c>
      <c r="AR67" s="93">
        <f>'[1]FROP (Internal)'!AV70</f>
        <v>0</v>
      </c>
      <c r="AS67" s="93">
        <f>'[1]FROP (Internal)'!AW70</f>
        <v>0</v>
      </c>
      <c r="AT67" s="93">
        <f>'[1]FROP (Internal)'!AX70</f>
        <v>0</v>
      </c>
      <c r="AU67" s="93">
        <f>'[1]FROP (Internal)'!AY70</f>
        <v>0</v>
      </c>
      <c r="AV67" s="93">
        <f>'[1]FROP (Internal)'!AZ70</f>
        <v>0</v>
      </c>
      <c r="AW67" s="93">
        <f>'[1]FROP (Internal)'!BA70</f>
        <v>0</v>
      </c>
      <c r="AX67" s="93">
        <f>'[1]FROP (Internal)'!BB70</f>
        <v>0</v>
      </c>
      <c r="AY67" s="93">
        <f>'[1]FROP (Internal)'!BC70</f>
        <v>0</v>
      </c>
      <c r="AZ67" s="93">
        <f>'[1]FROP (Internal)'!BD70</f>
        <v>0</v>
      </c>
      <c r="BA67" s="94">
        <f>'[1]FROP (Internal)'!BE70</f>
        <v>0</v>
      </c>
      <c r="BB67" s="95">
        <f>'[1]FROP (Internal)'!BF70</f>
        <v>0</v>
      </c>
      <c r="BC67" s="93">
        <f>'[1]FROP (Internal)'!BG70</f>
        <v>0</v>
      </c>
      <c r="BD67" s="93">
        <f>'[1]FROP (Internal)'!BH70</f>
        <v>0</v>
      </c>
      <c r="BE67" s="93">
        <f>'[1]FROP (Internal)'!BI70</f>
        <v>0</v>
      </c>
      <c r="BF67" s="93">
        <f>'[1]FROP (Internal)'!BJ70</f>
        <v>0</v>
      </c>
      <c r="BG67" s="93">
        <f>'[1]FROP (Internal)'!BK70</f>
        <v>0</v>
      </c>
      <c r="BH67" s="93">
        <f>'[1]FROP (Internal)'!BL70</f>
        <v>0</v>
      </c>
      <c r="BI67" s="93">
        <f>'[1]FROP (Internal)'!BM70</f>
        <v>0</v>
      </c>
      <c r="BJ67" s="93">
        <f>'[1]FROP (Internal)'!BN70</f>
        <v>0</v>
      </c>
      <c r="BK67" s="93">
        <f>'[1]FROP (Internal)'!BO70</f>
        <v>0</v>
      </c>
      <c r="BL67" s="93">
        <f>'[1]FROP (Internal)'!BP70</f>
        <v>0</v>
      </c>
      <c r="BM67" s="94">
        <f>'[1]FROP (Internal)'!BQ70</f>
        <v>0</v>
      </c>
      <c r="BN67" s="95">
        <f>'[1]FROP (Internal)'!BR70</f>
        <v>0</v>
      </c>
      <c r="BO67" s="93">
        <f>'[1]FROP (Internal)'!BS70</f>
        <v>0</v>
      </c>
      <c r="BP67" s="93">
        <f>'[1]FROP (Internal)'!BT70</f>
        <v>0</v>
      </c>
      <c r="BQ67" s="93">
        <f>'[1]FROP (Internal)'!BU70</f>
        <v>0</v>
      </c>
      <c r="BR67" s="93">
        <f>'[1]FROP (Internal)'!BV70</f>
        <v>0</v>
      </c>
      <c r="BS67" s="94">
        <f>'[1]FROP (Internal)'!BW70</f>
        <v>0</v>
      </c>
    </row>
    <row r="68" spans="1:71" ht="20.100000000000001" hidden="1" customHeight="1">
      <c r="A68" s="44" t="s">
        <v>1111</v>
      </c>
      <c r="B68" s="662"/>
      <c r="C68" s="5" t="s">
        <v>578</v>
      </c>
      <c r="D68" s="89" t="str">
        <f>IF(AND('[1]FROP (Internal)'!G71="x",'[1]FROP (Internal)'!F71="N/A"),"x","N/A")</f>
        <v>N/A</v>
      </c>
      <c r="E68" s="89" t="str">
        <f>'[1]FROP (Internal)'!I71</f>
        <v>N/A</v>
      </c>
      <c r="F68" s="89" t="str">
        <f>'[1]FROP (Internal)'!J71</f>
        <v>N/A</v>
      </c>
      <c r="G68" s="89" t="str">
        <f>'[1]FROP (Internal)'!K71</f>
        <v>N/A</v>
      </c>
      <c r="H68" s="89" t="str">
        <f>'[1]FROP (Internal)'!L71</f>
        <v>N/A</v>
      </c>
      <c r="I68" s="89" t="str">
        <f>'[1]FROP (Internal)'!M71</f>
        <v>N/A</v>
      </c>
      <c r="J68" s="44" t="str">
        <f>'[1]FROP (Internal)'!N71</f>
        <v>N/A</v>
      </c>
      <c r="K68" s="96" t="str">
        <f>'[1]FROP (Internal)'!O71</f>
        <v>N/A</v>
      </c>
      <c r="L68" s="96" t="str">
        <f>'[1]FROP (Internal)'!P71</f>
        <v>N/A</v>
      </c>
      <c r="M68" s="12"/>
      <c r="N68" s="12"/>
      <c r="O68" s="97"/>
      <c r="P68" s="34" t="str">
        <f>'[1]FROP (Internal)'!T71</f>
        <v>QM</v>
      </c>
      <c r="Q68" s="91">
        <f>'[1]FROP (Internal)'!U71</f>
        <v>0</v>
      </c>
      <c r="R68" s="92">
        <f>'[1]FROP (Internal)'!V71</f>
        <v>0</v>
      </c>
      <c r="S68" s="93">
        <f>'[1]FROP (Internal)'!W71</f>
        <v>0</v>
      </c>
      <c r="T68" s="93">
        <f>'[1]FROP (Internal)'!X71</f>
        <v>0</v>
      </c>
      <c r="U68" s="93">
        <f>'[1]FROP (Internal)'!Y71</f>
        <v>0</v>
      </c>
      <c r="V68" s="93">
        <f>'[1]FROP (Internal)'!Z71</f>
        <v>0</v>
      </c>
      <c r="W68" s="93">
        <f>'[1]FROP (Internal)'!AA71</f>
        <v>0</v>
      </c>
      <c r="X68" s="93">
        <f>'[1]FROP (Internal)'!AB71</f>
        <v>0</v>
      </c>
      <c r="Y68" s="93">
        <f>'[1]FROP (Internal)'!AC71</f>
        <v>0</v>
      </c>
      <c r="Z68" s="93">
        <f>'[1]FROP (Internal)'!AD71</f>
        <v>0</v>
      </c>
      <c r="AA68" s="93">
        <f>'[1]FROP (Internal)'!AE71</f>
        <v>0</v>
      </c>
      <c r="AB68" s="93">
        <f>'[1]FROP (Internal)'!AF71</f>
        <v>0</v>
      </c>
      <c r="AC68" s="94">
        <f>'[1]FROP (Internal)'!AG71</f>
        <v>0</v>
      </c>
      <c r="AD68" s="95">
        <f>'[1]FROP (Internal)'!AH71</f>
        <v>0</v>
      </c>
      <c r="AE68" s="93">
        <f>'[1]FROP (Internal)'!AI71</f>
        <v>0</v>
      </c>
      <c r="AF68" s="93">
        <f>'[1]FROP (Internal)'!AJ71</f>
        <v>0</v>
      </c>
      <c r="AG68" s="93">
        <f>'[1]FROP (Internal)'!AK71</f>
        <v>0</v>
      </c>
      <c r="AH68" s="93">
        <f>'[1]FROP (Internal)'!AL71</f>
        <v>0</v>
      </c>
      <c r="AI68" s="93">
        <f>'[1]FROP (Internal)'!AM71</f>
        <v>0</v>
      </c>
      <c r="AJ68" s="93">
        <f>'[1]FROP (Internal)'!AN71</f>
        <v>0</v>
      </c>
      <c r="AK68" s="93">
        <f>'[1]FROP (Internal)'!AO71</f>
        <v>0</v>
      </c>
      <c r="AL68" s="93">
        <f>'[1]FROP (Internal)'!AP71</f>
        <v>0</v>
      </c>
      <c r="AM68" s="93">
        <f>'[1]FROP (Internal)'!AQ71</f>
        <v>0</v>
      </c>
      <c r="AN68" s="93">
        <f>'[1]FROP (Internal)'!AR71</f>
        <v>0</v>
      </c>
      <c r="AO68" s="94">
        <f>'[1]FROP (Internal)'!AS71</f>
        <v>0</v>
      </c>
      <c r="AP68" s="95">
        <f>'[1]FROP (Internal)'!AT71</f>
        <v>0</v>
      </c>
      <c r="AQ68" s="93">
        <f>'[1]FROP (Internal)'!AU71</f>
        <v>0</v>
      </c>
      <c r="AR68" s="93">
        <f>'[1]FROP (Internal)'!AV71</f>
        <v>0</v>
      </c>
      <c r="AS68" s="93">
        <f>'[1]FROP (Internal)'!AW71</f>
        <v>0</v>
      </c>
      <c r="AT68" s="93">
        <f>'[1]FROP (Internal)'!AX71</f>
        <v>0</v>
      </c>
      <c r="AU68" s="93">
        <f>'[1]FROP (Internal)'!AY71</f>
        <v>0</v>
      </c>
      <c r="AV68" s="93">
        <f>'[1]FROP (Internal)'!AZ71</f>
        <v>0</v>
      </c>
      <c r="AW68" s="93">
        <f>'[1]FROP (Internal)'!BA71</f>
        <v>0</v>
      </c>
      <c r="AX68" s="93">
        <f>'[1]FROP (Internal)'!BB71</f>
        <v>0</v>
      </c>
      <c r="AY68" s="93">
        <f>'[1]FROP (Internal)'!BC71</f>
        <v>0</v>
      </c>
      <c r="AZ68" s="93">
        <f>'[1]FROP (Internal)'!BD71</f>
        <v>0</v>
      </c>
      <c r="BA68" s="94">
        <f>'[1]FROP (Internal)'!BE71</f>
        <v>0</v>
      </c>
      <c r="BB68" s="95">
        <f>'[1]FROP (Internal)'!BF71</f>
        <v>0</v>
      </c>
      <c r="BC68" s="93">
        <f>'[1]FROP (Internal)'!BG71</f>
        <v>0</v>
      </c>
      <c r="BD68" s="93">
        <f>'[1]FROP (Internal)'!BH71</f>
        <v>0</v>
      </c>
      <c r="BE68" s="93">
        <f>'[1]FROP (Internal)'!BI71</f>
        <v>0</v>
      </c>
      <c r="BF68" s="93">
        <f>'[1]FROP (Internal)'!BJ71</f>
        <v>0</v>
      </c>
      <c r="BG68" s="93">
        <f>'[1]FROP (Internal)'!BK71</f>
        <v>0</v>
      </c>
      <c r="BH68" s="93">
        <f>'[1]FROP (Internal)'!BL71</f>
        <v>0</v>
      </c>
      <c r="BI68" s="93">
        <f>'[1]FROP (Internal)'!BM71</f>
        <v>0</v>
      </c>
      <c r="BJ68" s="93">
        <f>'[1]FROP (Internal)'!BN71</f>
        <v>0</v>
      </c>
      <c r="BK68" s="93">
        <f>'[1]FROP (Internal)'!BO71</f>
        <v>0</v>
      </c>
      <c r="BL68" s="93">
        <f>'[1]FROP (Internal)'!BP71</f>
        <v>0</v>
      </c>
      <c r="BM68" s="94">
        <f>'[1]FROP (Internal)'!BQ71</f>
        <v>0</v>
      </c>
      <c r="BN68" s="95">
        <f>'[1]FROP (Internal)'!BR71</f>
        <v>0</v>
      </c>
      <c r="BO68" s="93">
        <f>'[1]FROP (Internal)'!BS71</f>
        <v>0</v>
      </c>
      <c r="BP68" s="93">
        <f>'[1]FROP (Internal)'!BT71</f>
        <v>0</v>
      </c>
      <c r="BQ68" s="93">
        <f>'[1]FROP (Internal)'!BU71</f>
        <v>0</v>
      </c>
      <c r="BR68" s="93">
        <f>'[1]FROP (Internal)'!BV71</f>
        <v>0</v>
      </c>
      <c r="BS68" s="94">
        <f>'[1]FROP (Internal)'!BW71</f>
        <v>0</v>
      </c>
    </row>
    <row r="69" spans="1:71" ht="20.100000000000001" hidden="1" customHeight="1">
      <c r="A69" s="44" t="s">
        <v>1112</v>
      </c>
      <c r="B69" s="662" t="s">
        <v>1113</v>
      </c>
      <c r="C69" s="5" t="s">
        <v>674</v>
      </c>
      <c r="D69" s="89" t="str">
        <f>IF(AND('[1]FROP (Internal)'!G72="x",'[1]FROP (Internal)'!F72="N/A"),"x","N/A")</f>
        <v>N/A</v>
      </c>
      <c r="E69" s="89" t="str">
        <f>'[1]FROP (Internal)'!I72</f>
        <v>N/A</v>
      </c>
      <c r="F69" s="89" t="str">
        <f>'[1]FROP (Internal)'!J72</f>
        <v>N/A</v>
      </c>
      <c r="G69" s="89" t="str">
        <f>'[1]FROP (Internal)'!K72</f>
        <v>N/A</v>
      </c>
      <c r="H69" s="89" t="str">
        <f>'[1]FROP (Internal)'!L72</f>
        <v>N/A</v>
      </c>
      <c r="I69" s="89" t="str">
        <f>'[1]FROP (Internal)'!M72</f>
        <v>N/A</v>
      </c>
      <c r="J69" s="44" t="str">
        <f>'[1]FROP (Internal)'!N72</f>
        <v>N/A</v>
      </c>
      <c r="K69" s="12"/>
      <c r="L69" s="12"/>
      <c r="M69" s="12"/>
      <c r="N69" s="12"/>
      <c r="O69" s="97"/>
      <c r="P69" s="34" t="str">
        <f>'[1]FROP (Internal)'!T72</f>
        <v>QM</v>
      </c>
      <c r="Q69" s="91">
        <f>'[1]FROP (Internal)'!U72</f>
        <v>0</v>
      </c>
      <c r="R69" s="92">
        <f>'[1]FROP (Internal)'!V72</f>
        <v>0</v>
      </c>
      <c r="S69" s="93">
        <f>'[1]FROP (Internal)'!W72</f>
        <v>0</v>
      </c>
      <c r="T69" s="93">
        <f>'[1]FROP (Internal)'!X72</f>
        <v>0</v>
      </c>
      <c r="U69" s="93">
        <f>'[1]FROP (Internal)'!Y72</f>
        <v>0</v>
      </c>
      <c r="V69" s="93">
        <f>'[1]FROP (Internal)'!Z72</f>
        <v>0</v>
      </c>
      <c r="W69" s="93">
        <f>'[1]FROP (Internal)'!AA72</f>
        <v>0</v>
      </c>
      <c r="X69" s="93">
        <f>'[1]FROP (Internal)'!AB72</f>
        <v>0</v>
      </c>
      <c r="Y69" s="93">
        <f>'[1]FROP (Internal)'!AC72</f>
        <v>0</v>
      </c>
      <c r="Z69" s="93">
        <f>'[1]FROP (Internal)'!AD72</f>
        <v>0</v>
      </c>
      <c r="AA69" s="93">
        <f>'[1]FROP (Internal)'!AE72</f>
        <v>0</v>
      </c>
      <c r="AB69" s="93">
        <f>'[1]FROP (Internal)'!AF72</f>
        <v>0</v>
      </c>
      <c r="AC69" s="94">
        <f>'[1]FROP (Internal)'!AG72</f>
        <v>0</v>
      </c>
      <c r="AD69" s="95">
        <f>'[1]FROP (Internal)'!AH72</f>
        <v>0</v>
      </c>
      <c r="AE69" s="93">
        <f>'[1]FROP (Internal)'!AI72</f>
        <v>0</v>
      </c>
      <c r="AF69" s="93">
        <f>'[1]FROP (Internal)'!AJ72</f>
        <v>0</v>
      </c>
      <c r="AG69" s="93">
        <f>'[1]FROP (Internal)'!AK72</f>
        <v>0</v>
      </c>
      <c r="AH69" s="93">
        <f>'[1]FROP (Internal)'!AL72</f>
        <v>0</v>
      </c>
      <c r="AI69" s="93">
        <f>'[1]FROP (Internal)'!AM72</f>
        <v>0</v>
      </c>
      <c r="AJ69" s="93">
        <f>'[1]FROP (Internal)'!AN72</f>
        <v>0</v>
      </c>
      <c r="AK69" s="93">
        <f>'[1]FROP (Internal)'!AO72</f>
        <v>0</v>
      </c>
      <c r="AL69" s="93">
        <f>'[1]FROP (Internal)'!AP72</f>
        <v>0</v>
      </c>
      <c r="AM69" s="93">
        <f>'[1]FROP (Internal)'!AQ72</f>
        <v>0</v>
      </c>
      <c r="AN69" s="93">
        <f>'[1]FROP (Internal)'!AR72</f>
        <v>0</v>
      </c>
      <c r="AO69" s="94">
        <f>'[1]FROP (Internal)'!AS72</f>
        <v>0</v>
      </c>
      <c r="AP69" s="95">
        <f>'[1]FROP (Internal)'!AT72</f>
        <v>0</v>
      </c>
      <c r="AQ69" s="93">
        <f>'[1]FROP (Internal)'!AU72</f>
        <v>0</v>
      </c>
      <c r="AR69" s="93">
        <f>'[1]FROP (Internal)'!AV72</f>
        <v>0</v>
      </c>
      <c r="AS69" s="93">
        <f>'[1]FROP (Internal)'!AW72</f>
        <v>0</v>
      </c>
      <c r="AT69" s="93">
        <f>'[1]FROP (Internal)'!AX72</f>
        <v>0</v>
      </c>
      <c r="AU69" s="93">
        <f>'[1]FROP (Internal)'!AY72</f>
        <v>0</v>
      </c>
      <c r="AV69" s="93">
        <f>'[1]FROP (Internal)'!AZ72</f>
        <v>0</v>
      </c>
      <c r="AW69" s="93">
        <f>'[1]FROP (Internal)'!BA72</f>
        <v>0</v>
      </c>
      <c r="AX69" s="93">
        <f>'[1]FROP (Internal)'!BB72</f>
        <v>0</v>
      </c>
      <c r="AY69" s="93">
        <f>'[1]FROP (Internal)'!BC72</f>
        <v>0</v>
      </c>
      <c r="AZ69" s="93">
        <f>'[1]FROP (Internal)'!BD72</f>
        <v>0</v>
      </c>
      <c r="BA69" s="94">
        <f>'[1]FROP (Internal)'!BE72</f>
        <v>0</v>
      </c>
      <c r="BB69" s="95">
        <f>'[1]FROP (Internal)'!BF72</f>
        <v>0</v>
      </c>
      <c r="BC69" s="93">
        <f>'[1]FROP (Internal)'!BG72</f>
        <v>0</v>
      </c>
      <c r="BD69" s="93">
        <f>'[1]FROP (Internal)'!BH72</f>
        <v>0</v>
      </c>
      <c r="BE69" s="93">
        <f>'[1]FROP (Internal)'!BI72</f>
        <v>0</v>
      </c>
      <c r="BF69" s="93">
        <f>'[1]FROP (Internal)'!BJ72</f>
        <v>0</v>
      </c>
      <c r="BG69" s="93">
        <f>'[1]FROP (Internal)'!BK72</f>
        <v>0</v>
      </c>
      <c r="BH69" s="93">
        <f>'[1]FROP (Internal)'!BL72</f>
        <v>0</v>
      </c>
      <c r="BI69" s="93">
        <f>'[1]FROP (Internal)'!BM72</f>
        <v>0</v>
      </c>
      <c r="BJ69" s="93">
        <f>'[1]FROP (Internal)'!BN72</f>
        <v>0</v>
      </c>
      <c r="BK69" s="93">
        <f>'[1]FROP (Internal)'!BO72</f>
        <v>0</v>
      </c>
      <c r="BL69" s="93">
        <f>'[1]FROP (Internal)'!BP72</f>
        <v>0</v>
      </c>
      <c r="BM69" s="94">
        <f>'[1]FROP (Internal)'!BQ72</f>
        <v>0</v>
      </c>
      <c r="BN69" s="95">
        <f>'[1]FROP (Internal)'!BR72</f>
        <v>0</v>
      </c>
      <c r="BO69" s="93">
        <f>'[1]FROP (Internal)'!BS72</f>
        <v>0</v>
      </c>
      <c r="BP69" s="93">
        <f>'[1]FROP (Internal)'!BT72</f>
        <v>0</v>
      </c>
      <c r="BQ69" s="93">
        <f>'[1]FROP (Internal)'!BU72</f>
        <v>0</v>
      </c>
      <c r="BR69" s="93">
        <f>'[1]FROP (Internal)'!BV72</f>
        <v>0</v>
      </c>
      <c r="BS69" s="94">
        <f>'[1]FROP (Internal)'!BW72</f>
        <v>0</v>
      </c>
    </row>
    <row r="70" spans="1:71" ht="20.100000000000001" customHeight="1">
      <c r="A70" s="44" t="s">
        <v>1115</v>
      </c>
      <c r="B70" s="662"/>
      <c r="C70" s="5" t="s">
        <v>439</v>
      </c>
      <c r="D70" s="89" t="str">
        <f>IF(AND('[1]FROP (Internal)'!G73="x",'[1]FROP (Internal)'!F73="N/A"),"x","N/A")</f>
        <v>x</v>
      </c>
      <c r="E70" s="89" t="str">
        <f>'[1]FROP (Internal)'!I73</f>
        <v>x</v>
      </c>
      <c r="F70" s="89" t="str">
        <f>'[1]FROP (Internal)'!J73</f>
        <v>N/A</v>
      </c>
      <c r="G70" s="89" t="str">
        <f>'[1]FROP (Internal)'!K73</f>
        <v>N/A</v>
      </c>
      <c r="H70" s="89" t="str">
        <f>'[1]FROP (Internal)'!L73</f>
        <v>N/A</v>
      </c>
      <c r="I70" s="89" t="str">
        <f>'[1]FROP (Internal)'!M73</f>
        <v>N/A</v>
      </c>
      <c r="J70" s="44" t="str">
        <f>'[1]FROP (Internal)'!N73</f>
        <v>x</v>
      </c>
      <c r="K70" s="12"/>
      <c r="L70" s="12"/>
      <c r="M70" s="12"/>
      <c r="N70" s="12"/>
      <c r="O70" s="97"/>
      <c r="P70" s="131" t="str">
        <f>'[1]FROP (Internal)'!T73</f>
        <v>QM</v>
      </c>
      <c r="Q70" s="91">
        <f>'[1]FROP (Internal)'!U73</f>
        <v>0</v>
      </c>
      <c r="R70" s="92">
        <f>'[1]FROP (Internal)'!V73</f>
        <v>0</v>
      </c>
      <c r="S70" s="93">
        <f>'[1]FROP (Internal)'!W73</f>
        <v>0</v>
      </c>
      <c r="T70" s="93">
        <f>'[1]FROP (Internal)'!X73</f>
        <v>0</v>
      </c>
      <c r="U70" s="93">
        <f>'[1]FROP (Internal)'!Y73</f>
        <v>2</v>
      </c>
      <c r="V70" s="93">
        <f>'[1]FROP (Internal)'!Z73</f>
        <v>0</v>
      </c>
      <c r="W70" s="93">
        <f>'[1]FROP (Internal)'!AA73</f>
        <v>3</v>
      </c>
      <c r="X70" s="93">
        <f>'[1]FROP (Internal)'!AB73</f>
        <v>0</v>
      </c>
      <c r="Y70" s="93">
        <f>'[1]FROP (Internal)'!AC73</f>
        <v>0</v>
      </c>
      <c r="Z70" s="93">
        <f>'[1]FROP (Internal)'!AD73</f>
        <v>3</v>
      </c>
      <c r="AA70" s="93">
        <f>'[1]FROP (Internal)'!AE73</f>
        <v>0</v>
      </c>
      <c r="AB70" s="93">
        <f>'[1]FROP (Internal)'!AF73</f>
        <v>0</v>
      </c>
      <c r="AC70" s="94">
        <f>'[1]FROP (Internal)'!AG73</f>
        <v>3</v>
      </c>
      <c r="AD70" s="95">
        <f>'[1]FROP (Internal)'!AH73</f>
        <v>0</v>
      </c>
      <c r="AE70" s="93">
        <f>'[1]FROP (Internal)'!AI73</f>
        <v>0</v>
      </c>
      <c r="AF70" s="93">
        <f>'[1]FROP (Internal)'!AJ73</f>
        <v>3</v>
      </c>
      <c r="AG70" s="93">
        <f>'[1]FROP (Internal)'!AK73</f>
        <v>0</v>
      </c>
      <c r="AH70" s="93">
        <f>'[1]FROP (Internal)'!AL73</f>
        <v>4</v>
      </c>
      <c r="AI70" s="93">
        <f>'[1]FROP (Internal)'!AM73</f>
        <v>0</v>
      </c>
      <c r="AJ70" s="93">
        <f>'[1]FROP (Internal)'!AN73</f>
        <v>0</v>
      </c>
      <c r="AK70" s="93">
        <f>'[1]FROP (Internal)'!AO73</f>
        <v>4</v>
      </c>
      <c r="AL70" s="93">
        <f>'[1]FROP (Internal)'!AP73</f>
        <v>0</v>
      </c>
      <c r="AM70" s="93">
        <f>'[1]FROP (Internal)'!AQ73</f>
        <v>0</v>
      </c>
      <c r="AN70" s="93">
        <f>'[1]FROP (Internal)'!AR73</f>
        <v>4</v>
      </c>
      <c r="AO70" s="94">
        <f>'[1]FROP (Internal)'!AS73</f>
        <v>0</v>
      </c>
      <c r="AP70" s="95">
        <f>'[1]FROP (Internal)'!AT73</f>
        <v>0</v>
      </c>
      <c r="AQ70" s="93">
        <f>'[1]FROP (Internal)'!AU73</f>
        <v>4</v>
      </c>
      <c r="AR70" s="93">
        <f>'[1]FROP (Internal)'!AV73</f>
        <v>0</v>
      </c>
      <c r="AS70" s="93">
        <f>'[1]FROP (Internal)'!AW73</f>
        <v>5</v>
      </c>
      <c r="AT70" s="93">
        <f>'[1]FROP (Internal)'!AX73</f>
        <v>0</v>
      </c>
      <c r="AU70" s="93">
        <f>'[1]FROP (Internal)'!AY73</f>
        <v>0</v>
      </c>
      <c r="AV70" s="93">
        <f>'[1]FROP (Internal)'!AZ73</f>
        <v>5</v>
      </c>
      <c r="AW70" s="93">
        <f>'[1]FROP (Internal)'!BA73</f>
        <v>0</v>
      </c>
      <c r="AX70" s="93">
        <f>'[1]FROP (Internal)'!BB73</f>
        <v>0</v>
      </c>
      <c r="AY70" s="93">
        <f>'[1]FROP (Internal)'!BC73</f>
        <v>0</v>
      </c>
      <c r="AZ70" s="93">
        <f>'[1]FROP (Internal)'!BD73</f>
        <v>0</v>
      </c>
      <c r="BA70" s="94">
        <f>'[1]FROP (Internal)'!BE73</f>
        <v>0</v>
      </c>
      <c r="BB70" s="95">
        <f>'[1]FROP (Internal)'!BF73</f>
        <v>0</v>
      </c>
      <c r="BC70" s="93">
        <f>'[1]FROP (Internal)'!BG73</f>
        <v>0</v>
      </c>
      <c r="BD70" s="93">
        <f>'[1]FROP (Internal)'!BH73</f>
        <v>0</v>
      </c>
      <c r="BE70" s="93">
        <f>'[1]FROP (Internal)'!BI73</f>
        <v>0</v>
      </c>
      <c r="BF70" s="93">
        <f>'[1]FROP (Internal)'!BJ73</f>
        <v>0</v>
      </c>
      <c r="BG70" s="93">
        <f>'[1]FROP (Internal)'!BK73</f>
        <v>0</v>
      </c>
      <c r="BH70" s="93">
        <f>'[1]FROP (Internal)'!BL73</f>
        <v>0</v>
      </c>
      <c r="BI70" s="93">
        <f>'[1]FROP (Internal)'!BM73</f>
        <v>0</v>
      </c>
      <c r="BJ70" s="93">
        <f>'[1]FROP (Internal)'!BN73</f>
        <v>0</v>
      </c>
      <c r="BK70" s="93">
        <f>'[1]FROP (Internal)'!BO73</f>
        <v>0</v>
      </c>
      <c r="BL70" s="93">
        <f>'[1]FROP (Internal)'!BP73</f>
        <v>0</v>
      </c>
      <c r="BM70" s="94">
        <f>'[1]FROP (Internal)'!BQ73</f>
        <v>0</v>
      </c>
      <c r="BN70" s="95">
        <f>'[1]FROP (Internal)'!BR73</f>
        <v>0</v>
      </c>
      <c r="BO70" s="93">
        <f>'[1]FROP (Internal)'!BS73</f>
        <v>0</v>
      </c>
      <c r="BP70" s="93">
        <f>'[1]FROP (Internal)'!BT73</f>
        <v>0</v>
      </c>
      <c r="BQ70" s="93">
        <f>'[1]FROP (Internal)'!BU73</f>
        <v>0</v>
      </c>
      <c r="BR70" s="93">
        <f>'[1]FROP (Internal)'!BV73</f>
        <v>0</v>
      </c>
      <c r="BS70" s="94">
        <f>'[1]FROP (Internal)'!BW73</f>
        <v>0</v>
      </c>
    </row>
    <row r="71" spans="1:71" ht="20.100000000000001" hidden="1" customHeight="1">
      <c r="A71" s="44" t="s">
        <v>1116</v>
      </c>
      <c r="B71" s="662"/>
      <c r="C71" s="5" t="s">
        <v>676</v>
      </c>
      <c r="D71" s="89" t="str">
        <f>IF(AND('[1]FROP (Internal)'!G74="x",'[1]FROP (Internal)'!F74="N/A"),"x","N/A")</f>
        <v>N/A</v>
      </c>
      <c r="E71" s="89" t="str">
        <f>'[1]FROP (Internal)'!I74</f>
        <v>N/A</v>
      </c>
      <c r="F71" s="89" t="str">
        <f>'[1]FROP (Internal)'!J74</f>
        <v>N/A</v>
      </c>
      <c r="G71" s="89" t="str">
        <f>'[1]FROP (Internal)'!K74</f>
        <v>N/A</v>
      </c>
      <c r="H71" s="89" t="str">
        <f>'[1]FROP (Internal)'!L74</f>
        <v>N/A</v>
      </c>
      <c r="I71" s="89" t="str">
        <f>'[1]FROP (Internal)'!M74</f>
        <v>N/A</v>
      </c>
      <c r="J71" s="44" t="str">
        <f>'[1]FROP (Internal)'!N74</f>
        <v>N/A</v>
      </c>
      <c r="K71" s="12"/>
      <c r="L71" s="12"/>
      <c r="M71" s="12"/>
      <c r="N71" s="12"/>
      <c r="O71" s="97"/>
      <c r="P71" s="34" t="str">
        <f>'[1]FROP (Internal)'!T74</f>
        <v>N/A</v>
      </c>
      <c r="Q71" s="91">
        <f>'[1]FROP (Internal)'!U74</f>
        <v>0</v>
      </c>
      <c r="R71" s="92">
        <f>'[1]FROP (Internal)'!V74</f>
        <v>0</v>
      </c>
      <c r="S71" s="93">
        <f>'[1]FROP (Internal)'!W74</f>
        <v>0</v>
      </c>
      <c r="T71" s="93">
        <f>'[1]FROP (Internal)'!X74</f>
        <v>0</v>
      </c>
      <c r="U71" s="93">
        <f>'[1]FROP (Internal)'!Y74</f>
        <v>0</v>
      </c>
      <c r="V71" s="93">
        <f>'[1]FROP (Internal)'!Z74</f>
        <v>0</v>
      </c>
      <c r="W71" s="93">
        <f>'[1]FROP (Internal)'!AA74</f>
        <v>0</v>
      </c>
      <c r="X71" s="93">
        <f>'[1]FROP (Internal)'!AB74</f>
        <v>0</v>
      </c>
      <c r="Y71" s="93">
        <f>'[1]FROP (Internal)'!AC74</f>
        <v>0</v>
      </c>
      <c r="Z71" s="93">
        <f>'[1]FROP (Internal)'!AD74</f>
        <v>0</v>
      </c>
      <c r="AA71" s="93">
        <f>'[1]FROP (Internal)'!AE74</f>
        <v>0</v>
      </c>
      <c r="AB71" s="93">
        <f>'[1]FROP (Internal)'!AF74</f>
        <v>0</v>
      </c>
      <c r="AC71" s="94">
        <f>'[1]FROP (Internal)'!AG74</f>
        <v>0</v>
      </c>
      <c r="AD71" s="95">
        <f>'[1]FROP (Internal)'!AH74</f>
        <v>0</v>
      </c>
      <c r="AE71" s="93">
        <f>'[1]FROP (Internal)'!AI74</f>
        <v>0</v>
      </c>
      <c r="AF71" s="93">
        <f>'[1]FROP (Internal)'!AJ74</f>
        <v>0</v>
      </c>
      <c r="AG71" s="93">
        <f>'[1]FROP (Internal)'!AK74</f>
        <v>0</v>
      </c>
      <c r="AH71" s="93">
        <f>'[1]FROP (Internal)'!AL74</f>
        <v>0</v>
      </c>
      <c r="AI71" s="93">
        <f>'[1]FROP (Internal)'!AM74</f>
        <v>0</v>
      </c>
      <c r="AJ71" s="93">
        <f>'[1]FROP (Internal)'!AN74</f>
        <v>0</v>
      </c>
      <c r="AK71" s="93">
        <f>'[1]FROP (Internal)'!AO74</f>
        <v>0</v>
      </c>
      <c r="AL71" s="93">
        <f>'[1]FROP (Internal)'!AP74</f>
        <v>0</v>
      </c>
      <c r="AM71" s="93">
        <f>'[1]FROP (Internal)'!AQ74</f>
        <v>0</v>
      </c>
      <c r="AN71" s="93">
        <f>'[1]FROP (Internal)'!AR74</f>
        <v>0</v>
      </c>
      <c r="AO71" s="94">
        <f>'[1]FROP (Internal)'!AS74</f>
        <v>0</v>
      </c>
      <c r="AP71" s="95">
        <f>'[1]FROP (Internal)'!AT74</f>
        <v>0</v>
      </c>
      <c r="AQ71" s="93">
        <f>'[1]FROP (Internal)'!AU74</f>
        <v>0</v>
      </c>
      <c r="AR71" s="93">
        <f>'[1]FROP (Internal)'!AV74</f>
        <v>0</v>
      </c>
      <c r="AS71" s="93">
        <f>'[1]FROP (Internal)'!AW74</f>
        <v>0</v>
      </c>
      <c r="AT71" s="93">
        <f>'[1]FROP (Internal)'!AX74</f>
        <v>0</v>
      </c>
      <c r="AU71" s="93">
        <f>'[1]FROP (Internal)'!AY74</f>
        <v>0</v>
      </c>
      <c r="AV71" s="93">
        <f>'[1]FROP (Internal)'!AZ74</f>
        <v>0</v>
      </c>
      <c r="AW71" s="93">
        <f>'[1]FROP (Internal)'!BA74</f>
        <v>0</v>
      </c>
      <c r="AX71" s="93">
        <f>'[1]FROP (Internal)'!BB74</f>
        <v>0</v>
      </c>
      <c r="AY71" s="93">
        <f>'[1]FROP (Internal)'!BC74</f>
        <v>0</v>
      </c>
      <c r="AZ71" s="93">
        <f>'[1]FROP (Internal)'!BD74</f>
        <v>0</v>
      </c>
      <c r="BA71" s="94">
        <f>'[1]FROP (Internal)'!BE74</f>
        <v>0</v>
      </c>
      <c r="BB71" s="95">
        <f>'[1]FROP (Internal)'!BF74</f>
        <v>0</v>
      </c>
      <c r="BC71" s="93">
        <f>'[1]FROP (Internal)'!BG74</f>
        <v>0</v>
      </c>
      <c r="BD71" s="93">
        <f>'[1]FROP (Internal)'!BH74</f>
        <v>0</v>
      </c>
      <c r="BE71" s="93">
        <f>'[1]FROP (Internal)'!BI74</f>
        <v>0</v>
      </c>
      <c r="BF71" s="93">
        <f>'[1]FROP (Internal)'!BJ74</f>
        <v>0</v>
      </c>
      <c r="BG71" s="93">
        <f>'[1]FROP (Internal)'!BK74</f>
        <v>0</v>
      </c>
      <c r="BH71" s="93">
        <f>'[1]FROP (Internal)'!BL74</f>
        <v>0</v>
      </c>
      <c r="BI71" s="93">
        <f>'[1]FROP (Internal)'!BM74</f>
        <v>0</v>
      </c>
      <c r="BJ71" s="93">
        <f>'[1]FROP (Internal)'!BN74</f>
        <v>0</v>
      </c>
      <c r="BK71" s="93">
        <f>'[1]FROP (Internal)'!BO74</f>
        <v>0</v>
      </c>
      <c r="BL71" s="93">
        <f>'[1]FROP (Internal)'!BP74</f>
        <v>0</v>
      </c>
      <c r="BM71" s="94">
        <f>'[1]FROP (Internal)'!BQ74</f>
        <v>0</v>
      </c>
      <c r="BN71" s="95">
        <f>'[1]FROP (Internal)'!BR74</f>
        <v>0</v>
      </c>
      <c r="BO71" s="93">
        <f>'[1]FROP (Internal)'!BS74</f>
        <v>0</v>
      </c>
      <c r="BP71" s="93">
        <f>'[1]FROP (Internal)'!BT74</f>
        <v>0</v>
      </c>
      <c r="BQ71" s="93">
        <f>'[1]FROP (Internal)'!BU74</f>
        <v>0</v>
      </c>
      <c r="BR71" s="93">
        <f>'[1]FROP (Internal)'!BV74</f>
        <v>0</v>
      </c>
      <c r="BS71" s="94">
        <f>'[1]FROP (Internal)'!BW74</f>
        <v>0</v>
      </c>
    </row>
    <row r="72" spans="1:71" ht="20.100000000000001" hidden="1" customHeight="1">
      <c r="A72" s="44" t="s">
        <v>1117</v>
      </c>
      <c r="B72" s="662"/>
      <c r="C72" s="5" t="s">
        <v>671</v>
      </c>
      <c r="D72" s="89" t="str">
        <f>IF(AND('[1]FROP (Internal)'!G75="x",'[1]FROP (Internal)'!F75="N/A"),"x","N/A")</f>
        <v>N/A</v>
      </c>
      <c r="E72" s="89" t="str">
        <f>'[1]FROP (Internal)'!I75</f>
        <v>N/A</v>
      </c>
      <c r="F72" s="89" t="str">
        <f>'[1]FROP (Internal)'!J75</f>
        <v>N/A</v>
      </c>
      <c r="G72" s="89" t="str">
        <f>'[1]FROP (Internal)'!K75</f>
        <v>N/A</v>
      </c>
      <c r="H72" s="89" t="str">
        <f>'[1]FROP (Internal)'!L75</f>
        <v>N/A</v>
      </c>
      <c r="I72" s="89" t="str">
        <f>'[1]FROP (Internal)'!M75</f>
        <v>N/A</v>
      </c>
      <c r="J72" s="44" t="str">
        <f>'[1]FROP (Internal)'!N75</f>
        <v>N/A</v>
      </c>
      <c r="K72" s="12"/>
      <c r="L72" s="12"/>
      <c r="M72" s="12"/>
      <c r="N72" s="12"/>
      <c r="O72" s="97"/>
      <c r="P72" s="34" t="str">
        <f>'[1]FROP (Internal)'!T75</f>
        <v>N/A</v>
      </c>
      <c r="Q72" s="91">
        <f>'[1]FROP (Internal)'!U75</f>
        <v>0</v>
      </c>
      <c r="R72" s="92">
        <f>'[1]FROP (Internal)'!V75</f>
        <v>0</v>
      </c>
      <c r="S72" s="93">
        <f>'[1]FROP (Internal)'!W75</f>
        <v>0</v>
      </c>
      <c r="T72" s="93">
        <f>'[1]FROP (Internal)'!X75</f>
        <v>0</v>
      </c>
      <c r="U72" s="93">
        <f>'[1]FROP (Internal)'!Y75</f>
        <v>0</v>
      </c>
      <c r="V72" s="93">
        <f>'[1]FROP (Internal)'!Z75</f>
        <v>0</v>
      </c>
      <c r="W72" s="93">
        <f>'[1]FROP (Internal)'!AA75</f>
        <v>0</v>
      </c>
      <c r="X72" s="93">
        <f>'[1]FROP (Internal)'!AB75</f>
        <v>0</v>
      </c>
      <c r="Y72" s="93">
        <f>'[1]FROP (Internal)'!AC75</f>
        <v>0</v>
      </c>
      <c r="Z72" s="93">
        <f>'[1]FROP (Internal)'!AD75</f>
        <v>0</v>
      </c>
      <c r="AA72" s="93">
        <f>'[1]FROP (Internal)'!AE75</f>
        <v>0</v>
      </c>
      <c r="AB72" s="93">
        <f>'[1]FROP (Internal)'!AF75</f>
        <v>0</v>
      </c>
      <c r="AC72" s="94">
        <f>'[1]FROP (Internal)'!AG75</f>
        <v>0</v>
      </c>
      <c r="AD72" s="95">
        <f>'[1]FROP (Internal)'!AH75</f>
        <v>0</v>
      </c>
      <c r="AE72" s="93">
        <f>'[1]FROP (Internal)'!AI75</f>
        <v>0</v>
      </c>
      <c r="AF72" s="93">
        <f>'[1]FROP (Internal)'!AJ75</f>
        <v>0</v>
      </c>
      <c r="AG72" s="93">
        <f>'[1]FROP (Internal)'!AK75</f>
        <v>0</v>
      </c>
      <c r="AH72" s="93">
        <f>'[1]FROP (Internal)'!AL75</f>
        <v>0</v>
      </c>
      <c r="AI72" s="93">
        <f>'[1]FROP (Internal)'!AM75</f>
        <v>0</v>
      </c>
      <c r="AJ72" s="93">
        <f>'[1]FROP (Internal)'!AN75</f>
        <v>0</v>
      </c>
      <c r="AK72" s="93">
        <f>'[1]FROP (Internal)'!AO75</f>
        <v>0</v>
      </c>
      <c r="AL72" s="93">
        <f>'[1]FROP (Internal)'!AP75</f>
        <v>0</v>
      </c>
      <c r="AM72" s="93">
        <f>'[1]FROP (Internal)'!AQ75</f>
        <v>0</v>
      </c>
      <c r="AN72" s="93">
        <f>'[1]FROP (Internal)'!AR75</f>
        <v>0</v>
      </c>
      <c r="AO72" s="94">
        <f>'[1]FROP (Internal)'!AS75</f>
        <v>0</v>
      </c>
      <c r="AP72" s="95">
        <f>'[1]FROP (Internal)'!AT75</f>
        <v>0</v>
      </c>
      <c r="AQ72" s="93">
        <f>'[1]FROP (Internal)'!AU75</f>
        <v>0</v>
      </c>
      <c r="AR72" s="93">
        <f>'[1]FROP (Internal)'!AV75</f>
        <v>0</v>
      </c>
      <c r="AS72" s="93">
        <f>'[1]FROP (Internal)'!AW75</f>
        <v>0</v>
      </c>
      <c r="AT72" s="93">
        <f>'[1]FROP (Internal)'!AX75</f>
        <v>0</v>
      </c>
      <c r="AU72" s="93">
        <f>'[1]FROP (Internal)'!AY75</f>
        <v>0</v>
      </c>
      <c r="AV72" s="93">
        <f>'[1]FROP (Internal)'!AZ75</f>
        <v>0</v>
      </c>
      <c r="AW72" s="93">
        <f>'[1]FROP (Internal)'!BA75</f>
        <v>0</v>
      </c>
      <c r="AX72" s="93">
        <f>'[1]FROP (Internal)'!BB75</f>
        <v>0</v>
      </c>
      <c r="AY72" s="93">
        <f>'[1]FROP (Internal)'!BC75</f>
        <v>0</v>
      </c>
      <c r="AZ72" s="93">
        <f>'[1]FROP (Internal)'!BD75</f>
        <v>0</v>
      </c>
      <c r="BA72" s="94">
        <f>'[1]FROP (Internal)'!BE75</f>
        <v>0</v>
      </c>
      <c r="BB72" s="95">
        <f>'[1]FROP (Internal)'!BF75</f>
        <v>0</v>
      </c>
      <c r="BC72" s="93">
        <f>'[1]FROP (Internal)'!BG75</f>
        <v>0</v>
      </c>
      <c r="BD72" s="93">
        <f>'[1]FROP (Internal)'!BH75</f>
        <v>0</v>
      </c>
      <c r="BE72" s="93">
        <f>'[1]FROP (Internal)'!BI75</f>
        <v>0</v>
      </c>
      <c r="BF72" s="93">
        <f>'[1]FROP (Internal)'!BJ75</f>
        <v>0</v>
      </c>
      <c r="BG72" s="93">
        <f>'[1]FROP (Internal)'!BK75</f>
        <v>0</v>
      </c>
      <c r="BH72" s="93">
        <f>'[1]FROP (Internal)'!BL75</f>
        <v>0</v>
      </c>
      <c r="BI72" s="93">
        <f>'[1]FROP (Internal)'!BM75</f>
        <v>0</v>
      </c>
      <c r="BJ72" s="93">
        <f>'[1]FROP (Internal)'!BN75</f>
        <v>0</v>
      </c>
      <c r="BK72" s="93">
        <f>'[1]FROP (Internal)'!BO75</f>
        <v>0</v>
      </c>
      <c r="BL72" s="93">
        <f>'[1]FROP (Internal)'!BP75</f>
        <v>0</v>
      </c>
      <c r="BM72" s="94">
        <f>'[1]FROP (Internal)'!BQ75</f>
        <v>0</v>
      </c>
      <c r="BN72" s="95">
        <f>'[1]FROP (Internal)'!BR75</f>
        <v>0</v>
      </c>
      <c r="BO72" s="93">
        <f>'[1]FROP (Internal)'!BS75</f>
        <v>0</v>
      </c>
      <c r="BP72" s="93">
        <f>'[1]FROP (Internal)'!BT75</f>
        <v>0</v>
      </c>
      <c r="BQ72" s="93">
        <f>'[1]FROP (Internal)'!BU75</f>
        <v>0</v>
      </c>
      <c r="BR72" s="93">
        <f>'[1]FROP (Internal)'!BV75</f>
        <v>0</v>
      </c>
      <c r="BS72" s="94">
        <f>'[1]FROP (Internal)'!BW75</f>
        <v>0</v>
      </c>
    </row>
    <row r="73" spans="1:71" ht="20.100000000000001" hidden="1" customHeight="1">
      <c r="A73" s="44" t="s">
        <v>1319</v>
      </c>
      <c r="B73" s="662"/>
      <c r="C73" s="5" t="s">
        <v>1320</v>
      </c>
      <c r="D73" s="89" t="str">
        <f>IF(AND('[1]FROP (Internal)'!G76="x",'[1]FROP (Internal)'!F76="N/A"),"x","N/A")</f>
        <v>N/A</v>
      </c>
      <c r="E73" s="89" t="str">
        <f>'[1]FROP (Internal)'!I76</f>
        <v>N/A</v>
      </c>
      <c r="F73" s="89" t="str">
        <f>'[1]FROP (Internal)'!J76</f>
        <v>N/A</v>
      </c>
      <c r="G73" s="89" t="str">
        <f>'[1]FROP (Internal)'!K76</f>
        <v>N/A</v>
      </c>
      <c r="H73" s="89" t="str">
        <f>'[1]FROP (Internal)'!L76</f>
        <v>N/A</v>
      </c>
      <c r="I73" s="89" t="str">
        <f>'[1]FROP (Internal)'!M76</f>
        <v>N/A</v>
      </c>
      <c r="J73" s="44" t="str">
        <f>'[1]FROP (Internal)'!N76</f>
        <v>N/A</v>
      </c>
      <c r="K73" s="12"/>
      <c r="L73" s="12"/>
      <c r="M73" s="12"/>
      <c r="N73" s="12"/>
      <c r="O73" s="97"/>
      <c r="P73" s="34" t="str">
        <f>'[1]FROP (Internal)'!T76</f>
        <v>N/A</v>
      </c>
      <c r="Q73" s="91">
        <f>'[1]FROP (Internal)'!U76</f>
        <v>0</v>
      </c>
      <c r="R73" s="92">
        <f>'[1]FROP (Internal)'!V76</f>
        <v>0</v>
      </c>
      <c r="S73" s="93">
        <f>'[1]FROP (Internal)'!W76</f>
        <v>0</v>
      </c>
      <c r="T73" s="93">
        <f>'[1]FROP (Internal)'!X76</f>
        <v>0</v>
      </c>
      <c r="U73" s="93">
        <f>'[1]FROP (Internal)'!Y76</f>
        <v>0</v>
      </c>
      <c r="V73" s="93">
        <f>'[1]FROP (Internal)'!Z76</f>
        <v>0</v>
      </c>
      <c r="W73" s="93">
        <f>'[1]FROP (Internal)'!AA76</f>
        <v>0</v>
      </c>
      <c r="X73" s="93">
        <f>'[1]FROP (Internal)'!AB76</f>
        <v>0</v>
      </c>
      <c r="Y73" s="93">
        <f>'[1]FROP (Internal)'!AC76</f>
        <v>0</v>
      </c>
      <c r="Z73" s="93">
        <f>'[1]FROP (Internal)'!AD76</f>
        <v>0</v>
      </c>
      <c r="AA73" s="93">
        <f>'[1]FROP (Internal)'!AE76</f>
        <v>0</v>
      </c>
      <c r="AB73" s="93">
        <f>'[1]FROP (Internal)'!AF76</f>
        <v>0</v>
      </c>
      <c r="AC73" s="94">
        <f>'[1]FROP (Internal)'!AG76</f>
        <v>0</v>
      </c>
      <c r="AD73" s="95">
        <f>'[1]FROP (Internal)'!AH76</f>
        <v>0</v>
      </c>
      <c r="AE73" s="93">
        <f>'[1]FROP (Internal)'!AI76</f>
        <v>0</v>
      </c>
      <c r="AF73" s="93">
        <f>'[1]FROP (Internal)'!AJ76</f>
        <v>0</v>
      </c>
      <c r="AG73" s="93">
        <f>'[1]FROP (Internal)'!AK76</f>
        <v>0</v>
      </c>
      <c r="AH73" s="93">
        <f>'[1]FROP (Internal)'!AL76</f>
        <v>0</v>
      </c>
      <c r="AI73" s="93">
        <f>'[1]FROP (Internal)'!AM76</f>
        <v>0</v>
      </c>
      <c r="AJ73" s="93">
        <f>'[1]FROP (Internal)'!AN76</f>
        <v>0</v>
      </c>
      <c r="AK73" s="93">
        <f>'[1]FROP (Internal)'!AO76</f>
        <v>0</v>
      </c>
      <c r="AL73" s="93">
        <f>'[1]FROP (Internal)'!AP76</f>
        <v>0</v>
      </c>
      <c r="AM73" s="93">
        <f>'[1]FROP (Internal)'!AQ76</f>
        <v>0</v>
      </c>
      <c r="AN73" s="93">
        <f>'[1]FROP (Internal)'!AR76</f>
        <v>0</v>
      </c>
      <c r="AO73" s="94">
        <f>'[1]FROP (Internal)'!AS76</f>
        <v>0</v>
      </c>
      <c r="AP73" s="95">
        <f>'[1]FROP (Internal)'!AT76</f>
        <v>0</v>
      </c>
      <c r="AQ73" s="93">
        <f>'[1]FROP (Internal)'!AU76</f>
        <v>0</v>
      </c>
      <c r="AR73" s="93">
        <f>'[1]FROP (Internal)'!AV76</f>
        <v>0</v>
      </c>
      <c r="AS73" s="93">
        <f>'[1]FROP (Internal)'!AW76</f>
        <v>0</v>
      </c>
      <c r="AT73" s="93">
        <f>'[1]FROP (Internal)'!AX76</f>
        <v>0</v>
      </c>
      <c r="AU73" s="93">
        <f>'[1]FROP (Internal)'!AY76</f>
        <v>0</v>
      </c>
      <c r="AV73" s="93">
        <f>'[1]FROP (Internal)'!AZ76</f>
        <v>0</v>
      </c>
      <c r="AW73" s="93">
        <f>'[1]FROP (Internal)'!BA76</f>
        <v>0</v>
      </c>
      <c r="AX73" s="93">
        <f>'[1]FROP (Internal)'!BB76</f>
        <v>0</v>
      </c>
      <c r="AY73" s="93">
        <f>'[1]FROP (Internal)'!BC76</f>
        <v>0</v>
      </c>
      <c r="AZ73" s="93">
        <f>'[1]FROP (Internal)'!BD76</f>
        <v>0</v>
      </c>
      <c r="BA73" s="94">
        <f>'[1]FROP (Internal)'!BE76</f>
        <v>0</v>
      </c>
      <c r="BB73" s="95">
        <f>'[1]FROP (Internal)'!BF76</f>
        <v>0</v>
      </c>
      <c r="BC73" s="93">
        <f>'[1]FROP (Internal)'!BG76</f>
        <v>0</v>
      </c>
      <c r="BD73" s="93">
        <f>'[1]FROP (Internal)'!BH76</f>
        <v>0</v>
      </c>
      <c r="BE73" s="93">
        <f>'[1]FROP (Internal)'!BI76</f>
        <v>0</v>
      </c>
      <c r="BF73" s="93">
        <f>'[1]FROP (Internal)'!BJ76</f>
        <v>0</v>
      </c>
      <c r="BG73" s="93">
        <f>'[1]FROP (Internal)'!BK76</f>
        <v>0</v>
      </c>
      <c r="BH73" s="93">
        <f>'[1]FROP (Internal)'!BL76</f>
        <v>0</v>
      </c>
      <c r="BI73" s="93">
        <f>'[1]FROP (Internal)'!BM76</f>
        <v>0</v>
      </c>
      <c r="BJ73" s="93">
        <f>'[1]FROP (Internal)'!BN76</f>
        <v>0</v>
      </c>
      <c r="BK73" s="93">
        <f>'[1]FROP (Internal)'!BO76</f>
        <v>0</v>
      </c>
      <c r="BL73" s="93">
        <f>'[1]FROP (Internal)'!BP76</f>
        <v>0</v>
      </c>
      <c r="BM73" s="94">
        <f>'[1]FROP (Internal)'!BQ76</f>
        <v>0</v>
      </c>
      <c r="BN73" s="95">
        <f>'[1]FROP (Internal)'!BR76</f>
        <v>0</v>
      </c>
      <c r="BO73" s="93">
        <f>'[1]FROP (Internal)'!BS76</f>
        <v>0</v>
      </c>
      <c r="BP73" s="93">
        <f>'[1]FROP (Internal)'!BT76</f>
        <v>0</v>
      </c>
      <c r="BQ73" s="93">
        <f>'[1]FROP (Internal)'!BU76</f>
        <v>0</v>
      </c>
      <c r="BR73" s="93">
        <f>'[1]FROP (Internal)'!BV76</f>
        <v>0</v>
      </c>
      <c r="BS73" s="94">
        <f>'[1]FROP (Internal)'!BW76</f>
        <v>0</v>
      </c>
    </row>
    <row r="74" spans="1:71" ht="20.100000000000001" hidden="1" customHeight="1">
      <c r="A74" s="44" t="s">
        <v>1118</v>
      </c>
      <c r="B74" s="16" t="s">
        <v>1119</v>
      </c>
      <c r="C74" s="6" t="s">
        <v>1120</v>
      </c>
      <c r="D74" s="89" t="str">
        <f>IF(AND('[1]FROP (Internal)'!G77="x",'[1]FROP (Internal)'!F77="N/A"),"x","N/A")</f>
        <v>N/A</v>
      </c>
      <c r="E74" s="89" t="str">
        <f>'[1]FROP (Internal)'!I77</f>
        <v>N/A</v>
      </c>
      <c r="F74" s="89" t="str">
        <f>'[1]FROP (Internal)'!J77</f>
        <v>N/A</v>
      </c>
      <c r="G74" s="89" t="str">
        <f>'[1]FROP (Internal)'!K77</f>
        <v>N/A</v>
      </c>
      <c r="H74" s="89" t="str">
        <f>'[1]FROP (Internal)'!L77</f>
        <v>N/A</v>
      </c>
      <c r="I74" s="89" t="str">
        <f>'[1]FROP (Internal)'!M77</f>
        <v>N/A</v>
      </c>
      <c r="J74" s="44" t="str">
        <f>'[1]FROP (Internal)'!N77</f>
        <v>N/A</v>
      </c>
      <c r="K74" s="12"/>
      <c r="L74" s="12"/>
      <c r="M74" s="12"/>
      <c r="N74" s="12"/>
      <c r="O74" s="97"/>
      <c r="P74" s="34" t="str">
        <f>'[1]FROP (Internal)'!T77</f>
        <v>N/A</v>
      </c>
      <c r="Q74" s="91">
        <f>'[1]FROP (Internal)'!U77</f>
        <v>0</v>
      </c>
      <c r="R74" s="92">
        <f>'[1]FROP (Internal)'!V77</f>
        <v>0</v>
      </c>
      <c r="S74" s="93">
        <f>'[1]FROP (Internal)'!W77</f>
        <v>0</v>
      </c>
      <c r="T74" s="93">
        <f>'[1]FROP (Internal)'!X77</f>
        <v>0</v>
      </c>
      <c r="U74" s="93">
        <f>'[1]FROP (Internal)'!Y77</f>
        <v>0</v>
      </c>
      <c r="V74" s="93">
        <f>'[1]FROP (Internal)'!Z77</f>
        <v>0</v>
      </c>
      <c r="W74" s="93">
        <f>'[1]FROP (Internal)'!AA77</f>
        <v>0</v>
      </c>
      <c r="X74" s="93">
        <f>'[1]FROP (Internal)'!AB77</f>
        <v>0</v>
      </c>
      <c r="Y74" s="93">
        <f>'[1]FROP (Internal)'!AC77</f>
        <v>0</v>
      </c>
      <c r="Z74" s="93">
        <f>'[1]FROP (Internal)'!AD77</f>
        <v>0</v>
      </c>
      <c r="AA74" s="93">
        <f>'[1]FROP (Internal)'!AE77</f>
        <v>0</v>
      </c>
      <c r="AB74" s="93">
        <f>'[1]FROP (Internal)'!AF77</f>
        <v>0</v>
      </c>
      <c r="AC74" s="94">
        <f>'[1]FROP (Internal)'!AG77</f>
        <v>0</v>
      </c>
      <c r="AD74" s="95">
        <f>'[1]FROP (Internal)'!AH77</f>
        <v>0</v>
      </c>
      <c r="AE74" s="93">
        <f>'[1]FROP (Internal)'!AI77</f>
        <v>0</v>
      </c>
      <c r="AF74" s="93">
        <f>'[1]FROP (Internal)'!AJ77</f>
        <v>0</v>
      </c>
      <c r="AG74" s="93">
        <f>'[1]FROP (Internal)'!AK77</f>
        <v>0</v>
      </c>
      <c r="AH74" s="93">
        <f>'[1]FROP (Internal)'!AL77</f>
        <v>0</v>
      </c>
      <c r="AI74" s="93">
        <f>'[1]FROP (Internal)'!AM77</f>
        <v>0</v>
      </c>
      <c r="AJ74" s="93">
        <f>'[1]FROP (Internal)'!AN77</f>
        <v>0</v>
      </c>
      <c r="AK74" s="93">
        <f>'[1]FROP (Internal)'!AO77</f>
        <v>0</v>
      </c>
      <c r="AL74" s="93">
        <f>'[1]FROP (Internal)'!AP77</f>
        <v>0</v>
      </c>
      <c r="AM74" s="93">
        <f>'[1]FROP (Internal)'!AQ77</f>
        <v>0</v>
      </c>
      <c r="AN74" s="93">
        <f>'[1]FROP (Internal)'!AR77</f>
        <v>0</v>
      </c>
      <c r="AO74" s="94">
        <f>'[1]FROP (Internal)'!AS77</f>
        <v>0</v>
      </c>
      <c r="AP74" s="95">
        <f>'[1]FROP (Internal)'!AT77</f>
        <v>0</v>
      </c>
      <c r="AQ74" s="93">
        <f>'[1]FROP (Internal)'!AU77</f>
        <v>0</v>
      </c>
      <c r="AR74" s="93">
        <f>'[1]FROP (Internal)'!AV77</f>
        <v>0</v>
      </c>
      <c r="AS74" s="93">
        <f>'[1]FROP (Internal)'!AW77</f>
        <v>0</v>
      </c>
      <c r="AT74" s="93">
        <f>'[1]FROP (Internal)'!AX77</f>
        <v>0</v>
      </c>
      <c r="AU74" s="93">
        <f>'[1]FROP (Internal)'!AY77</f>
        <v>0</v>
      </c>
      <c r="AV74" s="93">
        <f>'[1]FROP (Internal)'!AZ77</f>
        <v>0</v>
      </c>
      <c r="AW74" s="93">
        <f>'[1]FROP (Internal)'!BA77</f>
        <v>0</v>
      </c>
      <c r="AX74" s="93">
        <f>'[1]FROP (Internal)'!BB77</f>
        <v>0</v>
      </c>
      <c r="AY74" s="93">
        <f>'[1]FROP (Internal)'!BC77</f>
        <v>0</v>
      </c>
      <c r="AZ74" s="93">
        <f>'[1]FROP (Internal)'!BD77</f>
        <v>0</v>
      </c>
      <c r="BA74" s="94">
        <f>'[1]FROP (Internal)'!BE77</f>
        <v>0</v>
      </c>
      <c r="BB74" s="95">
        <f>'[1]FROP (Internal)'!BF77</f>
        <v>0</v>
      </c>
      <c r="BC74" s="93">
        <f>'[1]FROP (Internal)'!BG77</f>
        <v>0</v>
      </c>
      <c r="BD74" s="93">
        <f>'[1]FROP (Internal)'!BH77</f>
        <v>0</v>
      </c>
      <c r="BE74" s="93">
        <f>'[1]FROP (Internal)'!BI77</f>
        <v>0</v>
      </c>
      <c r="BF74" s="93">
        <f>'[1]FROP (Internal)'!BJ77</f>
        <v>0</v>
      </c>
      <c r="BG74" s="93">
        <f>'[1]FROP (Internal)'!BK77</f>
        <v>0</v>
      </c>
      <c r="BH74" s="93">
        <f>'[1]FROP (Internal)'!BL77</f>
        <v>0</v>
      </c>
      <c r="BI74" s="93">
        <f>'[1]FROP (Internal)'!BM77</f>
        <v>0</v>
      </c>
      <c r="BJ74" s="93">
        <f>'[1]FROP (Internal)'!BN77</f>
        <v>0</v>
      </c>
      <c r="BK74" s="93">
        <f>'[1]FROP (Internal)'!BO77</f>
        <v>0</v>
      </c>
      <c r="BL74" s="93">
        <f>'[1]FROP (Internal)'!BP77</f>
        <v>0</v>
      </c>
      <c r="BM74" s="94">
        <f>'[1]FROP (Internal)'!BQ77</f>
        <v>0</v>
      </c>
      <c r="BN74" s="95">
        <f>'[1]FROP (Internal)'!BR77</f>
        <v>0</v>
      </c>
      <c r="BO74" s="93">
        <f>'[1]FROP (Internal)'!BS77</f>
        <v>0</v>
      </c>
      <c r="BP74" s="93">
        <f>'[1]FROP (Internal)'!BT77</f>
        <v>0</v>
      </c>
      <c r="BQ74" s="93">
        <f>'[1]FROP (Internal)'!BU77</f>
        <v>0</v>
      </c>
      <c r="BR74" s="93">
        <f>'[1]FROP (Internal)'!BV77</f>
        <v>0</v>
      </c>
      <c r="BS74" s="94">
        <f>'[1]FROP (Internal)'!BW77</f>
        <v>0</v>
      </c>
    </row>
    <row r="75" spans="1:71" ht="20.100000000000001" hidden="1" customHeight="1">
      <c r="A75" s="44" t="s">
        <v>1121</v>
      </c>
      <c r="B75" s="662" t="s">
        <v>1122</v>
      </c>
      <c r="C75" s="5" t="s">
        <v>667</v>
      </c>
      <c r="D75" s="89" t="str">
        <f>IF(AND('[1]FROP (Internal)'!G78="x",'[1]FROP (Internal)'!F78="N/A"),"x","N/A")</f>
        <v>N/A</v>
      </c>
      <c r="E75" s="89" t="str">
        <f>'[1]FROP (Internal)'!I78</f>
        <v>N/A</v>
      </c>
      <c r="F75" s="89" t="str">
        <f>'[1]FROP (Internal)'!J78</f>
        <v>N/A</v>
      </c>
      <c r="G75" s="89" t="str">
        <f>'[1]FROP (Internal)'!K78</f>
        <v>N/A</v>
      </c>
      <c r="H75" s="89" t="str">
        <f>'[1]FROP (Internal)'!L78</f>
        <v>N/A</v>
      </c>
      <c r="I75" s="89" t="str">
        <f>'[1]FROP (Internal)'!M78</f>
        <v>N/A</v>
      </c>
      <c r="J75" s="44" t="str">
        <f>'[1]FROP (Internal)'!N78</f>
        <v>N/A</v>
      </c>
      <c r="K75" s="12"/>
      <c r="L75" s="12"/>
      <c r="M75" s="12"/>
      <c r="N75" s="12"/>
      <c r="O75" s="97"/>
      <c r="P75" s="34" t="str">
        <f>'[1]FROP (Internal)'!T78</f>
        <v>N/A</v>
      </c>
      <c r="Q75" s="91">
        <f>'[1]FROP (Internal)'!U78</f>
        <v>0</v>
      </c>
      <c r="R75" s="92">
        <f>'[1]FROP (Internal)'!V78</f>
        <v>0</v>
      </c>
      <c r="S75" s="93">
        <f>'[1]FROP (Internal)'!W78</f>
        <v>0</v>
      </c>
      <c r="T75" s="93">
        <f>'[1]FROP (Internal)'!X78</f>
        <v>0</v>
      </c>
      <c r="U75" s="93">
        <f>'[1]FROP (Internal)'!Y78</f>
        <v>0</v>
      </c>
      <c r="V75" s="93">
        <f>'[1]FROP (Internal)'!Z78</f>
        <v>0</v>
      </c>
      <c r="W75" s="93">
        <f>'[1]FROP (Internal)'!AA78</f>
        <v>0</v>
      </c>
      <c r="X75" s="93">
        <f>'[1]FROP (Internal)'!AB78</f>
        <v>0</v>
      </c>
      <c r="Y75" s="93">
        <f>'[1]FROP (Internal)'!AC78</f>
        <v>0</v>
      </c>
      <c r="Z75" s="93">
        <f>'[1]FROP (Internal)'!AD78</f>
        <v>0</v>
      </c>
      <c r="AA75" s="93">
        <f>'[1]FROP (Internal)'!AE78</f>
        <v>0</v>
      </c>
      <c r="AB75" s="93">
        <f>'[1]FROP (Internal)'!AF78</f>
        <v>0</v>
      </c>
      <c r="AC75" s="94">
        <f>'[1]FROP (Internal)'!AG78</f>
        <v>0</v>
      </c>
      <c r="AD75" s="95">
        <f>'[1]FROP (Internal)'!AH78</f>
        <v>0</v>
      </c>
      <c r="AE75" s="93">
        <f>'[1]FROP (Internal)'!AI78</f>
        <v>0</v>
      </c>
      <c r="AF75" s="93">
        <f>'[1]FROP (Internal)'!AJ78</f>
        <v>0</v>
      </c>
      <c r="AG75" s="93">
        <f>'[1]FROP (Internal)'!AK78</f>
        <v>0</v>
      </c>
      <c r="AH75" s="93">
        <f>'[1]FROP (Internal)'!AL78</f>
        <v>0</v>
      </c>
      <c r="AI75" s="93">
        <f>'[1]FROP (Internal)'!AM78</f>
        <v>0</v>
      </c>
      <c r="AJ75" s="93">
        <f>'[1]FROP (Internal)'!AN78</f>
        <v>0</v>
      </c>
      <c r="AK75" s="93">
        <f>'[1]FROP (Internal)'!AO78</f>
        <v>0</v>
      </c>
      <c r="AL75" s="93">
        <f>'[1]FROP (Internal)'!AP78</f>
        <v>0</v>
      </c>
      <c r="AM75" s="93">
        <f>'[1]FROP (Internal)'!AQ78</f>
        <v>0</v>
      </c>
      <c r="AN75" s="93">
        <f>'[1]FROP (Internal)'!AR78</f>
        <v>0</v>
      </c>
      <c r="AO75" s="94">
        <f>'[1]FROP (Internal)'!AS78</f>
        <v>0</v>
      </c>
      <c r="AP75" s="95">
        <f>'[1]FROP (Internal)'!AT78</f>
        <v>0</v>
      </c>
      <c r="AQ75" s="93">
        <f>'[1]FROP (Internal)'!AU78</f>
        <v>0</v>
      </c>
      <c r="AR75" s="93">
        <f>'[1]FROP (Internal)'!AV78</f>
        <v>0</v>
      </c>
      <c r="AS75" s="93">
        <f>'[1]FROP (Internal)'!AW78</f>
        <v>0</v>
      </c>
      <c r="AT75" s="93">
        <f>'[1]FROP (Internal)'!AX78</f>
        <v>0</v>
      </c>
      <c r="AU75" s="93">
        <f>'[1]FROP (Internal)'!AY78</f>
        <v>0</v>
      </c>
      <c r="AV75" s="93">
        <f>'[1]FROP (Internal)'!AZ78</f>
        <v>0</v>
      </c>
      <c r="AW75" s="93">
        <f>'[1]FROP (Internal)'!BA78</f>
        <v>0</v>
      </c>
      <c r="AX75" s="93">
        <f>'[1]FROP (Internal)'!BB78</f>
        <v>0</v>
      </c>
      <c r="AY75" s="93">
        <f>'[1]FROP (Internal)'!BC78</f>
        <v>0</v>
      </c>
      <c r="AZ75" s="93">
        <f>'[1]FROP (Internal)'!BD78</f>
        <v>0</v>
      </c>
      <c r="BA75" s="94">
        <f>'[1]FROP (Internal)'!BE78</f>
        <v>0</v>
      </c>
      <c r="BB75" s="95">
        <f>'[1]FROP (Internal)'!BF78</f>
        <v>0</v>
      </c>
      <c r="BC75" s="93">
        <f>'[1]FROP (Internal)'!BG78</f>
        <v>0</v>
      </c>
      <c r="BD75" s="93">
        <f>'[1]FROP (Internal)'!BH78</f>
        <v>0</v>
      </c>
      <c r="BE75" s="93">
        <f>'[1]FROP (Internal)'!BI78</f>
        <v>0</v>
      </c>
      <c r="BF75" s="93">
        <f>'[1]FROP (Internal)'!BJ78</f>
        <v>0</v>
      </c>
      <c r="BG75" s="93">
        <f>'[1]FROP (Internal)'!BK78</f>
        <v>0</v>
      </c>
      <c r="BH75" s="93">
        <f>'[1]FROP (Internal)'!BL78</f>
        <v>0</v>
      </c>
      <c r="BI75" s="93">
        <f>'[1]FROP (Internal)'!BM78</f>
        <v>0</v>
      </c>
      <c r="BJ75" s="93">
        <f>'[1]FROP (Internal)'!BN78</f>
        <v>0</v>
      </c>
      <c r="BK75" s="93">
        <f>'[1]FROP (Internal)'!BO78</f>
        <v>0</v>
      </c>
      <c r="BL75" s="93">
        <f>'[1]FROP (Internal)'!BP78</f>
        <v>0</v>
      </c>
      <c r="BM75" s="94">
        <f>'[1]FROP (Internal)'!BQ78</f>
        <v>0</v>
      </c>
      <c r="BN75" s="95">
        <f>'[1]FROP (Internal)'!BR78</f>
        <v>0</v>
      </c>
      <c r="BO75" s="93">
        <f>'[1]FROP (Internal)'!BS78</f>
        <v>0</v>
      </c>
      <c r="BP75" s="93">
        <f>'[1]FROP (Internal)'!BT78</f>
        <v>0</v>
      </c>
      <c r="BQ75" s="93">
        <f>'[1]FROP (Internal)'!BU78</f>
        <v>0</v>
      </c>
      <c r="BR75" s="93">
        <f>'[1]FROP (Internal)'!BV78</f>
        <v>0</v>
      </c>
      <c r="BS75" s="94">
        <f>'[1]FROP (Internal)'!BW78</f>
        <v>0</v>
      </c>
    </row>
    <row r="76" spans="1:71" ht="20.100000000000001" hidden="1" customHeight="1" thickBot="1">
      <c r="A76" s="47" t="s">
        <v>1123</v>
      </c>
      <c r="B76" s="664"/>
      <c r="C76" s="7" t="s">
        <v>670</v>
      </c>
      <c r="D76" s="100" t="str">
        <f>IF(AND('[1]FROP (Internal)'!G79="x",'[1]FROP (Internal)'!F79="N/A"),"x","N/A")</f>
        <v>N/A</v>
      </c>
      <c r="E76" s="100" t="str">
        <f>'[1]FROP (Internal)'!I79</f>
        <v>N/A</v>
      </c>
      <c r="F76" s="100" t="str">
        <f>'[1]FROP (Internal)'!J79</f>
        <v>N/A</v>
      </c>
      <c r="G76" s="100" t="str">
        <f>'[1]FROP (Internal)'!K79</f>
        <v>N/A</v>
      </c>
      <c r="H76" s="100" t="str">
        <f>'[1]FROP (Internal)'!L79</f>
        <v>N/A</v>
      </c>
      <c r="I76" s="100" t="str">
        <f>'[1]FROP (Internal)'!M79</f>
        <v>N/A</v>
      </c>
      <c r="J76" s="47" t="str">
        <f>'[1]FROP (Internal)'!N79</f>
        <v>N/A</v>
      </c>
      <c r="K76" s="12"/>
      <c r="L76" s="12"/>
      <c r="M76" s="13"/>
      <c r="N76" s="13"/>
      <c r="O76" s="101"/>
      <c r="P76" s="36" t="str">
        <f>'[1]FROP (Internal)'!T79</f>
        <v>N/A</v>
      </c>
      <c r="Q76" s="102">
        <f>'[1]FROP (Internal)'!U79</f>
        <v>0</v>
      </c>
      <c r="R76" s="103">
        <f>'[1]FROP (Internal)'!V79</f>
        <v>0</v>
      </c>
      <c r="S76" s="104">
        <f>'[1]FROP (Internal)'!W79</f>
        <v>0</v>
      </c>
      <c r="T76" s="104">
        <f>'[1]FROP (Internal)'!X79</f>
        <v>0</v>
      </c>
      <c r="U76" s="104">
        <f>'[1]FROP (Internal)'!Y79</f>
        <v>0</v>
      </c>
      <c r="V76" s="104">
        <f>'[1]FROP (Internal)'!Z79</f>
        <v>0</v>
      </c>
      <c r="W76" s="104">
        <f>'[1]FROP (Internal)'!AA79</f>
        <v>0</v>
      </c>
      <c r="X76" s="104">
        <f>'[1]FROP (Internal)'!AB79</f>
        <v>0</v>
      </c>
      <c r="Y76" s="104">
        <f>'[1]FROP (Internal)'!AC79</f>
        <v>0</v>
      </c>
      <c r="Z76" s="104">
        <f>'[1]FROP (Internal)'!AD79</f>
        <v>0</v>
      </c>
      <c r="AA76" s="104">
        <f>'[1]FROP (Internal)'!AE79</f>
        <v>0</v>
      </c>
      <c r="AB76" s="104">
        <f>'[1]FROP (Internal)'!AF79</f>
        <v>0</v>
      </c>
      <c r="AC76" s="105">
        <f>'[1]FROP (Internal)'!AG79</f>
        <v>0</v>
      </c>
      <c r="AD76" s="103">
        <f>'[1]FROP (Internal)'!AH79</f>
        <v>0</v>
      </c>
      <c r="AE76" s="104">
        <f>'[1]FROP (Internal)'!AI79</f>
        <v>0</v>
      </c>
      <c r="AF76" s="104">
        <f>'[1]FROP (Internal)'!AJ79</f>
        <v>0</v>
      </c>
      <c r="AG76" s="104">
        <f>'[1]FROP (Internal)'!AK79</f>
        <v>0</v>
      </c>
      <c r="AH76" s="104">
        <f>'[1]FROP (Internal)'!AL79</f>
        <v>0</v>
      </c>
      <c r="AI76" s="104">
        <f>'[1]FROP (Internal)'!AM79</f>
        <v>0</v>
      </c>
      <c r="AJ76" s="104">
        <f>'[1]FROP (Internal)'!AN79</f>
        <v>0</v>
      </c>
      <c r="AK76" s="104">
        <f>'[1]FROP (Internal)'!AO79</f>
        <v>0</v>
      </c>
      <c r="AL76" s="104">
        <f>'[1]FROP (Internal)'!AP79</f>
        <v>0</v>
      </c>
      <c r="AM76" s="104">
        <f>'[1]FROP (Internal)'!AQ79</f>
        <v>0</v>
      </c>
      <c r="AN76" s="104">
        <f>'[1]FROP (Internal)'!AR79</f>
        <v>0</v>
      </c>
      <c r="AO76" s="105">
        <f>'[1]FROP (Internal)'!AS79</f>
        <v>0</v>
      </c>
      <c r="AP76" s="103">
        <f>'[1]FROP (Internal)'!AT79</f>
        <v>0</v>
      </c>
      <c r="AQ76" s="104">
        <f>'[1]FROP (Internal)'!AU79</f>
        <v>0</v>
      </c>
      <c r="AR76" s="104">
        <f>'[1]FROP (Internal)'!AV79</f>
        <v>0</v>
      </c>
      <c r="AS76" s="104">
        <f>'[1]FROP (Internal)'!AW79</f>
        <v>0</v>
      </c>
      <c r="AT76" s="104">
        <f>'[1]FROP (Internal)'!AX79</f>
        <v>0</v>
      </c>
      <c r="AU76" s="104">
        <f>'[1]FROP (Internal)'!AY79</f>
        <v>0</v>
      </c>
      <c r="AV76" s="104">
        <f>'[1]FROP (Internal)'!AZ79</f>
        <v>0</v>
      </c>
      <c r="AW76" s="104">
        <f>'[1]FROP (Internal)'!BA79</f>
        <v>0</v>
      </c>
      <c r="AX76" s="104">
        <f>'[1]FROP (Internal)'!BB79</f>
        <v>0</v>
      </c>
      <c r="AY76" s="104">
        <f>'[1]FROP (Internal)'!BC79</f>
        <v>0</v>
      </c>
      <c r="AZ76" s="104">
        <f>'[1]FROP (Internal)'!BD79</f>
        <v>0</v>
      </c>
      <c r="BA76" s="105">
        <f>'[1]FROP (Internal)'!BE79</f>
        <v>0</v>
      </c>
      <c r="BB76" s="103">
        <f>'[1]FROP (Internal)'!BF79</f>
        <v>0</v>
      </c>
      <c r="BC76" s="104">
        <f>'[1]FROP (Internal)'!BG79</f>
        <v>0</v>
      </c>
      <c r="BD76" s="104">
        <f>'[1]FROP (Internal)'!BH79</f>
        <v>0</v>
      </c>
      <c r="BE76" s="104">
        <f>'[1]FROP (Internal)'!BI79</f>
        <v>0</v>
      </c>
      <c r="BF76" s="104">
        <f>'[1]FROP (Internal)'!BJ79</f>
        <v>0</v>
      </c>
      <c r="BG76" s="104">
        <f>'[1]FROP (Internal)'!BK79</f>
        <v>0</v>
      </c>
      <c r="BH76" s="104">
        <f>'[1]FROP (Internal)'!BL79</f>
        <v>0</v>
      </c>
      <c r="BI76" s="104">
        <f>'[1]FROP (Internal)'!BM79</f>
        <v>0</v>
      </c>
      <c r="BJ76" s="104">
        <f>'[1]FROP (Internal)'!BN79</f>
        <v>0</v>
      </c>
      <c r="BK76" s="104">
        <f>'[1]FROP (Internal)'!BO79</f>
        <v>0</v>
      </c>
      <c r="BL76" s="104">
        <f>'[1]FROP (Internal)'!BP79</f>
        <v>0</v>
      </c>
      <c r="BM76" s="105">
        <f>'[1]FROP (Internal)'!BQ79</f>
        <v>0</v>
      </c>
      <c r="BN76" s="103">
        <f>'[1]FROP (Internal)'!BR79</f>
        <v>0</v>
      </c>
      <c r="BO76" s="104">
        <f>'[1]FROP (Internal)'!BS79</f>
        <v>0</v>
      </c>
      <c r="BP76" s="104">
        <f>'[1]FROP (Internal)'!BT79</f>
        <v>0</v>
      </c>
      <c r="BQ76" s="104">
        <f>'[1]FROP (Internal)'!BU79</f>
        <v>0</v>
      </c>
      <c r="BR76" s="104">
        <f>'[1]FROP (Internal)'!BV79</f>
        <v>0</v>
      </c>
      <c r="BS76" s="105">
        <f>'[1]FROP (Internal)'!BW79</f>
        <v>0</v>
      </c>
    </row>
    <row r="77" spans="1:71">
      <c r="A77" s="48"/>
      <c r="B77" s="49"/>
      <c r="C77" s="50"/>
      <c r="D77" s="50"/>
      <c r="E77" s="50"/>
      <c r="F77" s="50"/>
      <c r="G77" s="50"/>
      <c r="H77" s="50"/>
      <c r="I77" s="50"/>
      <c r="J77" s="50"/>
    </row>
    <row r="78" spans="1:71" ht="15.75">
      <c r="A78" s="51"/>
      <c r="B78" s="52"/>
      <c r="C78" s="53"/>
      <c r="D78" s="53"/>
      <c r="E78" s="53"/>
      <c r="F78" s="53"/>
      <c r="G78" s="53"/>
      <c r="H78" s="53"/>
      <c r="I78" s="53"/>
      <c r="J78" s="53"/>
    </row>
    <row r="79" spans="1:71" ht="15.75" hidden="1">
      <c r="A79" s="51"/>
      <c r="B79" s="52"/>
      <c r="C79" s="53"/>
      <c r="D79" s="53"/>
      <c r="E79" s="53"/>
    </row>
    <row r="80" spans="1:71" ht="15.75" hidden="1">
      <c r="A80" s="51"/>
      <c r="B80" s="54"/>
      <c r="C80" s="53"/>
      <c r="D80" s="53"/>
      <c r="E80" s="53"/>
    </row>
    <row r="81" spans="1:7" ht="15.75" hidden="1">
      <c r="A81" s="51"/>
      <c r="B81" s="52"/>
      <c r="C81" s="53"/>
      <c r="D81" s="53"/>
      <c r="E81" s="53"/>
    </row>
    <row r="82" spans="1:7" ht="15.75">
      <c r="A82" s="51"/>
      <c r="B82" s="106"/>
      <c r="C82" s="53"/>
      <c r="D82" s="53"/>
      <c r="E82" s="53"/>
    </row>
    <row r="83" spans="1:7">
      <c r="A83" s="55" t="s">
        <v>1124</v>
      </c>
      <c r="B83" s="665" t="s">
        <v>1125</v>
      </c>
      <c r="C83" s="666"/>
      <c r="D83" s="666"/>
      <c r="E83" s="667"/>
      <c r="F83" s="55"/>
      <c r="G83" s="55"/>
    </row>
    <row r="84" spans="1:7">
      <c r="A84" s="56">
        <v>0</v>
      </c>
      <c r="B84" s="659" t="s">
        <v>1126</v>
      </c>
      <c r="C84" s="660"/>
      <c r="D84" s="660"/>
      <c r="E84" s="661"/>
      <c r="F84" s="56"/>
      <c r="G84" s="56"/>
    </row>
    <row r="85" spans="1:7">
      <c r="A85" s="62">
        <v>1</v>
      </c>
      <c r="B85" s="659" t="s">
        <v>1127</v>
      </c>
      <c r="C85" s="660"/>
      <c r="D85" s="660"/>
      <c r="E85" s="661"/>
      <c r="F85" s="56"/>
      <c r="G85" s="56"/>
    </row>
    <row r="86" spans="1:7">
      <c r="A86" s="63">
        <v>2</v>
      </c>
      <c r="B86" s="659" t="s">
        <v>1128</v>
      </c>
      <c r="C86" s="660"/>
      <c r="D86" s="660"/>
      <c r="E86" s="661"/>
      <c r="F86" s="56"/>
      <c r="G86" s="56"/>
    </row>
    <row r="87" spans="1:7">
      <c r="A87" s="64">
        <v>3</v>
      </c>
      <c r="B87" s="659" t="s">
        <v>1129</v>
      </c>
      <c r="C87" s="660"/>
      <c r="D87" s="660"/>
      <c r="E87" s="661"/>
      <c r="F87" s="56"/>
      <c r="G87" s="56"/>
    </row>
    <row r="88" spans="1:7">
      <c r="A88" s="66">
        <v>4</v>
      </c>
      <c r="B88" s="659" t="s">
        <v>1130</v>
      </c>
      <c r="C88" s="660"/>
      <c r="D88" s="660"/>
      <c r="E88" s="661"/>
      <c r="F88" s="56"/>
      <c r="G88" s="56"/>
    </row>
    <row r="89" spans="1:7">
      <c r="A89" s="65">
        <v>5</v>
      </c>
      <c r="B89" s="659" t="s">
        <v>1321</v>
      </c>
      <c r="C89" s="660"/>
      <c r="D89" s="660"/>
      <c r="E89" s="661"/>
      <c r="F89" s="56"/>
      <c r="G89" s="56"/>
    </row>
    <row r="90" spans="1:7" ht="15.75">
      <c r="A90" s="51"/>
      <c r="B90" s="52"/>
      <c r="C90" s="53"/>
      <c r="D90" s="53"/>
      <c r="E90" s="53"/>
    </row>
    <row r="91" spans="1:7" ht="15.75">
      <c r="A91" s="51"/>
      <c r="B91" s="52"/>
      <c r="C91" s="53"/>
      <c r="D91" s="53"/>
      <c r="E91" s="53"/>
    </row>
    <row r="92" spans="1:7" ht="15.75">
      <c r="A92" s="51"/>
      <c r="B92" s="52"/>
      <c r="C92" s="53"/>
      <c r="D92" s="53"/>
      <c r="E92" s="53"/>
    </row>
    <row r="93" spans="1:7" ht="15.75">
      <c r="A93" s="51"/>
      <c r="B93" s="52"/>
      <c r="C93" s="53"/>
      <c r="D93" s="53"/>
      <c r="E93" s="53"/>
    </row>
    <row r="94" spans="1:7" ht="15.75">
      <c r="A94" s="51"/>
      <c r="B94" s="52"/>
      <c r="C94" s="53"/>
      <c r="D94" s="53"/>
      <c r="E94" s="53"/>
    </row>
    <row r="95" spans="1:7" ht="15.75">
      <c r="A95" s="51"/>
      <c r="B95" s="52"/>
      <c r="C95" s="53"/>
      <c r="D95" s="53"/>
      <c r="E95" s="53"/>
    </row>
    <row r="96" spans="1:7" ht="15.75">
      <c r="A96" s="51"/>
      <c r="B96" s="52"/>
      <c r="C96" s="53"/>
      <c r="D96" s="53"/>
      <c r="E96" s="53"/>
    </row>
    <row r="97" spans="1:79" ht="15.75">
      <c r="A97" s="51"/>
      <c r="B97" s="52"/>
      <c r="C97" s="53"/>
      <c r="D97" s="53"/>
      <c r="E97" s="53"/>
    </row>
    <row r="103" spans="1:79">
      <c r="CA103" t="s">
        <v>1322</v>
      </c>
    </row>
  </sheetData>
  <sheetProtection algorithmName="SHA-512" hashValue="sUFUBpgzrl7B37sHKGhuys7c43MS8NC7vxYscQvKLS2/rxKjlroCY/3ILQlnZg7KPJdKNP61X1bNJnnqyo+0rg==" saltValue="iVAahqt55OYSuaD3AdDG0A==" spinCount="100000" sheet="1" objects="1" scenarios="1" formatColumns="0" formatRows="0" sort="0" autoFilter="0"/>
  <protectedRanges>
    <protectedRange sqref="A21:BS21" name="AllowSortFilter"/>
  </protectedRanges>
  <autoFilter ref="A21:CA76" xr:uid="{1C12FD57-1B0A-40D0-BE26-A3F063F09A50}">
    <filterColumn colId="3">
      <filters>
        <filter val="x"/>
      </filters>
    </filterColumn>
  </autoFilter>
  <mergeCells count="100">
    <mergeCell ref="P10:P13"/>
    <mergeCell ref="A1:K1"/>
    <mergeCell ref="B3:C3"/>
    <mergeCell ref="R3:AC3"/>
    <mergeCell ref="AD3:AO3"/>
    <mergeCell ref="BN3:BS3"/>
    <mergeCell ref="B4:C4"/>
    <mergeCell ref="B5:C5"/>
    <mergeCell ref="B6:C6"/>
    <mergeCell ref="B7:C7"/>
    <mergeCell ref="AP3:BA3"/>
    <mergeCell ref="BB3:BM3"/>
    <mergeCell ref="P14:P18"/>
    <mergeCell ref="A19:A21"/>
    <mergeCell ref="B19:B21"/>
    <mergeCell ref="C19:C21"/>
    <mergeCell ref="D19:D21"/>
    <mergeCell ref="E19:E20"/>
    <mergeCell ref="F19:F20"/>
    <mergeCell ref="G19:G20"/>
    <mergeCell ref="H19:H20"/>
    <mergeCell ref="I19:I20"/>
    <mergeCell ref="Y19:Y21"/>
    <mergeCell ref="J19:L20"/>
    <mergeCell ref="M19:O20"/>
    <mergeCell ref="P19:P21"/>
    <mergeCell ref="Q19:Q21"/>
    <mergeCell ref="R19:R21"/>
    <mergeCell ref="S19:S21"/>
    <mergeCell ref="T19:T21"/>
    <mergeCell ref="U19:U21"/>
    <mergeCell ref="V19:V21"/>
    <mergeCell ref="W19:W21"/>
    <mergeCell ref="X19:X21"/>
    <mergeCell ref="AK19:AK21"/>
    <mergeCell ref="Z19:Z21"/>
    <mergeCell ref="AA19:AA21"/>
    <mergeCell ref="AB19:AB21"/>
    <mergeCell ref="AC19:AC21"/>
    <mergeCell ref="AD19:AD21"/>
    <mergeCell ref="AE19:AE21"/>
    <mergeCell ref="AF19:AF21"/>
    <mergeCell ref="AG19:AG21"/>
    <mergeCell ref="AH19:AH21"/>
    <mergeCell ref="AI19:AI21"/>
    <mergeCell ref="AJ19:AJ21"/>
    <mergeCell ref="AW19:AW21"/>
    <mergeCell ref="AL19:AL21"/>
    <mergeCell ref="AM19:AM21"/>
    <mergeCell ref="AN19:AN21"/>
    <mergeCell ref="AO19:AO21"/>
    <mergeCell ref="AP19:AP21"/>
    <mergeCell ref="AQ19:AQ21"/>
    <mergeCell ref="AR19:AR21"/>
    <mergeCell ref="AS19:AS21"/>
    <mergeCell ref="AT19:AT21"/>
    <mergeCell ref="AU19:AU21"/>
    <mergeCell ref="AV19:AV21"/>
    <mergeCell ref="BG19:BG21"/>
    <mergeCell ref="BH19:BH21"/>
    <mergeCell ref="BI19:BI21"/>
    <mergeCell ref="AX19:AX21"/>
    <mergeCell ref="AY19:AY21"/>
    <mergeCell ref="AZ19:AZ21"/>
    <mergeCell ref="BA19:BA21"/>
    <mergeCell ref="BB19:BB21"/>
    <mergeCell ref="BC19:BC21"/>
    <mergeCell ref="B55:B57"/>
    <mergeCell ref="BP19:BP21"/>
    <mergeCell ref="BQ19:BQ21"/>
    <mergeCell ref="BR19:BR21"/>
    <mergeCell ref="BS19:BS21"/>
    <mergeCell ref="B22:B24"/>
    <mergeCell ref="B25:B27"/>
    <mergeCell ref="BJ19:BJ21"/>
    <mergeCell ref="BK19:BK21"/>
    <mergeCell ref="BL19:BL21"/>
    <mergeCell ref="BM19:BM21"/>
    <mergeCell ref="BN19:BN21"/>
    <mergeCell ref="BO19:BO21"/>
    <mergeCell ref="BD19:BD21"/>
    <mergeCell ref="BE19:BE21"/>
    <mergeCell ref="BF19:BF21"/>
    <mergeCell ref="B30:B32"/>
    <mergeCell ref="B34:B39"/>
    <mergeCell ref="B40:B44"/>
    <mergeCell ref="B46:B49"/>
    <mergeCell ref="B52:B54"/>
    <mergeCell ref="B89:E89"/>
    <mergeCell ref="B59:B60"/>
    <mergeCell ref="B61:B62"/>
    <mergeCell ref="B67:B68"/>
    <mergeCell ref="B69:B73"/>
    <mergeCell ref="B75:B76"/>
    <mergeCell ref="B83:E83"/>
    <mergeCell ref="B84:E84"/>
    <mergeCell ref="B85:E85"/>
    <mergeCell ref="B86:E86"/>
    <mergeCell ref="B87:E87"/>
    <mergeCell ref="B88:E88"/>
  </mergeCells>
  <conditionalFormatting sqref="R22:BS76">
    <cfRule type="cellIs" dxfId="4" priority="1" operator="equal">
      <formula>5</formula>
    </cfRule>
    <cfRule type="cellIs" dxfId="3" priority="2" operator="equal">
      <formula>4</formula>
    </cfRule>
    <cfRule type="cellIs" dxfId="2" priority="3" operator="equal">
      <formula>3</formula>
    </cfRule>
    <cfRule type="cellIs" dxfId="1" priority="4" operator="equal">
      <formula>2</formula>
    </cfRule>
    <cfRule type="cellIs" dxfId="0" priority="5" operator="equal">
      <formula>1</formula>
    </cfRule>
  </conditionalFormatting>
  <pageMargins left="0.25" right="0.25" top="0.75" bottom="0.75" header="0.3" footer="0.3"/>
  <pageSetup scale="19" orientation="landscape" horizontalDpi="4294967293"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_Flow_SignoffStatus xmlns="a32d8877-1370-42f1-9f0f-619e7aa66b76" xsi:nil="true"/>
    <_ip_UnifiedCompliancePolicyUIAction xmlns="http://schemas.microsoft.com/sharepoint/v3" xsi:nil="true"/>
    <_ip_UnifiedCompliancePolicyProperties xmlns="http://schemas.microsoft.com/sharepoint/v3" xsi:nil="true"/>
    <_ApprovalAssignedTo xmlns="a32d8877-1370-42f1-9f0f-619e7aa66b76">
      <UserInfo>
        <DisplayName/>
        <AccountId xsi:nil="true"/>
        <AccountType/>
      </UserInfo>
    </_ApprovalAssignedTo>
    <_ApprovalSentBy xmlns="a32d8877-1370-42f1-9f0f-619e7aa66b76">
      <UserInfo>
        <DisplayName/>
        <AccountId xsi:nil="true"/>
        <AccountType/>
      </UserInfo>
    </_ApprovalSentBy>
    <_ApprovalStatus xmlns="a32d8877-1370-42f1-9f0f-619e7aa66b76">0</_ApprovalStatus>
    <_ApprovalRespondedBy xmlns="a32d8877-1370-42f1-9f0f-619e7aa66b76">
      <UserInfo>
        <DisplayName/>
        <AccountId xsi:nil="true"/>
        <AccountType/>
      </UserInfo>
    </_ApprovalRespondedBy>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F1E4143F6D934A4A815F68F0A3D0C3CE" ma:contentTypeVersion="15" ma:contentTypeDescription="Create a new document." ma:contentTypeScope="" ma:versionID="71c0989b0cfa1f3f400186287bc06d43">
  <xsd:schema xmlns:xsd="http://www.w3.org/2001/XMLSchema" xmlns:xs="http://www.w3.org/2001/XMLSchema" xmlns:p="http://schemas.microsoft.com/office/2006/metadata/properties" xmlns:ns1="http://schemas.microsoft.com/sharepoint/v3" xmlns:ns2="a32d8877-1370-42f1-9f0f-619e7aa66b76" xmlns:ns3="593c0049-59b1-46a1-9a79-6bb3f8de947a" targetNamespace="http://schemas.microsoft.com/office/2006/metadata/properties" ma:root="true" ma:fieldsID="aad7cf5488b323f47daaf5e9d24ac479" ns1:_="" ns2:_="" ns3:_="">
    <xsd:import namespace="http://schemas.microsoft.com/sharepoint/v3"/>
    <xsd:import namespace="a32d8877-1370-42f1-9f0f-619e7aa66b76"/>
    <xsd:import namespace="593c0049-59b1-46a1-9a79-6bb3f8de947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_Flow_SignoffStatus" minOccurs="0"/>
                <xsd:element ref="ns1:_ip_UnifiedCompliancePolicyProperties" minOccurs="0"/>
                <xsd:element ref="ns1:_ip_UnifiedCompliancePolicyUIAction" minOccurs="0"/>
                <xsd:element ref="ns2:_ApprovalAssignedTo" minOccurs="0"/>
                <xsd:element ref="ns2:_ApprovalRespondedBy" minOccurs="0"/>
                <xsd:element ref="ns2:_ApprovalSentBy" minOccurs="0"/>
                <xsd:element ref="ns2:_Approval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32d8877-1370-42f1-9f0f-619e7aa66b7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_Flow_SignoffStatus" ma:index="14" nillable="true" ma:displayName="Sign-off status" ma:internalName="_x0024_Resources_x003a_core_x002c_Signoff_Status">
      <xsd:simpleType>
        <xsd:restriction base="dms:Text"/>
      </xsd:simpleType>
    </xsd:element>
    <xsd:element name="_ApprovalAssignedTo" ma:index="17" nillable="true" ma:displayName="Approvers" ma:list="UserInfo" ma:internalName="_ApprovalAssignedTo"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RespondedBy" ma:index="18" nillable="true" ma:displayName="Responses" ma:list="UserInfo" ma:internalName="_ApprovalRespondedBy"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SentBy" ma:index="19" nillable="true" ma:displayName="Approval Creator" ma:list="UserInfo" ma:internalName="_ApprovalSent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ApprovalStatus" ma:index="20" nillable="true" ma:displayName="Approval status" ma:internalName="_Approval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93c0049-59b1-46a1-9a79-6bb3f8de947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6E35E0-061A-47B5-BF4B-4A25F5244CE6}">
  <ds:schemaRefs>
    <ds:schemaRef ds:uri="http://schemas.microsoft.com/sharepoint/v3/contenttype/forms"/>
  </ds:schemaRefs>
</ds:datastoreItem>
</file>

<file path=customXml/itemProps2.xml><?xml version="1.0" encoding="utf-8"?>
<ds:datastoreItem xmlns:ds="http://schemas.openxmlformats.org/officeDocument/2006/customXml" ds:itemID="{068B34C5-8B57-41BC-B1E5-57AE465561F9}">
  <ds:schemaRefs>
    <ds:schemaRef ds:uri="http://schemas.microsoft.com/DataMashup"/>
  </ds:schemaRefs>
</ds:datastoreItem>
</file>

<file path=customXml/itemProps3.xml><?xml version="1.0" encoding="utf-8"?>
<ds:datastoreItem xmlns:ds="http://schemas.openxmlformats.org/officeDocument/2006/customXml" ds:itemID="{9FBFC084-1112-4A20-AA31-E5324CC08E08}">
  <ds:schemaRefs>
    <ds:schemaRef ds:uri="http://schemas.microsoft.com/sharepoint/v3"/>
    <ds:schemaRef ds:uri="http://schemas.microsoft.com/office/2006/documentManagement/types"/>
    <ds:schemaRef ds:uri="http://schemas.openxmlformats.org/package/2006/metadata/core-properties"/>
    <ds:schemaRef ds:uri="http://purl.org/dc/terms/"/>
    <ds:schemaRef ds:uri="http://schemas.microsoft.com/office/2006/metadata/properties"/>
    <ds:schemaRef ds:uri="http://purl.org/dc/elements/1.1/"/>
    <ds:schemaRef ds:uri="http://schemas.microsoft.com/office/infopath/2007/PartnerControls"/>
    <ds:schemaRef ds:uri="http://purl.org/dc/dcmitype/"/>
    <ds:schemaRef ds:uri="593c0049-59b1-46a1-9a79-6bb3f8de947a"/>
    <ds:schemaRef ds:uri="a32d8877-1370-42f1-9f0f-619e7aa66b76"/>
    <ds:schemaRef ds:uri="http://www.w3.org/XML/1998/namespace"/>
  </ds:schemaRefs>
</ds:datastoreItem>
</file>

<file path=customXml/itemProps4.xml><?xml version="1.0" encoding="utf-8"?>
<ds:datastoreItem xmlns:ds="http://schemas.openxmlformats.org/officeDocument/2006/customXml" ds:itemID="{ACD46D57-1346-4DE3-933E-BF408A2523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a32d8877-1370-42f1-9f0f-619e7aa66b76"/>
    <ds:schemaRef ds:uri="593c0049-59b1-46a1-9a79-6bb3f8de94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23</vt:i4>
      </vt:variant>
    </vt:vector>
  </HeadingPairs>
  <TitlesOfParts>
    <vt:vector size="43" baseType="lpstr">
      <vt:lpstr>Cover</vt:lpstr>
      <vt:lpstr>Revision</vt:lpstr>
      <vt:lpstr>Project Configurations</vt:lpstr>
      <vt:lpstr>ProjectsGenTool</vt:lpstr>
      <vt:lpstr>| DATA |</vt:lpstr>
      <vt:lpstr>| METRICS |</vt:lpstr>
      <vt:lpstr>Feature Metrics</vt:lpstr>
      <vt:lpstr>RoadmapData</vt:lpstr>
      <vt:lpstr>Product Metrics</vt:lpstr>
      <vt:lpstr>Sheet1</vt:lpstr>
      <vt:lpstr>| REF |</vt:lpstr>
      <vt:lpstr>Instructions for Use</vt:lpstr>
      <vt:lpstr>Pulldown Data</vt:lpstr>
      <vt:lpstr>ProductTableHeadings</vt:lpstr>
      <vt:lpstr>FROP (Customer)</vt:lpstr>
      <vt:lpstr>Example_VWG001 Calculation</vt:lpstr>
      <vt:lpstr>FROP Checker Summary</vt:lpstr>
      <vt:lpstr>FROP Checker Details</vt:lpstr>
      <vt:lpstr>Instructions_OLD</vt:lpstr>
      <vt:lpstr>Example Filled out</vt:lpstr>
      <vt:lpstr>ASILLevels</vt:lpstr>
      <vt:lpstr>ASPICELevels</vt:lpstr>
      <vt:lpstr>ASPICEVersions</vt:lpstr>
      <vt:lpstr>FeatureRequestTable</vt:lpstr>
      <vt:lpstr>ISO26262Versions</vt:lpstr>
      <vt:lpstr>OperatingSystems</vt:lpstr>
      <vt:lpstr>Cover!Print_Area</vt:lpstr>
      <vt:lpstr>'Example Filled out'!Print_Area</vt:lpstr>
      <vt:lpstr>'FROP (Customer)'!Print_Area</vt:lpstr>
      <vt:lpstr>'Instructions for Use'!Print_Area</vt:lpstr>
      <vt:lpstr>Revision!Print_Area</vt:lpstr>
      <vt:lpstr>PRJGENAlgos</vt:lpstr>
      <vt:lpstr>PRJGENAlgosMapped</vt:lpstr>
      <vt:lpstr>PRJGENProjects</vt:lpstr>
      <vt:lpstr>PRJGENVersions</vt:lpstr>
      <vt:lpstr>ProdData_SoC</vt:lpstr>
      <vt:lpstr>ProductCfgHeader</vt:lpstr>
      <vt:lpstr>ProductCfgHeader_Prefixed</vt:lpstr>
      <vt:lpstr>RoadmapData</vt:lpstr>
      <vt:lpstr>RoadmapDataFeatures</vt:lpstr>
      <vt:lpstr>RoadmapDataProjects</vt:lpstr>
      <vt:lpstr>SeatPosEncoding</vt:lpstr>
      <vt:lpstr>SeatPosEncodingName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PFD Feature Maturity &amp; Rollout Plan</dc:title>
  <dc:subject/>
  <dc:creator>smadmin</dc:creator>
  <cp:keywords/>
  <dc:description/>
  <cp:lastModifiedBy>Roberto Pugliese</cp:lastModifiedBy>
  <cp:revision/>
  <dcterms:created xsi:type="dcterms:W3CDTF">2021-06-22T20:19:18Z</dcterms:created>
  <dcterms:modified xsi:type="dcterms:W3CDTF">2025-02-23T21:34:05Z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0x010100F1E4143F6D934A4A815F68F0A3D0C3CE</vt:lpwstr>
  </property>
  <property fmtid="{D5CDD505-2E9C-101B-9397-08002B2CF9AE}" pid="3" name="MediaServiceImageTags">
    <vt:lpwstr/>
  </property>
  <property fmtid="{D5CDD505-2E9C-101B-9397-08002B2CF9AE}" pid="4" name="Order">
    <vt:r8>20200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